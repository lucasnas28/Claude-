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29040" windowHeight="15720" tabRatio="600" firstSheet="0" activeTab="2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Inputs (2)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>
    <definedName name="_Fill" hidden="1">#REF!</definedName>
    <definedName name="aaa" hidden="1">{#N/A,#N/A,FALSE,"Aging Summary";#N/A,#N/A,FALSE,"Ratio Analysis";#N/A,#N/A,FALSE,"Test 120 Day Accts";#N/A,#N/A,FALSE,"Tickmarks"}</definedName>
    <definedName name="AAAA" hidden="1">{#N/A,#N/A,FALSE,"Aging Summary";#N/A,#N/A,FALSE,"Ratio Analysis";#N/A,#N/A,FALSE,"Test 120 Day Accts";#N/A,#N/A,FALSE,"Tickmarks"}</definedName>
    <definedName name="AS2DocOpenMode" hidden="1">"AS2DocumentEdit"</definedName>
    <definedName name="AS2NamedRange" hidden="1">15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BalType" hidden="1">TRUE</definedName>
    <definedName name="beta_observed">Valuation!$D$93</definedName>
    <definedName name="beta_observed_unlevered">#REF!</definedName>
    <definedName name="beta_unlev_comps">#REF!</definedName>
    <definedName name="BG_Del" hidden="1">15</definedName>
    <definedName name="BG_Ins" hidden="1">4</definedName>
    <definedName name="BG_Mod" hidden="1">6</definedName>
    <definedName name="cirkbreak">#REF!</definedName>
    <definedName name="costdebtfirm">#REF!</definedName>
    <definedName name="costequity">#REF!</definedName>
    <definedName name="Debt">#REF!</definedName>
    <definedName name="debt_weight">#REF!</definedName>
    <definedName name="GrpAcct1" hidden="1">"5611"</definedName>
    <definedName name="GrpAcct2" hidden="1">"5612"</definedName>
    <definedName name="GrpLevel" hidden="1">2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"c2108"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CAP" hidden="1">"c712"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LOW" hidden="1">"c1338"</definedName>
    <definedName name="IQ_YTD" hidden="1">3000</definedName>
    <definedName name="IQ_Z_SCORE" hidden="1">"c1339"</definedName>
    <definedName name="last_close">Valuation!$G$7</definedName>
    <definedName name="Market_Equity">#REF!</definedName>
    <definedName name="midyear">#REF!</definedName>
    <definedName name="Net_Debt">#REF!</definedName>
    <definedName name="NumofGrpAccts" hidden="1">2</definedName>
    <definedName name="nvnvnvnv" hidden="1">{#N/A,#N/A,FALSE,"Aging Summary";#N/A,#N/A,FALSE,"Ratio Analysis";#N/A,#N/A,FALSE,"Test 120 Day Accts";#N/A,#N/A,FALSE,"Tickmarks"}</definedName>
    <definedName name="range">#REF!</definedName>
    <definedName name="RowLevel" hidden="1">1</definedName>
    <definedName name="Stub_year_fraction">#REF!</definedName>
    <definedName name="TBdbName" hidden="1">"88D5BF544BE111D2B8C5006097494125.mdb"</definedName>
    <definedName name="TextRefCopyRangeCount" hidden="1">68</definedName>
    <definedName name="ticker">Valuation!$D$7</definedName>
    <definedName name="Useful_Life_of_Depreciable_PP_E">"PPElife"</definedName>
    <definedName name="wrn.Aging._.and._.Trend._.Analysis." hidden="1">{#N/A,#N/A,FALSE,"Aging Summary";#N/A,#N/A,FALSE,"Ratio Analysis";#N/A,#N/A,FALSE,"Test 120 Day Accts";#N/A,#N/A,FALSE,"Tickmarks"}</definedName>
    <definedName name="wrn.EXPENSES._.98._.US." hidden="1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9._.REAL." hidden="1">{"Reais 99 MKT",#N/A,TRUE,"MKT";"Reais 99 BUSS",#N/A,TRUE,"BusOper";"Reais 99 TECH",#N/A,TRUE,"Tech";"Reais 99 LOCAL",#N/A,TRUE,"LocalProg";"Reais 99 GA",#N/A,TRUE,"G&amp;A";"Reais 99 CONSOL",#N/A,TRUE,"Consolidate"}</definedName>
    <definedName name="wrn.FINANCIAL._.MONTH." hidden="1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S." hidden="1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US._.MONTH." hidden="1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S." hidden="1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grafico." hidden="1">{#N/A,#N/A,FALSE,"Graficos    ( 9 )"}</definedName>
    <definedName name="wrn.WORK._.PAPER." hidden="1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_.99." hidden="1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XREF_COLUMN_1" hidden="1">#REF!</definedName>
    <definedName name="XREF_COLUMN_10" hidden="1">#REF!</definedName>
    <definedName name="XREF_COLUMN_11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9" hidden="1">#REF!</definedName>
    <definedName name="XREF_COLUMN_2" hidden="1">#REF!</definedName>
    <definedName name="XREF_COLUMN_20" hidden="1">#REF!</definedName>
    <definedName name="XREF_COLUMN_21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ColumnsCount" hidden="1">2</definedName>
    <definedName name="XRefCopy1" hidden="1">#REF!</definedName>
    <definedName name="XRefCopy10" hidden="1">#REF!</definedName>
    <definedName name="XRefCopy10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5" hidden="1">#REF!</definedName>
    <definedName name="XRefCopy15Row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3" hidden="1">#REF!</definedName>
    <definedName name="XRefCopy30Row" hidden="1">#REF!</definedName>
    <definedName name="XRefCopy31" hidden="1">#REF!</definedName>
    <definedName name="XRefCopy31Row" hidden="1">#REF!</definedName>
    <definedName name="XRefCopy33Row" hidden="1">#REF!</definedName>
    <definedName name="XRefCopy39" hidden="1">#REF!</definedName>
    <definedName name="XRefCopy4" hidden="1">#REF!</definedName>
    <definedName name="XRefCopy40Row" hidden="1">#REF!</definedName>
    <definedName name="XRefCopy43Row" hidden="1">#REF!</definedName>
    <definedName name="XRefCopy44Row" hidden="1">#REF!</definedName>
    <definedName name="XRefCopy49Row" hidden="1">#REF!</definedName>
    <definedName name="XRefCopy4Row" hidden="1">#REF!</definedName>
    <definedName name="XRefCopy5" hidden="1">#REF!</definedName>
    <definedName name="XRefCopy50Row" hidden="1">#REF!</definedName>
    <definedName name="XRefCopy51Row" hidden="1">#REF!</definedName>
    <definedName name="XRefCopy52Row" hidden="1">#REF!</definedName>
    <definedName name="XRefCopy53Row" hidden="1">#REF!</definedName>
    <definedName name="XRefCopy55Row" hidden="1">#REF!</definedName>
    <definedName name="XRefCopy56" hidden="1">#REF!</definedName>
    <definedName name="XRefCopy56Row" hidden="1">#REF!</definedName>
    <definedName name="XRefCopy5Row" hidden="1">#REF!</definedName>
    <definedName name="XRefCopy6" hidden="1">#REF!</definedName>
    <definedName name="XRefCopy61" hidden="1">#REF!</definedName>
    <definedName name="XRefCopy61Row" hidden="1">#REF!</definedName>
    <definedName name="XRefCopy63Row" hidden="1">#REF!</definedName>
    <definedName name="XRefCopy64Row" hidden="1">#REF!</definedName>
    <definedName name="XRefCopy65Row" hidden="1">#REF!</definedName>
    <definedName name="XRefCopy66" hidden="1">#REF!</definedName>
    <definedName name="XRefCopy66Row" hidden="1">#REF!</definedName>
    <definedName name="XRefCopy67Row" hidden="1">#REF!</definedName>
    <definedName name="XRefCopy68Row" hidden="1">#REF!</definedName>
    <definedName name="XRefCopy69Row" hidden="1">#REF!</definedName>
    <definedName name="XRefCopy6Row" hidden="1">#REF!</definedName>
    <definedName name="XRefCopy7" hidden="1">#REF!</definedName>
    <definedName name="XRefCopy70Row" hidden="1">#REF!</definedName>
    <definedName name="XRefCopy71Row" hidden="1">#REF!</definedName>
    <definedName name="XRefCopy72Row" hidden="1">#REF!</definedName>
    <definedName name="XRefCopy73Row" hidden="1">#REF!</definedName>
    <definedName name="XRefCopy74Row" hidden="1">#REF!</definedName>
    <definedName name="XRefCopy75Row" hidden="1">#REF!</definedName>
    <definedName name="XRefCopy76Row" hidden="1">#REF!</definedName>
    <definedName name="XRefCopy77Row" hidden="1">#REF!</definedName>
    <definedName name="XRefCopy78Row" hidden="1">#REF!</definedName>
    <definedName name="XRefCopy7Row" hidden="1">#REF!</definedName>
    <definedName name="XRefCopy8" hidden="1">#REF!</definedName>
    <definedName name="XRefCopy80Row" hidden="1">#REF!</definedName>
    <definedName name="XRefCopy81" hidden="1">#REF!</definedName>
    <definedName name="XRefCopy81Row" hidden="1">#REF!</definedName>
    <definedName name="XRefCopy82Row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</definedName>
    <definedName name="XRefPaste1" hidden="1">#REF!</definedName>
    <definedName name="XRefPaste10" hidden="1">#REF!</definedName>
    <definedName name="XRefPaste101" hidden="1">#REF!</definedName>
    <definedName name="XRefPaste101Row" hidden="1">#REF!</definedName>
    <definedName name="XRefPaste102" hidden="1">#REF!</definedName>
    <definedName name="XRefPaste102Row" hidden="1">#REF!</definedName>
    <definedName name="XRefPaste103" hidden="1">#REF!</definedName>
    <definedName name="XRefPaste103Row" hidden="1">#REF!</definedName>
    <definedName name="XRefPaste104Row" hidden="1">#REF!</definedName>
    <definedName name="XRefPaste105Row" hidden="1">#REF!</definedName>
    <definedName name="XRefPaste106" hidden="1">#REF!</definedName>
    <definedName name="XRefPaste106Row" hidden="1">#REF!</definedName>
    <definedName name="XRefPaste107Row" hidden="1">#REF!</definedName>
    <definedName name="XRefPaste108Row" hidden="1">#REF!</definedName>
    <definedName name="XRefPaste11" hidden="1">#REF!</definedName>
    <definedName name="XRefPaste111Row" hidden="1">#REF!</definedName>
    <definedName name="XRefPaste112Row" hidden="1">#REF!</definedName>
    <definedName name="XRefPaste117" hidden="1">#REF!</definedName>
    <definedName name="XRefPaste117Row" hidden="1">#REF!</definedName>
    <definedName name="XRefPaste118" hidden="1">#REF!</definedName>
    <definedName name="XRefPaste118Row" hidden="1">#REF!</definedName>
    <definedName name="XRefPaste119" hidden="1">#REF!</definedName>
    <definedName name="XRefPaste119Row" hidden="1">#REF!</definedName>
    <definedName name="XRefPaste12" hidden="1">#REF!</definedName>
    <definedName name="XRefPaste120" hidden="1">#REF!</definedName>
    <definedName name="XRefPaste120Row" hidden="1">#REF!</definedName>
    <definedName name="XRefPaste121Row" hidden="1">#REF!</definedName>
    <definedName name="XRefPaste122Row" hidden="1">#REF!</definedName>
    <definedName name="XRefPaste123Row" hidden="1">#REF!</definedName>
    <definedName name="XRefPaste124Row" hidden="1">#REF!</definedName>
    <definedName name="XRefPaste126Row" hidden="1">#REF!</definedName>
    <definedName name="XRefPaste127Row" hidden="1">#REF!</definedName>
    <definedName name="XRefPaste128Row" hidden="1">#REF!</definedName>
    <definedName name="XRefPaste129Row" hidden="1">#REF!</definedName>
    <definedName name="XRefPaste13" hidden="1">#REF!</definedName>
    <definedName name="XRefPaste130Row" hidden="1">#REF!</definedName>
    <definedName name="XRefPaste131Row" hidden="1">#REF!</definedName>
    <definedName name="XRefPaste132Row" hidden="1">#REF!</definedName>
    <definedName name="XRefPaste133Row" hidden="1">#REF!</definedName>
    <definedName name="XRefPaste134Row" hidden="1">#REF!</definedName>
    <definedName name="XRefPaste135Row" hidden="1">#REF!</definedName>
    <definedName name="XRefPaste136Row" hidden="1">#REF!</definedName>
    <definedName name="XRefPaste137Row" hidden="1">#REF!</definedName>
    <definedName name="XRefPaste138Row" hidden="1">#REF!</definedName>
    <definedName name="XRefPaste139" hidden="1">#REF!</definedName>
    <definedName name="XRefPaste139Row" hidden="1">#REF!</definedName>
    <definedName name="XRefPaste14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6" hidden="1">#REF!</definedName>
    <definedName name="XRefPaste26Row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5" hidden="1">#REF!</definedName>
    <definedName name="XRefPaste35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Row" hidden="1">#REF!</definedName>
    <definedName name="XRefPaste5" hidden="1">#REF!</definedName>
    <definedName name="XRefPaste56Row" hidden="1">#REF!</definedName>
    <definedName name="XRefPaste57Row" hidden="1">#REF!</definedName>
    <definedName name="XRefPaste59Row" hidden="1">#REF!</definedName>
    <definedName name="XRefPaste5Row" hidden="1">#REF!</definedName>
    <definedName name="XRefPaste6" hidden="1">#REF!</definedName>
    <definedName name="XRefPaste62Row" hidden="1">#REF!</definedName>
    <definedName name="XRefPaste63Row" hidden="1">#REF!</definedName>
    <definedName name="XRefPaste64Row" hidden="1">#REF!</definedName>
    <definedName name="XRefPaste65Row" hidden="1">#REF!</definedName>
    <definedName name="XRefPaste67Row" hidden="1">#REF!</definedName>
    <definedName name="XRefPaste68Row" hidden="1">#REF!</definedName>
    <definedName name="XRefPaste69Row" hidden="1">#REF!</definedName>
    <definedName name="XRefPaste6Row" hidden="1">#REF!</definedName>
    <definedName name="XRefPaste7" hidden="1">#REF!</definedName>
    <definedName name="XRefPaste70Row" hidden="1">#REF!</definedName>
    <definedName name="XRefPaste71Row" hidden="1">#REF!</definedName>
    <definedName name="XRefPaste75Row" hidden="1">#REF!</definedName>
    <definedName name="XRefPaste7Row" hidden="1">#REF!</definedName>
    <definedName name="XRefPaste8" hidden="1">#REF!</definedName>
    <definedName name="XRefPaste9" hidden="1">#REF!</definedName>
    <definedName name="XRefPaste99Row" hidden="1">#REF!</definedName>
    <definedName name="XRefPasteRangeCount" hidden="1">35</definedName>
    <definedName name="beta_observed" localSheetId="1">#REF!</definedName>
    <definedName name="ticker" localSheetId="1">#REF!</definedName>
    <definedName name="costdebtfirm" localSheetId="3">Valuation!$D$86</definedName>
    <definedName name="costequity" localSheetId="3">Valuation!$D$94</definedName>
    <definedName name="debt" localSheetId="3">Valuation!$G$88</definedName>
    <definedName name="debt_weight" localSheetId="3">Valuation!$J$88</definedName>
    <definedName name="g" localSheetId="3">Valuation!$D$63</definedName>
    <definedName name="market_equity" localSheetId="3">Valuation!$G$89</definedName>
    <definedName name="noplat_t1" localSheetId="3">Valuation!$D$65</definedName>
    <definedName name="relevered_beta" localSheetId="3">Valuation!$M$102</definedName>
    <definedName name="risk_free_rate" localSheetId="3">Valuation!$D$91</definedName>
    <definedName name="risk_premium" localSheetId="3">Valuation!$D$92</definedName>
    <definedName name="ronic" localSheetId="3">Valuation!$D$64</definedName>
    <definedName name="stub_year_fraction" localSheetId="3">Valuation!$D$11</definedName>
    <definedName name="totalcap" localSheetId="3">Valuation!$G$90</definedName>
    <definedName name="wacc" localSheetId="3">Valuation!$D$12</definedName>
    <definedName name="scenario" localSheetId="3">Valuation!$E$8</definedName>
  </definedNames>
  <calcPr calcId="191029" fullCalcOnLoad="1"/>
</workbook>
</file>

<file path=xl/styles.xml><?xml version="1.0" encoding="utf-8"?>
<styleSheet xmlns="http://schemas.openxmlformats.org/spreadsheetml/2006/main">
  <numFmts count="27">
    <numFmt numFmtId="164" formatCode="#,##0.0_);[Red]\(#,##0.0\)"/>
    <numFmt numFmtId="165" formatCode="[$-409]d\-mmm;@"/>
    <numFmt numFmtId="166" formatCode="[$-416]d\-mmm"/>
    <numFmt numFmtId="167" formatCode="[$-409]d\-mmm"/>
    <numFmt numFmtId="168" formatCode="#,##0_ ;[Red]\-#,##0\ "/>
    <numFmt numFmtId="169" formatCode="#,##0.0_ ;[Red]\-#,##0.0\ "/>
    <numFmt numFmtId="170" formatCode="0.0%"/>
    <numFmt numFmtId="171" formatCode="#,##0.0;[Red]#,##0.0"/>
    <numFmt numFmtId="172" formatCode="[$-409]d\-mmm\-yy;@"/>
    <numFmt numFmtId="173" formatCode="[$BRL]\ #,##0.00_);[Red]\([$BRL]\ #,##0.00\)"/>
    <numFmt numFmtId="174" formatCode="#,##0.0_);\(#,##0.0\)"/>
    <numFmt numFmtId="175" formatCode="#,##0.000_);\(#,##0.000\)"/>
    <numFmt numFmtId="176" formatCode="&quot;R$&quot;\ #,##0.00"/>
    <numFmt numFmtId="177" formatCode="#,##0.0\x"/>
    <numFmt numFmtId="178" formatCode="&quot;$&quot;#,##0.00_);\(&quot;$&quot;#,##0.00\)"/>
    <numFmt numFmtId="179" formatCode="#,##0.000_);[Red]\(#,##0.000\)"/>
    <numFmt numFmtId="180" formatCode="0.0\x"/>
    <numFmt numFmtId="181" formatCode="&quot;$&quot;#,##0.00_);[Red]\(&quot;$&quot;#,##0.00\)"/>
    <numFmt numFmtId="182" formatCode="&quot;$&quot;#,##0.0_);\(&quot;$&quot;#,##0.0\)"/>
    <numFmt numFmtId="183" formatCode="0.0%;\(0.0%\)"/>
    <numFmt numFmtId="184" formatCode="0.000"/>
    <numFmt numFmtId="185" formatCode="0.0"/>
    <numFmt numFmtId="186" formatCode="#,##0.0;(#,##0.0)"/>
    <numFmt numFmtId="187" formatCode="#,##0;(#,##0)"/>
    <numFmt numFmtId="188" formatCode="_(&quot;$&quot;* #,##0.00_);_(&quot;$&quot;* \(#,##0.00\);_(&quot;$&quot;* &quot;-&quot;??_);_(@_)"/>
    <numFmt numFmtId="189" formatCode="0_);\(0\)"/>
    <numFmt numFmtId="190" formatCode="#,##0.0"/>
  </numFmts>
  <fonts count="2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Verdana"/>
      <family val="2"/>
      <color theme="1"/>
      <sz val="10"/>
    </font>
    <font>
      <name val="Arial"/>
      <family val="2"/>
      <sz val="10"/>
    </font>
    <font>
      <name val="Verdana"/>
      <family val="2"/>
      <b val="1"/>
      <color theme="1"/>
      <sz val="10"/>
    </font>
    <font>
      <name val="Verdana"/>
      <family val="2"/>
      <color rgb="FF0000FF"/>
      <sz val="10"/>
    </font>
    <font>
      <name val="Verdana"/>
      <family val="2"/>
      <b val="1"/>
      <color rgb="FFFFFFFF"/>
      <sz val="10"/>
    </font>
    <font>
      <name val="Calibri"/>
      <family val="2"/>
      <color indexed="8"/>
      <sz val="11"/>
    </font>
    <font>
      <name val="Verdana"/>
      <family val="2"/>
      <sz val="10"/>
    </font>
    <font>
      <name val="Verdana"/>
      <family val="2"/>
      <b val="1"/>
      <color theme="0"/>
      <sz val="10"/>
    </font>
    <font>
      <name val="Verdana"/>
      <family val="2"/>
      <color theme="0"/>
      <sz val="10"/>
    </font>
    <font>
      <name val="Verdana"/>
      <family val="2"/>
      <b val="1"/>
      <color indexed="9"/>
      <sz val="10"/>
    </font>
    <font>
      <name val="Arial"/>
      <family val="2"/>
      <b val="1"/>
      <sz val="8"/>
    </font>
    <font>
      <name val="Verdana"/>
      <family val="2"/>
      <color indexed="12"/>
      <sz val="10"/>
    </font>
    <font>
      <name val="Verdana"/>
      <family val="2"/>
      <b val="1"/>
      <sz val="10"/>
    </font>
    <font>
      <name val="Verdana"/>
      <family val="2"/>
      <b val="1"/>
      <color theme="0" tint="-0.0499893185216834"/>
      <sz val="10"/>
    </font>
    <font>
      <name val="Arial"/>
      <family val="2"/>
      <b val="1"/>
      <color indexed="63"/>
      <sz val="10"/>
    </font>
    <font>
      <name val="Verdana"/>
      <family val="2"/>
      <b val="1"/>
      <color indexed="63"/>
      <sz val="10"/>
    </font>
    <font>
      <name val="Verdana"/>
      <family val="2"/>
      <b val="1"/>
      <color indexed="12"/>
      <sz val="10"/>
    </font>
    <font>
      <name val="Verdana"/>
      <family val="2"/>
      <sz val="10"/>
      <u val="single"/>
    </font>
    <font>
      <name val="Verdana"/>
      <family val="2"/>
      <color indexed="17"/>
      <sz val="10"/>
    </font>
    <font>
      <name val="Arial"/>
      <family val="2"/>
      <sz val="8"/>
    </font>
    <font>
      <name val="Verdana"/>
      <family val="2"/>
      <i val="1"/>
      <color theme="1"/>
      <sz val="10"/>
    </font>
    <font>
      <color rgb="FF808080"/>
    </font>
    <font>
      <b val="1"/>
    </font>
    <font>
      <name val="Verdana"/>
      <color rgb="FF808080"/>
      <sz val="10"/>
    </font>
    <font>
      <name val="Verdana"/>
      <b val="1"/>
      <sz val="10"/>
    </font>
  </fonts>
  <fills count="17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FFFFCC"/>
        <bgColor rgb="FFFFFFCC"/>
      </patternFill>
    </fill>
    <fill>
      <patternFill patternType="solid">
        <fgColor rgb="FFD8D8D8"/>
        <bgColor rgb="FFD8D8D8"/>
      </patternFill>
    </fill>
    <fill>
      <patternFill patternType="solid">
        <fgColor rgb="FF00B050"/>
        <bgColor rgb="FF00B050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indexed="22"/>
      </patternFill>
    </fill>
    <fill>
      <patternFill patternType="solid">
        <fgColor rgb="FFFFF2CC"/>
      </patternFill>
    </fill>
  </fills>
  <borders count="3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rgb="FF0000FF"/>
      </left>
      <right style="hair">
        <color rgb="FF0000FF"/>
      </right>
      <top style="thin">
        <color auto="1"/>
      </top>
      <bottom style="hair">
        <color rgb="FF0000FF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thin">
        <color indexed="13"/>
      </right>
      <top/>
      <bottom style="thin">
        <color indexed="13"/>
      </bottom>
      <diagonal/>
    </border>
    <border>
      <left style="thin">
        <color indexed="13"/>
      </left>
      <right/>
      <top/>
      <bottom style="thin">
        <color indexed="13"/>
      </bottom>
      <diagonal/>
    </border>
    <border>
      <left/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/>
      <top style="thin">
        <color indexed="13"/>
      </top>
      <bottom style="thin">
        <color indexed="13"/>
      </bottom>
      <diagonal/>
    </border>
    <border>
      <left/>
      <right style="thin">
        <color indexed="13"/>
      </right>
      <top/>
      <bottom style="thin">
        <color indexed="64"/>
      </bottom>
      <diagonal/>
    </border>
    <border>
      <left style="thin">
        <color indexed="13"/>
      </left>
      <right/>
      <top/>
      <bottom style="thin">
        <color indexed="64"/>
      </bottom>
      <diagonal/>
    </border>
    <border>
      <left style="medium">
        <color rgb="FF00B050"/>
      </left>
      <right style="thin">
        <color indexed="64"/>
      </right>
      <top style="medium">
        <color rgb="FF00B050"/>
      </top>
      <bottom style="medium">
        <color rgb="FF00B050"/>
      </bottom>
      <diagonal/>
    </border>
    <border>
      <left/>
      <right style="thin">
        <color indexed="64"/>
      </right>
      <top style="thin">
        <color indexed="13"/>
      </top>
      <bottom style="thin">
        <color indexed="13"/>
      </bottom>
      <diagonal/>
    </border>
    <border>
      <left/>
      <right style="thin">
        <color indexed="64"/>
      </right>
      <top style="thin">
        <color indexed="1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1" fillId="0" borderId="0"/>
    <xf numFmtId="0" fontId="3" fillId="0" borderId="0"/>
    <xf numFmtId="0" fontId="1" fillId="0" borderId="0"/>
    <xf numFmtId="9" fontId="1" fillId="0" borderId="0"/>
    <xf numFmtId="43" fontId="7" fillId="0" borderId="0"/>
    <xf numFmtId="0" fontId="3" fillId="0" borderId="0"/>
    <xf numFmtId="14" fontId="12" fillId="0" borderId="3"/>
    <xf numFmtId="0" fontId="2" fillId="0" borderId="0"/>
    <xf numFmtId="9" fontId="2" fillId="0" borderId="0"/>
    <xf numFmtId="0" fontId="16" fillId="15" borderId="16"/>
    <xf numFmtId="188" fontId="3" fillId="0" borderId="0"/>
    <xf numFmtId="189" fontId="21" fillId="0" borderId="0"/>
  </cellStyleXfs>
  <cellXfs count="270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4" fillId="0" borderId="0" pivotButton="0" quotePrefix="0" xfId="1"/>
    <xf numFmtId="164" fontId="2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pivotButton="0" quotePrefix="0" xfId="1"/>
    <xf numFmtId="164" fontId="5" fillId="2" borderId="0" applyAlignment="1" pivotButton="0" quotePrefix="0" xfId="0">
      <alignment horizontal="center"/>
    </xf>
    <xf numFmtId="165" fontId="5" fillId="2" borderId="0" applyAlignment="1" pivotButton="0" quotePrefix="0" xfId="0">
      <alignment horizontal="center"/>
    </xf>
    <xf numFmtId="166" fontId="4" fillId="3" borderId="0" applyAlignment="1" pivotButton="0" quotePrefix="0" xfId="2">
      <alignment horizontal="center"/>
    </xf>
    <xf numFmtId="167" fontId="5" fillId="4" borderId="0" applyAlignment="1" pivotButton="0" quotePrefix="0" xfId="2">
      <alignment horizontal="center"/>
    </xf>
    <xf numFmtId="166" fontId="2" fillId="3" borderId="0" applyAlignment="1" pivotButton="0" quotePrefix="0" xfId="2">
      <alignment horizontal="center"/>
    </xf>
    <xf numFmtId="168" fontId="2" fillId="0" borderId="0" applyAlignment="1" pivotButton="0" quotePrefix="0" xfId="2">
      <alignment horizontal="center"/>
    </xf>
    <xf numFmtId="0" fontId="6" fillId="6" borderId="0" applyAlignment="1" pivotButton="0" quotePrefix="0" xfId="1">
      <alignment horizontal="left"/>
    </xf>
    <xf numFmtId="0" fontId="4" fillId="0" borderId="0" applyAlignment="1" pivotButton="0" quotePrefix="0" xfId="0">
      <alignment horizontal="center"/>
    </xf>
    <xf numFmtId="0" fontId="4" fillId="3" borderId="0" pivotButton="0" quotePrefix="0" xfId="1"/>
    <xf numFmtId="164" fontId="4" fillId="7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8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4" fillId="9" borderId="0" pivotButton="0" quotePrefix="0" xfId="1"/>
    <xf numFmtId="164" fontId="4" fillId="8" borderId="0" applyAlignment="1" pivotButton="0" quotePrefix="0" xfId="0">
      <alignment horizontal="center"/>
    </xf>
    <xf numFmtId="164" fontId="2" fillId="8" borderId="0" applyAlignment="1" pivotButton="0" quotePrefix="0" xfId="0">
      <alignment horizontal="center"/>
    </xf>
    <xf numFmtId="0" fontId="4" fillId="8" borderId="0" pivotButton="0" quotePrefix="0" xfId="0"/>
    <xf numFmtId="169" fontId="2" fillId="3" borderId="0" applyAlignment="1" pivotButton="0" quotePrefix="0" xfId="1">
      <alignment horizontal="left"/>
    </xf>
    <xf numFmtId="164" fontId="2" fillId="7" borderId="0" applyAlignment="1" pivotButton="0" quotePrefix="0" xfId="0">
      <alignment horizontal="center"/>
    </xf>
    <xf numFmtId="0" fontId="2" fillId="3" borderId="0" applyAlignment="1" pivotButton="0" quotePrefix="0" xfId="1">
      <alignment horizontal="left"/>
    </xf>
    <xf numFmtId="0" fontId="4" fillId="3" borderId="0" applyAlignment="1" pivotButton="0" quotePrefix="0" xfId="1">
      <alignment horizontal="left"/>
    </xf>
    <xf numFmtId="0" fontId="2" fillId="3" borderId="1" applyAlignment="1" pivotButton="0" quotePrefix="0" xfId="1">
      <alignment horizontal="left"/>
    </xf>
    <xf numFmtId="0" fontId="2" fillId="3" borderId="0" pivotButton="0" quotePrefix="0" xfId="1"/>
    <xf numFmtId="0" fontId="2" fillId="3" borderId="1" pivotButton="0" quotePrefix="0" xfId="1"/>
    <xf numFmtId="0" fontId="4" fillId="5" borderId="0" applyAlignment="1" pivotButton="0" quotePrefix="0" xfId="2">
      <alignment horizontal="center"/>
    </xf>
    <xf numFmtId="169" fontId="2" fillId="0" borderId="0" applyAlignment="1" pivotButton="0" quotePrefix="0" xfId="1">
      <alignment horizontal="left"/>
    </xf>
    <xf numFmtId="170" fontId="2" fillId="9" borderId="0" pivotButton="0" quotePrefix="0" xfId="1"/>
    <xf numFmtId="0" fontId="2" fillId="0" borderId="0" applyAlignment="1" pivotButton="0" quotePrefix="0" xfId="1">
      <alignment horizontal="left"/>
    </xf>
    <xf numFmtId="168" fontId="5" fillId="4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 vertical="center"/>
    </xf>
    <xf numFmtId="171" fontId="2" fillId="0" borderId="0" applyAlignment="1" pivotButton="0" quotePrefix="0" xfId="0">
      <alignment horizontal="center"/>
    </xf>
    <xf numFmtId="0" fontId="2" fillId="9" borderId="0" applyAlignment="1" pivotButton="0" quotePrefix="0" xfId="1">
      <alignment horizontal="left"/>
    </xf>
    <xf numFmtId="0" fontId="2" fillId="8" borderId="0" pivotButton="0" quotePrefix="0" xfId="0"/>
    <xf numFmtId="170" fontId="2" fillId="0" borderId="0" applyAlignment="1" pivotButton="0" quotePrefix="0" xfId="0">
      <alignment horizontal="center"/>
    </xf>
    <xf numFmtId="169" fontId="2" fillId="9" borderId="0" applyAlignment="1" pivotButton="0" quotePrefix="0" xfId="1">
      <alignment horizontal="left"/>
    </xf>
    <xf numFmtId="40" fontId="2" fillId="0" borderId="0" applyAlignment="1" pivotButton="0" quotePrefix="0" xfId="0">
      <alignment horizontal="center"/>
    </xf>
    <xf numFmtId="38" fontId="2" fillId="0" borderId="0" applyAlignment="1" pivotButton="0" quotePrefix="0" xfId="0">
      <alignment horizontal="center"/>
    </xf>
    <xf numFmtId="10" fontId="5" fillId="4" borderId="0" applyAlignment="1" pivotButton="0" quotePrefix="0" xfId="0">
      <alignment horizontal="center"/>
    </xf>
    <xf numFmtId="170" fontId="5" fillId="4" borderId="0" applyAlignment="1" pivotButton="0" quotePrefix="0" xfId="0">
      <alignment horizontal="center"/>
    </xf>
    <xf numFmtId="38" fontId="5" fillId="2" borderId="0" applyAlignment="1" pivotButton="0" quotePrefix="0" xfId="0">
      <alignment horizontal="center"/>
    </xf>
    <xf numFmtId="9" fontId="2" fillId="8" borderId="0" applyAlignment="1" pivotButton="0" quotePrefix="0" xfId="3">
      <alignment horizontal="center"/>
    </xf>
    <xf numFmtId="9" fontId="2" fillId="0" borderId="0" applyAlignment="1" pivotButton="0" quotePrefix="0" xfId="3">
      <alignment horizontal="center"/>
    </xf>
    <xf numFmtId="165" fontId="5" fillId="0" borderId="0" applyAlignment="1" pivotButton="0" quotePrefix="0" xfId="0">
      <alignment horizontal="center"/>
    </xf>
    <xf numFmtId="0" fontId="2" fillId="0" borderId="0" applyAlignment="1" pivotButton="0" quotePrefix="0" xfId="2">
      <alignment horizontal="center"/>
    </xf>
    <xf numFmtId="171" fontId="2" fillId="0" borderId="0" pivotButton="0" quotePrefix="0" xfId="0"/>
    <xf numFmtId="0" fontId="8" fillId="9" borderId="0" applyAlignment="1" pivotButton="0" quotePrefix="0" xfId="1">
      <alignment horizontal="left"/>
    </xf>
    <xf numFmtId="0" fontId="9" fillId="10" borderId="0" pivotButton="0" quotePrefix="0" xfId="0"/>
    <xf numFmtId="170" fontId="2" fillId="8" borderId="0" applyAlignment="1" pivotButton="0" quotePrefix="0" xfId="3">
      <alignment horizontal="center"/>
    </xf>
    <xf numFmtId="170" fontId="5" fillId="4" borderId="0" applyAlignment="1" pivotButton="0" quotePrefix="0" xfId="3">
      <alignment horizontal="center"/>
    </xf>
    <xf numFmtId="170" fontId="2" fillId="0" borderId="0" applyAlignment="1" pivotButton="0" quotePrefix="0" xfId="3">
      <alignment horizontal="center"/>
    </xf>
    <xf numFmtId="170" fontId="2" fillId="9" borderId="0" applyAlignment="1" pivotButton="0" quotePrefix="0" xfId="1">
      <alignment horizontal="left"/>
    </xf>
    <xf numFmtId="0" fontId="11" fillId="0" borderId="0" pivotButton="0" quotePrefix="0" xfId="5"/>
    <xf numFmtId="0" fontId="8" fillId="0" borderId="0" pivotButton="0" quotePrefix="0" xfId="5"/>
    <xf numFmtId="0" fontId="8" fillId="0" borderId="2" pivotButton="0" quotePrefix="0" xfId="5"/>
    <xf numFmtId="172" fontId="13" fillId="2" borderId="4" applyAlignment="1" pivotButton="0" quotePrefix="0" xfId="6">
      <alignment horizontal="center"/>
    </xf>
    <xf numFmtId="173" fontId="5" fillId="2" borderId="0" applyAlignment="1" pivotButton="0" quotePrefix="0" xfId="5">
      <alignment horizontal="center"/>
    </xf>
    <xf numFmtId="170" fontId="8" fillId="0" borderId="0" applyAlignment="1" pivotButton="0" quotePrefix="0" xfId="5">
      <alignment horizontal="right"/>
    </xf>
    <xf numFmtId="172" fontId="13" fillId="2" borderId="4" applyAlignment="1" pivotButton="0" quotePrefix="0" xfId="6">
      <alignment horizontal="right"/>
    </xf>
    <xf numFmtId="170" fontId="8" fillId="0" borderId="0" applyAlignment="1" pivotButton="0" quotePrefix="0" xfId="5">
      <alignment horizontal="center"/>
    </xf>
    <xf numFmtId="174" fontId="13" fillId="0" borderId="0" applyAlignment="1" pivotButton="0" quotePrefix="0" xfId="5">
      <alignment horizontal="center"/>
    </xf>
    <xf numFmtId="175" fontId="8" fillId="0" borderId="0" applyAlignment="1" pivotButton="0" quotePrefix="0" xfId="5">
      <alignment horizontal="center"/>
    </xf>
    <xf numFmtId="0" fontId="14" fillId="0" borderId="0" pivotButton="0" quotePrefix="0" xfId="5"/>
    <xf numFmtId="176" fontId="8" fillId="0" borderId="0" pivotButton="0" quotePrefix="0" xfId="5"/>
    <xf numFmtId="0" fontId="4" fillId="11" borderId="0" pivotButton="0" quotePrefix="0" xfId="5"/>
    <xf numFmtId="0" fontId="4" fillId="11" borderId="3" pivotButton="0" quotePrefix="0" xfId="5"/>
    <xf numFmtId="0" fontId="9" fillId="12" borderId="3" applyAlignment="1" pivotButton="0" quotePrefix="0" xfId="5">
      <alignment horizontal="centerContinuous"/>
    </xf>
    <xf numFmtId="0" fontId="10" fillId="12" borderId="3" applyAlignment="1" pivotButton="0" quotePrefix="0" xfId="5">
      <alignment horizontal="centerContinuous"/>
    </xf>
    <xf numFmtId="0" fontId="9" fillId="13" borderId="3" applyAlignment="1" pivotButton="0" quotePrefix="0" xfId="5">
      <alignment horizontal="centerContinuous"/>
    </xf>
    <xf numFmtId="0" fontId="10" fillId="13" borderId="3" applyAlignment="1" pivotButton="0" quotePrefix="0" xfId="5">
      <alignment horizontal="centerContinuous"/>
    </xf>
    <xf numFmtId="0" fontId="14" fillId="0" borderId="0" applyAlignment="1" pivotButton="0" quotePrefix="0" xfId="5">
      <alignment horizontal="center"/>
    </xf>
    <xf numFmtId="0" fontId="8" fillId="0" borderId="0" applyAlignment="1" pivotButton="0" quotePrefix="0" xfId="5">
      <alignment horizontal="center"/>
    </xf>
    <xf numFmtId="1" fontId="14" fillId="0" borderId="0" applyAlignment="1" pivotButton="0" quotePrefix="0" xfId="5">
      <alignment horizontal="center"/>
    </xf>
    <xf numFmtId="0" fontId="8" fillId="0" borderId="3" pivotButton="0" quotePrefix="0" xfId="5"/>
    <xf numFmtId="165" fontId="8" fillId="0" borderId="3" applyAlignment="1" pivotButton="0" quotePrefix="0" xfId="5">
      <alignment horizontal="center"/>
    </xf>
    <xf numFmtId="165" fontId="8" fillId="0" borderId="0" applyAlignment="1" pivotButton="0" quotePrefix="0" xfId="5">
      <alignment horizontal="center"/>
    </xf>
    <xf numFmtId="0" fontId="8" fillId="0" borderId="5" pivotButton="0" quotePrefix="0" xfId="5"/>
    <xf numFmtId="174" fontId="8" fillId="14" borderId="6" applyAlignment="1" pivotButton="0" quotePrefix="0" xfId="5">
      <alignment horizontal="center"/>
    </xf>
    <xf numFmtId="174" fontId="8" fillId="14" borderId="7" applyAlignment="1" pivotButton="0" quotePrefix="0" xfId="5">
      <alignment horizontal="center"/>
    </xf>
    <xf numFmtId="170" fontId="14" fillId="0" borderId="0" applyAlignment="1" pivotButton="0" quotePrefix="0" xfId="8">
      <alignment horizontal="center"/>
    </xf>
    <xf numFmtId="0" fontId="8" fillId="0" borderId="8" pivotButton="0" quotePrefix="0" xfId="5"/>
    <xf numFmtId="170" fontId="14" fillId="0" borderId="3" applyAlignment="1" pivotButton="0" quotePrefix="0" xfId="8">
      <alignment horizontal="center"/>
    </xf>
    <xf numFmtId="170" fontId="14" fillId="0" borderId="9" applyAlignment="1" pivotButton="0" quotePrefix="0" xfId="8">
      <alignment horizontal="center"/>
    </xf>
    <xf numFmtId="174" fontId="8" fillId="0" borderId="5" pivotButton="0" quotePrefix="0" xfId="5"/>
    <xf numFmtId="0" fontId="8" fillId="0" borderId="6" pivotButton="0" quotePrefix="0" xfId="5"/>
    <xf numFmtId="0" fontId="8" fillId="0" borderId="7" pivotButton="0" quotePrefix="0" xfId="5"/>
    <xf numFmtId="170" fontId="8" fillId="0" borderId="3" applyAlignment="1" pivotButton="0" quotePrefix="0" xfId="8">
      <alignment horizontal="center"/>
    </xf>
    <xf numFmtId="0" fontId="8" fillId="0" borderId="9" pivotButton="0" quotePrefix="0" xfId="5"/>
    <xf numFmtId="170" fontId="8" fillId="0" borderId="9" applyAlignment="1" pivotButton="0" quotePrefix="0" xfId="8">
      <alignment horizontal="center"/>
    </xf>
    <xf numFmtId="170" fontId="8" fillId="14" borderId="6" applyAlignment="1" pivotButton="0" quotePrefix="0" xfId="5">
      <alignment horizontal="center"/>
    </xf>
    <xf numFmtId="170" fontId="8" fillId="14" borderId="7" applyAlignment="1" pivotButton="0" quotePrefix="0" xfId="5">
      <alignment horizontal="center"/>
    </xf>
    <xf numFmtId="174" fontId="8" fillId="0" borderId="3" applyAlignment="1" pivotButton="0" quotePrefix="0" xfId="5">
      <alignment horizontal="center"/>
    </xf>
    <xf numFmtId="174" fontId="8" fillId="0" borderId="9" applyAlignment="1" pivotButton="0" quotePrefix="0" xfId="5">
      <alignment horizontal="center"/>
    </xf>
    <xf numFmtId="174" fontId="8" fillId="0" borderId="10" applyAlignment="1" pivotButton="0" quotePrefix="0" xfId="5">
      <alignment horizontal="left"/>
    </xf>
    <xf numFmtId="174" fontId="8" fillId="14" borderId="11" applyAlignment="1" pivotButton="0" quotePrefix="0" xfId="5">
      <alignment horizontal="center"/>
    </xf>
    <xf numFmtId="174" fontId="8" fillId="14" borderId="12" applyAlignment="1" pivotButton="0" quotePrefix="0" xfId="5">
      <alignment horizontal="center"/>
    </xf>
    <xf numFmtId="174" fontId="8" fillId="0" borderId="5" applyAlignment="1" pivotButton="0" quotePrefix="0" xfId="5">
      <alignment horizontal="left"/>
    </xf>
    <xf numFmtId="174" fontId="8" fillId="0" borderId="6" applyAlignment="1" pivotButton="0" quotePrefix="0" xfId="5">
      <alignment horizontal="center"/>
    </xf>
    <xf numFmtId="174" fontId="8" fillId="0" borderId="7" applyAlignment="1" pivotButton="0" quotePrefix="0" xfId="5">
      <alignment horizontal="center"/>
    </xf>
    <xf numFmtId="174" fontId="8" fillId="0" borderId="13" applyAlignment="1" pivotButton="0" quotePrefix="0" xfId="5">
      <alignment horizontal="left"/>
    </xf>
    <xf numFmtId="174" fontId="8" fillId="14" borderId="0" applyAlignment="1" pivotButton="0" quotePrefix="0" xfId="5">
      <alignment horizontal="center"/>
    </xf>
    <xf numFmtId="174" fontId="8" fillId="14" borderId="14" applyAlignment="1" pivotButton="0" quotePrefix="0" xfId="5">
      <alignment horizontal="center"/>
    </xf>
    <xf numFmtId="174" fontId="8" fillId="0" borderId="8" applyAlignment="1" pivotButton="0" quotePrefix="0" xfId="5">
      <alignment horizontal="left"/>
    </xf>
    <xf numFmtId="174" fontId="8" fillId="14" borderId="3" applyAlignment="1" pivotButton="0" quotePrefix="0" xfId="5">
      <alignment horizontal="center"/>
    </xf>
    <xf numFmtId="174" fontId="8" fillId="14" borderId="9" applyAlignment="1" pivotButton="0" quotePrefix="0" xfId="5">
      <alignment horizontal="center"/>
    </xf>
    <xf numFmtId="174" fontId="8" fillId="0" borderId="0" applyAlignment="1" pivotButton="0" quotePrefix="0" xfId="5">
      <alignment horizontal="center"/>
    </xf>
    <xf numFmtId="174" fontId="8" fillId="0" borderId="15" applyAlignment="1" pivotButton="0" quotePrefix="0" xfId="5">
      <alignment horizontal="center"/>
    </xf>
    <xf numFmtId="0" fontId="8" fillId="0" borderId="13" pivotButton="0" quotePrefix="0" xfId="5"/>
    <xf numFmtId="0" fontId="8" fillId="0" borderId="14" pivotButton="0" quotePrefix="0" xfId="5"/>
    <xf numFmtId="174" fontId="2" fillId="0" borderId="0" applyAlignment="1" pivotButton="0" quotePrefix="0" xfId="5">
      <alignment horizontal="center"/>
    </xf>
    <xf numFmtId="174" fontId="2" fillId="0" borderId="14" applyAlignment="1" pivotButton="0" quotePrefix="0" xfId="5">
      <alignment horizontal="center"/>
    </xf>
    <xf numFmtId="170" fontId="5" fillId="2" borderId="3" applyAlignment="1" pivotButton="0" quotePrefix="0" xfId="8">
      <alignment horizontal="center"/>
    </xf>
    <xf numFmtId="170" fontId="5" fillId="2" borderId="9" applyAlignment="1" pivotButton="0" quotePrefix="0" xfId="8">
      <alignment horizontal="center"/>
    </xf>
    <xf numFmtId="0" fontId="14" fillId="0" borderId="10" pivotButton="0" quotePrefix="0" xfId="5"/>
    <xf numFmtId="170" fontId="14" fillId="14" borderId="11" applyAlignment="1" pivotButton="0" quotePrefix="0" xfId="5">
      <alignment horizontal="center"/>
    </xf>
    <xf numFmtId="170" fontId="14" fillId="0" borderId="11" applyAlignment="1" pivotButton="0" quotePrefix="0" xfId="8">
      <alignment horizontal="center"/>
    </xf>
    <xf numFmtId="170" fontId="14" fillId="0" borderId="12" applyAlignment="1" pivotButton="0" quotePrefix="0" xfId="8">
      <alignment horizontal="center"/>
    </xf>
    <xf numFmtId="170" fontId="14" fillId="0" borderId="0" applyAlignment="1" pivotButton="0" quotePrefix="0" xfId="5">
      <alignment horizontal="center"/>
    </xf>
    <xf numFmtId="177" fontId="8" fillId="0" borderId="0" applyAlignment="1" pivotButton="0" quotePrefix="0" xfId="7">
      <alignment horizontal="center" vertical="center"/>
    </xf>
    <xf numFmtId="174" fontId="14" fillId="0" borderId="0" applyAlignment="1" pivotButton="0" quotePrefix="0" xfId="5">
      <alignment horizontal="center"/>
    </xf>
    <xf numFmtId="174" fontId="17" fillId="0" borderId="16" applyAlignment="1" pivotButton="0" quotePrefix="0" xfId="9">
      <alignment horizontal="center"/>
    </xf>
    <xf numFmtId="0" fontId="8" fillId="0" borderId="0" applyAlignment="1" pivotButton="0" quotePrefix="0" xfId="5">
      <alignment horizontal="left" indent="1"/>
    </xf>
    <xf numFmtId="40" fontId="8" fillId="0" borderId="0" applyAlignment="1" pivotButton="0" quotePrefix="0" xfId="5">
      <alignment horizontal="center"/>
    </xf>
    <xf numFmtId="40" fontId="17" fillId="0" borderId="16" applyAlignment="1" pivotButton="0" quotePrefix="0" xfId="9">
      <alignment horizontal="center"/>
    </xf>
    <xf numFmtId="10" fontId="8" fillId="0" borderId="0" pivotButton="0" quotePrefix="0" xfId="5"/>
    <xf numFmtId="174" fontId="14" fillId="0" borderId="0" pivotButton="0" quotePrefix="0" xfId="5"/>
    <xf numFmtId="175" fontId="8" fillId="0" borderId="0" pivotButton="0" quotePrefix="0" xfId="5"/>
    <xf numFmtId="0" fontId="4" fillId="11" borderId="5" pivotButton="0" quotePrefix="0" xfId="5"/>
    <xf numFmtId="170" fontId="2" fillId="11" borderId="7" applyAlignment="1" pivotButton="0" quotePrefix="0" xfId="5">
      <alignment horizontal="center"/>
    </xf>
    <xf numFmtId="0" fontId="4" fillId="11" borderId="6" pivotButton="0" quotePrefix="0" xfId="5"/>
    <xf numFmtId="0" fontId="2" fillId="11" borderId="6" pivotButton="0" quotePrefix="0" xfId="5"/>
    <xf numFmtId="0" fontId="4" fillId="11" borderId="17" pivotButton="0" quotePrefix="0" xfId="5"/>
    <xf numFmtId="170" fontId="2" fillId="11" borderId="18" applyAlignment="1" pivotButton="0" quotePrefix="0" xfId="5">
      <alignment horizontal="center"/>
    </xf>
    <xf numFmtId="0" fontId="2" fillId="11" borderId="18" pivotButton="0" quotePrefix="0" xfId="5"/>
    <xf numFmtId="0" fontId="2" fillId="11" borderId="19" pivotButton="0" quotePrefix="0" xfId="5"/>
    <xf numFmtId="0" fontId="14" fillId="0" borderId="13" applyAlignment="1" pivotButton="0" quotePrefix="0" xfId="5">
      <alignment horizontal="left" indent="1"/>
    </xf>
    <xf numFmtId="174" fontId="8" fillId="0" borderId="14" applyAlignment="1" pivotButton="0" quotePrefix="0" xfId="5">
      <alignment horizontal="right" indent="1"/>
    </xf>
    <xf numFmtId="0" fontId="14" fillId="0" borderId="0" applyAlignment="1" pivotButton="0" quotePrefix="0" xfId="5">
      <alignment horizontal="left" indent="1"/>
    </xf>
    <xf numFmtId="0" fontId="8" fillId="0" borderId="13" applyAlignment="1" pivotButton="0" quotePrefix="0" xfId="5">
      <alignment horizontal="left" indent="1"/>
    </xf>
    <xf numFmtId="174" fontId="2" fillId="14" borderId="14" applyAlignment="1" pivotButton="0" quotePrefix="0" xfId="5">
      <alignment horizontal="center"/>
    </xf>
    <xf numFmtId="170" fontId="18" fillId="2" borderId="14" applyAlignment="1" pivotButton="0" quotePrefix="0" xfId="5">
      <alignment horizontal="center"/>
    </xf>
    <xf numFmtId="0" fontId="19" fillId="0" borderId="0" applyAlignment="1" pivotButton="0" quotePrefix="0" xfId="5">
      <alignment horizontal="left" indent="1"/>
    </xf>
    <xf numFmtId="178" fontId="2" fillId="14" borderId="14" applyAlignment="1" pivotButton="0" quotePrefix="0" xfId="6">
      <alignment horizontal="center"/>
    </xf>
    <xf numFmtId="170" fontId="4" fillId="0" borderId="20" applyAlignment="1" pivotButton="0" quotePrefix="0" xfId="0">
      <alignment horizontal="center"/>
    </xf>
    <xf numFmtId="0" fontId="8" fillId="0" borderId="3" applyAlignment="1" pivotButton="0" quotePrefix="0" xfId="5">
      <alignment horizontal="left" indent="1"/>
    </xf>
    <xf numFmtId="0" fontId="8" fillId="0" borderId="9" applyAlignment="1" pivotButton="0" quotePrefix="0" xfId="5">
      <alignment horizontal="right" indent="1"/>
    </xf>
    <xf numFmtId="174" fontId="14" fillId="0" borderId="14" applyAlignment="1" pivotButton="0" quotePrefix="0" xfId="5">
      <alignment horizontal="center"/>
    </xf>
    <xf numFmtId="0" fontId="8" fillId="0" borderId="3" applyAlignment="1" pivotButton="0" quotePrefix="0" xfId="5">
      <alignment horizontal="right"/>
    </xf>
    <xf numFmtId="179" fontId="13" fillId="2" borderId="21" pivotButton="0" quotePrefix="0" xfId="5"/>
    <xf numFmtId="178" fontId="13" fillId="2" borderId="22" pivotButton="0" quotePrefix="0" xfId="10"/>
    <xf numFmtId="175" fontId="8" fillId="0" borderId="14" applyAlignment="1" pivotButton="0" quotePrefix="0" xfId="5">
      <alignment horizontal="right" indent="1"/>
    </xf>
    <xf numFmtId="179" fontId="13" fillId="2" borderId="23" pivotButton="0" quotePrefix="0" xfId="5"/>
    <xf numFmtId="178" fontId="13" fillId="2" borderId="24" pivotButton="0" quotePrefix="0" xfId="10"/>
    <xf numFmtId="174" fontId="8" fillId="0" borderId="14" applyAlignment="1" pivotButton="0" quotePrefix="0" xfId="5">
      <alignment horizontal="center"/>
    </xf>
    <xf numFmtId="179" fontId="13" fillId="2" borderId="25" pivotButton="0" quotePrefix="0" xfId="5"/>
    <xf numFmtId="178" fontId="13" fillId="2" borderId="26" pivotButton="0" quotePrefix="0" xfId="10"/>
    <xf numFmtId="175" fontId="8" fillId="0" borderId="9" applyAlignment="1" pivotButton="0" quotePrefix="0" xfId="5">
      <alignment horizontal="right" indent="1"/>
    </xf>
    <xf numFmtId="180" fontId="13" fillId="2" borderId="14" applyAlignment="1" pivotButton="0" quotePrefix="0" xfId="5">
      <alignment horizontal="center"/>
    </xf>
    <xf numFmtId="181" fontId="8" fillId="0" borderId="0" applyAlignment="1" pivotButton="0" quotePrefix="0" xfId="5">
      <alignment horizontal="right"/>
    </xf>
    <xf numFmtId="182" fontId="8" fillId="0" borderId="14" applyAlignment="1" pivotButton="0" quotePrefix="0" xfId="5">
      <alignment horizontal="right" indent="1"/>
    </xf>
    <xf numFmtId="0" fontId="8" fillId="0" borderId="0" applyAlignment="1" pivotButton="0" quotePrefix="0" xfId="5">
      <alignment horizontal="right"/>
    </xf>
    <xf numFmtId="174" fontId="20" fillId="0" borderId="0" pivotButton="0" quotePrefix="0" xfId="5"/>
    <xf numFmtId="174" fontId="8" fillId="0" borderId="14" pivotButton="0" quotePrefix="0" xfId="5"/>
    <xf numFmtId="178" fontId="14" fillId="0" borderId="27" applyAlignment="1" pivotButton="0" quotePrefix="0" xfId="5">
      <alignment horizontal="center"/>
    </xf>
    <xf numFmtId="179" fontId="13" fillId="2" borderId="28" applyAlignment="1" pivotButton="0" quotePrefix="0" xfId="5">
      <alignment horizontal="right" indent="1"/>
    </xf>
    <xf numFmtId="0" fontId="8" fillId="0" borderId="14" applyAlignment="1" pivotButton="0" quotePrefix="0" xfId="5">
      <alignment horizontal="right" indent="1"/>
    </xf>
    <xf numFmtId="178" fontId="14" fillId="0" borderId="14" applyAlignment="1" pivotButton="0" quotePrefix="0" xfId="5">
      <alignment horizontal="center"/>
    </xf>
    <xf numFmtId="179" fontId="13" fillId="2" borderId="29" applyAlignment="1" pivotButton="0" quotePrefix="0" xfId="5">
      <alignment horizontal="right" indent="1"/>
    </xf>
    <xf numFmtId="37" fontId="13" fillId="2" borderId="14" applyAlignment="1" pivotButton="0" quotePrefix="0" xfId="5">
      <alignment horizontal="right" indent="1"/>
    </xf>
    <xf numFmtId="0" fontId="14" fillId="0" borderId="0" applyAlignment="1" pivotButton="0" quotePrefix="0" xfId="5">
      <alignment horizontal="right"/>
    </xf>
    <xf numFmtId="174" fontId="14" fillId="0" borderId="14" applyAlignment="1" pivotButton="0" quotePrefix="0" xfId="11">
      <alignment horizontal="right" indent="1"/>
    </xf>
    <xf numFmtId="0" fontId="8" fillId="0" borderId="8" applyAlignment="1" pivotButton="0" quotePrefix="0" xfId="5">
      <alignment horizontal="left" indent="1"/>
    </xf>
    <xf numFmtId="170" fontId="8" fillId="0" borderId="9" applyAlignment="1" pivotButton="0" quotePrefix="0" xfId="5">
      <alignment horizontal="right" indent="1"/>
    </xf>
    <xf numFmtId="0" fontId="4" fillId="11" borderId="2" pivotButton="0" quotePrefix="0" xfId="5"/>
    <xf numFmtId="170" fontId="2" fillId="11" borderId="2" applyAlignment="1" pivotButton="0" quotePrefix="0" xfId="5">
      <alignment horizontal="center"/>
    </xf>
    <xf numFmtId="0" fontId="2" fillId="11" borderId="2" pivotButton="0" quotePrefix="0" xfId="5"/>
    <xf numFmtId="0" fontId="14" fillId="0" borderId="3" pivotButton="0" quotePrefix="0" xfId="5"/>
    <xf numFmtId="170" fontId="13" fillId="2" borderId="0" applyAlignment="1" pivotButton="0" quotePrefix="0" xfId="5">
      <alignment horizontal="center"/>
    </xf>
    <xf numFmtId="0" fontId="14" fillId="0" borderId="3" applyAlignment="1" pivotButton="0" quotePrefix="0" xfId="5">
      <alignment horizontal="centerContinuous"/>
    </xf>
    <xf numFmtId="0" fontId="14" fillId="0" borderId="10" applyAlignment="1" pivotButton="0" quotePrefix="0" xfId="5">
      <alignment horizontal="centerContinuous"/>
    </xf>
    <xf numFmtId="0" fontId="14" fillId="0" borderId="11" applyAlignment="1" pivotButton="0" quotePrefix="0" xfId="5">
      <alignment horizontal="centerContinuous"/>
    </xf>
    <xf numFmtId="0" fontId="8" fillId="0" borderId="11" applyAlignment="1" pivotButton="0" quotePrefix="0" xfId="5">
      <alignment horizontal="right"/>
    </xf>
    <xf numFmtId="174" fontId="8" fillId="0" borderId="0" pivotButton="0" quotePrefix="0" xfId="5"/>
    <xf numFmtId="9" fontId="8" fillId="0" borderId="0" pivotButton="0" quotePrefix="0" xfId="5"/>
    <xf numFmtId="183" fontId="8" fillId="0" borderId="0" applyAlignment="1" pivotButton="0" quotePrefix="0" xfId="5">
      <alignment horizontal="center"/>
    </xf>
    <xf numFmtId="174" fontId="8" fillId="0" borderId="0" applyAlignment="1" pivotButton="0" quotePrefix="0" xfId="5">
      <alignment horizontal="right"/>
    </xf>
    <xf numFmtId="184" fontId="8" fillId="0" borderId="0" pivotButton="0" quotePrefix="0" xfId="5"/>
    <xf numFmtId="174" fontId="19" fillId="0" borderId="0" applyAlignment="1" pivotButton="0" quotePrefix="0" xfId="5">
      <alignment horizontal="right"/>
    </xf>
    <xf numFmtId="0" fontId="19" fillId="0" borderId="0" applyAlignment="1" pivotButton="0" quotePrefix="0" xfId="5">
      <alignment horizontal="right"/>
    </xf>
    <xf numFmtId="39" fontId="13" fillId="2" borderId="0" applyAlignment="1" pivotButton="0" quotePrefix="0" xfId="5">
      <alignment horizontal="center"/>
    </xf>
    <xf numFmtId="0" fontId="14" fillId="0" borderId="0" pivotButton="0" quotePrefix="1" xfId="5"/>
    <xf numFmtId="0" fontId="14" fillId="0" borderId="3" applyAlignment="1" pivotButton="0" quotePrefix="0" xfId="5">
      <alignment horizontal="left" wrapText="1"/>
    </xf>
    <xf numFmtId="0" fontId="14" fillId="0" borderId="3" applyAlignment="1" pivotButton="0" quotePrefix="0" xfId="5">
      <alignment horizontal="center" wrapText="1"/>
    </xf>
    <xf numFmtId="39" fontId="8" fillId="0" borderId="0" applyAlignment="1" pivotButton="0" quotePrefix="0" xfId="5">
      <alignment horizontal="center"/>
    </xf>
    <xf numFmtId="178" fontId="8" fillId="0" borderId="0" applyAlignment="1" pivotButton="0" quotePrefix="0" xfId="5">
      <alignment horizontal="center"/>
    </xf>
    <xf numFmtId="10" fontId="8" fillId="0" borderId="0" applyAlignment="1" pivotButton="0" quotePrefix="0" xfId="5">
      <alignment horizontal="center"/>
    </xf>
    <xf numFmtId="2" fontId="8" fillId="0" borderId="0" applyAlignment="1" pivotButton="0" quotePrefix="0" xfId="5">
      <alignment horizontal="center"/>
    </xf>
    <xf numFmtId="39" fontId="13" fillId="2" borderId="0" applyAlignment="1" pivotButton="0" quotePrefix="0" xfId="5">
      <alignment horizontal="left"/>
    </xf>
    <xf numFmtId="178" fontId="13" fillId="2" borderId="0" applyAlignment="1" pivotButton="0" quotePrefix="0" xfId="5">
      <alignment horizontal="center"/>
    </xf>
    <xf numFmtId="174" fontId="13" fillId="2" borderId="0" applyAlignment="1" pivotButton="0" quotePrefix="0" xfId="5">
      <alignment horizontal="center"/>
    </xf>
    <xf numFmtId="10" fontId="13" fillId="2" borderId="0" applyAlignment="1" pivotButton="0" quotePrefix="0" xfId="5">
      <alignment horizontal="center"/>
    </xf>
    <xf numFmtId="39" fontId="13" fillId="2" borderId="3" applyAlignment="1" pivotButton="0" quotePrefix="0" xfId="5">
      <alignment horizontal="left"/>
    </xf>
    <xf numFmtId="39" fontId="13" fillId="2" borderId="3" applyAlignment="1" pivotButton="0" quotePrefix="0" xfId="5">
      <alignment horizontal="center"/>
    </xf>
    <xf numFmtId="178" fontId="13" fillId="2" borderId="3" applyAlignment="1" pivotButton="0" quotePrefix="0" xfId="5">
      <alignment horizontal="center"/>
    </xf>
    <xf numFmtId="174" fontId="13" fillId="2" borderId="3" applyAlignment="1" pivotButton="0" quotePrefix="0" xfId="5">
      <alignment horizontal="center"/>
    </xf>
    <xf numFmtId="10" fontId="8" fillId="0" borderId="3" applyAlignment="1" pivotButton="0" quotePrefix="0" xfId="5">
      <alignment horizontal="center"/>
    </xf>
    <xf numFmtId="10" fontId="13" fillId="2" borderId="3" applyAlignment="1" pivotButton="0" quotePrefix="0" xfId="5">
      <alignment horizontal="center"/>
    </xf>
    <xf numFmtId="39" fontId="8" fillId="0" borderId="3" applyAlignment="1" pivotButton="0" quotePrefix="0" xfId="5">
      <alignment horizontal="center"/>
    </xf>
    <xf numFmtId="39" fontId="14" fillId="0" borderId="0" applyAlignment="1" pivotButton="0" quotePrefix="0" xfId="5">
      <alignment horizontal="right"/>
    </xf>
    <xf numFmtId="39" fontId="14" fillId="0" borderId="30" applyAlignment="1" pivotButton="0" quotePrefix="0" xfId="5">
      <alignment horizontal="center"/>
    </xf>
    <xf numFmtId="164" fontId="8" fillId="8" borderId="0" applyAlignment="1" pivotButton="0" quotePrefix="0" xfId="0">
      <alignment horizontal="center"/>
    </xf>
    <xf numFmtId="0" fontId="4" fillId="0" borderId="0" applyAlignment="1" pivotButton="0" quotePrefix="0" xfId="2">
      <alignment horizontal="center"/>
    </xf>
    <xf numFmtId="9" fontId="5" fillId="2" borderId="0" applyAlignment="1" pivotButton="0" quotePrefix="0" xfId="3">
      <alignment horizontal="center"/>
    </xf>
    <xf numFmtId="180" fontId="2" fillId="0" borderId="0" applyAlignment="1" pivotButton="0" quotePrefix="0" xfId="0">
      <alignment horizontal="center" vertical="center"/>
    </xf>
    <xf numFmtId="9" fontId="2" fillId="0" borderId="0" applyAlignment="1" pivotButton="0" quotePrefix="0" xfId="3">
      <alignment horizontal="center" vertical="center"/>
    </xf>
    <xf numFmtId="170" fontId="2" fillId="0" borderId="0" applyAlignment="1" pivotButton="0" quotePrefix="0" xfId="0">
      <alignment horizontal="center" vertical="center"/>
    </xf>
    <xf numFmtId="170" fontId="2" fillId="0" borderId="0" applyAlignment="1" pivotButton="0" quotePrefix="0" xfId="3">
      <alignment horizontal="center" vertical="center"/>
    </xf>
    <xf numFmtId="185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9" fontId="2" fillId="0" borderId="0" applyAlignment="1" pivotButton="0" quotePrefix="0" xfId="0">
      <alignment horizontal="center" vertical="center"/>
    </xf>
    <xf numFmtId="171" fontId="2" fillId="0" borderId="0" applyAlignment="1" pivotButton="0" quotePrefix="0" xfId="0">
      <alignment horizontal="center" vertical="center"/>
    </xf>
    <xf numFmtId="10" fontId="4" fillId="0" borderId="0" applyAlignment="1" pivotButton="0" quotePrefix="0" xfId="3">
      <alignment horizontal="center"/>
    </xf>
    <xf numFmtId="10" fontId="4" fillId="0" borderId="0" applyAlignment="1" pivotButton="0" quotePrefix="0" xfId="2">
      <alignment horizontal="center"/>
    </xf>
    <xf numFmtId="170" fontId="22" fillId="9" borderId="0" pivotButton="0" quotePrefix="0" xfId="1"/>
    <xf numFmtId="10" fontId="5" fillId="2" borderId="0" applyAlignment="1" pivotButton="0" quotePrefix="0" xfId="0">
      <alignment horizontal="center"/>
    </xf>
    <xf numFmtId="9" fontId="5" fillId="4" borderId="0" applyAlignment="1" pivotButton="0" quotePrefix="0" xfId="3">
      <alignment horizontal="center"/>
    </xf>
    <xf numFmtId="0" fontId="6" fillId="6" borderId="0" applyAlignment="1" pivotButton="0" quotePrefix="0" xfId="1">
      <alignment horizont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9" fontId="2" fillId="0" borderId="0" applyAlignment="1" pivotButton="0" quotePrefix="0" xfId="3">
      <alignment vertical="center"/>
    </xf>
    <xf numFmtId="180" fontId="2" fillId="0" borderId="0" applyAlignment="1" pivotButton="0" quotePrefix="0" xfId="0">
      <alignment vertical="center"/>
    </xf>
    <xf numFmtId="170" fontId="2" fillId="0" borderId="0" applyAlignment="1" pivotButton="0" quotePrefix="0" xfId="3">
      <alignment vertical="center"/>
    </xf>
    <xf numFmtId="164" fontId="2" fillId="0" borderId="0" applyAlignment="1" pivotButton="0" quotePrefix="0" xfId="0">
      <alignment vertical="center"/>
    </xf>
    <xf numFmtId="9" fontId="2" fillId="0" borderId="0" applyAlignment="1" pivotButton="0" quotePrefix="0" xfId="0">
      <alignment vertical="center"/>
    </xf>
    <xf numFmtId="171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right" vertical="center"/>
    </xf>
    <xf numFmtId="0" fontId="2" fillId="0" borderId="0" applyAlignment="1" pivotButton="0" quotePrefix="1" xfId="0">
      <alignment horizontal="center"/>
    </xf>
    <xf numFmtId="168" fontId="2" fillId="5" borderId="0" applyAlignment="1" pivotButton="0" quotePrefix="0" xfId="2">
      <alignment horizontal="center"/>
    </xf>
    <xf numFmtId="164" fontId="2" fillId="0" borderId="0" pivotButton="0" quotePrefix="0" xfId="0"/>
    <xf numFmtId="9" fontId="2" fillId="0" borderId="0" applyAlignment="1" pivotButton="0" quotePrefix="0" xfId="3">
      <alignment horizontal="left"/>
    </xf>
    <xf numFmtId="9" fontId="2" fillId="0" borderId="0" pivotButton="0" quotePrefix="0" xfId="3"/>
    <xf numFmtId="0" fontId="15" fillId="12" borderId="0" applyAlignment="1" pivotButton="0" quotePrefix="0" xfId="5">
      <alignment horizontal="center" wrapText="1"/>
    </xf>
    <xf numFmtId="0" fontId="8" fillId="0" borderId="0" pivotButton="0" quotePrefix="0" xfId="5"/>
    <xf numFmtId="170" fontId="5" fillId="16" borderId="0" applyAlignment="1" pivotButton="0" quotePrefix="0" xfId="0">
      <alignment horizontal="center"/>
    </xf>
    <xf numFmtId="164" fontId="2" fillId="16" borderId="0" applyAlignment="1" pivotButton="0" quotePrefix="0" xfId="0">
      <alignment horizontal="center"/>
    </xf>
    <xf numFmtId="0" fontId="23" fillId="13" borderId="3" applyAlignment="1" pivotButton="0" quotePrefix="0" xfId="5">
      <alignment horizontal="centerContinuous"/>
    </xf>
    <xf numFmtId="1" fontId="23" fillId="0" borderId="0" applyAlignment="1" pivotButton="0" quotePrefix="0" xfId="5">
      <alignment horizontal="center"/>
    </xf>
    <xf numFmtId="0" fontId="24" fillId="0" borderId="0" pivotButton="0" quotePrefix="0" xfId="0"/>
    <xf numFmtId="186" fontId="0" fillId="0" borderId="0" pivotButton="0" quotePrefix="0" xfId="0"/>
    <xf numFmtId="187" fontId="0" fillId="0" borderId="0" pivotButton="0" quotePrefix="0" xfId="0"/>
    <xf numFmtId="0" fontId="25" fillId="0" borderId="0" applyAlignment="1" pivotButton="0" quotePrefix="0" xfId="2">
      <alignment horizontal="center"/>
    </xf>
    <xf numFmtId="168" fontId="25" fillId="5" borderId="0" applyAlignment="1" pivotButton="0" quotePrefix="0" xfId="2">
      <alignment horizontal="center"/>
    </xf>
    <xf numFmtId="186" fontId="0" fillId="0" borderId="0" pivotButton="0" quotePrefix="0" xfId="0"/>
    <xf numFmtId="187" fontId="0" fillId="0" borderId="0" pivotButton="0" quotePrefix="0" xfId="0"/>
    <xf numFmtId="0" fontId="0" fillId="16" borderId="0" pivotButton="0" quotePrefix="0" xfId="0"/>
    <xf numFmtId="3" fontId="0" fillId="0" borderId="0" pivotButton="0" quotePrefix="0" xfId="0"/>
    <xf numFmtId="190" fontId="5" fillId="2" borderId="0" applyAlignment="1" pivotButton="0" quotePrefix="0" xfId="0">
      <alignment horizontal="center"/>
    </xf>
    <xf numFmtId="190" fontId="2" fillId="0" borderId="0" applyAlignment="1" pivotButton="0" quotePrefix="0" xfId="0">
      <alignment horizontal="center"/>
    </xf>
    <xf numFmtId="0" fontId="26" fillId="3" borderId="0" pivotButton="0" quotePrefix="0" xfId="1"/>
    <xf numFmtId="3" fontId="4" fillId="7" borderId="0" applyAlignment="1" pivotButton="0" quotePrefix="0" xfId="0">
      <alignment horizontal="center"/>
    </xf>
    <xf numFmtId="3" fontId="4" fillId="0" borderId="0" applyAlignment="1" pivotButton="0" quotePrefix="0" xfId="0">
      <alignment horizontal="center"/>
    </xf>
    <xf numFmtId="170" fontId="4" fillId="7" borderId="0" applyAlignment="1" pivotButton="0" quotePrefix="0" xfId="0">
      <alignment horizontal="center"/>
    </xf>
    <xf numFmtId="170" fontId="4" fillId="0" borderId="0" applyAlignment="1" pivotButton="0" quotePrefix="0" xfId="0">
      <alignment horizontal="center"/>
    </xf>
  </cellXfs>
  <cellStyles count="12">
    <cellStyle name="Normal" xfId="0" builtinId="0"/>
    <cellStyle name="Normal 2" xfId="1"/>
    <cellStyle name="Normal 2 2" xfId="2"/>
    <cellStyle name="Porcentagem" xfId="3" builtinId="5"/>
    <cellStyle name="Separador de milhares 2 17" xfId="4"/>
    <cellStyle name="Normal 2 3" xfId="5"/>
    <cellStyle name="m/d/yy" xfId="6"/>
    <cellStyle name="Normal 4" xfId="7"/>
    <cellStyle name="Porcentagem 3" xfId="8"/>
    <cellStyle name="Output_dcfmodel" xfId="9"/>
    <cellStyle name="Currency 2" xfId="10"/>
    <cellStyle name="Normal [3] 2" xfId="11"/>
  </cellStyles>
  <dxfs count="24"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</font>
      <fill>
        <patternFill patternType="solid">
          <fgColor rgb="FF00B050"/>
          <bgColor rgb="FF00B05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</font>
      <fill>
        <patternFill patternType="solid">
          <fgColor rgb="FF00B050"/>
          <bgColor rgb="FF00B05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None</author>
  </authors>
  <commentList>
    <comment ref="D64" authorId="0" shapeId="0">
      <text>
        <t>MG: 
- expected rate of return on new invested capital</t>
      </text>
    </comment>
  </commentList>
</comment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4"/>
  <sheetViews>
    <sheetView workbookViewId="0">
      <pane xSplit="10" ySplit="4" topLeftCell="K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6" customWidth="1" min="3" max="3"/>
    <col width="7" customWidth="1" min="4" max="4"/>
    <col width="6" customWidth="1" min="5" max="5"/>
    <col width="7" customWidth="1" min="6" max="6"/>
    <col width="8" customWidth="1" min="7" max="7"/>
    <col width="95" customWidth="1" min="8" max="8"/>
    <col width="20" customWidth="1" min="9" max="9"/>
    <col width="10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</cols>
  <sheetData>
    <row r="1">
      <c r="A1" t="inlineStr">
        <is>
          <t>Fator p/ milhões:</t>
        </is>
      </c>
      <c r="B1" t="n">
        <v>1e-06</v>
      </c>
      <c r="D1" t="inlineStr">
        <is>
          <t>NVIDIA Corp. (NVDA, CIK 1045810) - fonte: SEC EDGAR XBRL (companyfacts API e instâncias dos 10-Q/10-K). Moeda: USD. Brutos em USD unidades (fator 0,000001 -&gt; milhões). Colunas = trimestres-CALENDÁRIO; o ano fiscal NVIDIA termina no fim de janeiro (FQ1 = fev-abr = 1T calendário; FQ4 = nov-jan = 4T calendário). Trimestre nov-jan (FQ4) = ano fiscal (10-K) menos 9M (10-Q de out), por fórmula.</t>
        </is>
      </c>
    </row>
    <row r="2">
      <c r="J2" t="inlineStr">
        <is>
          <t>Trimestre fiscal NVIDIA</t>
        </is>
      </c>
      <c r="K2" t="inlineStr">
        <is>
          <t>FQ1 FY21</t>
        </is>
      </c>
      <c r="L2" t="inlineStr">
        <is>
          <t>FQ2 FY21</t>
        </is>
      </c>
      <c r="M2" t="inlineStr">
        <is>
          <t>FQ3 FY21</t>
        </is>
      </c>
      <c r="N2" t="inlineStr">
        <is>
          <t>FQ4 FY21</t>
        </is>
      </c>
      <c r="O2" t="inlineStr">
        <is>
          <t>FQ1 FY22</t>
        </is>
      </c>
      <c r="P2" t="inlineStr">
        <is>
          <t>FQ2 FY22</t>
        </is>
      </c>
      <c r="Q2" t="inlineStr">
        <is>
          <t>FQ3 FY22</t>
        </is>
      </c>
      <c r="R2" t="inlineStr">
        <is>
          <t>FQ4 FY22</t>
        </is>
      </c>
      <c r="S2" t="inlineStr">
        <is>
          <t>FQ1 FY23</t>
        </is>
      </c>
      <c r="T2" t="inlineStr">
        <is>
          <t>FQ2 FY23</t>
        </is>
      </c>
      <c r="U2" t="inlineStr">
        <is>
          <t>FQ3 FY23</t>
        </is>
      </c>
      <c r="V2" t="inlineStr">
        <is>
          <t>FQ4 FY23</t>
        </is>
      </c>
      <c r="W2" t="inlineStr">
        <is>
          <t>FQ1 FY24</t>
        </is>
      </c>
      <c r="X2" t="inlineStr">
        <is>
          <t>FQ2 FY24</t>
        </is>
      </c>
      <c r="Y2" t="inlineStr">
        <is>
          <t>FQ3 FY24</t>
        </is>
      </c>
      <c r="Z2" t="inlineStr">
        <is>
          <t>FQ4 FY24</t>
        </is>
      </c>
      <c r="AA2" t="inlineStr">
        <is>
          <t>FQ1 FY25</t>
        </is>
      </c>
      <c r="AB2" t="inlineStr">
        <is>
          <t>FQ2 FY25</t>
        </is>
      </c>
      <c r="AC2" t="inlineStr">
        <is>
          <t>FQ3 FY25</t>
        </is>
      </c>
      <c r="AD2" t="inlineStr">
        <is>
          <t>FQ4 FY25</t>
        </is>
      </c>
      <c r="AE2" t="inlineStr">
        <is>
          <t>FQ1 FY26</t>
        </is>
      </c>
      <c r="AF2" t="inlineStr">
        <is>
          <t>FQ2 FY26</t>
        </is>
      </c>
      <c r="AG2" t="inlineStr">
        <is>
          <t>FQ3 FY26</t>
        </is>
      </c>
      <c r="AH2" t="inlineStr">
        <is>
          <t>FQ4 FY26</t>
        </is>
      </c>
      <c r="AI2" t="inlineStr">
        <is>
          <t>FQ1 FY27</t>
        </is>
      </c>
      <c r="AJ2" t="inlineStr">
        <is>
          <t>FQ2 FY27</t>
        </is>
      </c>
    </row>
    <row r="4">
      <c r="A4" s="254" t="inlineStr">
        <is>
          <t>COD1</t>
        </is>
      </c>
      <c r="B4" s="254" t="inlineStr">
        <is>
          <t>SINAL1</t>
        </is>
      </c>
      <c r="C4" s="254" t="inlineStr">
        <is>
          <t>COD2</t>
        </is>
      </c>
      <c r="D4" s="254" t="inlineStr">
        <is>
          <t>SINAL2</t>
        </is>
      </c>
      <c r="E4" s="254" t="inlineStr">
        <is>
          <t>COD3</t>
        </is>
      </c>
      <c r="F4" s="254" t="inlineStr">
        <is>
          <t>SINAL3</t>
        </is>
      </c>
      <c r="G4" s="254" t="inlineStr">
        <is>
          <t>UNID</t>
        </is>
      </c>
      <c r="H4" s="254" t="inlineStr">
        <is>
          <t>Conta (PT) / origem</t>
        </is>
      </c>
      <c r="I4" s="254" t="inlineStr">
        <is>
          <t>Account (EN)</t>
        </is>
      </c>
      <c r="J4" s="254" t="inlineStr">
        <is>
          <t>ORIGEM</t>
        </is>
      </c>
      <c r="K4" s="254" t="inlineStr">
        <is>
          <t>1Q20</t>
        </is>
      </c>
      <c r="L4" s="254" t="inlineStr">
        <is>
          <t>2Q20</t>
        </is>
      </c>
      <c r="M4" s="254" t="inlineStr">
        <is>
          <t>3Q20</t>
        </is>
      </c>
      <c r="N4" s="254" t="inlineStr">
        <is>
          <t>4Q20</t>
        </is>
      </c>
      <c r="O4" s="254" t="inlineStr">
        <is>
          <t>1Q21</t>
        </is>
      </c>
      <c r="P4" s="254" t="inlineStr">
        <is>
          <t>2Q21</t>
        </is>
      </c>
      <c r="Q4" s="254" t="inlineStr">
        <is>
          <t>3Q21</t>
        </is>
      </c>
      <c r="R4" s="254" t="inlineStr">
        <is>
          <t>4Q21</t>
        </is>
      </c>
      <c r="S4" s="254" t="inlineStr">
        <is>
          <t>1Q22</t>
        </is>
      </c>
      <c r="T4" s="254" t="inlineStr">
        <is>
          <t>2Q22</t>
        </is>
      </c>
      <c r="U4" s="254" t="inlineStr">
        <is>
          <t>3Q22</t>
        </is>
      </c>
      <c r="V4" s="254" t="inlineStr">
        <is>
          <t>4Q22</t>
        </is>
      </c>
      <c r="W4" s="254" t="inlineStr">
        <is>
          <t>1Q23</t>
        </is>
      </c>
      <c r="X4" s="254" t="inlineStr">
        <is>
          <t>2Q23</t>
        </is>
      </c>
      <c r="Y4" s="254" t="inlineStr">
        <is>
          <t>3Q23</t>
        </is>
      </c>
      <c r="Z4" s="254" t="inlineStr">
        <is>
          <t>4Q23</t>
        </is>
      </c>
      <c r="AA4" s="254" t="inlineStr">
        <is>
          <t>1Q24</t>
        </is>
      </c>
      <c r="AB4" s="254" t="inlineStr">
        <is>
          <t>2Q24</t>
        </is>
      </c>
      <c r="AC4" s="254" t="inlineStr">
        <is>
          <t>3Q24</t>
        </is>
      </c>
      <c r="AD4" s="254" t="inlineStr">
        <is>
          <t>4Q24</t>
        </is>
      </c>
      <c r="AE4" s="254" t="inlineStr">
        <is>
          <t>1Q25</t>
        </is>
      </c>
      <c r="AF4" s="254" t="inlineStr">
        <is>
          <t>2Q25</t>
        </is>
      </c>
      <c r="AG4" s="254" t="inlineStr">
        <is>
          <t>3Q25</t>
        </is>
      </c>
      <c r="AH4" s="254" t="inlineStr">
        <is>
          <t>4Q25</t>
        </is>
      </c>
      <c r="AI4" s="254" t="inlineStr">
        <is>
          <t>1Q26</t>
        </is>
      </c>
      <c r="AJ4" s="254" t="inlineStr">
        <is>
          <t>2Q26</t>
        </is>
      </c>
    </row>
    <row r="5">
      <c r="H5" s="254" t="inlineStr">
        <is>
          <t>DRE - BRUTO COMO DIVULGADO (USD). 3M = trimestre do 10-Q (FQ1-FQ3 = 1T, 2T, 3T calendário); 12M = ano fiscal do 10-K (na coluna do 4T calendário); 9M = acumulado do 10-Q de out (coluna do 3T)</t>
        </is>
      </c>
    </row>
    <row r="6">
      <c r="G6" t="inlineStr">
        <is>
          <t>moeda</t>
        </is>
      </c>
      <c r="H6" t="inlineStr">
        <is>
          <t>Receita (revenue) - 3M (10-Q) [us-gaap:Revenues]</t>
        </is>
      </c>
      <c r="J6" t="inlineStr">
        <is>
          <t>memoria</t>
        </is>
      </c>
      <c r="K6" s="259" t="n">
        <v>3080000000</v>
      </c>
      <c r="L6" s="259" t="n">
        <v>3866000000</v>
      </c>
      <c r="M6" s="259" t="n">
        <v>4726000000</v>
      </c>
      <c r="N6" s="259" t="n"/>
      <c r="O6" s="259" t="n">
        <v>5661000000</v>
      </c>
      <c r="P6" s="259" t="n">
        <v>6507000000</v>
      </c>
      <c r="Q6" s="259" t="n">
        <v>7103000000</v>
      </c>
      <c r="R6" s="259" t="n"/>
      <c r="S6" s="259" t="n">
        <v>8288000000</v>
      </c>
      <c r="T6" s="259" t="n">
        <v>6704000000</v>
      </c>
      <c r="U6" s="259" t="n">
        <v>5931000000</v>
      </c>
      <c r="V6" s="259" t="n"/>
      <c r="W6" s="259" t="n">
        <v>7192000000</v>
      </c>
      <c r="X6" s="259" t="n">
        <v>13507000000</v>
      </c>
      <c r="Y6" s="259" t="n">
        <v>18120000000</v>
      </c>
      <c r="Z6" s="259" t="n"/>
      <c r="AA6" s="259" t="n">
        <v>26044000000</v>
      </c>
      <c r="AB6" s="259" t="n">
        <v>30040000000</v>
      </c>
      <c r="AC6" s="259" t="n">
        <v>35082000000</v>
      </c>
      <c r="AD6" s="259" t="n"/>
      <c r="AE6" s="259" t="n">
        <v>44062000000</v>
      </c>
      <c r="AF6" s="259" t="n">
        <v>46743000000</v>
      </c>
      <c r="AG6" s="259" t="n">
        <v>57006000000</v>
      </c>
      <c r="AH6" s="259" t="n"/>
      <c r="AI6" s="259" t="n">
        <v>81615000000</v>
      </c>
      <c r="AJ6" s="259" t="n">
        <v>96221000000</v>
      </c>
    </row>
    <row r="7">
      <c r="G7" t="inlineStr">
        <is>
          <t>moeda</t>
        </is>
      </c>
      <c r="H7" t="inlineStr">
        <is>
          <t>Receita (revenue) - ano fiscal 12M (10-K; na coluna do 4T)</t>
        </is>
      </c>
      <c r="J7" t="inlineStr">
        <is>
          <t>memoria</t>
        </is>
      </c>
      <c r="K7" s="259" t="n"/>
      <c r="L7" s="259" t="n"/>
      <c r="M7" s="259" t="n"/>
      <c r="N7" s="259" t="n">
        <v>16675000000</v>
      </c>
      <c r="O7" s="259" t="n"/>
      <c r="P7" s="259" t="n"/>
      <c r="Q7" s="259" t="n"/>
      <c r="R7" s="259" t="n">
        <v>26914000000</v>
      </c>
      <c r="S7" s="259" t="n"/>
      <c r="T7" s="259" t="n"/>
      <c r="U7" s="259" t="n"/>
      <c r="V7" s="259" t="n">
        <v>26974000000</v>
      </c>
      <c r="W7" s="259" t="n"/>
      <c r="X7" s="259" t="n"/>
      <c r="Y7" s="259" t="n"/>
      <c r="Z7" s="259" t="n">
        <v>60922000000</v>
      </c>
      <c r="AA7" s="259" t="n"/>
      <c r="AB7" s="259" t="n"/>
      <c r="AC7" s="259" t="n"/>
      <c r="AD7" s="259" t="n">
        <v>130497000000</v>
      </c>
      <c r="AE7" s="259" t="n"/>
      <c r="AF7" s="259" t="n"/>
      <c r="AG7" s="259" t="n"/>
      <c r="AH7" s="259" t="n">
        <v>215938000000</v>
      </c>
      <c r="AI7" s="259" t="n"/>
      <c r="AJ7" s="259" t="n"/>
    </row>
    <row r="8">
      <c r="G8" t="inlineStr">
        <is>
          <t>moeda</t>
        </is>
      </c>
      <c r="H8" t="inlineStr">
        <is>
          <t>Receita (revenue) - 9M acumulado (10-Q de out; na coluna do 3T)</t>
        </is>
      </c>
      <c r="J8" t="inlineStr">
        <is>
          <t>memoria</t>
        </is>
      </c>
      <c r="K8" s="259" t="n"/>
      <c r="L8" s="259" t="n"/>
      <c r="M8" s="259" t="n">
        <v>11672000000</v>
      </c>
      <c r="N8" s="259" t="n"/>
      <c r="O8" s="259" t="n"/>
      <c r="P8" s="259" t="n"/>
      <c r="Q8" s="259" t="n">
        <v>19271000000</v>
      </c>
      <c r="R8" s="259" t="n"/>
      <c r="S8" s="259" t="n"/>
      <c r="T8" s="259" t="n"/>
      <c r="U8" s="259" t="n">
        <v>20923000000</v>
      </c>
      <c r="V8" s="259" t="n"/>
      <c r="W8" s="259" t="n"/>
      <c r="X8" s="259" t="n"/>
      <c r="Y8" s="259" t="n">
        <v>38819000000</v>
      </c>
      <c r="Z8" s="259" t="n"/>
      <c r="AA8" s="259" t="n"/>
      <c r="AB8" s="259" t="n"/>
      <c r="AC8" s="259" t="n">
        <v>91166000000</v>
      </c>
      <c r="AD8" s="259" t="n"/>
      <c r="AE8" s="259" t="n"/>
      <c r="AF8" s="259" t="n"/>
      <c r="AG8" s="259" t="n">
        <v>147811000000</v>
      </c>
      <c r="AH8" s="259" t="n"/>
      <c r="AI8" s="259" t="n"/>
      <c r="AJ8" s="259" t="n"/>
    </row>
    <row r="9">
      <c r="G9" t="inlineStr">
        <is>
          <t>moeda</t>
        </is>
      </c>
      <c r="H9" t="inlineStr">
        <is>
          <t>Custo da receita (divulgado positivo) - 3M (10-Q) [us-gaap:CostOfRevenue]</t>
        </is>
      </c>
      <c r="J9" t="inlineStr">
        <is>
          <t>memoria</t>
        </is>
      </c>
      <c r="K9" s="259" t="n">
        <v>1076000000</v>
      </c>
      <c r="L9" s="259" t="n">
        <v>1591000000</v>
      </c>
      <c r="M9" s="259" t="n">
        <v>1766000000</v>
      </c>
      <c r="N9" s="259" t="n"/>
      <c r="O9" s="259" t="n">
        <v>2032000000</v>
      </c>
      <c r="P9" s="259" t="n">
        <v>2292000000</v>
      </c>
      <c r="Q9" s="259" t="n">
        <v>2472000000</v>
      </c>
      <c r="R9" s="259" t="n"/>
      <c r="S9" s="259" t="n">
        <v>2857000000</v>
      </c>
      <c r="T9" s="259" t="n">
        <v>3789000000</v>
      </c>
      <c r="U9" s="259" t="n">
        <v>2754000000</v>
      </c>
      <c r="V9" s="259" t="n"/>
      <c r="W9" s="259" t="n">
        <v>2544000000</v>
      </c>
      <c r="X9" s="259" t="n">
        <v>4045000000</v>
      </c>
      <c r="Y9" s="259" t="n">
        <v>4720000000</v>
      </c>
      <c r="Z9" s="259" t="n"/>
      <c r="AA9" s="259" t="n">
        <v>5638000000</v>
      </c>
      <c r="AB9" s="259" t="n">
        <v>7466000000</v>
      </c>
      <c r="AC9" s="259" t="n">
        <v>8926000000</v>
      </c>
      <c r="AD9" s="259" t="n"/>
      <c r="AE9" s="259" t="n">
        <v>17394000000</v>
      </c>
      <c r="AF9" s="259" t="n">
        <v>12890000000</v>
      </c>
      <c r="AG9" s="259" t="n">
        <v>15157000000</v>
      </c>
      <c r="AH9" s="259" t="n"/>
      <c r="AI9" s="259" t="n">
        <v>20458000000</v>
      </c>
      <c r="AJ9" s="259" t="n">
        <v>24079000000</v>
      </c>
    </row>
    <row r="10">
      <c r="G10" t="inlineStr">
        <is>
          <t>moeda</t>
        </is>
      </c>
      <c r="H10" t="inlineStr">
        <is>
          <t>Custo da receita (divulgado positivo) - ano fiscal 12M (10-K; na coluna do 4T)</t>
        </is>
      </c>
      <c r="J10" t="inlineStr">
        <is>
          <t>memoria</t>
        </is>
      </c>
      <c r="K10" s="259" t="n"/>
      <c r="L10" s="259" t="n"/>
      <c r="M10" s="259" t="n"/>
      <c r="N10" s="259" t="n">
        <v>6279000000</v>
      </c>
      <c r="O10" s="259" t="n"/>
      <c r="P10" s="259" t="n"/>
      <c r="Q10" s="259" t="n"/>
      <c r="R10" s="259" t="n">
        <v>9439000000</v>
      </c>
      <c r="S10" s="259" t="n"/>
      <c r="T10" s="259" t="n"/>
      <c r="U10" s="259" t="n"/>
      <c r="V10" s="259" t="n">
        <v>11618000000</v>
      </c>
      <c r="W10" s="259" t="n"/>
      <c r="X10" s="259" t="n"/>
      <c r="Y10" s="259" t="n"/>
      <c r="Z10" s="259" t="n">
        <v>16621000000</v>
      </c>
      <c r="AA10" s="259" t="n"/>
      <c r="AB10" s="259" t="n"/>
      <c r="AC10" s="259" t="n"/>
      <c r="AD10" s="259" t="n">
        <v>32639000000</v>
      </c>
      <c r="AE10" s="259" t="n"/>
      <c r="AF10" s="259" t="n"/>
      <c r="AG10" s="259" t="n"/>
      <c r="AH10" s="259" t="n">
        <v>62475000000</v>
      </c>
      <c r="AI10" s="259" t="n"/>
      <c r="AJ10" s="259" t="n"/>
    </row>
    <row r="11">
      <c r="G11" t="inlineStr">
        <is>
          <t>moeda</t>
        </is>
      </c>
      <c r="H11" t="inlineStr">
        <is>
          <t>Custo da receita (divulgado positivo) - 9M acumulado (10-Q de out; na coluna do 3T)</t>
        </is>
      </c>
      <c r="J11" t="inlineStr">
        <is>
          <t>memoria</t>
        </is>
      </c>
      <c r="K11" s="259" t="n"/>
      <c r="L11" s="259" t="n"/>
      <c r="M11" s="259" t="n">
        <v>4432000000</v>
      </c>
      <c r="N11" s="259" t="n"/>
      <c r="O11" s="259" t="n"/>
      <c r="P11" s="259" t="n"/>
      <c r="Q11" s="259" t="n">
        <v>6795000000</v>
      </c>
      <c r="R11" s="259" t="n"/>
      <c r="S11" s="259" t="n"/>
      <c r="T11" s="259" t="n"/>
      <c r="U11" s="259" t="n">
        <v>9400000000</v>
      </c>
      <c r="V11" s="259" t="n"/>
      <c r="W11" s="259" t="n"/>
      <c r="X11" s="259" t="n"/>
      <c r="Y11" s="259" t="n">
        <v>11309000000</v>
      </c>
      <c r="Z11" s="259" t="n"/>
      <c r="AA11" s="259" t="n"/>
      <c r="AB11" s="259" t="n"/>
      <c r="AC11" s="259" t="n">
        <v>22031000000</v>
      </c>
      <c r="AD11" s="259" t="n"/>
      <c r="AE11" s="259" t="n"/>
      <c r="AF11" s="259" t="n"/>
      <c r="AG11" s="259" t="n">
        <v>45441000000</v>
      </c>
      <c r="AH11" s="259" t="n"/>
      <c r="AI11" s="259" t="n"/>
      <c r="AJ11" s="259" t="n"/>
    </row>
    <row r="12">
      <c r="G12" t="inlineStr">
        <is>
          <t>moeda</t>
        </is>
      </c>
      <c r="H12" t="inlineStr">
        <is>
          <t>Despesas operacionais totais = P&amp;D + SG&amp;A (+ custo de rescisão da aquisição da Arm no FQ1 FY23) (divulgado positivo) - 3M (10-Q) [us-gaap:OperatingExpenses]</t>
        </is>
      </c>
      <c r="J12" t="inlineStr">
        <is>
          <t>memoria</t>
        </is>
      </c>
      <c r="K12" s="259" t="n">
        <v>1028000000</v>
      </c>
      <c r="L12" s="259" t="n">
        <v>1624000000</v>
      </c>
      <c r="M12" s="259" t="n">
        <v>1562000000</v>
      </c>
      <c r="N12" s="259" t="n"/>
      <c r="O12" s="259" t="n">
        <v>1673000000</v>
      </c>
      <c r="P12" s="259" t="n">
        <v>1771000000</v>
      </c>
      <c r="Q12" s="259" t="n">
        <v>1960000000</v>
      </c>
      <c r="R12" s="259" t="n"/>
      <c r="S12" s="259" t="n">
        <v>3563000000</v>
      </c>
      <c r="T12" s="259" t="n">
        <v>2416000000</v>
      </c>
      <c r="U12" s="259" t="n">
        <v>2576000000</v>
      </c>
      <c r="V12" s="259" t="n"/>
      <c r="W12" s="259" t="n">
        <v>2508000000</v>
      </c>
      <c r="X12" s="259" t="n">
        <v>2662000000</v>
      </c>
      <c r="Y12" s="259" t="n">
        <v>2983000000</v>
      </c>
      <c r="Z12" s="259" t="n"/>
      <c r="AA12" s="259" t="n">
        <v>3497000000</v>
      </c>
      <c r="AB12" s="259" t="n">
        <v>3932000000</v>
      </c>
      <c r="AC12" s="259" t="n">
        <v>4287000000</v>
      </c>
      <c r="AD12" s="259" t="n"/>
      <c r="AE12" s="259" t="n">
        <v>5030000000</v>
      </c>
      <c r="AF12" s="259" t="n">
        <v>5413000000</v>
      </c>
      <c r="AG12" s="259" t="n">
        <v>5839000000</v>
      </c>
      <c r="AH12" s="259" t="n"/>
      <c r="AI12" s="259" t="n">
        <v>7621000000</v>
      </c>
      <c r="AJ12" s="259" t="n">
        <v>8408000000</v>
      </c>
    </row>
    <row r="13">
      <c r="G13" t="inlineStr">
        <is>
          <t>moeda</t>
        </is>
      </c>
      <c r="H13" t="inlineStr">
        <is>
          <t>Despesas operacionais totais = P&amp;D + SG&amp;A (+ custo de rescisão da aquisição da Arm no FQ1 FY23) (divulgado positivo) - ano fiscal 12M (10-K; na coluna do 4T)</t>
        </is>
      </c>
      <c r="J13" t="inlineStr">
        <is>
          <t>memoria</t>
        </is>
      </c>
      <c r="K13" s="259" t="n"/>
      <c r="L13" s="259" t="n"/>
      <c r="M13" s="259" t="n"/>
      <c r="N13" s="259" t="n">
        <v>5864000000</v>
      </c>
      <c r="O13" s="259" t="n"/>
      <c r="P13" s="259" t="n"/>
      <c r="Q13" s="259" t="n"/>
      <c r="R13" s="259" t="n">
        <v>7434000000</v>
      </c>
      <c r="S13" s="259" t="n"/>
      <c r="T13" s="259" t="n"/>
      <c r="U13" s="259" t="n"/>
      <c r="V13" s="259" t="n">
        <v>11132000000</v>
      </c>
      <c r="W13" s="259" t="n"/>
      <c r="X13" s="259" t="n"/>
      <c r="Y13" s="259" t="n"/>
      <c r="Z13" s="259" t="n">
        <v>11329000000</v>
      </c>
      <c r="AA13" s="259" t="n"/>
      <c r="AB13" s="259" t="n"/>
      <c r="AC13" s="259" t="n"/>
      <c r="AD13" s="259" t="n">
        <v>16405000000</v>
      </c>
      <c r="AE13" s="259" t="n"/>
      <c r="AF13" s="259" t="n"/>
      <c r="AG13" s="259" t="n"/>
      <c r="AH13" s="259" t="n">
        <v>23076000000</v>
      </c>
      <c r="AI13" s="259" t="n"/>
      <c r="AJ13" s="259" t="n"/>
    </row>
    <row r="14">
      <c r="G14" t="inlineStr">
        <is>
          <t>moeda</t>
        </is>
      </c>
      <c r="H14" t="inlineStr">
        <is>
          <t>Despesas operacionais totais = P&amp;D + SG&amp;A (+ custo de rescisão da aquisição da Arm no FQ1 FY23) (divulgado positivo) - 9M acumulado (10-Q de out; na coluna do 3T)</t>
        </is>
      </c>
      <c r="J14" t="inlineStr">
        <is>
          <t>memoria</t>
        </is>
      </c>
      <c r="K14" s="259" t="n"/>
      <c r="L14" s="259" t="n"/>
      <c r="M14" s="259" t="n">
        <v>4215000000</v>
      </c>
      <c r="N14" s="259" t="n"/>
      <c r="O14" s="259" t="n"/>
      <c r="P14" s="259" t="n"/>
      <c r="Q14" s="259" t="n">
        <v>5405000000</v>
      </c>
      <c r="R14" s="259" t="n"/>
      <c r="S14" s="259" t="n"/>
      <c r="T14" s="259" t="n"/>
      <c r="U14" s="259" t="n">
        <v>8555000000</v>
      </c>
      <c r="V14" s="259" t="n"/>
      <c r="W14" s="259" t="n"/>
      <c r="X14" s="259" t="n"/>
      <c r="Y14" s="259" t="n">
        <v>8152000000</v>
      </c>
      <c r="Z14" s="259" t="n"/>
      <c r="AA14" s="259" t="n"/>
      <c r="AB14" s="259" t="n"/>
      <c r="AC14" s="259" t="n">
        <v>11716000000</v>
      </c>
      <c r="AD14" s="259" t="n"/>
      <c r="AE14" s="259" t="n"/>
      <c r="AF14" s="259" t="n"/>
      <c r="AG14" s="259" t="n">
        <v>16282000000</v>
      </c>
      <c r="AH14" s="259" t="n"/>
      <c r="AI14" s="259" t="n"/>
      <c r="AJ14" s="259" t="n"/>
    </row>
    <row r="15">
      <c r="G15" t="inlineStr">
        <is>
          <t>moeda</t>
        </is>
      </c>
      <c r="H15" t="inlineStr">
        <is>
          <t>Resultado não operacional total = juros recebidos - juros pagos + outras (inclui ganhos/perdas em participações) - 3M (10-Q) [us-gaap:NonoperatingIncomeExpense]</t>
        </is>
      </c>
      <c r="J15" t="inlineStr">
        <is>
          <t>memoria</t>
        </is>
      </c>
      <c r="K15" s="259" t="n">
        <v>5000000</v>
      </c>
      <c r="L15" s="259" t="n">
        <v>-42000000</v>
      </c>
      <c r="M15" s="259" t="n">
        <v>-50000000</v>
      </c>
      <c r="N15" s="259" t="n"/>
      <c r="O15" s="259" t="n">
        <v>88000000</v>
      </c>
      <c r="P15" s="259" t="n">
        <v>-50000000</v>
      </c>
      <c r="Q15" s="259" t="n">
        <v>-33000000</v>
      </c>
      <c r="R15" s="259" t="n"/>
      <c r="S15" s="259" t="n">
        <v>-63000000</v>
      </c>
      <c r="T15" s="259" t="n">
        <v>-24000000</v>
      </c>
      <c r="U15" s="259" t="n">
        <v>12000000</v>
      </c>
      <c r="V15" s="259" t="n"/>
      <c r="W15" s="259" t="n">
        <v>69000000</v>
      </c>
      <c r="X15" s="259" t="n">
        <v>181000000</v>
      </c>
      <c r="Y15" s="259" t="n">
        <v>105000000</v>
      </c>
      <c r="Z15" s="259" t="n"/>
      <c r="AA15" s="259" t="n">
        <v>370000000</v>
      </c>
      <c r="AB15" s="259" t="n">
        <v>572000000</v>
      </c>
      <c r="AC15" s="259" t="n">
        <v>447000000</v>
      </c>
      <c r="AD15" s="259" t="n"/>
      <c r="AE15" s="259" t="n">
        <v>272000000</v>
      </c>
      <c r="AF15" s="259" t="n">
        <v>2766000000</v>
      </c>
      <c r="AG15" s="259" t="n">
        <v>1926000000</v>
      </c>
      <c r="AH15" s="259" t="n"/>
      <c r="AI15" s="259" t="n">
        <v>16367000000</v>
      </c>
      <c r="AJ15" s="259" t="n">
        <v>7773000000</v>
      </c>
    </row>
    <row r="16">
      <c r="G16" t="inlineStr">
        <is>
          <t>moeda</t>
        </is>
      </c>
      <c r="H16" t="inlineStr">
        <is>
          <t>Resultado não operacional total = juros recebidos - juros pagos + outras (inclui ganhos/perdas em participações) - ano fiscal 12M (10-K; na coluna do 4T)</t>
        </is>
      </c>
      <c r="J16" t="inlineStr">
        <is>
          <t>memoria</t>
        </is>
      </c>
      <c r="K16" s="259" t="n"/>
      <c r="L16" s="259" t="n"/>
      <c r="M16" s="259" t="n"/>
      <c r="N16" s="259" t="n">
        <v>-123000000</v>
      </c>
      <c r="O16" s="259" t="n"/>
      <c r="P16" s="259" t="n"/>
      <c r="Q16" s="259" t="n"/>
      <c r="R16" s="259" t="n">
        <v>-100000000</v>
      </c>
      <c r="S16" s="259" t="n"/>
      <c r="T16" s="259" t="n"/>
      <c r="U16" s="259" t="n"/>
      <c r="V16" s="259" t="n">
        <v>-43000000</v>
      </c>
      <c r="W16" s="259" t="n"/>
      <c r="X16" s="259" t="n"/>
      <c r="Y16" s="259" t="n"/>
      <c r="Z16" s="259" t="n">
        <v>846000000</v>
      </c>
      <c r="AA16" s="259" t="n"/>
      <c r="AB16" s="259" t="n"/>
      <c r="AC16" s="259" t="n"/>
      <c r="AD16" s="259" t="n">
        <v>2573000000</v>
      </c>
      <c r="AE16" s="259" t="n"/>
      <c r="AF16" s="259" t="n"/>
      <c r="AG16" s="259" t="n"/>
      <c r="AH16" s="259" t="n">
        <v>11063000000</v>
      </c>
      <c r="AI16" s="259" t="n"/>
      <c r="AJ16" s="259" t="n"/>
    </row>
    <row r="17">
      <c r="G17" t="inlineStr">
        <is>
          <t>moeda</t>
        </is>
      </c>
      <c r="H17" t="inlineStr">
        <is>
          <t>Resultado não operacional total = juros recebidos - juros pagos + outras (inclui ganhos/perdas em participações) - 9M acumulado (10-Q de out; na coluna do 3T)</t>
        </is>
      </c>
      <c r="J17" t="inlineStr">
        <is>
          <t>memoria</t>
        </is>
      </c>
      <c r="K17" s="259" t="n"/>
      <c r="L17" s="259" t="n"/>
      <c r="M17" s="259" t="n">
        <v>-86000000</v>
      </c>
      <c r="N17" s="259" t="n"/>
      <c r="O17" s="259" t="n"/>
      <c r="P17" s="259" t="n"/>
      <c r="Q17" s="259" t="n">
        <v>5000000</v>
      </c>
      <c r="R17" s="259" t="n"/>
      <c r="S17" s="259" t="n"/>
      <c r="T17" s="259" t="n"/>
      <c r="U17" s="259" t="n">
        <v>-75000000</v>
      </c>
      <c r="V17" s="259" t="n"/>
      <c r="W17" s="259" t="n"/>
      <c r="X17" s="259" t="n"/>
      <c r="Y17" s="259" t="n">
        <v>354000000</v>
      </c>
      <c r="Z17" s="259" t="n"/>
      <c r="AA17" s="259" t="n"/>
      <c r="AB17" s="259" t="n"/>
      <c r="AC17" s="259" t="n">
        <v>1390000000</v>
      </c>
      <c r="AD17" s="259" t="n"/>
      <c r="AE17" s="259" t="n"/>
      <c r="AF17" s="259" t="n"/>
      <c r="AG17" s="259" t="n">
        <v>4964000000</v>
      </c>
      <c r="AH17" s="259" t="n"/>
      <c r="AI17" s="259" t="n"/>
      <c r="AJ17" s="259" t="n"/>
    </row>
    <row r="18">
      <c r="G18" t="inlineStr">
        <is>
          <t>moeda</t>
        </is>
      </c>
      <c r="H18" t="inlineStr">
        <is>
          <t>Despesa de juros (divulgado positivo): COD1=5 lança a despesa; COD2=6 devolve ao não operacional, que já a contém - 3M (10-Q) [us-gaap:InterestExpense/InterestExpenseNonoperating]</t>
        </is>
      </c>
      <c r="J18" t="inlineStr">
        <is>
          <t>memoria</t>
        </is>
      </c>
      <c r="K18" s="259" t="n">
        <v>25000000</v>
      </c>
      <c r="L18" s="259" t="n">
        <v>54000000</v>
      </c>
      <c r="M18" s="259" t="n">
        <v>53000000</v>
      </c>
      <c r="N18" s="259" t="n"/>
      <c r="O18" s="259" t="n">
        <v>53000000</v>
      </c>
      <c r="P18" s="259" t="n">
        <v>60000000</v>
      </c>
      <c r="Q18" s="259" t="n">
        <v>62000000</v>
      </c>
      <c r="R18" s="259" t="n"/>
      <c r="S18" s="259" t="n">
        <v>68000000</v>
      </c>
      <c r="T18" s="259" t="n">
        <v>65000000</v>
      </c>
      <c r="U18" s="259" t="n">
        <v>65000000</v>
      </c>
      <c r="V18" s="259" t="n"/>
      <c r="W18" s="259" t="n">
        <v>66000000</v>
      </c>
      <c r="X18" s="259" t="n">
        <v>65000000</v>
      </c>
      <c r="Y18" s="259" t="n">
        <v>63000000</v>
      </c>
      <c r="Z18" s="259" t="n"/>
      <c r="AA18" s="259" t="n">
        <v>64000000</v>
      </c>
      <c r="AB18" s="259" t="n">
        <v>61000000</v>
      </c>
      <c r="AC18" s="259" t="n">
        <v>61000000</v>
      </c>
      <c r="AD18" s="259" t="n"/>
      <c r="AE18" s="259" t="n">
        <v>63000000</v>
      </c>
      <c r="AF18" s="259" t="n">
        <v>62000000</v>
      </c>
      <c r="AG18" s="259" t="n">
        <v>61000000</v>
      </c>
      <c r="AH18" s="259" t="n"/>
      <c r="AI18" s="259" t="n">
        <v>102000000</v>
      </c>
      <c r="AJ18" s="259" t="n">
        <v>227000000</v>
      </c>
    </row>
    <row r="19">
      <c r="G19" t="inlineStr">
        <is>
          <t>moeda</t>
        </is>
      </c>
      <c r="H19" t="inlineStr">
        <is>
          <t>Despesa de juros (divulgado positivo): COD1=5 lança a despesa; COD2=6 devolve ao não operacional, que já a contém - ano fiscal 12M (10-K; na coluna do 4T)</t>
        </is>
      </c>
      <c r="J19" t="inlineStr">
        <is>
          <t>memoria</t>
        </is>
      </c>
      <c r="K19" s="259" t="n"/>
      <c r="L19" s="259" t="n"/>
      <c r="M19" s="259" t="n"/>
      <c r="N19" s="259" t="n">
        <v>184000000</v>
      </c>
      <c r="O19" s="259" t="n"/>
      <c r="P19" s="259" t="n"/>
      <c r="Q19" s="259" t="n"/>
      <c r="R19" s="259" t="n">
        <v>236000000</v>
      </c>
      <c r="S19" s="259" t="n"/>
      <c r="T19" s="259" t="n"/>
      <c r="U19" s="259" t="n"/>
      <c r="V19" s="259" t="n">
        <v>262000000</v>
      </c>
      <c r="W19" s="259" t="n"/>
      <c r="X19" s="259" t="n"/>
      <c r="Y19" s="259" t="n"/>
      <c r="Z19" s="259" t="n">
        <v>257000000</v>
      </c>
      <c r="AA19" s="259" t="n"/>
      <c r="AB19" s="259" t="n"/>
      <c r="AC19" s="259" t="n"/>
      <c r="AD19" s="259" t="n">
        <v>247000000</v>
      </c>
      <c r="AE19" s="259" t="n"/>
      <c r="AF19" s="259" t="n"/>
      <c r="AG19" s="259" t="n"/>
      <c r="AH19" s="259" t="n">
        <v>259000000</v>
      </c>
      <c r="AI19" s="259" t="n"/>
      <c r="AJ19" s="259" t="n"/>
    </row>
    <row r="20">
      <c r="G20" t="inlineStr">
        <is>
          <t>moeda</t>
        </is>
      </c>
      <c r="H20" t="inlineStr">
        <is>
          <t>Despesa de juros (divulgado positivo): COD1=5 lança a despesa; COD2=6 devolve ao não operacional, que já a contém - 9M acumulado (10-Q de out; na coluna do 3T)</t>
        </is>
      </c>
      <c r="J20" t="inlineStr">
        <is>
          <t>memoria</t>
        </is>
      </c>
      <c r="K20" s="259" t="n"/>
      <c r="L20" s="259" t="n"/>
      <c r="M20" s="259" t="n">
        <v>131000000</v>
      </c>
      <c r="N20" s="259" t="n"/>
      <c r="O20" s="259" t="n"/>
      <c r="P20" s="259" t="n"/>
      <c r="Q20" s="259" t="n">
        <v>175000000</v>
      </c>
      <c r="R20" s="259" t="n"/>
      <c r="S20" s="259" t="n"/>
      <c r="T20" s="259" t="n"/>
      <c r="U20" s="259" t="n">
        <v>198000000</v>
      </c>
      <c r="V20" s="259" t="n"/>
      <c r="W20" s="259" t="n"/>
      <c r="X20" s="259" t="n"/>
      <c r="Y20" s="259" t="n">
        <v>194000000</v>
      </c>
      <c r="Z20" s="259" t="n"/>
      <c r="AA20" s="259" t="n"/>
      <c r="AB20" s="259" t="n"/>
      <c r="AC20" s="259" t="n">
        <v>186000000</v>
      </c>
      <c r="AD20" s="259" t="n"/>
      <c r="AE20" s="259" t="n"/>
      <c r="AF20" s="259" t="n"/>
      <c r="AG20" s="259" t="n">
        <v>186000000</v>
      </c>
      <c r="AH20" s="259" t="n"/>
      <c r="AI20" s="259" t="n"/>
      <c r="AJ20" s="259" t="n"/>
    </row>
    <row r="21">
      <c r="G21" t="inlineStr">
        <is>
          <t>moeda</t>
        </is>
      </c>
      <c r="H21" t="inlineStr">
        <is>
          <t>Receita de juros (memória; dentro do não operacional) - 3M (10-Q) [us-gaap:InvestmentIncomeInterest]</t>
        </is>
      </c>
      <c r="J21" t="inlineStr">
        <is>
          <t>memoria</t>
        </is>
      </c>
      <c r="K21" s="259" t="n">
        <v>31000000</v>
      </c>
      <c r="L21" s="259" t="n">
        <v>13000000</v>
      </c>
      <c r="M21" s="259" t="n">
        <v>7000000</v>
      </c>
      <c r="N21" s="259" t="n"/>
      <c r="O21" s="259" t="n">
        <v>6000000</v>
      </c>
      <c r="P21" s="259" t="n">
        <v>6000000</v>
      </c>
      <c r="Q21" s="259" t="n">
        <v>7000000</v>
      </c>
      <c r="R21" s="259" t="n"/>
      <c r="S21" s="259" t="n">
        <v>18000000</v>
      </c>
      <c r="T21" s="259" t="n">
        <v>46000000</v>
      </c>
      <c r="U21" s="259" t="n">
        <v>88000000</v>
      </c>
      <c r="V21" s="259" t="n"/>
      <c r="W21" s="259" t="n">
        <v>150000000</v>
      </c>
      <c r="X21" s="259" t="n">
        <v>187000000</v>
      </c>
      <c r="Y21" s="259" t="n">
        <v>234000000</v>
      </c>
      <c r="Z21" s="259" t="n"/>
      <c r="AA21" s="259" t="n">
        <v>359000000</v>
      </c>
      <c r="AB21" s="259" t="n">
        <v>444000000</v>
      </c>
      <c r="AC21" s="259" t="n">
        <v>472000000</v>
      </c>
      <c r="AD21" s="259" t="n"/>
      <c r="AE21" s="259" t="n">
        <v>515000000</v>
      </c>
      <c r="AF21" s="259" t="n">
        <v>592000000</v>
      </c>
      <c r="AG21" s="259" t="n">
        <v>624000000</v>
      </c>
      <c r="AH21" s="259" t="n"/>
      <c r="AI21" s="259" t="n">
        <v>540000000</v>
      </c>
      <c r="AJ21" s="259" t="n">
        <v>496000000</v>
      </c>
    </row>
    <row r="22">
      <c r="G22" t="inlineStr">
        <is>
          <t>moeda</t>
        </is>
      </c>
      <c r="H22" t="inlineStr">
        <is>
          <t>Receita de juros (memória; dentro do não operacional) - ano fiscal 12M (10-K; na coluna do 4T)</t>
        </is>
      </c>
      <c r="J22" t="inlineStr">
        <is>
          <t>memoria</t>
        </is>
      </c>
      <c r="K22" s="259" t="n"/>
      <c r="L22" s="259" t="n"/>
      <c r="M22" s="259" t="n"/>
      <c r="N22" s="259" t="n">
        <v>57000000</v>
      </c>
      <c r="O22" s="259" t="n"/>
      <c r="P22" s="259" t="n"/>
      <c r="Q22" s="259" t="n"/>
      <c r="R22" s="259" t="n">
        <v>29000000</v>
      </c>
      <c r="S22" s="259" t="n"/>
      <c r="T22" s="259" t="n"/>
      <c r="U22" s="259" t="n"/>
      <c r="V22" s="259" t="n">
        <v>267000000</v>
      </c>
      <c r="W22" s="259" t="n"/>
      <c r="X22" s="259" t="n"/>
      <c r="Y22" s="259" t="n"/>
      <c r="Z22" s="259" t="n">
        <v>866000000</v>
      </c>
      <c r="AA22" s="259" t="n"/>
      <c r="AB22" s="259" t="n"/>
      <c r="AC22" s="259" t="n"/>
      <c r="AD22" s="259" t="n">
        <v>1786000000</v>
      </c>
      <c r="AE22" s="259" t="n"/>
      <c r="AF22" s="259" t="n"/>
      <c r="AG22" s="259" t="n"/>
      <c r="AH22" s="259" t="n">
        <v>2300000000</v>
      </c>
      <c r="AI22" s="259" t="n"/>
      <c r="AJ22" s="259" t="n"/>
    </row>
    <row r="23">
      <c r="G23" t="inlineStr">
        <is>
          <t>moeda</t>
        </is>
      </c>
      <c r="H23" t="inlineStr">
        <is>
          <t>Receita de juros (memória; dentro do não operacional) - 9M acumulado (10-Q de out; na coluna do 3T)</t>
        </is>
      </c>
      <c r="J23" t="inlineStr">
        <is>
          <t>memoria</t>
        </is>
      </c>
      <c r="K23" s="259" t="n"/>
      <c r="L23" s="259" t="n"/>
      <c r="M23" s="259" t="n">
        <v>50000000</v>
      </c>
      <c r="N23" s="259" t="n"/>
      <c r="O23" s="259" t="n"/>
      <c r="P23" s="259" t="n"/>
      <c r="Q23" s="259" t="n">
        <v>20000000</v>
      </c>
      <c r="R23" s="259" t="n"/>
      <c r="S23" s="259" t="n"/>
      <c r="T23" s="259" t="n"/>
      <c r="U23" s="259" t="n">
        <v>152000000</v>
      </c>
      <c r="V23" s="259" t="n"/>
      <c r="W23" s="259" t="n"/>
      <c r="X23" s="259" t="n"/>
      <c r="Y23" s="259" t="n">
        <v>572000000</v>
      </c>
      <c r="Z23" s="259" t="n"/>
      <c r="AA23" s="259" t="n"/>
      <c r="AB23" s="259" t="n"/>
      <c r="AC23" s="259" t="n">
        <v>1275000000</v>
      </c>
      <c r="AD23" s="259" t="n"/>
      <c r="AE23" s="259" t="n"/>
      <c r="AF23" s="259" t="n"/>
      <c r="AG23" s="259" t="n">
        <v>1732000000</v>
      </c>
      <c r="AH23" s="259" t="n"/>
      <c r="AI23" s="259" t="n"/>
      <c r="AJ23" s="259" t="n"/>
    </row>
    <row r="24">
      <c r="G24" t="inlineStr">
        <is>
          <t>moeda</t>
        </is>
      </c>
      <c r="H24" t="inlineStr">
        <is>
          <t>Imposto de renda (divulgado positivo) - 3M (10-Q) [us-gaap:IncomeTaxExpenseBenefit]</t>
        </is>
      </c>
      <c r="J24" t="inlineStr">
        <is>
          <t>memoria</t>
        </is>
      </c>
      <c r="K24" s="259" t="n">
        <v>64000000</v>
      </c>
      <c r="L24" s="259" t="n">
        <v>-13000000</v>
      </c>
      <c r="M24" s="259" t="n">
        <v>12000000</v>
      </c>
      <c r="N24" s="259" t="n"/>
      <c r="O24" s="259" t="n">
        <v>132000000</v>
      </c>
      <c r="P24" s="259" t="n">
        <v>20000000</v>
      </c>
      <c r="Q24" s="259" t="n">
        <v>174000000</v>
      </c>
      <c r="R24" s="259" t="n"/>
      <c r="S24" s="259" t="n">
        <v>187000000</v>
      </c>
      <c r="T24" s="259" t="n">
        <v>-181000000</v>
      </c>
      <c r="U24" s="259" t="n">
        <v>-67000000</v>
      </c>
      <c r="V24" s="259" t="n"/>
      <c r="W24" s="259" t="n">
        <v>166000000</v>
      </c>
      <c r="X24" s="259" t="n">
        <v>793000000</v>
      </c>
      <c r="Y24" s="259" t="n">
        <v>1279000000</v>
      </c>
      <c r="Z24" s="259" t="n"/>
      <c r="AA24" s="259" t="n">
        <v>2398000000</v>
      </c>
      <c r="AB24" s="259" t="n">
        <v>2615000000</v>
      </c>
      <c r="AC24" s="259" t="n">
        <v>3007000000</v>
      </c>
      <c r="AD24" s="259" t="n"/>
      <c r="AE24" s="259" t="n">
        <v>3135000000</v>
      </c>
      <c r="AF24" s="259" t="n">
        <v>4784000000</v>
      </c>
      <c r="AG24" s="259" t="n">
        <v>6026000000</v>
      </c>
      <c r="AH24" s="259" t="n"/>
      <c r="AI24" s="259" t="n">
        <v>11582000000</v>
      </c>
      <c r="AJ24" s="259" t="n">
        <v>11819000000</v>
      </c>
    </row>
    <row r="25">
      <c r="G25" t="inlineStr">
        <is>
          <t>moeda</t>
        </is>
      </c>
      <c r="H25" t="inlineStr">
        <is>
          <t>Imposto de renda (divulgado positivo) - ano fiscal 12M (10-K; na coluna do 4T)</t>
        </is>
      </c>
      <c r="J25" t="inlineStr">
        <is>
          <t>memoria</t>
        </is>
      </c>
      <c r="K25" s="259" t="n"/>
      <c r="L25" s="259" t="n"/>
      <c r="M25" s="259" t="n"/>
      <c r="N25" s="259" t="n">
        <v>77000000</v>
      </c>
      <c r="O25" s="259" t="n"/>
      <c r="P25" s="259" t="n"/>
      <c r="Q25" s="259" t="n"/>
      <c r="R25" s="259" t="n">
        <v>189000000</v>
      </c>
      <c r="S25" s="259" t="n"/>
      <c r="T25" s="259" t="n"/>
      <c r="U25" s="259" t="n"/>
      <c r="V25" s="259" t="n">
        <v>-187000000</v>
      </c>
      <c r="W25" s="259" t="n"/>
      <c r="X25" s="259" t="n"/>
      <c r="Y25" s="259" t="n"/>
      <c r="Z25" s="259" t="n">
        <v>4058000000</v>
      </c>
      <c r="AA25" s="259" t="n"/>
      <c r="AB25" s="259" t="n"/>
      <c r="AC25" s="259" t="n"/>
      <c r="AD25" s="259" t="n">
        <v>11146000000</v>
      </c>
      <c r="AE25" s="259" t="n"/>
      <c r="AF25" s="259" t="n"/>
      <c r="AG25" s="259" t="n"/>
      <c r="AH25" s="259" t="n">
        <v>21383000000</v>
      </c>
      <c r="AI25" s="259" t="n"/>
      <c r="AJ25" s="259" t="n"/>
    </row>
    <row r="26">
      <c r="G26" t="inlineStr">
        <is>
          <t>moeda</t>
        </is>
      </c>
      <c r="H26" t="inlineStr">
        <is>
          <t>Imposto de renda (divulgado positivo) - 9M acumulado (10-Q de out; na coluna do 3T)</t>
        </is>
      </c>
      <c r="J26" t="inlineStr">
        <is>
          <t>memoria</t>
        </is>
      </c>
      <c r="K26" s="259" t="n"/>
      <c r="L26" s="259" t="n"/>
      <c r="M26" s="259" t="n">
        <v>64000000</v>
      </c>
      <c r="N26" s="259" t="n"/>
      <c r="O26" s="259" t="n"/>
      <c r="P26" s="259" t="n"/>
      <c r="Q26" s="259" t="n">
        <v>327000000</v>
      </c>
      <c r="R26" s="259" t="n"/>
      <c r="S26" s="259" t="n"/>
      <c r="T26" s="259" t="n"/>
      <c r="U26" s="259" t="n">
        <v>-61000000</v>
      </c>
      <c r="V26" s="259" t="n"/>
      <c r="W26" s="259" t="n"/>
      <c r="X26" s="259" t="n"/>
      <c r="Y26" s="259" t="n">
        <v>2237000000</v>
      </c>
      <c r="Z26" s="259" t="n"/>
      <c r="AA26" s="259" t="n"/>
      <c r="AB26" s="259" t="n"/>
      <c r="AC26" s="259" t="n">
        <v>8020000000</v>
      </c>
      <c r="AD26" s="259" t="n"/>
      <c r="AE26" s="259" t="n"/>
      <c r="AF26" s="259" t="n"/>
      <c r="AG26" s="259" t="n">
        <v>13945000000</v>
      </c>
      <c r="AH26" s="259" t="n"/>
      <c r="AI26" s="259" t="n"/>
      <c r="AJ26" s="259" t="n"/>
    </row>
    <row r="27">
      <c r="G27" t="inlineStr">
        <is>
          <t>moeda</t>
        </is>
      </c>
      <c r="H27" t="inlineStr">
        <is>
          <t>Lucro líquido - 3M (10-Q) [us-gaap:NetIncomeLoss]</t>
        </is>
      </c>
      <c r="J27" t="inlineStr">
        <is>
          <t>memoria</t>
        </is>
      </c>
      <c r="K27" s="259" t="n">
        <v>917000000</v>
      </c>
      <c r="L27" s="259" t="n">
        <v>622000000</v>
      </c>
      <c r="M27" s="259" t="n">
        <v>1336000000</v>
      </c>
      <c r="N27" s="259" t="n"/>
      <c r="O27" s="259" t="n">
        <v>1912000000</v>
      </c>
      <c r="P27" s="259" t="n">
        <v>2374000000</v>
      </c>
      <c r="Q27" s="259" t="n">
        <v>2464000000</v>
      </c>
      <c r="R27" s="259" t="n"/>
      <c r="S27" s="259" t="n">
        <v>1618000000</v>
      </c>
      <c r="T27" s="259" t="n">
        <v>656000000</v>
      </c>
      <c r="U27" s="259" t="n">
        <v>680000000</v>
      </c>
      <c r="V27" s="259" t="n"/>
      <c r="W27" s="259" t="n">
        <v>2043000000</v>
      </c>
      <c r="X27" s="259" t="n">
        <v>6188000000</v>
      </c>
      <c r="Y27" s="259" t="n">
        <v>9243000000</v>
      </c>
      <c r="Z27" s="259" t="n"/>
      <c r="AA27" s="259" t="n">
        <v>14881000000</v>
      </c>
      <c r="AB27" s="259" t="n">
        <v>16599000000</v>
      </c>
      <c r="AC27" s="259" t="n">
        <v>19309000000</v>
      </c>
      <c r="AD27" s="259" t="n"/>
      <c r="AE27" s="259" t="n">
        <v>18775000000</v>
      </c>
      <c r="AF27" s="259" t="n">
        <v>26422000000</v>
      </c>
      <c r="AG27" s="259" t="n">
        <v>31910000000</v>
      </c>
      <c r="AH27" s="259" t="n"/>
      <c r="AI27" s="259" t="n">
        <v>58321000000</v>
      </c>
      <c r="AJ27" s="259" t="n">
        <v>59688000000</v>
      </c>
    </row>
    <row r="28">
      <c r="G28" t="inlineStr">
        <is>
          <t>moeda</t>
        </is>
      </c>
      <c r="H28" t="inlineStr">
        <is>
          <t>Lucro líquido - ano fiscal 12M (10-K; na coluna do 4T)</t>
        </is>
      </c>
      <c r="J28" t="inlineStr">
        <is>
          <t>memoria</t>
        </is>
      </c>
      <c r="K28" s="259" t="n"/>
      <c r="L28" s="259" t="n"/>
      <c r="M28" s="259" t="n"/>
      <c r="N28" s="259" t="n">
        <v>4332000000</v>
      </c>
      <c r="O28" s="259" t="n"/>
      <c r="P28" s="259" t="n"/>
      <c r="Q28" s="259" t="n"/>
      <c r="R28" s="259" t="n">
        <v>9752000000</v>
      </c>
      <c r="S28" s="259" t="n"/>
      <c r="T28" s="259" t="n"/>
      <c r="U28" s="259" t="n"/>
      <c r="V28" s="259" t="n">
        <v>4368000000</v>
      </c>
      <c r="W28" s="259" t="n"/>
      <c r="X28" s="259" t="n"/>
      <c r="Y28" s="259" t="n"/>
      <c r="Z28" s="259" t="n">
        <v>29760000000</v>
      </c>
      <c r="AA28" s="259" t="n"/>
      <c r="AB28" s="259" t="n"/>
      <c r="AC28" s="259" t="n"/>
      <c r="AD28" s="259" t="n">
        <v>72880000000</v>
      </c>
      <c r="AE28" s="259" t="n"/>
      <c r="AF28" s="259" t="n"/>
      <c r="AG28" s="259" t="n"/>
      <c r="AH28" s="259" t="n">
        <v>120067000000</v>
      </c>
      <c r="AI28" s="259" t="n"/>
      <c r="AJ28" s="259" t="n"/>
    </row>
    <row r="29">
      <c r="G29" t="inlineStr">
        <is>
          <t>moeda</t>
        </is>
      </c>
      <c r="H29" t="inlineStr">
        <is>
          <t>Lucro líquido - 9M acumulado (10-Q de out; na coluna do 3T)</t>
        </is>
      </c>
      <c r="J29" t="inlineStr">
        <is>
          <t>memoria</t>
        </is>
      </c>
      <c r="K29" s="259" t="n"/>
      <c r="L29" s="259" t="n"/>
      <c r="M29" s="259" t="n">
        <v>2875000000</v>
      </c>
      <c r="N29" s="259" t="n"/>
      <c r="O29" s="259" t="n"/>
      <c r="P29" s="259" t="n"/>
      <c r="Q29" s="259" t="n">
        <v>6749000000</v>
      </c>
      <c r="R29" s="259" t="n"/>
      <c r="S29" s="259" t="n"/>
      <c r="T29" s="259" t="n"/>
      <c r="U29" s="259" t="n">
        <v>2954000000</v>
      </c>
      <c r="V29" s="259" t="n"/>
      <c r="W29" s="259" t="n"/>
      <c r="X29" s="259" t="n"/>
      <c r="Y29" s="259" t="n">
        <v>17475000000</v>
      </c>
      <c r="Z29" s="259" t="n"/>
      <c r="AA29" s="259" t="n"/>
      <c r="AB29" s="259" t="n"/>
      <c r="AC29" s="259" t="n">
        <v>50789000000</v>
      </c>
      <c r="AD29" s="259" t="n"/>
      <c r="AE29" s="259" t="n"/>
      <c r="AF29" s="259" t="n"/>
      <c r="AG29" s="259" t="n">
        <v>77107000000</v>
      </c>
      <c r="AH29" s="259" t="n"/>
      <c r="AI29" s="259" t="n"/>
      <c r="AJ29" s="259" t="n"/>
    </row>
    <row r="30">
      <c r="H30" s="254" t="inlineStr">
        <is>
          <t>DRE TRIMESTRALIZADA (derivada por fórmula): 4T calendário (nov-jan) = ano fiscal - 9M</t>
        </is>
      </c>
    </row>
    <row r="31">
      <c r="A31" t="n">
        <v>1</v>
      </c>
      <c r="B31" t="n">
        <v>1</v>
      </c>
      <c r="G31" t="inlineStr">
        <is>
          <t>moeda</t>
        </is>
      </c>
      <c r="H31" t="inlineStr">
        <is>
          <t>Receita (revenue) - trimestre</t>
        </is>
      </c>
      <c r="J31" t="inlineStr">
        <is>
          <t>derivada</t>
        </is>
      </c>
      <c r="K31" s="259">
        <f>K6</f>
        <v>3080000000</v>
      </c>
      <c r="L31" s="259">
        <f>L6</f>
        <v>3866000000</v>
      </c>
      <c r="M31" s="259">
        <f>M6</f>
        <v>4726000000</v>
      </c>
      <c r="N31" s="259">
        <f>N(N7)-N(M8)</f>
        <v>5003000000</v>
      </c>
      <c r="O31" s="259">
        <f>O6</f>
        <v>5661000000</v>
      </c>
      <c r="P31" s="259">
        <f>P6</f>
        <v>6507000000</v>
      </c>
      <c r="Q31" s="259">
        <f>Q6</f>
        <v>7103000000</v>
      </c>
      <c r="R31" s="259">
        <f>N(R7)-N(Q8)</f>
        <v>7643000000</v>
      </c>
      <c r="S31" s="259">
        <f>S6</f>
        <v>8288000000</v>
      </c>
      <c r="T31" s="259">
        <f>T6</f>
        <v>6704000000</v>
      </c>
      <c r="U31" s="259">
        <f>U6</f>
        <v>5931000000</v>
      </c>
      <c r="V31" s="259">
        <f>N(V7)-N(U8)</f>
        <v>6051000000</v>
      </c>
      <c r="W31" s="259">
        <f>W6</f>
        <v>7192000000</v>
      </c>
      <c r="X31" s="259">
        <f>X6</f>
        <v>13507000000</v>
      </c>
      <c r="Y31" s="259">
        <f>Y6</f>
        <v>18120000000</v>
      </c>
      <c r="Z31" s="259">
        <f>N(Z7)-N(Y8)</f>
        <v>22103000000</v>
      </c>
      <c r="AA31" s="259">
        <f>AA6</f>
        <v>26044000000</v>
      </c>
      <c r="AB31" s="259">
        <f>AB6</f>
        <v>30040000000</v>
      </c>
      <c r="AC31" s="259">
        <f>AC6</f>
        <v>35082000000</v>
      </c>
      <c r="AD31" s="259">
        <f>N(AD7)-N(AC8)</f>
        <v>39331000000</v>
      </c>
      <c r="AE31" s="259">
        <f>AE6</f>
        <v>44062000000</v>
      </c>
      <c r="AF31" s="259">
        <f>AF6</f>
        <v>46743000000</v>
      </c>
      <c r="AG31" s="259">
        <f>AG6</f>
        <v>57006000000</v>
      </c>
      <c r="AH31" s="259">
        <f>N(AH7)-N(AG8)</f>
        <v>68127000000</v>
      </c>
      <c r="AI31" s="259">
        <f>AI6</f>
        <v>81615000000</v>
      </c>
      <c r="AJ31" s="259">
        <f>AJ6</f>
        <v>96221000000</v>
      </c>
    </row>
    <row r="32">
      <c r="A32" t="n">
        <v>2</v>
      </c>
      <c r="B32" t="n">
        <v>-1</v>
      </c>
      <c r="G32" t="inlineStr">
        <is>
          <t>moeda</t>
        </is>
      </c>
      <c r="H32" t="inlineStr">
        <is>
          <t>Custo da receita (divulgado positivo) - trimestre</t>
        </is>
      </c>
      <c r="J32" t="inlineStr">
        <is>
          <t>derivada</t>
        </is>
      </c>
      <c r="K32" s="259">
        <f>K9</f>
        <v>1076000000</v>
      </c>
      <c r="L32" s="259">
        <f>L9</f>
        <v>1591000000</v>
      </c>
      <c r="M32" s="259">
        <f>M9</f>
        <v>1766000000</v>
      </c>
      <c r="N32" s="259">
        <f>N(N10)-N(M11)</f>
        <v>1847000000</v>
      </c>
      <c r="O32" s="259">
        <f>O9</f>
        <v>2032000000</v>
      </c>
      <c r="P32" s="259">
        <f>P9</f>
        <v>2292000000</v>
      </c>
      <c r="Q32" s="259">
        <f>Q9</f>
        <v>2472000000</v>
      </c>
      <c r="R32" s="259">
        <f>N(R10)-N(Q11)</f>
        <v>2644000000</v>
      </c>
      <c r="S32" s="259">
        <f>S9</f>
        <v>2857000000</v>
      </c>
      <c r="T32" s="259">
        <f>T9</f>
        <v>3789000000</v>
      </c>
      <c r="U32" s="259">
        <f>U9</f>
        <v>2754000000</v>
      </c>
      <c r="V32" s="259">
        <f>N(V10)-N(U11)</f>
        <v>2218000000</v>
      </c>
      <c r="W32" s="259">
        <f>W9</f>
        <v>2544000000</v>
      </c>
      <c r="X32" s="259">
        <f>X9</f>
        <v>4045000000</v>
      </c>
      <c r="Y32" s="259">
        <f>Y9</f>
        <v>4720000000</v>
      </c>
      <c r="Z32" s="259">
        <f>N(Z10)-N(Y11)</f>
        <v>5312000000</v>
      </c>
      <c r="AA32" s="259">
        <f>AA9</f>
        <v>5638000000</v>
      </c>
      <c r="AB32" s="259">
        <f>AB9</f>
        <v>7466000000</v>
      </c>
      <c r="AC32" s="259">
        <f>AC9</f>
        <v>8926000000</v>
      </c>
      <c r="AD32" s="259">
        <f>N(AD10)-N(AC11)</f>
        <v>10608000000</v>
      </c>
      <c r="AE32" s="259">
        <f>AE9</f>
        <v>17394000000</v>
      </c>
      <c r="AF32" s="259">
        <f>AF9</f>
        <v>12890000000</v>
      </c>
      <c r="AG32" s="259">
        <f>AG9</f>
        <v>15157000000</v>
      </c>
      <c r="AH32" s="259">
        <f>N(AH10)-N(AG11)</f>
        <v>17034000000</v>
      </c>
      <c r="AI32" s="259">
        <f>AI9</f>
        <v>20458000000</v>
      </c>
      <c r="AJ32" s="259">
        <f>AJ9</f>
        <v>24079000000</v>
      </c>
    </row>
    <row r="33">
      <c r="A33" t="n">
        <v>3</v>
      </c>
      <c r="B33" t="n">
        <v>-1</v>
      </c>
      <c r="G33" t="inlineStr">
        <is>
          <t>moeda</t>
        </is>
      </c>
      <c r="H33" t="inlineStr">
        <is>
          <t>Despesas operacionais totais = P&amp;D + SG&amp;A (+ custo de rescisão da aquisição da Arm no FQ1 FY23) (divulgado positivo) - trimestre</t>
        </is>
      </c>
      <c r="J33" t="inlineStr">
        <is>
          <t>derivada</t>
        </is>
      </c>
      <c r="K33" s="259">
        <f>K12</f>
        <v>1028000000</v>
      </c>
      <c r="L33" s="259">
        <f>L12</f>
        <v>1624000000</v>
      </c>
      <c r="M33" s="259">
        <f>M12</f>
        <v>1562000000</v>
      </c>
      <c r="N33" s="259">
        <f>N(N13)-N(M14)</f>
        <v>1649000000</v>
      </c>
      <c r="O33" s="259">
        <f>O12</f>
        <v>1673000000</v>
      </c>
      <c r="P33" s="259">
        <f>P12</f>
        <v>1771000000</v>
      </c>
      <c r="Q33" s="259">
        <f>Q12</f>
        <v>1960000000</v>
      </c>
      <c r="R33" s="259">
        <f>N(R13)-N(Q14)</f>
        <v>2029000000</v>
      </c>
      <c r="S33" s="259">
        <f>S12</f>
        <v>3563000000</v>
      </c>
      <c r="T33" s="259">
        <f>T12</f>
        <v>2416000000</v>
      </c>
      <c r="U33" s="259">
        <f>U12</f>
        <v>2576000000</v>
      </c>
      <c r="V33" s="259">
        <f>N(V13)-N(U14)</f>
        <v>2577000000</v>
      </c>
      <c r="W33" s="259">
        <f>W12</f>
        <v>2508000000</v>
      </c>
      <c r="X33" s="259">
        <f>X12</f>
        <v>2662000000</v>
      </c>
      <c r="Y33" s="259">
        <f>Y12</f>
        <v>2983000000</v>
      </c>
      <c r="Z33" s="259">
        <f>N(Z13)-N(Y14)</f>
        <v>3177000000</v>
      </c>
      <c r="AA33" s="259">
        <f>AA12</f>
        <v>3497000000</v>
      </c>
      <c r="AB33" s="259">
        <f>AB12</f>
        <v>3932000000</v>
      </c>
      <c r="AC33" s="259">
        <f>AC12</f>
        <v>4287000000</v>
      </c>
      <c r="AD33" s="259">
        <f>N(AD13)-N(AC14)</f>
        <v>4689000000</v>
      </c>
      <c r="AE33" s="259">
        <f>AE12</f>
        <v>5030000000</v>
      </c>
      <c r="AF33" s="259">
        <f>AF12</f>
        <v>5413000000</v>
      </c>
      <c r="AG33" s="259">
        <f>AG12</f>
        <v>5839000000</v>
      </c>
      <c r="AH33" s="259">
        <f>N(AH13)-N(AG14)</f>
        <v>6794000000</v>
      </c>
      <c r="AI33" s="259">
        <f>AI12</f>
        <v>7621000000</v>
      </c>
      <c r="AJ33" s="259">
        <f>AJ12</f>
        <v>8408000000</v>
      </c>
    </row>
    <row r="34">
      <c r="A34" t="n">
        <v>6</v>
      </c>
      <c r="B34" t="n">
        <v>1</v>
      </c>
      <c r="G34" t="inlineStr">
        <is>
          <t>moeda</t>
        </is>
      </c>
      <c r="H34" t="inlineStr">
        <is>
          <t>Resultado não operacional total = juros recebidos - juros pagos + outras (inclui ganhos/perdas em participações) - trimestre</t>
        </is>
      </c>
      <c r="J34" t="inlineStr">
        <is>
          <t>derivada</t>
        </is>
      </c>
      <c r="K34" s="259">
        <f>K15</f>
        <v>5000000</v>
      </c>
      <c r="L34" s="259">
        <f>L15</f>
        <v>-42000000</v>
      </c>
      <c r="M34" s="259">
        <f>M15</f>
        <v>-50000000</v>
      </c>
      <c r="N34" s="259">
        <f>N(N16)-N(M17)</f>
        <v>-37000000</v>
      </c>
      <c r="O34" s="259">
        <f>O15</f>
        <v>88000000</v>
      </c>
      <c r="P34" s="259">
        <f>P15</f>
        <v>-50000000</v>
      </c>
      <c r="Q34" s="259">
        <f>Q15</f>
        <v>-33000000</v>
      </c>
      <c r="R34" s="259">
        <f>N(R16)-N(Q17)</f>
        <v>-105000000</v>
      </c>
      <c r="S34" s="259">
        <f>S15</f>
        <v>-63000000</v>
      </c>
      <c r="T34" s="259">
        <f>T15</f>
        <v>-24000000</v>
      </c>
      <c r="U34" s="259">
        <f>U15</f>
        <v>12000000</v>
      </c>
      <c r="V34" s="259">
        <f>N(V16)-N(U17)</f>
        <v>32000000</v>
      </c>
      <c r="W34" s="259">
        <f>W15</f>
        <v>69000000</v>
      </c>
      <c r="X34" s="259">
        <f>X15</f>
        <v>181000000</v>
      </c>
      <c r="Y34" s="259">
        <f>Y15</f>
        <v>105000000</v>
      </c>
      <c r="Z34" s="259">
        <f>N(Z16)-N(Y17)</f>
        <v>492000000</v>
      </c>
      <c r="AA34" s="259">
        <f>AA15</f>
        <v>370000000</v>
      </c>
      <c r="AB34" s="259">
        <f>AB15</f>
        <v>572000000</v>
      </c>
      <c r="AC34" s="259">
        <f>AC15</f>
        <v>447000000</v>
      </c>
      <c r="AD34" s="259">
        <f>N(AD16)-N(AC17)</f>
        <v>1183000000</v>
      </c>
      <c r="AE34" s="259">
        <f>AE15</f>
        <v>272000000</v>
      </c>
      <c r="AF34" s="259">
        <f>AF15</f>
        <v>2766000000</v>
      </c>
      <c r="AG34" s="259">
        <f>AG15</f>
        <v>1926000000</v>
      </c>
      <c r="AH34" s="259">
        <f>N(AH16)-N(AG17)</f>
        <v>6099000000</v>
      </c>
      <c r="AI34" s="259">
        <f>AI15</f>
        <v>16367000000</v>
      </c>
      <c r="AJ34" s="259">
        <f>AJ15</f>
        <v>7773000000</v>
      </c>
    </row>
    <row r="35">
      <c r="A35" t="n">
        <v>5</v>
      </c>
      <c r="B35" t="n">
        <v>-1</v>
      </c>
      <c r="C35" t="n">
        <v>6</v>
      </c>
      <c r="D35" t="n">
        <v>1</v>
      </c>
      <c r="G35" t="inlineStr">
        <is>
          <t>moeda</t>
        </is>
      </c>
      <c r="H35" t="inlineStr">
        <is>
          <t>Despesa de juros (divulgado positivo): COD1=5 lança a despesa; COD2=6 devolve ao não operacional, que já a contém - trimestre</t>
        </is>
      </c>
      <c r="J35" t="inlineStr">
        <is>
          <t>derivada</t>
        </is>
      </c>
      <c r="K35" s="259">
        <f>K18</f>
        <v>25000000</v>
      </c>
      <c r="L35" s="259">
        <f>L18</f>
        <v>54000000</v>
      </c>
      <c r="M35" s="259">
        <f>M18</f>
        <v>53000000</v>
      </c>
      <c r="N35" s="259">
        <f>N(N19)-N(M20)</f>
        <v>53000000</v>
      </c>
      <c r="O35" s="259">
        <f>O18</f>
        <v>53000000</v>
      </c>
      <c r="P35" s="259">
        <f>P18</f>
        <v>60000000</v>
      </c>
      <c r="Q35" s="259">
        <f>Q18</f>
        <v>62000000</v>
      </c>
      <c r="R35" s="259">
        <f>N(R19)-N(Q20)</f>
        <v>61000000</v>
      </c>
      <c r="S35" s="259">
        <f>S18</f>
        <v>68000000</v>
      </c>
      <c r="T35" s="259">
        <f>T18</f>
        <v>65000000</v>
      </c>
      <c r="U35" s="259">
        <f>U18</f>
        <v>65000000</v>
      </c>
      <c r="V35" s="259">
        <f>N(V19)-N(U20)</f>
        <v>64000000</v>
      </c>
      <c r="W35" s="259">
        <f>W18</f>
        <v>66000000</v>
      </c>
      <c r="X35" s="259">
        <f>X18</f>
        <v>65000000</v>
      </c>
      <c r="Y35" s="259">
        <f>Y18</f>
        <v>63000000</v>
      </c>
      <c r="Z35" s="259">
        <f>N(Z19)-N(Y20)</f>
        <v>63000000</v>
      </c>
      <c r="AA35" s="259">
        <f>AA18</f>
        <v>64000000</v>
      </c>
      <c r="AB35" s="259">
        <f>AB18</f>
        <v>61000000</v>
      </c>
      <c r="AC35" s="259">
        <f>AC18</f>
        <v>61000000</v>
      </c>
      <c r="AD35" s="259">
        <f>N(AD19)-N(AC20)</f>
        <v>61000000</v>
      </c>
      <c r="AE35" s="259">
        <f>AE18</f>
        <v>63000000</v>
      </c>
      <c r="AF35" s="259">
        <f>AF18</f>
        <v>62000000</v>
      </c>
      <c r="AG35" s="259">
        <f>AG18</f>
        <v>61000000</v>
      </c>
      <c r="AH35" s="259">
        <f>N(AH19)-N(AG20)</f>
        <v>73000000</v>
      </c>
      <c r="AI35" s="259">
        <f>AI18</f>
        <v>102000000</v>
      </c>
      <c r="AJ35" s="259">
        <f>AJ18</f>
        <v>227000000</v>
      </c>
    </row>
    <row r="36">
      <c r="G36" t="inlineStr">
        <is>
          <t>moeda</t>
        </is>
      </c>
      <c r="H36" t="inlineStr">
        <is>
          <t>Receita de juros (memória; dentro do não operacional) - trimestre</t>
        </is>
      </c>
      <c r="J36" t="inlineStr">
        <is>
          <t>derivada</t>
        </is>
      </c>
      <c r="K36" s="259">
        <f>K21</f>
        <v>31000000</v>
      </c>
      <c r="L36" s="259">
        <f>L21</f>
        <v>13000000</v>
      </c>
      <c r="M36" s="259">
        <f>M21</f>
        <v>7000000</v>
      </c>
      <c r="N36" s="259">
        <f>N(N22)-N(M23)</f>
        <v>7000000</v>
      </c>
      <c r="O36" s="259">
        <f>O21</f>
        <v>6000000</v>
      </c>
      <c r="P36" s="259">
        <f>P21</f>
        <v>6000000</v>
      </c>
      <c r="Q36" s="259">
        <f>Q21</f>
        <v>7000000</v>
      </c>
      <c r="R36" s="259">
        <f>N(R22)-N(Q23)</f>
        <v>9000000</v>
      </c>
      <c r="S36" s="259">
        <f>S21</f>
        <v>18000000</v>
      </c>
      <c r="T36" s="259">
        <f>T21</f>
        <v>46000000</v>
      </c>
      <c r="U36" s="259">
        <f>U21</f>
        <v>88000000</v>
      </c>
      <c r="V36" s="259">
        <f>N(V22)-N(U23)</f>
        <v>115000000</v>
      </c>
      <c r="W36" s="259">
        <f>W21</f>
        <v>150000000</v>
      </c>
      <c r="X36" s="259">
        <f>X21</f>
        <v>187000000</v>
      </c>
      <c r="Y36" s="259">
        <f>Y21</f>
        <v>234000000</v>
      </c>
      <c r="Z36" s="259">
        <f>N(Z22)-N(Y23)</f>
        <v>294000000</v>
      </c>
      <c r="AA36" s="259">
        <f>AA21</f>
        <v>359000000</v>
      </c>
      <c r="AB36" s="259">
        <f>AB21</f>
        <v>444000000</v>
      </c>
      <c r="AC36" s="259">
        <f>AC21</f>
        <v>472000000</v>
      </c>
      <c r="AD36" s="259">
        <f>N(AD22)-N(AC23)</f>
        <v>511000000</v>
      </c>
      <c r="AE36" s="259">
        <f>AE21</f>
        <v>515000000</v>
      </c>
      <c r="AF36" s="259">
        <f>AF21</f>
        <v>592000000</v>
      </c>
      <c r="AG36" s="259">
        <f>AG21</f>
        <v>624000000</v>
      </c>
      <c r="AH36" s="259">
        <f>N(AH22)-N(AG23)</f>
        <v>568000000</v>
      </c>
      <c r="AI36" s="259">
        <f>AI21</f>
        <v>540000000</v>
      </c>
      <c r="AJ36" s="259">
        <f>AJ21</f>
        <v>496000000</v>
      </c>
    </row>
    <row r="37">
      <c r="A37" t="n">
        <v>7</v>
      </c>
      <c r="B37" t="n">
        <v>-1</v>
      </c>
      <c r="G37" t="inlineStr">
        <is>
          <t>moeda</t>
        </is>
      </c>
      <c r="H37" t="inlineStr">
        <is>
          <t>Imposto de renda (divulgado positivo) - trimestre</t>
        </is>
      </c>
      <c r="J37" t="inlineStr">
        <is>
          <t>derivada</t>
        </is>
      </c>
      <c r="K37" s="259">
        <f>K24</f>
        <v>64000000</v>
      </c>
      <c r="L37" s="259">
        <f>L24</f>
        <v>-13000000</v>
      </c>
      <c r="M37" s="259">
        <f>M24</f>
        <v>12000000</v>
      </c>
      <c r="N37" s="259">
        <f>N(N25)-N(M26)</f>
        <v>13000000</v>
      </c>
      <c r="O37" s="259">
        <f>O24</f>
        <v>132000000</v>
      </c>
      <c r="P37" s="259">
        <f>P24</f>
        <v>20000000</v>
      </c>
      <c r="Q37" s="259">
        <f>Q24</f>
        <v>174000000</v>
      </c>
      <c r="R37" s="259">
        <f>N(R25)-N(Q26)</f>
        <v>-138000000</v>
      </c>
      <c r="S37" s="259">
        <f>S24</f>
        <v>187000000</v>
      </c>
      <c r="T37" s="259">
        <f>T24</f>
        <v>-181000000</v>
      </c>
      <c r="U37" s="259">
        <f>U24</f>
        <v>-67000000</v>
      </c>
      <c r="V37" s="259">
        <f>N(V25)-N(U26)</f>
        <v>-126000000</v>
      </c>
      <c r="W37" s="259">
        <f>W24</f>
        <v>166000000</v>
      </c>
      <c r="X37" s="259">
        <f>X24</f>
        <v>793000000</v>
      </c>
      <c r="Y37" s="259">
        <f>Y24</f>
        <v>1279000000</v>
      </c>
      <c r="Z37" s="259">
        <f>N(Z25)-N(Y26)</f>
        <v>1821000000</v>
      </c>
      <c r="AA37" s="259">
        <f>AA24</f>
        <v>2398000000</v>
      </c>
      <c r="AB37" s="259">
        <f>AB24</f>
        <v>2615000000</v>
      </c>
      <c r="AC37" s="259">
        <f>AC24</f>
        <v>3007000000</v>
      </c>
      <c r="AD37" s="259">
        <f>N(AD25)-N(AC26)</f>
        <v>3126000000</v>
      </c>
      <c r="AE37" s="259">
        <f>AE24</f>
        <v>3135000000</v>
      </c>
      <c r="AF37" s="259">
        <f>AF24</f>
        <v>4784000000</v>
      </c>
      <c r="AG37" s="259">
        <f>AG24</f>
        <v>6026000000</v>
      </c>
      <c r="AH37" s="259">
        <f>N(AH25)-N(AG26)</f>
        <v>7438000000</v>
      </c>
      <c r="AI37" s="259">
        <f>AI24</f>
        <v>11582000000</v>
      </c>
      <c r="AJ37" s="259">
        <f>AJ24</f>
        <v>11819000000</v>
      </c>
    </row>
    <row r="38">
      <c r="A38" t="n">
        <v>44</v>
      </c>
      <c r="B38" t="n">
        <v>1</v>
      </c>
      <c r="G38" t="inlineStr">
        <is>
          <t>moeda</t>
        </is>
      </c>
      <c r="H38" t="inlineStr">
        <is>
          <t>Lucro líquido - trimestre</t>
        </is>
      </c>
      <c r="J38" t="inlineStr">
        <is>
          <t>derivada</t>
        </is>
      </c>
      <c r="K38" s="259">
        <f>K27</f>
        <v>917000000</v>
      </c>
      <c r="L38" s="259">
        <f>L27</f>
        <v>622000000</v>
      </c>
      <c r="M38" s="259">
        <f>M27</f>
        <v>1336000000</v>
      </c>
      <c r="N38" s="259">
        <f>N(N28)-N(M29)</f>
        <v>1457000000</v>
      </c>
      <c r="O38" s="259">
        <f>O27</f>
        <v>1912000000</v>
      </c>
      <c r="P38" s="259">
        <f>P27</f>
        <v>2374000000</v>
      </c>
      <c r="Q38" s="259">
        <f>Q27</f>
        <v>2464000000</v>
      </c>
      <c r="R38" s="259">
        <f>N(R28)-N(Q29)</f>
        <v>3003000000</v>
      </c>
      <c r="S38" s="259">
        <f>S27</f>
        <v>1618000000</v>
      </c>
      <c r="T38" s="259">
        <f>T27</f>
        <v>656000000</v>
      </c>
      <c r="U38" s="259">
        <f>U27</f>
        <v>680000000</v>
      </c>
      <c r="V38" s="259">
        <f>N(V28)-N(U29)</f>
        <v>1414000000</v>
      </c>
      <c r="W38" s="259">
        <f>W27</f>
        <v>2043000000</v>
      </c>
      <c r="X38" s="259">
        <f>X27</f>
        <v>6188000000</v>
      </c>
      <c r="Y38" s="259">
        <f>Y27</f>
        <v>9243000000</v>
      </c>
      <c r="Z38" s="259">
        <f>N(Z28)-N(Y29)</f>
        <v>12285000000</v>
      </c>
      <c r="AA38" s="259">
        <f>AA27</f>
        <v>14881000000</v>
      </c>
      <c r="AB38" s="259">
        <f>AB27</f>
        <v>16599000000</v>
      </c>
      <c r="AC38" s="259">
        <f>AC27</f>
        <v>19309000000</v>
      </c>
      <c r="AD38" s="259">
        <f>N(AD28)-N(AC29)</f>
        <v>22091000000</v>
      </c>
      <c r="AE38" s="259">
        <f>AE27</f>
        <v>18775000000</v>
      </c>
      <c r="AF38" s="259">
        <f>AF27</f>
        <v>26422000000</v>
      </c>
      <c r="AG38" s="259">
        <f>AG27</f>
        <v>31910000000</v>
      </c>
      <c r="AH38" s="259">
        <f>N(AH28)-N(AG29)</f>
        <v>42960000000</v>
      </c>
      <c r="AI38" s="259">
        <f>AI27</f>
        <v>58321000000</v>
      </c>
      <c r="AJ38" s="259">
        <f>AJ27</f>
        <v>59688000000</v>
      </c>
    </row>
    <row r="39">
      <c r="H39" s="254" t="inlineStr">
        <is>
          <t>DFC - ACUMULADO NO ANO FISCAL (USD): 3M (abr), 6M (jul), 9M (out), 12M (jan)</t>
        </is>
      </c>
    </row>
    <row r="40">
      <c r="G40" t="inlineStr">
        <is>
          <t>moeda</t>
        </is>
      </c>
      <c r="H40" t="inlineStr">
        <is>
          <t>Depreciação e amortização - acumulado no ano fiscal [us-gaap:DepreciationDepletionAndAmortization/DepreciationAndAmortization]</t>
        </is>
      </c>
      <c r="J40" t="inlineStr">
        <is>
          <t>memoria</t>
        </is>
      </c>
      <c r="K40" s="259" t="n">
        <v>107000000</v>
      </c>
      <c r="L40" s="259" t="n">
        <v>511000000</v>
      </c>
      <c r="M40" s="259" t="n">
        <v>810000000</v>
      </c>
      <c r="N40" s="259" t="n">
        <v>1098000000</v>
      </c>
      <c r="O40" s="259" t="n">
        <v>281000000</v>
      </c>
      <c r="P40" s="259" t="n">
        <v>567000000</v>
      </c>
      <c r="Q40" s="259" t="n">
        <v>865000000</v>
      </c>
      <c r="R40" s="259" t="n">
        <v>1174000000</v>
      </c>
      <c r="S40" s="259" t="n">
        <v>334000000</v>
      </c>
      <c r="T40" s="259" t="n">
        <v>712000000</v>
      </c>
      <c r="U40" s="259" t="n">
        <v>1118000000</v>
      </c>
      <c r="V40" s="259" t="n">
        <v>1544000000</v>
      </c>
      <c r="W40" s="259" t="n">
        <v>384000000</v>
      </c>
      <c r="X40" s="259" t="n">
        <v>749000000</v>
      </c>
      <c r="Y40" s="259" t="n">
        <v>1121000000</v>
      </c>
      <c r="Z40" s="259" t="n">
        <v>1508000000</v>
      </c>
      <c r="AA40" s="259" t="n">
        <v>410000000</v>
      </c>
      <c r="AB40" s="259" t="n">
        <v>843000000</v>
      </c>
      <c r="AC40" s="259" t="n">
        <v>1321000000</v>
      </c>
      <c r="AD40" s="259" t="n">
        <v>1864000000</v>
      </c>
      <c r="AE40" s="259" t="n">
        <v>611000000</v>
      </c>
      <c r="AF40" s="259" t="n">
        <v>1280000000</v>
      </c>
      <c r="AG40" s="259" t="n">
        <v>2031000000</v>
      </c>
      <c r="AH40" s="259" t="n">
        <v>2843000000</v>
      </c>
      <c r="AI40" s="259" t="n">
        <v>997000000</v>
      </c>
      <c r="AJ40" s="259" t="n">
        <v>2124000000</v>
      </c>
    </row>
    <row r="41">
      <c r="G41" t="inlineStr">
        <is>
          <t>moeda</t>
        </is>
      </c>
      <c r="H41" t="inlineStr">
        <is>
          <t>Dividendos pagos - acumulado no ano fiscal [us-gaap:PaymentsOfDividends]</t>
        </is>
      </c>
      <c r="J41" t="inlineStr">
        <is>
          <t>memoria</t>
        </is>
      </c>
      <c r="K41" s="259" t="n">
        <v>98000000</v>
      </c>
      <c r="L41" s="259" t="n">
        <v>197000000</v>
      </c>
      <c r="M41" s="259" t="n">
        <v>296000000</v>
      </c>
      <c r="N41" s="259" t="n">
        <v>395000000</v>
      </c>
      <c r="O41" s="259" t="n">
        <v>99000000</v>
      </c>
      <c r="P41" s="259" t="n">
        <v>198000000</v>
      </c>
      <c r="Q41" s="259" t="n">
        <v>298000000</v>
      </c>
      <c r="R41" s="259" t="n">
        <v>399000000</v>
      </c>
      <c r="S41" s="259" t="n">
        <v>100000000</v>
      </c>
      <c r="T41" s="259" t="n">
        <v>200000000</v>
      </c>
      <c r="U41" s="259" t="n">
        <v>300000000</v>
      </c>
      <c r="V41" s="259" t="n">
        <v>398000000</v>
      </c>
      <c r="W41" s="259" t="n">
        <v>99000000</v>
      </c>
      <c r="X41" s="259" t="n">
        <v>199000000</v>
      </c>
      <c r="Y41" s="259" t="n">
        <v>296000000</v>
      </c>
      <c r="Z41" s="259" t="n">
        <v>395000000</v>
      </c>
      <c r="AA41" s="259" t="n">
        <v>98000000</v>
      </c>
      <c r="AB41" s="259" t="n">
        <v>344000000</v>
      </c>
      <c r="AC41" s="259" t="n">
        <v>589000000</v>
      </c>
      <c r="AD41" s="259" t="n">
        <v>834000000</v>
      </c>
      <c r="AE41" s="259" t="n">
        <v>244000000</v>
      </c>
      <c r="AF41" s="259" t="n">
        <v>488000000</v>
      </c>
      <c r="AG41" s="259" t="n">
        <v>732000000</v>
      </c>
      <c r="AH41" s="259" t="n">
        <v>974000000</v>
      </c>
      <c r="AI41" s="259" t="n">
        <v>243000000</v>
      </c>
      <c r="AJ41" s="259" t="n">
        <v>6290000000</v>
      </c>
    </row>
    <row r="42">
      <c r="A42" t="n">
        <v>4</v>
      </c>
      <c r="B42" t="n">
        <v>-1</v>
      </c>
      <c r="C42" t="n">
        <v>3</v>
      </c>
      <c r="D42" t="n">
        <v>1</v>
      </c>
      <c r="G42" t="inlineStr">
        <is>
          <t>moeda</t>
        </is>
      </c>
      <c r="H42" t="inlineStr">
        <is>
          <t>D&amp;A trimestral (desacumulada). COD1=4 lança (positivo -&gt; -1); COD2=3 devolve às despesas operacionais (a NVIDIA não abre D&amp;A entre custo e despesa)</t>
        </is>
      </c>
      <c r="J42" t="inlineStr">
        <is>
          <t>derivada</t>
        </is>
      </c>
      <c r="K42" s="259">
        <f>N(K40)</f>
        <v>107000000</v>
      </c>
      <c r="L42" s="259">
        <f>N(L40)-N(K40)</f>
        <v>404000000</v>
      </c>
      <c r="M42" s="259">
        <f>N(M40)-N(L40)</f>
        <v>299000000</v>
      </c>
      <c r="N42" s="259">
        <f>N(N40)-N(M40)</f>
        <v>288000000</v>
      </c>
      <c r="O42" s="259">
        <f>N(O40)</f>
        <v>281000000</v>
      </c>
      <c r="P42" s="259">
        <f>N(P40)-N(O40)</f>
        <v>286000000</v>
      </c>
      <c r="Q42" s="259">
        <f>N(Q40)-N(P40)</f>
        <v>298000000</v>
      </c>
      <c r="R42" s="259">
        <f>N(R40)-N(Q40)</f>
        <v>309000000</v>
      </c>
      <c r="S42" s="259">
        <f>N(S40)</f>
        <v>334000000</v>
      </c>
      <c r="T42" s="259">
        <f>N(T40)-N(S40)</f>
        <v>378000000</v>
      </c>
      <c r="U42" s="259">
        <f>N(U40)-N(T40)</f>
        <v>406000000</v>
      </c>
      <c r="V42" s="259">
        <f>N(V40)-N(U40)</f>
        <v>426000000</v>
      </c>
      <c r="W42" s="259">
        <f>N(W40)</f>
        <v>384000000</v>
      </c>
      <c r="X42" s="259">
        <f>N(X40)-N(W40)</f>
        <v>365000000</v>
      </c>
      <c r="Y42" s="259">
        <f>N(Y40)-N(X40)</f>
        <v>372000000</v>
      </c>
      <c r="Z42" s="259">
        <f>N(Z40)-N(Y40)</f>
        <v>387000000</v>
      </c>
      <c r="AA42" s="259">
        <f>N(AA40)</f>
        <v>410000000</v>
      </c>
      <c r="AB42" s="259">
        <f>N(AB40)-N(AA40)</f>
        <v>433000000</v>
      </c>
      <c r="AC42" s="259">
        <f>N(AC40)-N(AB40)</f>
        <v>478000000</v>
      </c>
      <c r="AD42" s="259">
        <f>N(AD40)-N(AC40)</f>
        <v>543000000</v>
      </c>
      <c r="AE42" s="259">
        <f>N(AE40)</f>
        <v>611000000</v>
      </c>
      <c r="AF42" s="259">
        <f>N(AF40)-N(AE40)</f>
        <v>669000000</v>
      </c>
      <c r="AG42" s="259">
        <f>N(AG40)-N(AF40)</f>
        <v>751000000</v>
      </c>
      <c r="AH42" s="259">
        <f>N(AH40)-N(AG40)</f>
        <v>812000000</v>
      </c>
      <c r="AI42" s="259">
        <f>N(AI40)</f>
        <v>997000000</v>
      </c>
      <c r="AJ42" s="259">
        <f>N(AJ40)-N(AI40)</f>
        <v>1127000000</v>
      </c>
    </row>
    <row r="43">
      <c r="A43" t="n">
        <v>10</v>
      </c>
      <c r="B43" t="n">
        <v>-1</v>
      </c>
      <c r="G43" t="inlineStr">
        <is>
          <t>moeda</t>
        </is>
      </c>
      <c r="H43" t="inlineStr">
        <is>
          <t>Dividendos pagos - trimestre (desacumulado)</t>
        </is>
      </c>
      <c r="J43" t="inlineStr">
        <is>
          <t>derivada</t>
        </is>
      </c>
      <c r="K43" s="259">
        <f>N(K41)</f>
        <v>98000000</v>
      </c>
      <c r="L43" s="259">
        <f>N(L41)-N(K41)</f>
        <v>99000000</v>
      </c>
      <c r="M43" s="259">
        <f>N(M41)-N(L41)</f>
        <v>99000000</v>
      </c>
      <c r="N43" s="259">
        <f>N(N41)-N(M41)</f>
        <v>99000000</v>
      </c>
      <c r="O43" s="259">
        <f>N(O41)</f>
        <v>99000000</v>
      </c>
      <c r="P43" s="259">
        <f>N(P41)-N(O41)</f>
        <v>99000000</v>
      </c>
      <c r="Q43" s="259">
        <f>N(Q41)-N(P41)</f>
        <v>100000000</v>
      </c>
      <c r="R43" s="259">
        <f>N(R41)-N(Q41)</f>
        <v>101000000</v>
      </c>
      <c r="S43" s="259">
        <f>N(S41)</f>
        <v>100000000</v>
      </c>
      <c r="T43" s="259">
        <f>N(T41)-N(S41)</f>
        <v>100000000</v>
      </c>
      <c r="U43" s="259">
        <f>N(U41)-N(T41)</f>
        <v>100000000</v>
      </c>
      <c r="V43" s="259">
        <f>N(V41)-N(U41)</f>
        <v>98000000</v>
      </c>
      <c r="W43" s="259">
        <f>N(W41)</f>
        <v>99000000</v>
      </c>
      <c r="X43" s="259">
        <f>N(X41)-N(W41)</f>
        <v>100000000</v>
      </c>
      <c r="Y43" s="259">
        <f>N(Y41)-N(X41)</f>
        <v>97000000</v>
      </c>
      <c r="Z43" s="259">
        <f>N(Z41)-N(Y41)</f>
        <v>99000000</v>
      </c>
      <c r="AA43" s="259">
        <f>N(AA41)</f>
        <v>98000000</v>
      </c>
      <c r="AB43" s="259">
        <f>N(AB41)-N(AA41)</f>
        <v>246000000</v>
      </c>
      <c r="AC43" s="259">
        <f>N(AC41)-N(AB41)</f>
        <v>245000000</v>
      </c>
      <c r="AD43" s="259">
        <f>N(AD41)-N(AC41)</f>
        <v>245000000</v>
      </c>
      <c r="AE43" s="259">
        <f>N(AE41)</f>
        <v>244000000</v>
      </c>
      <c r="AF43" s="259">
        <f>N(AF41)-N(AE41)</f>
        <v>244000000</v>
      </c>
      <c r="AG43" s="259">
        <f>N(AG41)-N(AF41)</f>
        <v>244000000</v>
      </c>
      <c r="AH43" s="259">
        <f>N(AH41)-N(AG41)</f>
        <v>242000000</v>
      </c>
      <c r="AI43" s="259">
        <f>N(AI41)</f>
        <v>243000000</v>
      </c>
      <c r="AJ43" s="259">
        <f>N(AJ41)-N(AI41)</f>
        <v>6047000000</v>
      </c>
    </row>
    <row r="44">
      <c r="H44" s="254" t="inlineStr">
        <is>
          <t>BALANÇO (USD, saldo no fim do trimestre; cada trimestre lido da instância XBRL do próprio 10-Q/10-K; 4T25 da coluna comparativa do 10-Q de abr/26, que separa títulos de dívida e ações listadas)</t>
        </is>
      </c>
    </row>
    <row r="45">
      <c r="A45" t="n">
        <v>11</v>
      </c>
      <c r="B45" t="n">
        <v>1</v>
      </c>
      <c r="G45" t="inlineStr">
        <is>
          <t>moeda</t>
        </is>
      </c>
      <c r="H45" t="inlineStr">
        <is>
          <t>Caixa e equivalentes [us-gaap/nvda:CashAndCashEquivalentsAtCarryingValue]</t>
        </is>
      </c>
      <c r="J45" t="inlineStr">
        <is>
          <t>fonte</t>
        </is>
      </c>
      <c r="K45" s="259" t="n">
        <v>15494000000</v>
      </c>
      <c r="L45" s="259" t="n">
        <v>3274000000</v>
      </c>
      <c r="M45" s="259" t="n">
        <v>2251000000</v>
      </c>
      <c r="N45" s="259" t="n">
        <v>847000000</v>
      </c>
      <c r="O45" s="259" t="n">
        <v>978000000</v>
      </c>
      <c r="P45" s="259" t="n">
        <v>5628000000</v>
      </c>
      <c r="Q45" s="259" t="n">
        <v>1288000000</v>
      </c>
      <c r="R45" s="259" t="n">
        <v>1990000000</v>
      </c>
      <c r="S45" s="259" t="n">
        <v>3887000000</v>
      </c>
      <c r="T45" s="259" t="n">
        <v>3013000000</v>
      </c>
      <c r="U45" s="259" t="n">
        <v>2800000000</v>
      </c>
      <c r="V45" s="259" t="n">
        <v>3389000000</v>
      </c>
      <c r="W45" s="259" t="n">
        <v>5079000000</v>
      </c>
      <c r="X45" s="259" t="n">
        <v>5783000000</v>
      </c>
      <c r="Y45" s="259" t="n">
        <v>5519000000</v>
      </c>
      <c r="Z45" s="259" t="n">
        <v>7280000000</v>
      </c>
      <c r="AA45" s="259" t="n">
        <v>7587000000</v>
      </c>
      <c r="AB45" s="259" t="n">
        <v>8563000000</v>
      </c>
      <c r="AC45" s="259" t="n">
        <v>9107000000</v>
      </c>
      <c r="AD45" s="259" t="n">
        <v>8589000000</v>
      </c>
      <c r="AE45" s="259" t="n">
        <v>15234000000</v>
      </c>
      <c r="AF45" s="259" t="n">
        <v>11639000000</v>
      </c>
      <c r="AG45" s="259" t="n">
        <v>11486000000</v>
      </c>
      <c r="AH45" s="259" t="n">
        <v>10605000000</v>
      </c>
      <c r="AI45" s="259" t="n">
        <v>13237000000</v>
      </c>
      <c r="AJ45" s="259" t="n">
        <v>22443000000</v>
      </c>
    </row>
    <row r="46">
      <c r="A46" t="n">
        <v>11</v>
      </c>
      <c r="B46" t="n">
        <v>1</v>
      </c>
      <c r="G46" t="inlineStr">
        <is>
          <t>moeda</t>
        </is>
      </c>
      <c r="H46" t="inlineStr">
        <is>
          <t>Títulos negociáveis (marketable securities, CP) [us-gaap/nvda:MarketableSecuritiesCurrent/DebtSecuritiesCurrent/AvailableForSaleSecuritiesDebtSecuritiesCurrent]</t>
        </is>
      </c>
      <c r="J46" t="inlineStr">
        <is>
          <t>fonte</t>
        </is>
      </c>
      <c r="K46" s="259" t="n">
        <v>860000000</v>
      </c>
      <c r="L46" s="259" t="n">
        <v>7707000000</v>
      </c>
      <c r="M46" s="259" t="n">
        <v>7888000000</v>
      </c>
      <c r="N46" s="259" t="n">
        <v>10714000000</v>
      </c>
      <c r="O46" s="259" t="n">
        <v>11689000000</v>
      </c>
      <c r="P46" s="259" t="n">
        <v>14026000000</v>
      </c>
      <c r="Q46" s="259" t="n">
        <v>18010000000</v>
      </c>
      <c r="R46" s="259" t="n">
        <v>19218000000</v>
      </c>
      <c r="S46" s="259" t="n">
        <v>16451000000</v>
      </c>
      <c r="T46" s="259" t="n">
        <v>14024000000</v>
      </c>
      <c r="U46" s="259" t="n">
        <v>10343000000</v>
      </c>
      <c r="V46" s="259" t="n">
        <v>9907000000</v>
      </c>
      <c r="W46" s="259" t="n">
        <v>10241000000</v>
      </c>
      <c r="X46" s="259" t="n">
        <v>10240000000</v>
      </c>
      <c r="Y46" s="259" t="n">
        <v>12762000000</v>
      </c>
      <c r="Z46" s="259" t="n">
        <v>18704000000</v>
      </c>
      <c r="AA46" s="259" t="n">
        <v>23851000000</v>
      </c>
      <c r="AB46" s="259" t="n">
        <v>26237000000</v>
      </c>
      <c r="AC46" s="259" t="n">
        <v>29380000000</v>
      </c>
      <c r="AD46" s="259" t="n">
        <v>34621000000</v>
      </c>
      <c r="AE46" s="259" t="n">
        <v>38457000000</v>
      </c>
      <c r="AF46" s="259" t="n">
        <v>45152000000</v>
      </c>
      <c r="AG46" s="259" t="n">
        <v>49122000000</v>
      </c>
      <c r="AH46" s="259" t="n">
        <v>39065000000</v>
      </c>
      <c r="AI46" s="259" t="n">
        <v>37098000000</v>
      </c>
      <c r="AJ46" s="259" t="n">
        <v>34143000000</v>
      </c>
    </row>
    <row r="47">
      <c r="A47" t="n">
        <v>12</v>
      </c>
      <c r="B47" t="n">
        <v>1</v>
      </c>
      <c r="G47" t="inlineStr">
        <is>
          <t>moeda</t>
        </is>
      </c>
      <c r="H47" t="inlineStr">
        <is>
          <t>Contas a receber de clientes [us-gaap/nvda:AccountsReceivableNetCurrent]</t>
        </is>
      </c>
      <c r="J47" t="inlineStr">
        <is>
          <t>fonte</t>
        </is>
      </c>
      <c r="K47" s="259" t="n">
        <v>1907000000</v>
      </c>
      <c r="L47" s="259" t="n">
        <v>2084000000</v>
      </c>
      <c r="M47" s="259" t="n">
        <v>2546000000</v>
      </c>
      <c r="N47" s="259" t="n">
        <v>2429000000</v>
      </c>
      <c r="O47" s="259" t="n">
        <v>3024000000</v>
      </c>
      <c r="P47" s="259" t="n">
        <v>3586000000</v>
      </c>
      <c r="Q47" s="259" t="n">
        <v>3954000000</v>
      </c>
      <c r="R47" s="259" t="n">
        <v>4650000000</v>
      </c>
      <c r="S47" s="259" t="n">
        <v>5438000000</v>
      </c>
      <c r="T47" s="259" t="n">
        <v>5317000000</v>
      </c>
      <c r="U47" s="259" t="n">
        <v>4908000000</v>
      </c>
      <c r="V47" s="259" t="n">
        <v>3827000000</v>
      </c>
      <c r="W47" s="259" t="n">
        <v>4080000000</v>
      </c>
      <c r="X47" s="259" t="n">
        <v>7066000000</v>
      </c>
      <c r="Y47" s="259" t="n">
        <v>8309000000</v>
      </c>
      <c r="Z47" s="259" t="n">
        <v>9999000000</v>
      </c>
      <c r="AA47" s="259" t="n">
        <v>12365000000</v>
      </c>
      <c r="AB47" s="259" t="n">
        <v>14132000000</v>
      </c>
      <c r="AC47" s="259" t="n">
        <v>17693000000</v>
      </c>
      <c r="AD47" s="259" t="n">
        <v>23065000000</v>
      </c>
      <c r="AE47" s="259" t="n">
        <v>22132000000</v>
      </c>
      <c r="AF47" s="259" t="n">
        <v>27808000000</v>
      </c>
      <c r="AG47" s="259" t="n">
        <v>33391000000</v>
      </c>
      <c r="AH47" s="259" t="n">
        <v>38466000000</v>
      </c>
      <c r="AI47" s="259" t="n">
        <v>40710000000</v>
      </c>
      <c r="AJ47" s="259" t="n">
        <v>63059000000</v>
      </c>
    </row>
    <row r="48">
      <c r="A48" t="n">
        <v>13</v>
      </c>
      <c r="B48" t="n">
        <v>1</v>
      </c>
      <c r="G48" t="inlineStr">
        <is>
          <t>moeda</t>
        </is>
      </c>
      <c r="H48" t="inlineStr">
        <is>
          <t>Estoques [us-gaap/nvda:InventoryNet]</t>
        </is>
      </c>
      <c r="J48" t="inlineStr">
        <is>
          <t>fonte</t>
        </is>
      </c>
      <c r="K48" s="259" t="n">
        <v>1128000000</v>
      </c>
      <c r="L48" s="259" t="n">
        <v>1401000000</v>
      </c>
      <c r="M48" s="259" t="n">
        <v>1495000000</v>
      </c>
      <c r="N48" s="259" t="n">
        <v>1826000000</v>
      </c>
      <c r="O48" s="259" t="n">
        <v>1992000000</v>
      </c>
      <c r="P48" s="259" t="n">
        <v>2114000000</v>
      </c>
      <c r="Q48" s="259" t="n">
        <v>2233000000</v>
      </c>
      <c r="R48" s="259" t="n">
        <v>2605000000</v>
      </c>
      <c r="S48" s="259" t="n">
        <v>3163000000</v>
      </c>
      <c r="T48" s="259" t="n">
        <v>3889000000</v>
      </c>
      <c r="U48" s="259" t="n">
        <v>4454000000</v>
      </c>
      <c r="V48" s="259" t="n">
        <v>5159000000</v>
      </c>
      <c r="W48" s="259" t="n">
        <v>4611000000</v>
      </c>
      <c r="X48" s="259" t="n">
        <v>4319000000</v>
      </c>
      <c r="Y48" s="259" t="n">
        <v>4779000000</v>
      </c>
      <c r="Z48" s="259" t="n">
        <v>5282000000</v>
      </c>
      <c r="AA48" s="259" t="n">
        <v>5864000000</v>
      </c>
      <c r="AB48" s="259" t="n">
        <v>6675000000</v>
      </c>
      <c r="AC48" s="259" t="n">
        <v>7654000000</v>
      </c>
      <c r="AD48" s="259" t="n">
        <v>10080000000</v>
      </c>
      <c r="AE48" s="259" t="n">
        <v>11333000000</v>
      </c>
      <c r="AF48" s="259" t="n">
        <v>14962000000</v>
      </c>
      <c r="AG48" s="259" t="n">
        <v>19784000000</v>
      </c>
      <c r="AH48" s="259" t="n">
        <v>21403000000</v>
      </c>
      <c r="AI48" s="259" t="n">
        <v>25797000000</v>
      </c>
      <c r="AJ48" s="259" t="n">
        <v>31575000000</v>
      </c>
    </row>
    <row r="49">
      <c r="A49" t="n">
        <v>16</v>
      </c>
      <c r="B49" t="n">
        <v>1</v>
      </c>
      <c r="G49" t="inlineStr">
        <is>
          <t>moeda</t>
        </is>
      </c>
      <c r="H49" t="inlineStr">
        <is>
          <t>Despesas antecipadas e outros ativos circulantes [us-gaap/nvda:PrepaidExpenseAndOtherAssetsCurrent]</t>
        </is>
      </c>
      <c r="J49" t="inlineStr">
        <is>
          <t>fonte</t>
        </is>
      </c>
      <c r="K49" s="259" t="n">
        <v>195000000</v>
      </c>
      <c r="L49" s="259" t="n">
        <v>215000000</v>
      </c>
      <c r="M49" s="259" t="n">
        <v>213000000</v>
      </c>
      <c r="N49" s="259" t="n">
        <v>239000000</v>
      </c>
      <c r="O49" s="259" t="n">
        <v>444000000</v>
      </c>
      <c r="P49" s="259" t="n">
        <v>452000000</v>
      </c>
      <c r="Q49" s="259" t="n">
        <v>321000000</v>
      </c>
      <c r="R49" s="259" t="n">
        <v>366000000</v>
      </c>
      <c r="S49" s="259" t="n">
        <v>636000000</v>
      </c>
      <c r="T49" s="259" t="n">
        <v>1175000000</v>
      </c>
      <c r="U49" s="259" t="n">
        <v>718000000</v>
      </c>
      <c r="V49" s="259" t="n">
        <v>791000000</v>
      </c>
      <c r="W49" s="259" t="n">
        <v>872000000</v>
      </c>
      <c r="X49" s="259" t="n">
        <v>1389000000</v>
      </c>
      <c r="Y49" s="259" t="n">
        <v>1289000000</v>
      </c>
      <c r="Z49" s="259" t="n">
        <v>3080000000</v>
      </c>
      <c r="AA49" s="259" t="n">
        <v>4062000000</v>
      </c>
      <c r="AB49" s="259" t="n">
        <v>4026000000</v>
      </c>
      <c r="AC49" s="259" t="n">
        <v>3806000000</v>
      </c>
      <c r="AD49" s="259" t="n">
        <v>3771000000</v>
      </c>
      <c r="AE49" s="259" t="n">
        <v>2779000000</v>
      </c>
      <c r="AF49" s="259" t="n">
        <v>2658000000</v>
      </c>
      <c r="AG49" s="259" t="n">
        <v>2709000000</v>
      </c>
      <c r="AH49" s="259" t="n">
        <v>3180000000</v>
      </c>
      <c r="AI49" s="259" t="n">
        <v>3916000000</v>
      </c>
      <c r="AJ49" s="259" t="n">
        <v>3409000000</v>
      </c>
    </row>
    <row r="50">
      <c r="A50" t="n">
        <v>16</v>
      </c>
      <c r="B50" t="n">
        <v>1</v>
      </c>
      <c r="G50" t="inlineStr">
        <is>
          <t>moeda</t>
        </is>
      </c>
      <c r="H50" t="inlineStr">
        <is>
          <t>Participações em ações listadas a valor justo (circulante; linha própria a partir de 2026) [us-gaap/nvda:EquitySecuritiesFvNi]</t>
        </is>
      </c>
      <c r="J50" t="inlineStr">
        <is>
          <t>fonte</t>
        </is>
      </c>
      <c r="K50" s="259" t="n">
        <v>0</v>
      </c>
      <c r="L50" s="259" t="n">
        <v>0</v>
      </c>
      <c r="M50" s="259" t="n">
        <v>0</v>
      </c>
      <c r="N50" s="259" t="n">
        <v>0</v>
      </c>
      <c r="O50" s="259" t="n">
        <v>0</v>
      </c>
      <c r="P50" s="259" t="n">
        <v>0</v>
      </c>
      <c r="Q50" s="259" t="n">
        <v>0</v>
      </c>
      <c r="R50" s="259" t="n">
        <v>0</v>
      </c>
      <c r="S50" s="259" t="n">
        <v>0</v>
      </c>
      <c r="T50" s="259" t="n">
        <v>0</v>
      </c>
      <c r="U50" s="259" t="n">
        <v>0</v>
      </c>
      <c r="V50" s="259" t="n">
        <v>0</v>
      </c>
      <c r="W50" s="259" t="n">
        <v>0</v>
      </c>
      <c r="X50" s="259" t="n">
        <v>0</v>
      </c>
      <c r="Y50" s="259" t="n">
        <v>0</v>
      </c>
      <c r="Z50" s="259" t="n">
        <v>0</v>
      </c>
      <c r="AA50" s="259" t="n">
        <v>0</v>
      </c>
      <c r="AB50" s="259" t="n">
        <v>0</v>
      </c>
      <c r="AC50" s="259" t="n">
        <v>0</v>
      </c>
      <c r="AD50" s="259" t="n">
        <v>0</v>
      </c>
      <c r="AE50" s="259" t="n">
        <v>0</v>
      </c>
      <c r="AF50" s="259" t="n">
        <v>0</v>
      </c>
      <c r="AG50" s="259" t="n">
        <v>0</v>
      </c>
      <c r="AH50" s="259" t="n">
        <v>12886000000</v>
      </c>
      <c r="AI50" s="259" t="n">
        <v>30237000000</v>
      </c>
      <c r="AJ50" s="259" t="n">
        <v>42783000000</v>
      </c>
    </row>
    <row r="51">
      <c r="A51" t="n">
        <v>18</v>
      </c>
      <c r="B51" t="n">
        <v>1</v>
      </c>
      <c r="G51" t="inlineStr">
        <is>
          <t>moeda</t>
        </is>
      </c>
      <c r="H51" t="inlineStr">
        <is>
          <t>Imobilizado líquido [us-gaap/nvda:PropertyPlantAndEquipmentNet]</t>
        </is>
      </c>
      <c r="J51" t="inlineStr">
        <is>
          <t>fonte</t>
        </is>
      </c>
      <c r="K51" s="259" t="n">
        <v>1715000000</v>
      </c>
      <c r="L51" s="259" t="n">
        <v>1964000000</v>
      </c>
      <c r="M51" s="259" t="n">
        <v>2059000000</v>
      </c>
      <c r="N51" s="259" t="n">
        <v>2149000000</v>
      </c>
      <c r="O51" s="259" t="n">
        <v>2268000000</v>
      </c>
      <c r="P51" s="259" t="n">
        <v>2364000000</v>
      </c>
      <c r="Q51" s="259" t="n">
        <v>2509000000</v>
      </c>
      <c r="R51" s="259" t="n">
        <v>2778000000</v>
      </c>
      <c r="S51" s="259" t="n">
        <v>2916000000</v>
      </c>
      <c r="T51" s="259" t="n">
        <v>3233000000</v>
      </c>
      <c r="U51" s="259" t="n">
        <v>3774000000</v>
      </c>
      <c r="V51" s="259" t="n">
        <v>3807000000</v>
      </c>
      <c r="W51" s="259" t="n">
        <v>3740000000</v>
      </c>
      <c r="X51" s="259" t="n">
        <v>3799000000</v>
      </c>
      <c r="Y51" s="259" t="n">
        <v>3844000000</v>
      </c>
      <c r="Z51" s="259" t="n">
        <v>3914000000</v>
      </c>
      <c r="AA51" s="259" t="n">
        <v>4006000000</v>
      </c>
      <c r="AB51" s="259" t="n">
        <v>4885000000</v>
      </c>
      <c r="AC51" s="259" t="n">
        <v>5343000000</v>
      </c>
      <c r="AD51" s="259" t="n">
        <v>6283000000</v>
      </c>
      <c r="AE51" s="259" t="n">
        <v>7136000000</v>
      </c>
      <c r="AF51" s="259" t="n">
        <v>9141000000</v>
      </c>
      <c r="AG51" s="259" t="n">
        <v>9780000000</v>
      </c>
      <c r="AH51" s="259" t="n">
        <v>10383000000</v>
      </c>
      <c r="AI51" s="259" t="n">
        <v>12403000000</v>
      </c>
      <c r="AJ51" s="259" t="n">
        <v>14285000000</v>
      </c>
    </row>
    <row r="52">
      <c r="A52" t="n">
        <v>19</v>
      </c>
      <c r="B52" t="n">
        <v>1</v>
      </c>
      <c r="G52" t="inlineStr">
        <is>
          <t>moeda</t>
        </is>
      </c>
      <c r="H52" t="inlineStr">
        <is>
          <t>Direito de uso (arrendamento operacional) [us-gaap/nvda:OperatingLeaseRightOfUseAsset]</t>
        </is>
      </c>
      <c r="J52" t="inlineStr">
        <is>
          <t>fonte</t>
        </is>
      </c>
      <c r="K52" s="259" t="n">
        <v>595000000</v>
      </c>
      <c r="L52" s="259" t="n">
        <v>701000000</v>
      </c>
      <c r="M52" s="259" t="n">
        <v>681000000</v>
      </c>
      <c r="N52" s="259" t="n">
        <v>707000000</v>
      </c>
      <c r="O52" s="259" t="n">
        <v>727000000</v>
      </c>
      <c r="P52" s="259" t="n">
        <v>801000000</v>
      </c>
      <c r="Q52" s="259" t="n">
        <v>830000000</v>
      </c>
      <c r="R52" s="259" t="n">
        <v>829000000</v>
      </c>
      <c r="S52" s="259" t="n">
        <v>856000000</v>
      </c>
      <c r="T52" s="259" t="n">
        <v>852000000</v>
      </c>
      <c r="U52" s="259" t="n">
        <v>927000000</v>
      </c>
      <c r="V52" s="259" t="n">
        <v>1038000000</v>
      </c>
      <c r="W52" s="259" t="n">
        <v>1094000000</v>
      </c>
      <c r="X52" s="259" t="n">
        <v>1235000000</v>
      </c>
      <c r="Y52" s="259" t="n">
        <v>1316000000</v>
      </c>
      <c r="Z52" s="259" t="n">
        <v>1346000000</v>
      </c>
      <c r="AA52" s="259" t="n">
        <v>1532000000</v>
      </c>
      <c r="AB52" s="259" t="n">
        <v>1556000000</v>
      </c>
      <c r="AC52" s="259" t="n">
        <v>1755000000</v>
      </c>
      <c r="AD52" s="259" t="n">
        <v>1793000000</v>
      </c>
      <c r="AE52" s="259" t="n">
        <v>1810000000</v>
      </c>
      <c r="AF52" s="259" t="n">
        <v>2084000000</v>
      </c>
      <c r="AG52" s="259" t="n">
        <v>2281000000</v>
      </c>
      <c r="AH52" s="259" t="n">
        <v>2867000000</v>
      </c>
      <c r="AI52" s="259" t="n">
        <v>4258000000</v>
      </c>
      <c r="AJ52" s="259" t="n">
        <v>5390000000</v>
      </c>
    </row>
    <row r="53">
      <c r="A53" t="n">
        <v>20</v>
      </c>
      <c r="B53" t="n">
        <v>1</v>
      </c>
      <c r="G53" t="inlineStr">
        <is>
          <t>moeda</t>
        </is>
      </c>
      <c r="H53" t="inlineStr">
        <is>
          <t>Goodwill [us-gaap/nvda:Goodwill]</t>
        </is>
      </c>
      <c r="J53" t="inlineStr">
        <is>
          <t>fonte</t>
        </is>
      </c>
      <c r="K53" s="259" t="n">
        <v>628000000</v>
      </c>
      <c r="L53" s="259" t="n">
        <v>4193000000</v>
      </c>
      <c r="M53" s="259" t="n">
        <v>4193000000</v>
      </c>
      <c r="N53" s="259" t="n">
        <v>4193000000</v>
      </c>
      <c r="O53" s="259" t="n">
        <v>4193000000</v>
      </c>
      <c r="P53" s="259" t="n">
        <v>4193000000</v>
      </c>
      <c r="Q53" s="259" t="n">
        <v>4302000000</v>
      </c>
      <c r="R53" s="259" t="n">
        <v>4349000000</v>
      </c>
      <c r="S53" s="259" t="n">
        <v>4365000000</v>
      </c>
      <c r="T53" s="259" t="n">
        <v>4372000000</v>
      </c>
      <c r="U53" s="259" t="n">
        <v>4372000000</v>
      </c>
      <c r="V53" s="259" t="n">
        <v>4372000000</v>
      </c>
      <c r="W53" s="259" t="n">
        <v>4430000000</v>
      </c>
      <c r="X53" s="259" t="n">
        <v>4430000000</v>
      </c>
      <c r="Y53" s="259" t="n">
        <v>4430000000</v>
      </c>
      <c r="Z53" s="259" t="n">
        <v>4430000000</v>
      </c>
      <c r="AA53" s="259" t="n">
        <v>4453000000</v>
      </c>
      <c r="AB53" s="259" t="n">
        <v>4622000000</v>
      </c>
      <c r="AC53" s="259" t="n">
        <v>4724000000</v>
      </c>
      <c r="AD53" s="259" t="n">
        <v>5188000000</v>
      </c>
      <c r="AE53" s="259" t="n">
        <v>5498000000</v>
      </c>
      <c r="AF53" s="259" t="n">
        <v>5755000000</v>
      </c>
      <c r="AG53" s="259" t="n">
        <v>6261000000</v>
      </c>
      <c r="AH53" s="259" t="n">
        <v>20832000000</v>
      </c>
      <c r="AI53" s="259" t="n">
        <v>20894000000</v>
      </c>
      <c r="AJ53" s="259" t="n">
        <v>21125000000</v>
      </c>
    </row>
    <row r="54">
      <c r="A54" t="n">
        <v>21</v>
      </c>
      <c r="B54" t="n">
        <v>1</v>
      </c>
      <c r="G54" t="inlineStr">
        <is>
          <t>moeda</t>
        </is>
      </c>
      <c r="H54" t="inlineStr">
        <is>
          <t>Intangíveis líquidos [us-gaap/nvda:IntangibleAssetsNetExcludingGoodwill]</t>
        </is>
      </c>
      <c r="J54" t="inlineStr">
        <is>
          <t>fonte</t>
        </is>
      </c>
      <c r="K54" s="259" t="n">
        <v>80000000</v>
      </c>
      <c r="L54" s="259" t="n">
        <v>2854000000</v>
      </c>
      <c r="M54" s="259" t="n">
        <v>2861000000</v>
      </c>
      <c r="N54" s="259" t="n">
        <v>2737000000</v>
      </c>
      <c r="O54" s="259" t="n">
        <v>2613000000</v>
      </c>
      <c r="P54" s="259" t="n">
        <v>2478000000</v>
      </c>
      <c r="Q54" s="259" t="n">
        <v>2454000000</v>
      </c>
      <c r="R54" s="259" t="n">
        <v>2339000000</v>
      </c>
      <c r="S54" s="259" t="n">
        <v>2211000000</v>
      </c>
      <c r="T54" s="259" t="n">
        <v>2036000000</v>
      </c>
      <c r="U54" s="259" t="n">
        <v>1850000000</v>
      </c>
      <c r="V54" s="259" t="n">
        <v>1676000000</v>
      </c>
      <c r="W54" s="259" t="n">
        <v>1541000000</v>
      </c>
      <c r="X54" s="259" t="n">
        <v>1395000000</v>
      </c>
      <c r="Y54" s="259" t="n">
        <v>1251000000</v>
      </c>
      <c r="Z54" s="259" t="n">
        <v>1112000000</v>
      </c>
      <c r="AA54" s="259" t="n">
        <v>986000000</v>
      </c>
      <c r="AB54" s="259" t="n">
        <v>952000000</v>
      </c>
      <c r="AC54" s="259" t="n">
        <v>838000000</v>
      </c>
      <c r="AD54" s="259" t="n">
        <v>807000000</v>
      </c>
      <c r="AE54" s="259" t="n">
        <v>769000000</v>
      </c>
      <c r="AF54" s="259" t="n">
        <v>755000000</v>
      </c>
      <c r="AG54" s="259" t="n">
        <v>936000000</v>
      </c>
      <c r="AH54" s="259" t="n">
        <v>3306000000</v>
      </c>
      <c r="AI54" s="259" t="n">
        <v>3120000000</v>
      </c>
      <c r="AJ54" s="259" t="n">
        <v>2998000000</v>
      </c>
    </row>
    <row r="55">
      <c r="A55" t="n">
        <v>14</v>
      </c>
      <c r="B55" t="n">
        <v>1</v>
      </c>
      <c r="G55" t="inlineStr">
        <is>
          <t>moeda</t>
        </is>
      </c>
      <c r="H55" t="inlineStr">
        <is>
          <t>IR diferido ativo [us-gaap/nvda:DeferredIncomeTaxAssetsNet]</t>
        </is>
      </c>
      <c r="J55" t="inlineStr">
        <is>
          <t>fonte</t>
        </is>
      </c>
      <c r="K55" s="259" t="n">
        <v>533000000</v>
      </c>
      <c r="L55" s="259" t="n">
        <v>630000000</v>
      </c>
      <c r="M55" s="259" t="n">
        <v>666000000</v>
      </c>
      <c r="N55" s="259" t="n">
        <v>806000000</v>
      </c>
      <c r="O55" s="259" t="n">
        <v>778000000</v>
      </c>
      <c r="P55" s="259" t="n">
        <v>958000000</v>
      </c>
      <c r="Q55" s="259" t="n">
        <v>970000000</v>
      </c>
      <c r="R55" s="259" t="n">
        <v>1222000000</v>
      </c>
      <c r="S55" s="259" t="n">
        <v>1784000000</v>
      </c>
      <c r="T55" s="259" t="n">
        <v>2225000000</v>
      </c>
      <c r="U55" s="259" t="n">
        <v>2762000000</v>
      </c>
      <c r="V55" s="259" t="n">
        <v>3396000000</v>
      </c>
      <c r="W55" s="259" t="n">
        <v>4568000000</v>
      </c>
      <c r="X55" s="259" t="n">
        <v>5398000000</v>
      </c>
      <c r="Y55" s="259" t="n">
        <v>5982000000</v>
      </c>
      <c r="Z55" s="259" t="n">
        <v>6081000000</v>
      </c>
      <c r="AA55" s="259" t="n">
        <v>7798000000</v>
      </c>
      <c r="AB55" s="259" t="n">
        <v>9578000000</v>
      </c>
      <c r="AC55" s="259" t="n">
        <v>10276000000</v>
      </c>
      <c r="AD55" s="259" t="n">
        <v>10979000000</v>
      </c>
      <c r="AE55" s="259" t="n">
        <v>13318000000</v>
      </c>
      <c r="AF55" s="259" t="n">
        <v>13570000000</v>
      </c>
      <c r="AG55" s="259" t="n">
        <v>13674000000</v>
      </c>
      <c r="AH55" s="259" t="n">
        <v>13258000000</v>
      </c>
      <c r="AI55" s="259" t="n">
        <v>11707000000</v>
      </c>
      <c r="AJ55" s="259" t="n">
        <v>12159000000</v>
      </c>
    </row>
    <row r="56">
      <c r="A56" t="n">
        <v>22</v>
      </c>
      <c r="B56" t="n">
        <v>1</v>
      </c>
      <c r="G56" t="inlineStr">
        <is>
          <t>moeda</t>
        </is>
      </c>
      <c r="H56" t="inlineStr">
        <is>
          <t>Investimentos em empresas fechadas (non-marketable equity; linha própria no balanço recente) [us-gaap/nvda:NonMarketableSecurities/EquitySecuritiesFVNINoncurrent]</t>
        </is>
      </c>
      <c r="J56" t="inlineStr">
        <is>
          <t>fonte</t>
        </is>
      </c>
      <c r="K56" s="259" t="n">
        <v>0</v>
      </c>
      <c r="L56" s="259" t="n">
        <v>0</v>
      </c>
      <c r="M56" s="259" t="n">
        <v>0</v>
      </c>
      <c r="N56" s="259" t="n">
        <v>0</v>
      </c>
      <c r="O56" s="259" t="n">
        <v>0</v>
      </c>
      <c r="P56" s="259" t="n">
        <v>0</v>
      </c>
      <c r="Q56" s="259" t="n">
        <v>0</v>
      </c>
      <c r="R56" s="259" t="n">
        <v>0</v>
      </c>
      <c r="S56" s="259" t="n">
        <v>0</v>
      </c>
      <c r="T56" s="259" t="n">
        <v>0</v>
      </c>
      <c r="U56" s="259" t="n">
        <v>0</v>
      </c>
      <c r="V56" s="259" t="n">
        <v>0</v>
      </c>
      <c r="W56" s="259" t="n">
        <v>0</v>
      </c>
      <c r="X56" s="259" t="n">
        <v>0</v>
      </c>
      <c r="Y56" s="259" t="n">
        <v>0</v>
      </c>
      <c r="Z56" s="259" t="n">
        <v>0</v>
      </c>
      <c r="AA56" s="259" t="n">
        <v>0</v>
      </c>
      <c r="AB56" s="259" t="n">
        <v>0</v>
      </c>
      <c r="AC56" s="259" t="n">
        <v>0</v>
      </c>
      <c r="AD56" s="259" t="n">
        <v>0</v>
      </c>
      <c r="AE56" s="259" t="n">
        <v>0</v>
      </c>
      <c r="AF56" s="259" t="n">
        <v>0</v>
      </c>
      <c r="AG56" s="259" t="n">
        <v>0</v>
      </c>
      <c r="AH56" s="259" t="n">
        <v>22251000000</v>
      </c>
      <c r="AI56" s="259" t="n">
        <v>43364000000</v>
      </c>
      <c r="AJ56" s="259" t="n">
        <v>51157000000</v>
      </c>
    </row>
    <row r="57">
      <c r="A57" t="n">
        <v>22</v>
      </c>
      <c r="B57" t="n">
        <v>1</v>
      </c>
      <c r="G57" t="inlineStr">
        <is>
          <t>moeda</t>
        </is>
      </c>
      <c r="H57" t="inlineStr">
        <is>
          <t>Outros ativos não circulantes [us-gaap/nvda:OtherAssetsNoncurrent/OtherAssets]</t>
        </is>
      </c>
      <c r="J57" t="inlineStr">
        <is>
          <t>fonte</t>
        </is>
      </c>
      <c r="K57" s="259" t="n">
        <v>119000000</v>
      </c>
      <c r="L57" s="259" t="n">
        <v>157000000</v>
      </c>
      <c r="M57" s="259" t="n">
        <v>2028000000</v>
      </c>
      <c r="N57" s="259" t="n">
        <v>2144000000</v>
      </c>
      <c r="O57" s="259" t="n">
        <v>2090000000</v>
      </c>
      <c r="P57" s="259" t="n">
        <v>2050000000</v>
      </c>
      <c r="Q57" s="259" t="n">
        <v>3761000000</v>
      </c>
      <c r="R57" s="259" t="n">
        <v>3841000000</v>
      </c>
      <c r="S57" s="259" t="n">
        <v>3505000000</v>
      </c>
      <c r="T57" s="259" t="n">
        <v>3340000000</v>
      </c>
      <c r="U57" s="259" t="n">
        <v>3580000000</v>
      </c>
      <c r="V57" s="259" t="n">
        <v>3820000000</v>
      </c>
      <c r="W57" s="259" t="n">
        <v>4204000000</v>
      </c>
      <c r="X57" s="259" t="n">
        <v>4501000000</v>
      </c>
      <c r="Y57" s="259" t="n">
        <v>4667000000</v>
      </c>
      <c r="Z57" s="259" t="n">
        <v>4500000000</v>
      </c>
      <c r="AA57" s="259" t="n">
        <v>4568000000</v>
      </c>
      <c r="AB57" s="259" t="n">
        <v>4001000000</v>
      </c>
      <c r="AC57" s="259" t="n">
        <v>5437000000</v>
      </c>
      <c r="AD57" s="259" t="n">
        <v>6425000000</v>
      </c>
      <c r="AE57" s="259" t="n">
        <v>6788000000</v>
      </c>
      <c r="AF57" s="259" t="n">
        <v>7216000000</v>
      </c>
      <c r="AG57" s="259" t="n">
        <v>11724000000</v>
      </c>
      <c r="AH57" s="259" t="n">
        <v>8301000000</v>
      </c>
      <c r="AI57" s="259" t="n">
        <v>12733000000</v>
      </c>
      <c r="AJ57" s="259" t="n">
        <v>15746000000</v>
      </c>
    </row>
    <row r="58">
      <c r="A58" t="n">
        <v>23</v>
      </c>
      <c r="B58" t="n">
        <v>1</v>
      </c>
      <c r="G58" t="inlineStr">
        <is>
          <t>moeda</t>
        </is>
      </c>
      <c r="H58" t="inlineStr">
        <is>
          <t>Fornecedores [us-gaap/nvda:AccountsPayableCurrent]</t>
        </is>
      </c>
      <c r="J58" t="inlineStr">
        <is>
          <t>fonte</t>
        </is>
      </c>
      <c r="K58" s="259" t="n">
        <v>761000000</v>
      </c>
      <c r="L58" s="259" t="n">
        <v>893000000</v>
      </c>
      <c r="M58" s="259" t="n">
        <v>1097000000</v>
      </c>
      <c r="N58" s="259" t="n">
        <v>1201000000</v>
      </c>
      <c r="O58" s="259" t="n">
        <v>1218000000</v>
      </c>
      <c r="P58" s="259" t="n">
        <v>1474000000</v>
      </c>
      <c r="Q58" s="259" t="n">
        <v>1664000000</v>
      </c>
      <c r="R58" s="259" t="n">
        <v>1783000000</v>
      </c>
      <c r="S58" s="259" t="n">
        <v>1999000000</v>
      </c>
      <c r="T58" s="259" t="n">
        <v>2421000000</v>
      </c>
      <c r="U58" s="259" t="n">
        <v>1491000000</v>
      </c>
      <c r="V58" s="259" t="n">
        <v>1193000000</v>
      </c>
      <c r="W58" s="259" t="n">
        <v>1141000000</v>
      </c>
      <c r="X58" s="259" t="n">
        <v>1929000000</v>
      </c>
      <c r="Y58" s="259" t="n">
        <v>2380000000</v>
      </c>
      <c r="Z58" s="259" t="n">
        <v>2699000000</v>
      </c>
      <c r="AA58" s="259" t="n">
        <v>2715000000</v>
      </c>
      <c r="AB58" s="259" t="n">
        <v>3680000000</v>
      </c>
      <c r="AC58" s="259" t="n">
        <v>5353000000</v>
      </c>
      <c r="AD58" s="259" t="n">
        <v>6310000000</v>
      </c>
      <c r="AE58" s="259" t="n">
        <v>7331000000</v>
      </c>
      <c r="AF58" s="259" t="n">
        <v>9064000000</v>
      </c>
      <c r="AG58" s="259" t="n">
        <v>8624000000</v>
      </c>
      <c r="AH58" s="259" t="n">
        <v>9812000000</v>
      </c>
      <c r="AI58" s="259" t="n">
        <v>13097000000</v>
      </c>
      <c r="AJ58" s="259" t="n">
        <v>15059000000</v>
      </c>
    </row>
    <row r="59">
      <c r="A59" t="n">
        <v>24</v>
      </c>
      <c r="B59" t="n">
        <v>1</v>
      </c>
      <c r="G59" t="inlineStr">
        <is>
          <t>moeda</t>
        </is>
      </c>
      <c r="H59" t="inlineStr">
        <is>
          <t>Despesas provisionadas e outros passivos circulantes (inclui arrendamento CP) [us-gaap/nvda:AccruedLiabilitiesCurrent]</t>
        </is>
      </c>
      <c r="J59" t="inlineStr">
        <is>
          <t>fonte</t>
        </is>
      </c>
      <c r="K59" s="259" t="n">
        <v>1142000000</v>
      </c>
      <c r="L59" s="259" t="n">
        <v>1517000000</v>
      </c>
      <c r="M59" s="259" t="n">
        <v>1574000000</v>
      </c>
      <c r="N59" s="259" t="n">
        <v>1725000000</v>
      </c>
      <c r="O59" s="259" t="n">
        <v>1787000000</v>
      </c>
      <c r="P59" s="259" t="n">
        <v>1974000000</v>
      </c>
      <c r="Q59" s="259" t="n">
        <v>1948000000</v>
      </c>
      <c r="R59" s="259" t="n">
        <v>2552000000</v>
      </c>
      <c r="S59" s="259" t="n">
        <v>3563000000</v>
      </c>
      <c r="T59" s="259" t="n">
        <v>3903000000</v>
      </c>
      <c r="U59" s="259" t="n">
        <v>4115000000</v>
      </c>
      <c r="V59" s="259" t="n">
        <v>4120000000</v>
      </c>
      <c r="W59" s="259" t="n">
        <v>4869000000</v>
      </c>
      <c r="X59" s="259" t="n">
        <v>7156000000</v>
      </c>
      <c r="Y59" s="259" t="n">
        <v>5472000000</v>
      </c>
      <c r="Z59" s="259" t="n">
        <v>6682000000</v>
      </c>
      <c r="AA59" s="259" t="n">
        <v>11258000000</v>
      </c>
      <c r="AB59" s="259" t="n">
        <v>10289000000</v>
      </c>
      <c r="AC59" s="259" t="n">
        <v>11126000000</v>
      </c>
      <c r="AD59" s="259" t="n">
        <v>11737000000</v>
      </c>
      <c r="AE59" s="259" t="n">
        <v>19211000000</v>
      </c>
      <c r="AF59" s="259" t="n">
        <v>15193000000</v>
      </c>
      <c r="AG59" s="259" t="n">
        <v>16452000000</v>
      </c>
      <c r="AH59" s="259" t="n">
        <v>21352000000</v>
      </c>
      <c r="AI59" s="259" t="n">
        <v>29787000000</v>
      </c>
      <c r="AJ59" s="259" t="n">
        <v>26960000000</v>
      </c>
    </row>
    <row r="60">
      <c r="A60" t="n">
        <v>27</v>
      </c>
      <c r="B60" t="n">
        <v>1</v>
      </c>
      <c r="G60" t="inlineStr">
        <is>
          <t>moeda</t>
        </is>
      </c>
      <c r="H60" t="inlineStr">
        <is>
          <t>Dívida de curto prazo [us-gaap/nvda:DebtCurrent/LongTermDebtCurrent/ShortTermBorrowings]</t>
        </is>
      </c>
      <c r="J60" t="inlineStr">
        <is>
          <t>fonte</t>
        </is>
      </c>
      <c r="K60" s="259" t="n">
        <v>0</v>
      </c>
      <c r="L60" s="259" t="n">
        <v>0</v>
      </c>
      <c r="M60" s="259" t="n">
        <v>998000000</v>
      </c>
      <c r="N60" s="259" t="n">
        <v>999000000</v>
      </c>
      <c r="O60" s="259" t="n">
        <v>999000000</v>
      </c>
      <c r="P60" s="259" t="n">
        <v>1000000000</v>
      </c>
      <c r="Q60" s="259" t="n">
        <v>0</v>
      </c>
      <c r="R60" s="259" t="n">
        <v>0</v>
      </c>
      <c r="S60" s="259" t="n">
        <v>0</v>
      </c>
      <c r="T60" s="259" t="n">
        <v>1249000000</v>
      </c>
      <c r="U60" s="259" t="n">
        <v>1249000000</v>
      </c>
      <c r="V60" s="259" t="n">
        <v>1250000000</v>
      </c>
      <c r="W60" s="259" t="n">
        <v>1250000000</v>
      </c>
      <c r="X60" s="259" t="n">
        <v>1249000000</v>
      </c>
      <c r="Y60" s="259" t="n">
        <v>1249000000</v>
      </c>
      <c r="Z60" s="259" t="n">
        <v>1250000000</v>
      </c>
      <c r="AA60" s="259" t="n">
        <v>1250000000</v>
      </c>
      <c r="AB60" s="259" t="n">
        <v>0</v>
      </c>
      <c r="AC60" s="259" t="n">
        <v>0</v>
      </c>
      <c r="AD60" s="259" t="n">
        <v>0</v>
      </c>
      <c r="AE60" s="259" t="n">
        <v>0</v>
      </c>
      <c r="AF60" s="259" t="n">
        <v>0</v>
      </c>
      <c r="AG60" s="259" t="n">
        <v>999000000</v>
      </c>
      <c r="AH60" s="259" t="n">
        <v>999000000</v>
      </c>
      <c r="AI60" s="259" t="n">
        <v>1000000000</v>
      </c>
      <c r="AJ60" s="259" t="n">
        <v>1000000000</v>
      </c>
    </row>
    <row r="61">
      <c r="A61" t="n">
        <v>30</v>
      </c>
      <c r="B61" t="n">
        <v>1</v>
      </c>
      <c r="G61" t="inlineStr">
        <is>
          <t>moeda</t>
        </is>
      </c>
      <c r="H61" t="inlineStr">
        <is>
          <t>Dívida de longo prazo [us-gaap/nvda:LongTermDebtNoncurrent/LongTermDebt]</t>
        </is>
      </c>
      <c r="J61" t="inlineStr">
        <is>
          <t>fonte</t>
        </is>
      </c>
      <c r="K61" s="259" t="n">
        <v>6959000000</v>
      </c>
      <c r="L61" s="259" t="n">
        <v>6960000000</v>
      </c>
      <c r="M61" s="259" t="n">
        <v>5963000000</v>
      </c>
      <c r="N61" s="259" t="n">
        <v>5964000000</v>
      </c>
      <c r="O61" s="259" t="n">
        <v>5964000000</v>
      </c>
      <c r="P61" s="259" t="n">
        <v>10943000000</v>
      </c>
      <c r="Q61" s="259" t="n">
        <v>10944000000</v>
      </c>
      <c r="R61" s="259" t="n">
        <v>10946000000</v>
      </c>
      <c r="S61" s="259" t="n">
        <v>10947000000</v>
      </c>
      <c r="T61" s="259" t="n">
        <v>9700000000</v>
      </c>
      <c r="U61" s="259" t="n">
        <v>9701000000</v>
      </c>
      <c r="V61" s="259" t="n">
        <v>9703000000</v>
      </c>
      <c r="W61" s="259" t="n">
        <v>9704000000</v>
      </c>
      <c r="X61" s="259" t="n">
        <v>8456000000</v>
      </c>
      <c r="Y61" s="259" t="n">
        <v>8457000000</v>
      </c>
      <c r="Z61" s="259" t="n">
        <v>8459000000</v>
      </c>
      <c r="AA61" s="259" t="n">
        <v>8460000000</v>
      </c>
      <c r="AB61" s="259" t="n">
        <v>8461000000</v>
      </c>
      <c r="AC61" s="259" t="n">
        <v>8462000000</v>
      </c>
      <c r="AD61" s="259" t="n">
        <v>8463000000</v>
      </c>
      <c r="AE61" s="259" t="n">
        <v>8464000000</v>
      </c>
      <c r="AF61" s="259" t="n">
        <v>8466000000</v>
      </c>
      <c r="AG61" s="259" t="n">
        <v>7468000000</v>
      </c>
      <c r="AH61" s="259" t="n">
        <v>7469000000</v>
      </c>
      <c r="AI61" s="259" t="n">
        <v>7470000000</v>
      </c>
      <c r="AJ61" s="259" t="n">
        <v>32366000000</v>
      </c>
    </row>
    <row r="62">
      <c r="A62" t="n">
        <v>31</v>
      </c>
      <c r="B62" t="n">
        <v>1</v>
      </c>
      <c r="G62" t="inlineStr">
        <is>
          <t>moeda</t>
        </is>
      </c>
      <c r="H62" t="inlineStr">
        <is>
          <t>Arrendamento operacional LP [us-gaap/nvda:OperatingLeaseLiabilityNoncurrent]</t>
        </is>
      </c>
      <c r="J62" t="inlineStr">
        <is>
          <t>fonte</t>
        </is>
      </c>
      <c r="K62" s="259" t="n">
        <v>519000000</v>
      </c>
      <c r="L62" s="259" t="n">
        <v>611000000</v>
      </c>
      <c r="M62" s="259" t="n">
        <v>604000000</v>
      </c>
      <c r="N62" s="259" t="n">
        <v>634000000</v>
      </c>
      <c r="O62" s="259" t="n">
        <v>640000000</v>
      </c>
      <c r="P62" s="259" t="n">
        <v>716000000</v>
      </c>
      <c r="Q62" s="259" t="n">
        <v>743000000</v>
      </c>
      <c r="R62" s="259" t="n">
        <v>741000000</v>
      </c>
      <c r="S62" s="259" t="n">
        <v>752000000</v>
      </c>
      <c r="T62" s="259" t="n">
        <v>743000000</v>
      </c>
      <c r="U62" s="259" t="n">
        <v>798000000</v>
      </c>
      <c r="V62" s="259" t="n">
        <v>902000000</v>
      </c>
      <c r="W62" s="259" t="n">
        <v>939000000</v>
      </c>
      <c r="X62" s="259" t="n">
        <v>1041000000</v>
      </c>
      <c r="Y62" s="259" t="n">
        <v>1091000000</v>
      </c>
      <c r="Z62" s="259" t="n">
        <v>1119000000</v>
      </c>
      <c r="AA62" s="259" t="n">
        <v>1281000000</v>
      </c>
      <c r="AB62" s="259" t="n">
        <v>1304000000</v>
      </c>
      <c r="AC62" s="259" t="n">
        <v>1490000000</v>
      </c>
      <c r="AD62" s="259" t="n">
        <v>1519000000</v>
      </c>
      <c r="AE62" s="259" t="n">
        <v>1521000000</v>
      </c>
      <c r="AF62" s="259" t="n">
        <v>1831000000</v>
      </c>
      <c r="AG62" s="259" t="n">
        <v>2014000000</v>
      </c>
      <c r="AH62" s="259" t="n">
        <v>2572000000</v>
      </c>
      <c r="AI62" s="259" t="n">
        <v>3878000000</v>
      </c>
      <c r="AJ62" s="259" t="n">
        <v>4985000000</v>
      </c>
    </row>
    <row r="63">
      <c r="A63" t="n">
        <v>34</v>
      </c>
      <c r="B63" t="n">
        <v>1</v>
      </c>
      <c r="G63" t="inlineStr">
        <is>
          <t>moeda</t>
        </is>
      </c>
      <c r="H63" t="inlineStr">
        <is>
          <t>Outros passivos não circulantes (inclui IR a pagar LP) [us-gaap/nvda:OtherLiabilitiesNoncurrent]</t>
        </is>
      </c>
      <c r="J63" t="inlineStr">
        <is>
          <t>fonte</t>
        </is>
      </c>
      <c r="K63" s="259" t="n">
        <v>774000000</v>
      </c>
      <c r="L63" s="259" t="n">
        <v>1285000000</v>
      </c>
      <c r="M63" s="259" t="n">
        <v>1311000000</v>
      </c>
      <c r="N63" s="259" t="n">
        <v>1375000000</v>
      </c>
      <c r="O63" s="259" t="n">
        <v>1414000000</v>
      </c>
      <c r="P63" s="259" t="n">
        <v>1396000000</v>
      </c>
      <c r="Q63" s="259" t="n">
        <v>1535000000</v>
      </c>
      <c r="R63" s="259" t="n">
        <v>1553000000</v>
      </c>
      <c r="S63" s="259" t="n">
        <v>1631000000</v>
      </c>
      <c r="T63" s="259" t="n">
        <v>1609000000</v>
      </c>
      <c r="U63" s="259" t="n">
        <v>1785000000</v>
      </c>
      <c r="V63" s="259" t="n">
        <v>1913000000</v>
      </c>
      <c r="W63" s="259" t="n">
        <v>2037000000</v>
      </c>
      <c r="X63" s="259" t="n">
        <v>2223000000</v>
      </c>
      <c r="Y63" s="259" t="n">
        <v>2234000000</v>
      </c>
      <c r="Z63" s="259" t="n">
        <v>2541000000</v>
      </c>
      <c r="AA63" s="259" t="n">
        <v>2966000000</v>
      </c>
      <c r="AB63" s="259" t="n">
        <v>3336000000</v>
      </c>
      <c r="AC63" s="259" t="n">
        <v>3683000000</v>
      </c>
      <c r="AD63" s="259" t="n">
        <v>4245000000</v>
      </c>
      <c r="AE63" s="259" t="n">
        <v>4884000000</v>
      </c>
      <c r="AF63" s="259" t="n">
        <v>6055000000</v>
      </c>
      <c r="AG63" s="259" t="n">
        <v>6694000000</v>
      </c>
      <c r="AH63" s="259" t="n">
        <v>7306000000</v>
      </c>
      <c r="AI63" s="259" t="n">
        <v>8768000000</v>
      </c>
      <c r="AJ63" s="259" t="n">
        <v>10918000000</v>
      </c>
    </row>
    <row r="64">
      <c r="A64" t="n">
        <v>37</v>
      </c>
      <c r="B64" t="n">
        <v>1</v>
      </c>
      <c r="G64" t="inlineStr">
        <is>
          <t>moeda</t>
        </is>
      </c>
      <c r="H64" t="inlineStr">
        <is>
          <t>Ações ordinárias (valor nominal) [us-gaap/nvda:CommonStockValue]</t>
        </is>
      </c>
      <c r="J64" t="inlineStr">
        <is>
          <t>fonte</t>
        </is>
      </c>
      <c r="K64" s="259" t="n">
        <v>1000000</v>
      </c>
      <c r="L64" s="259" t="n">
        <v>1000000</v>
      </c>
      <c r="M64" s="259" t="n">
        <v>1000000</v>
      </c>
      <c r="N64" s="259" t="n">
        <v>1000000</v>
      </c>
      <c r="O64" s="259" t="n">
        <v>1000000</v>
      </c>
      <c r="P64" s="259" t="n">
        <v>3000000</v>
      </c>
      <c r="Q64" s="259" t="n">
        <v>3000000</v>
      </c>
      <c r="R64" s="259" t="n">
        <v>3000000</v>
      </c>
      <c r="S64" s="259" t="n">
        <v>3000000</v>
      </c>
      <c r="T64" s="259" t="n">
        <v>2000000</v>
      </c>
      <c r="U64" s="259" t="n">
        <v>2000000</v>
      </c>
      <c r="V64" s="259" t="n">
        <v>2000000</v>
      </c>
      <c r="W64" s="259" t="n">
        <v>2000000</v>
      </c>
      <c r="X64" s="259" t="n">
        <v>2000000</v>
      </c>
      <c r="Y64" s="259" t="n">
        <v>2000000</v>
      </c>
      <c r="Z64" s="259" t="n">
        <v>2000000</v>
      </c>
      <c r="AA64" s="259" t="n">
        <v>2000000</v>
      </c>
      <c r="AB64" s="259" t="n">
        <v>25000000</v>
      </c>
      <c r="AC64" s="259" t="n">
        <v>25000000</v>
      </c>
      <c r="AD64" s="259" t="n">
        <v>24000000</v>
      </c>
      <c r="AE64" s="259" t="n">
        <v>24000000</v>
      </c>
      <c r="AF64" s="259" t="n">
        <v>24000000</v>
      </c>
      <c r="AG64" s="259" t="n">
        <v>24000000</v>
      </c>
      <c r="AH64" s="259" t="n">
        <v>24000000</v>
      </c>
      <c r="AI64" s="259" t="n">
        <v>24000000</v>
      </c>
      <c r="AJ64" s="259" t="n">
        <v>24000000</v>
      </c>
    </row>
    <row r="65">
      <c r="A65" t="n">
        <v>37</v>
      </c>
      <c r="B65" t="n">
        <v>1</v>
      </c>
      <c r="G65" t="inlineStr">
        <is>
          <t>moeda</t>
        </is>
      </c>
      <c r="H65" t="inlineStr">
        <is>
          <t>Capital adicional integralizado [us-gaap/nvda:AdditionalPaidInCapital]</t>
        </is>
      </c>
      <c r="J65" t="inlineStr">
        <is>
          <t>fonte</t>
        </is>
      </c>
      <c r="K65" s="259" t="n">
        <v>7354000000</v>
      </c>
      <c r="L65" s="259" t="n">
        <v>7828000000</v>
      </c>
      <c r="M65" s="259" t="n">
        <v>8301000000</v>
      </c>
      <c r="N65" s="259" t="n">
        <v>8721000000</v>
      </c>
      <c r="O65" s="259" t="n">
        <v>9280000000</v>
      </c>
      <c r="P65" s="259" t="n">
        <v>9745000000</v>
      </c>
      <c r="Q65" s="259" t="n">
        <v>10465000000</v>
      </c>
      <c r="R65" s="259" t="n">
        <v>10385000000</v>
      </c>
      <c r="S65" s="259" t="n">
        <v>10623000000</v>
      </c>
      <c r="T65" s="259" t="n">
        <v>10968000000</v>
      </c>
      <c r="U65" s="259" t="n">
        <v>11565000000</v>
      </c>
      <c r="V65" s="259" t="n">
        <v>11971000000</v>
      </c>
      <c r="W65" s="259" t="n">
        <v>12453000000</v>
      </c>
      <c r="X65" s="259" t="n">
        <v>12629000000</v>
      </c>
      <c r="Y65" s="259" t="n">
        <v>12991000000</v>
      </c>
      <c r="Z65" s="259" t="n">
        <v>13132000000</v>
      </c>
      <c r="AA65" s="259" t="n">
        <v>12651000000</v>
      </c>
      <c r="AB65" s="259" t="n">
        <v>12115000000</v>
      </c>
      <c r="AC65" s="259" t="n">
        <v>11821000000</v>
      </c>
      <c r="AD65" s="259" t="n">
        <v>11237000000</v>
      </c>
      <c r="AE65" s="259" t="n">
        <v>11475000000</v>
      </c>
      <c r="AF65" s="259" t="n">
        <v>11200000000</v>
      </c>
      <c r="AG65" s="259" t="n">
        <v>10626000000</v>
      </c>
      <c r="AH65" s="259" t="n">
        <v>10118000000</v>
      </c>
      <c r="AI65" s="259" t="n">
        <v>10275000000</v>
      </c>
      <c r="AJ65" s="259" t="n">
        <v>9828000000</v>
      </c>
    </row>
    <row r="66">
      <c r="A66" t="n">
        <v>38</v>
      </c>
      <c r="B66" t="n">
        <v>-1</v>
      </c>
      <c r="G66" t="inlineStr">
        <is>
          <t>moeda</t>
        </is>
      </c>
      <c r="H66" t="inlineStr">
        <is>
          <t>Ações em tesouraria (divulgado positivo) [us-gaap/nvda:TreasuryStockValue/TreasuryStockCommonValue]</t>
        </is>
      </c>
      <c r="J66" t="inlineStr">
        <is>
          <t>fonte</t>
        </is>
      </c>
      <c r="K66" s="259" t="n">
        <v>10036000000</v>
      </c>
      <c r="L66" s="259" t="n">
        <v>10232000000</v>
      </c>
      <c r="M66" s="259" t="n">
        <v>10530000000</v>
      </c>
      <c r="N66" s="259" t="n">
        <v>10756000000</v>
      </c>
      <c r="O66" s="259" t="n">
        <v>11242000000</v>
      </c>
      <c r="P66" s="259" t="n">
        <v>11604000000</v>
      </c>
      <c r="Q66" s="259" t="n">
        <v>12038000000</v>
      </c>
      <c r="R66" s="259" t="n">
        <v>0</v>
      </c>
      <c r="S66" s="259" t="n">
        <v>0</v>
      </c>
      <c r="T66" s="259" t="n">
        <v>0</v>
      </c>
      <c r="U66" s="259" t="n">
        <v>0</v>
      </c>
      <c r="V66" s="259" t="n">
        <v>0</v>
      </c>
      <c r="W66" s="259" t="n">
        <v>0</v>
      </c>
      <c r="X66" s="259" t="n">
        <v>0</v>
      </c>
      <c r="Y66" s="259" t="n">
        <v>0</v>
      </c>
      <c r="Z66" s="259" t="n">
        <v>0</v>
      </c>
      <c r="AA66" s="259" t="n">
        <v>0</v>
      </c>
      <c r="AB66" s="259" t="n">
        <v>0</v>
      </c>
      <c r="AC66" s="259" t="n">
        <v>0</v>
      </c>
      <c r="AD66" s="259" t="n">
        <v>0</v>
      </c>
      <c r="AE66" s="259" t="n">
        <v>0</v>
      </c>
      <c r="AF66" s="259" t="n">
        <v>0</v>
      </c>
      <c r="AG66" s="259" t="n">
        <v>0</v>
      </c>
      <c r="AH66" s="259" t="n">
        <v>0</v>
      </c>
      <c r="AI66" s="259" t="n">
        <v>0</v>
      </c>
      <c r="AJ66" s="259" t="n">
        <v>0</v>
      </c>
    </row>
    <row r="67">
      <c r="A67" t="n">
        <v>39</v>
      </c>
      <c r="B67" t="n">
        <v>1</v>
      </c>
      <c r="G67" t="inlineStr">
        <is>
          <t>moeda</t>
        </is>
      </c>
      <c r="H67" t="inlineStr">
        <is>
          <t>Outros resultados abrangentes acumulados [us-gaap/nvda:AccumulatedOtherComprehensiveIncomeLossNetOfTax]</t>
        </is>
      </c>
      <c r="J67" t="inlineStr">
        <is>
          <t>fonte</t>
        </is>
      </c>
      <c r="K67" s="259" t="n">
        <v>-10000000</v>
      </c>
      <c r="L67" s="259" t="n">
        <v>4000000</v>
      </c>
      <c r="M67" s="259" t="n">
        <v>12000000</v>
      </c>
      <c r="N67" s="259" t="n">
        <v>19000000</v>
      </c>
      <c r="O67" s="259" t="n">
        <v>14000000</v>
      </c>
      <c r="P67" s="259" t="n">
        <v>8000000</v>
      </c>
      <c r="Q67" s="259" t="n">
        <v>9000000</v>
      </c>
      <c r="R67" s="259" t="n">
        <v>-11000000</v>
      </c>
      <c r="S67" s="259" t="n">
        <v>-64000000</v>
      </c>
      <c r="T67" s="259" t="n">
        <v>-90000000</v>
      </c>
      <c r="U67" s="259" t="n">
        <v>-123000000</v>
      </c>
      <c r="V67" s="259" t="n">
        <v>-43000000</v>
      </c>
      <c r="W67" s="259" t="n">
        <v>-50000000</v>
      </c>
      <c r="X67" s="259" t="n">
        <v>-51000000</v>
      </c>
      <c r="Y67" s="259" t="n">
        <v>-88000000</v>
      </c>
      <c r="Z67" s="259" t="n">
        <v>27000000</v>
      </c>
      <c r="AA67" s="259" t="n">
        <v>-109000000</v>
      </c>
      <c r="AB67" s="259" t="n">
        <v>56000000</v>
      </c>
      <c r="AC67" s="259" t="n">
        <v>103000000</v>
      </c>
      <c r="AD67" s="259" t="n">
        <v>28000000</v>
      </c>
      <c r="AE67" s="259" t="n">
        <v>186000000</v>
      </c>
      <c r="AF67" s="259" t="n">
        <v>170000000</v>
      </c>
      <c r="AG67" s="259" t="n">
        <v>339000000</v>
      </c>
      <c r="AH67" s="259" t="n">
        <v>178000000</v>
      </c>
      <c r="AI67" s="259" t="n">
        <v>137000000</v>
      </c>
      <c r="AJ67" s="259" t="n">
        <v>-25000000</v>
      </c>
    </row>
    <row r="68">
      <c r="A68" t="n">
        <v>41</v>
      </c>
      <c r="B68" t="n">
        <v>1</v>
      </c>
      <c r="G68" t="inlineStr">
        <is>
          <t>moeda</t>
        </is>
      </c>
      <c r="H68" t="inlineStr">
        <is>
          <t>Lucros retidos [us-gaap/nvda:RetainedEarningsAccumulatedDeficit]</t>
        </is>
      </c>
      <c r="J68" t="inlineStr">
        <is>
          <t>fonte</t>
        </is>
      </c>
      <c r="K68" s="259" t="n">
        <v>15790000000</v>
      </c>
      <c r="L68" s="259" t="n">
        <v>16313000000</v>
      </c>
      <c r="M68" s="259" t="n">
        <v>17550000000</v>
      </c>
      <c r="N68" s="259" t="n">
        <v>18908000000</v>
      </c>
      <c r="O68" s="259" t="n">
        <v>20721000000</v>
      </c>
      <c r="P68" s="259" t="n">
        <v>22995000000</v>
      </c>
      <c r="Q68" s="259" t="n">
        <v>25359000000</v>
      </c>
      <c r="R68" s="259" t="n">
        <v>16235000000</v>
      </c>
      <c r="S68" s="259" t="n">
        <v>15758000000</v>
      </c>
      <c r="T68" s="259" t="n">
        <v>12971000000</v>
      </c>
      <c r="U68" s="259" t="n">
        <v>9905000000</v>
      </c>
      <c r="V68" s="259" t="n">
        <v>10171000000</v>
      </c>
      <c r="W68" s="259" t="n">
        <v>12115000000</v>
      </c>
      <c r="X68" s="259" t="n">
        <v>14921000000</v>
      </c>
      <c r="Y68" s="259" t="n">
        <v>20360000000</v>
      </c>
      <c r="Z68" s="259" t="n">
        <v>29817000000</v>
      </c>
      <c r="AA68" s="259" t="n">
        <v>36598000000</v>
      </c>
      <c r="AB68" s="259" t="n">
        <v>45961000000</v>
      </c>
      <c r="AC68" s="259" t="n">
        <v>53950000000</v>
      </c>
      <c r="AD68" s="259" t="n">
        <v>68038000000</v>
      </c>
      <c r="AE68" s="259" t="n">
        <v>72158000000</v>
      </c>
      <c r="AF68" s="259" t="n">
        <v>88737000000</v>
      </c>
      <c r="AG68" s="259" t="n">
        <v>107908000000</v>
      </c>
      <c r="AH68" s="259" t="n">
        <v>146973000000</v>
      </c>
      <c r="AI68" s="259" t="n">
        <v>185038000000</v>
      </c>
      <c r="AJ68" s="259" t="n">
        <v>219157000000</v>
      </c>
    </row>
    <row r="69">
      <c r="H69" s="254" t="inlineStr">
        <is>
          <t>BALANÇO - totais divulgados (memória)</t>
        </is>
      </c>
    </row>
    <row r="70">
      <c r="G70" t="inlineStr">
        <is>
          <t>moeda</t>
        </is>
      </c>
      <c r="H70" t="inlineStr">
        <is>
          <t>Total do ativo [us-gaap:Assets]</t>
        </is>
      </c>
      <c r="J70" t="inlineStr">
        <is>
          <t>memoria</t>
        </is>
      </c>
      <c r="K70" s="259" t="n">
        <v>23254000000</v>
      </c>
      <c r="L70" s="259" t="n">
        <v>25180000000</v>
      </c>
      <c r="M70" s="259" t="n">
        <v>26881000000</v>
      </c>
      <c r="N70" s="259" t="n">
        <v>28791000000</v>
      </c>
      <c r="O70" s="259" t="n">
        <v>30796000000</v>
      </c>
      <c r="P70" s="259" t="n">
        <v>38650000000</v>
      </c>
      <c r="Q70" s="259" t="n">
        <v>40632000000</v>
      </c>
      <c r="R70" s="259" t="n">
        <v>44187000000</v>
      </c>
      <c r="S70" s="259" t="n">
        <v>45212000000</v>
      </c>
      <c r="T70" s="259" t="n">
        <v>43476000000</v>
      </c>
      <c r="U70" s="259" t="n">
        <v>40488000000</v>
      </c>
      <c r="V70" s="259" t="n">
        <v>41182000000</v>
      </c>
      <c r="W70" s="259" t="n">
        <v>44460000000</v>
      </c>
      <c r="X70" s="259" t="n">
        <v>49555000000</v>
      </c>
      <c r="Y70" s="259" t="n">
        <v>54148000000</v>
      </c>
      <c r="Z70" s="259" t="n">
        <v>65728000000</v>
      </c>
      <c r="AA70" s="259" t="n">
        <v>77072000000</v>
      </c>
      <c r="AB70" s="259" t="n">
        <v>85227000000</v>
      </c>
      <c r="AC70" s="259" t="n">
        <v>96013000000</v>
      </c>
      <c r="AD70" s="259" t="n">
        <v>111601000000</v>
      </c>
      <c r="AE70" s="259" t="n">
        <v>125254000000</v>
      </c>
      <c r="AF70" s="259" t="n">
        <v>140740000000</v>
      </c>
      <c r="AG70" s="259" t="n">
        <v>161148000000</v>
      </c>
      <c r="AH70" s="259" t="n">
        <v>206803000000</v>
      </c>
      <c r="AI70" s="259" t="n">
        <v>259474000000</v>
      </c>
      <c r="AJ70" s="259" t="n">
        <v>320272000000</v>
      </c>
    </row>
    <row r="71">
      <c r="G71" t="inlineStr">
        <is>
          <t>moeda</t>
        </is>
      </c>
      <c r="H71" t="inlineStr">
        <is>
          <t>Total do passivo [us-gaap:Liabilities]</t>
        </is>
      </c>
      <c r="J71" t="inlineStr">
        <is>
          <t>memoria</t>
        </is>
      </c>
      <c r="K71" s="259" t="n">
        <v>10155000000</v>
      </c>
      <c r="L71" s="259" t="n">
        <v>11266000000</v>
      </c>
      <c r="M71" s="259" t="n">
        <v>11547000000</v>
      </c>
      <c r="N71" s="259" t="n">
        <v>11898000000</v>
      </c>
      <c r="O71" s="259" t="n">
        <v>12022000000</v>
      </c>
      <c r="P71" s="259" t="n">
        <v>17503000000</v>
      </c>
      <c r="Q71" s="259" t="n">
        <v>16834000000</v>
      </c>
      <c r="R71" s="259" t="n">
        <v>17575000000</v>
      </c>
      <c r="S71" s="259" t="n">
        <v>18892000000</v>
      </c>
      <c r="T71" s="259" t="n">
        <v>19625000000</v>
      </c>
      <c r="U71" s="259" t="n">
        <v>19139000000</v>
      </c>
      <c r="V71" s="259" t="n">
        <v>19081000000</v>
      </c>
      <c r="W71" s="259" t="n">
        <v>19940000000</v>
      </c>
      <c r="X71" s="259" t="n">
        <v>22054000000</v>
      </c>
      <c r="Y71" s="259" t="n">
        <v>20883000000</v>
      </c>
      <c r="Z71" s="259" t="n">
        <v>22750000000</v>
      </c>
      <c r="AA71" s="259" t="n">
        <v>27930000000</v>
      </c>
      <c r="AB71" s="259" t="n">
        <v>27070000000</v>
      </c>
      <c r="AC71" s="259" t="n">
        <v>30114000000</v>
      </c>
      <c r="AD71" s="259" t="n">
        <v>32274000000</v>
      </c>
      <c r="AE71" s="259" t="n">
        <v>41411000000</v>
      </c>
      <c r="AF71" s="259" t="n">
        <v>40609000000</v>
      </c>
      <c r="AG71" s="259" t="n">
        <v>42251000000</v>
      </c>
      <c r="AH71" s="259" t="n">
        <v>49510000000</v>
      </c>
      <c r="AI71" s="259" t="n">
        <v>64000000000</v>
      </c>
      <c r="AJ71" s="259" t="n">
        <v>91288000000</v>
      </c>
    </row>
    <row r="72">
      <c r="G72" t="inlineStr">
        <is>
          <t>moeda</t>
        </is>
      </c>
      <c r="H72" t="inlineStr">
        <is>
          <t>Total do PL [us-gaap:StockholdersEquity]</t>
        </is>
      </c>
      <c r="J72" t="inlineStr">
        <is>
          <t>memoria</t>
        </is>
      </c>
      <c r="K72" s="259" t="n">
        <v>13099000000</v>
      </c>
      <c r="L72" s="259" t="n">
        <v>13914000000</v>
      </c>
      <c r="M72" s="259" t="n">
        <v>15334000000</v>
      </c>
      <c r="N72" s="259" t="n">
        <v>16893000000</v>
      </c>
      <c r="O72" s="259" t="n">
        <v>18774000000</v>
      </c>
      <c r="P72" s="259" t="n">
        <v>21147000000</v>
      </c>
      <c r="Q72" s="259" t="n">
        <v>23798000000</v>
      </c>
      <c r="R72" s="259" t="n">
        <v>26612000000</v>
      </c>
      <c r="S72" s="259" t="n">
        <v>26320000000</v>
      </c>
      <c r="T72" s="259" t="n">
        <v>23851000000</v>
      </c>
      <c r="U72" s="259" t="n">
        <v>21349000000</v>
      </c>
      <c r="V72" s="259" t="n">
        <v>22101000000</v>
      </c>
      <c r="W72" s="259" t="n">
        <v>24520000000</v>
      </c>
      <c r="X72" s="259" t="n">
        <v>27501000000</v>
      </c>
      <c r="Y72" s="259" t="n">
        <v>33265000000</v>
      </c>
      <c r="Z72" s="259" t="n">
        <v>42978000000</v>
      </c>
      <c r="AA72" s="259" t="n">
        <v>49142000000</v>
      </c>
      <c r="AB72" s="259" t="n">
        <v>58157000000</v>
      </c>
      <c r="AC72" s="259" t="n">
        <v>65899000000</v>
      </c>
      <c r="AD72" s="259" t="n">
        <v>79327000000</v>
      </c>
      <c r="AE72" s="259" t="n">
        <v>83843000000</v>
      </c>
      <c r="AF72" s="259" t="n">
        <v>100131000000</v>
      </c>
      <c r="AG72" s="259" t="n">
        <v>118897000000</v>
      </c>
      <c r="AH72" s="259" t="n">
        <v>157293000000</v>
      </c>
      <c r="AI72" s="259" t="n">
        <v>195474000000</v>
      </c>
      <c r="AJ72" s="259" t="n">
        <v>228984000000</v>
      </c>
    </row>
    <row r="73">
      <c r="H73" s="254" t="inlineStr">
        <is>
          <t>CHECKS (devem ser 0)</t>
        </is>
      </c>
    </row>
    <row r="74">
      <c r="G74" t="inlineStr">
        <is>
          <t>moeda</t>
        </is>
      </c>
      <c r="H74" t="inlineStr">
        <is>
          <t>CHECK: contas de ativo - ativo total (USD, arredondado a 100 mil)</t>
        </is>
      </c>
      <c r="J74" t="inlineStr">
        <is>
          <t>derivada</t>
        </is>
      </c>
      <c r="K74" s="260">
        <f>ROUND(N(K45)+N(K46)+N(K47)+N(K48)+N(K49)+N(K50)+N(K51)+N(K52)+N(K53)+N(K54)+N(K55)+N(K56)+N(K57)-N(K70),-5)</f>
        <v>0</v>
      </c>
      <c r="L74" s="260">
        <f>ROUND(N(L45)+N(L46)+N(L47)+N(L48)+N(L49)+N(L50)+N(L51)+N(L52)+N(L53)+N(L54)+N(L55)+N(L56)+N(L57)-N(L70),-5)</f>
        <v>0</v>
      </c>
      <c r="M74" s="260">
        <f>ROUND(N(M45)+N(M46)+N(M47)+N(M48)+N(M49)+N(M50)+N(M51)+N(M52)+N(M53)+N(M54)+N(M55)+N(M56)+N(M57)-N(M70),-5)</f>
        <v>0</v>
      </c>
      <c r="N74" s="260">
        <f>ROUND(N(N45)+N(N46)+N(N47)+N(N48)+N(N49)+N(N50)+N(N51)+N(N52)+N(N53)+N(N54)+N(N55)+N(N56)+N(N57)-N(N70),-5)</f>
        <v>0</v>
      </c>
      <c r="O74" s="260">
        <f>ROUND(N(O45)+N(O46)+N(O47)+N(O48)+N(O49)+N(O50)+N(O51)+N(O52)+N(O53)+N(O54)+N(O55)+N(O56)+N(O57)-N(O70),-5)</f>
        <v>0</v>
      </c>
      <c r="P74" s="260">
        <f>ROUND(N(P45)+N(P46)+N(P47)+N(P48)+N(P49)+N(P50)+N(P51)+N(P52)+N(P53)+N(P54)+N(P55)+N(P56)+N(P57)-N(P70),-5)</f>
        <v>0</v>
      </c>
      <c r="Q74" s="260">
        <f>ROUND(N(Q45)+N(Q46)+N(Q47)+N(Q48)+N(Q49)+N(Q50)+N(Q51)+N(Q52)+N(Q53)+N(Q54)+N(Q55)+N(Q56)+N(Q57)-N(Q70),-5)</f>
        <v>0</v>
      </c>
      <c r="R74" s="260">
        <f>ROUND(N(R45)+N(R46)+N(R47)+N(R48)+N(R49)+N(R50)+N(R51)+N(R52)+N(R53)+N(R54)+N(R55)+N(R56)+N(R57)-N(R70),-5)</f>
        <v>0</v>
      </c>
      <c r="S74" s="260">
        <f>ROUND(N(S45)+N(S46)+N(S47)+N(S48)+N(S49)+N(S50)+N(S51)+N(S52)+N(S53)+N(S54)+N(S55)+N(S56)+N(S57)-N(S70),-5)</f>
        <v>0</v>
      </c>
      <c r="T74" s="260">
        <f>ROUND(N(T45)+N(T46)+N(T47)+N(T48)+N(T49)+N(T50)+N(T51)+N(T52)+N(T53)+N(T54)+N(T55)+N(T56)+N(T57)-N(T70),-5)</f>
        <v>0</v>
      </c>
      <c r="U74" s="260">
        <f>ROUND(N(U45)+N(U46)+N(U47)+N(U48)+N(U49)+N(U50)+N(U51)+N(U52)+N(U53)+N(U54)+N(U55)+N(U56)+N(U57)-N(U70),-5)</f>
        <v>0</v>
      </c>
      <c r="V74" s="260">
        <f>ROUND(N(V45)+N(V46)+N(V47)+N(V48)+N(V49)+N(V50)+N(V51)+N(V52)+N(V53)+N(V54)+N(V55)+N(V56)+N(V57)-N(V70),-5)</f>
        <v>0</v>
      </c>
      <c r="W74" s="260">
        <f>ROUND(N(W45)+N(W46)+N(W47)+N(W48)+N(W49)+N(W50)+N(W51)+N(W52)+N(W53)+N(W54)+N(W55)+N(W56)+N(W57)-N(W70),-5)</f>
        <v>0</v>
      </c>
      <c r="X74" s="260">
        <f>ROUND(N(X45)+N(X46)+N(X47)+N(X48)+N(X49)+N(X50)+N(X51)+N(X52)+N(X53)+N(X54)+N(X55)+N(X56)+N(X57)-N(X70),-5)</f>
        <v>0</v>
      </c>
      <c r="Y74" s="260">
        <f>ROUND(N(Y45)+N(Y46)+N(Y47)+N(Y48)+N(Y49)+N(Y50)+N(Y51)+N(Y52)+N(Y53)+N(Y54)+N(Y55)+N(Y56)+N(Y57)-N(Y70),-5)</f>
        <v>0</v>
      </c>
      <c r="Z74" s="260">
        <f>ROUND(N(Z45)+N(Z46)+N(Z47)+N(Z48)+N(Z49)+N(Z50)+N(Z51)+N(Z52)+N(Z53)+N(Z54)+N(Z55)+N(Z56)+N(Z57)-N(Z70),-5)</f>
        <v>0</v>
      </c>
      <c r="AA74" s="260">
        <f>ROUND(N(AA45)+N(AA46)+N(AA47)+N(AA48)+N(AA49)+N(AA50)+N(AA51)+N(AA52)+N(AA53)+N(AA54)+N(AA55)+N(AA56)+N(AA57)-N(AA70),-5)</f>
        <v>0</v>
      </c>
      <c r="AB74" s="260">
        <f>ROUND(N(AB45)+N(AB46)+N(AB47)+N(AB48)+N(AB49)+N(AB50)+N(AB51)+N(AB52)+N(AB53)+N(AB54)+N(AB55)+N(AB56)+N(AB57)-N(AB70),-5)</f>
        <v>0</v>
      </c>
      <c r="AC74" s="260">
        <f>ROUND(N(AC45)+N(AC46)+N(AC47)+N(AC48)+N(AC49)+N(AC50)+N(AC51)+N(AC52)+N(AC53)+N(AC54)+N(AC55)+N(AC56)+N(AC57)-N(AC70),-5)</f>
        <v>0</v>
      </c>
      <c r="AD74" s="260">
        <f>ROUND(N(AD45)+N(AD46)+N(AD47)+N(AD48)+N(AD49)+N(AD50)+N(AD51)+N(AD52)+N(AD53)+N(AD54)+N(AD55)+N(AD56)+N(AD57)-N(AD70),-5)</f>
        <v>0</v>
      </c>
      <c r="AE74" s="260">
        <f>ROUND(N(AE45)+N(AE46)+N(AE47)+N(AE48)+N(AE49)+N(AE50)+N(AE51)+N(AE52)+N(AE53)+N(AE54)+N(AE55)+N(AE56)+N(AE57)-N(AE70),-5)</f>
        <v>0</v>
      </c>
      <c r="AF74" s="260">
        <f>ROUND(N(AF45)+N(AF46)+N(AF47)+N(AF48)+N(AF49)+N(AF50)+N(AF51)+N(AF52)+N(AF53)+N(AF54)+N(AF55)+N(AF56)+N(AF57)-N(AF70),-5)</f>
        <v>0</v>
      </c>
      <c r="AG74" s="260">
        <f>ROUND(N(AG45)+N(AG46)+N(AG47)+N(AG48)+N(AG49)+N(AG50)+N(AG51)+N(AG52)+N(AG53)+N(AG54)+N(AG55)+N(AG56)+N(AG57)-N(AG70),-5)</f>
        <v>0</v>
      </c>
      <c r="AH74" s="260">
        <f>ROUND(N(AH45)+N(AH46)+N(AH47)+N(AH48)+N(AH49)+N(AH50)+N(AH51)+N(AH52)+N(AH53)+N(AH54)+N(AH55)+N(AH56)+N(AH57)-N(AH70),-5)</f>
        <v>0</v>
      </c>
      <c r="AI74" s="260">
        <f>ROUND(N(AI45)+N(AI46)+N(AI47)+N(AI48)+N(AI49)+N(AI50)+N(AI51)+N(AI52)+N(AI53)+N(AI54)+N(AI55)+N(AI56)+N(AI57)-N(AI70),-5)</f>
        <v>0</v>
      </c>
      <c r="AJ74" s="260">
        <f>ROUND(N(AJ45)+N(AJ46)+N(AJ47)+N(AJ48)+N(AJ49)+N(AJ50)+N(AJ51)+N(AJ52)+N(AJ53)+N(AJ54)+N(AJ55)+N(AJ56)+N(AJ57)-N(AJ70),-5)</f>
        <v>0</v>
      </c>
    </row>
    <row r="75">
      <c r="G75" t="inlineStr">
        <is>
          <t>moeda</t>
        </is>
      </c>
      <c r="H75" t="inlineStr">
        <is>
          <t>CHECK: contas de passivo - passivo total</t>
        </is>
      </c>
      <c r="J75" t="inlineStr">
        <is>
          <t>derivada</t>
        </is>
      </c>
      <c r="K75" s="260">
        <f>ROUND(N(K58)+N(K59)+N(K60)+N(K61)+N(K62)+N(K63)-N(K71),-5)</f>
        <v>0</v>
      </c>
      <c r="L75" s="260">
        <f>ROUND(N(L58)+N(L59)+N(L60)+N(L61)+N(L62)+N(L63)-N(L71),-5)</f>
        <v>0</v>
      </c>
      <c r="M75" s="260">
        <f>ROUND(N(M58)+N(M59)+N(M60)+N(M61)+N(M62)+N(M63)-N(M71),-5)</f>
        <v>0</v>
      </c>
      <c r="N75" s="260">
        <f>ROUND(N(N58)+N(N59)+N(N60)+N(N61)+N(N62)+N(N63)-N(N71),-5)</f>
        <v>0</v>
      </c>
      <c r="O75" s="260">
        <f>ROUND(N(O58)+N(O59)+N(O60)+N(O61)+N(O62)+N(O63)-N(O71),-5)</f>
        <v>0</v>
      </c>
      <c r="P75" s="260">
        <f>ROUND(N(P58)+N(P59)+N(P60)+N(P61)+N(P62)+N(P63)-N(P71),-5)</f>
        <v>0</v>
      </c>
      <c r="Q75" s="260">
        <f>ROUND(N(Q58)+N(Q59)+N(Q60)+N(Q61)+N(Q62)+N(Q63)-N(Q71),-5)</f>
        <v>0</v>
      </c>
      <c r="R75" s="260">
        <f>ROUND(N(R58)+N(R59)+N(R60)+N(R61)+N(R62)+N(R63)-N(R71),-5)</f>
        <v>0</v>
      </c>
      <c r="S75" s="260">
        <f>ROUND(N(S58)+N(S59)+N(S60)+N(S61)+N(S62)+N(S63)-N(S71),-5)</f>
        <v>0</v>
      </c>
      <c r="T75" s="260">
        <f>ROUND(N(T58)+N(T59)+N(T60)+N(T61)+N(T62)+N(T63)-N(T71),-5)</f>
        <v>0</v>
      </c>
      <c r="U75" s="260">
        <f>ROUND(N(U58)+N(U59)+N(U60)+N(U61)+N(U62)+N(U63)-N(U71),-5)</f>
        <v>0</v>
      </c>
      <c r="V75" s="260">
        <f>ROUND(N(V58)+N(V59)+N(V60)+N(V61)+N(V62)+N(V63)-N(V71),-5)</f>
        <v>0</v>
      </c>
      <c r="W75" s="260">
        <f>ROUND(N(W58)+N(W59)+N(W60)+N(W61)+N(W62)+N(W63)-N(W71),-5)</f>
        <v>0</v>
      </c>
      <c r="X75" s="260">
        <f>ROUND(N(X58)+N(X59)+N(X60)+N(X61)+N(X62)+N(X63)-N(X71),-5)</f>
        <v>0</v>
      </c>
      <c r="Y75" s="260">
        <f>ROUND(N(Y58)+N(Y59)+N(Y60)+N(Y61)+N(Y62)+N(Y63)-N(Y71),-5)</f>
        <v>0</v>
      </c>
      <c r="Z75" s="260">
        <f>ROUND(N(Z58)+N(Z59)+N(Z60)+N(Z61)+N(Z62)+N(Z63)-N(Z71),-5)</f>
        <v>0</v>
      </c>
      <c r="AA75" s="260">
        <f>ROUND(N(AA58)+N(AA59)+N(AA60)+N(AA61)+N(AA62)+N(AA63)-N(AA71),-5)</f>
        <v>0</v>
      </c>
      <c r="AB75" s="260">
        <f>ROUND(N(AB58)+N(AB59)+N(AB60)+N(AB61)+N(AB62)+N(AB63)-N(AB71),-5)</f>
        <v>0</v>
      </c>
      <c r="AC75" s="260">
        <f>ROUND(N(AC58)+N(AC59)+N(AC60)+N(AC61)+N(AC62)+N(AC63)-N(AC71),-5)</f>
        <v>0</v>
      </c>
      <c r="AD75" s="260">
        <f>ROUND(N(AD58)+N(AD59)+N(AD60)+N(AD61)+N(AD62)+N(AD63)-N(AD71),-5)</f>
        <v>0</v>
      </c>
      <c r="AE75" s="260">
        <f>ROUND(N(AE58)+N(AE59)+N(AE60)+N(AE61)+N(AE62)+N(AE63)-N(AE71),-5)</f>
        <v>0</v>
      </c>
      <c r="AF75" s="260">
        <f>ROUND(N(AF58)+N(AF59)+N(AF60)+N(AF61)+N(AF62)+N(AF63)-N(AF71),-5)</f>
        <v>0</v>
      </c>
      <c r="AG75" s="260">
        <f>ROUND(N(AG58)+N(AG59)+N(AG60)+N(AG61)+N(AG62)+N(AG63)-N(AG71),-5)</f>
        <v>0</v>
      </c>
      <c r="AH75" s="260">
        <f>ROUND(N(AH58)+N(AH59)+N(AH60)+N(AH61)+N(AH62)+N(AH63)-N(AH71),-5)</f>
        <v>0</v>
      </c>
      <c r="AI75" s="260">
        <f>ROUND(N(AI58)+N(AI59)+N(AI60)+N(AI61)+N(AI62)+N(AI63)-N(AI71),-5)</f>
        <v>0</v>
      </c>
      <c r="AJ75" s="260">
        <f>ROUND(N(AJ58)+N(AJ59)+N(AJ60)+N(AJ61)+N(AJ62)+N(AJ63)-N(AJ71),-5)</f>
        <v>0</v>
      </c>
    </row>
    <row r="76">
      <c r="G76" t="inlineStr">
        <is>
          <t>moeda</t>
        </is>
      </c>
      <c r="H76" t="inlineStr">
        <is>
          <t>CHECK: contas de PL - PL total</t>
        </is>
      </c>
      <c r="J76" t="inlineStr">
        <is>
          <t>derivada</t>
        </is>
      </c>
      <c r="K76" s="260">
        <f>ROUND(N(K64)+N(K65)-N(K66)+N(K67)+N(K68)-N(K72),-5)</f>
        <v>0</v>
      </c>
      <c r="L76" s="260">
        <f>ROUND(N(L64)+N(L65)-N(L66)+N(L67)+N(L68)-N(L72),-5)</f>
        <v>0</v>
      </c>
      <c r="M76" s="260">
        <f>ROUND(N(M64)+N(M65)-N(M66)+N(M67)+N(M68)-N(M72),-5)</f>
        <v>0</v>
      </c>
      <c r="N76" s="260">
        <f>ROUND(N(N64)+N(N65)-N(N66)+N(N67)+N(N68)-N(N72),-5)</f>
        <v>0</v>
      </c>
      <c r="O76" s="260">
        <f>ROUND(N(O64)+N(O65)-N(O66)+N(O67)+N(O68)-N(O72),-5)</f>
        <v>0</v>
      </c>
      <c r="P76" s="260">
        <f>ROUND(N(P64)+N(P65)-N(P66)+N(P67)+N(P68)-N(P72),-5)</f>
        <v>0</v>
      </c>
      <c r="Q76" s="260">
        <f>ROUND(N(Q64)+N(Q65)-N(Q66)+N(Q67)+N(Q68)-N(Q72),-5)</f>
        <v>0</v>
      </c>
      <c r="R76" s="260">
        <f>ROUND(N(R64)+N(R65)-N(R66)+N(R67)+N(R68)-N(R72),-5)</f>
        <v>0</v>
      </c>
      <c r="S76" s="260">
        <f>ROUND(N(S64)+N(S65)-N(S66)+N(S67)+N(S68)-N(S72),-5)</f>
        <v>0</v>
      </c>
      <c r="T76" s="260">
        <f>ROUND(N(T64)+N(T65)-N(T66)+N(T67)+N(T68)-N(T72),-5)</f>
        <v>0</v>
      </c>
      <c r="U76" s="260">
        <f>ROUND(N(U64)+N(U65)-N(U66)+N(U67)+N(U68)-N(U72),-5)</f>
        <v>0</v>
      </c>
      <c r="V76" s="260">
        <f>ROUND(N(V64)+N(V65)-N(V66)+N(V67)+N(V68)-N(V72),-5)</f>
        <v>0</v>
      </c>
      <c r="W76" s="260">
        <f>ROUND(N(W64)+N(W65)-N(W66)+N(W67)+N(W68)-N(W72),-5)</f>
        <v>0</v>
      </c>
      <c r="X76" s="260">
        <f>ROUND(N(X64)+N(X65)-N(X66)+N(X67)+N(X68)-N(X72),-5)</f>
        <v>0</v>
      </c>
      <c r="Y76" s="260">
        <f>ROUND(N(Y64)+N(Y65)-N(Y66)+N(Y67)+N(Y68)-N(Y72),-5)</f>
        <v>0</v>
      </c>
      <c r="Z76" s="260">
        <f>ROUND(N(Z64)+N(Z65)-N(Z66)+N(Z67)+N(Z68)-N(Z72),-5)</f>
        <v>0</v>
      </c>
      <c r="AA76" s="260">
        <f>ROUND(N(AA64)+N(AA65)-N(AA66)+N(AA67)+N(AA68)-N(AA72),-5)</f>
        <v>0</v>
      </c>
      <c r="AB76" s="260">
        <f>ROUND(N(AB64)+N(AB65)-N(AB66)+N(AB67)+N(AB68)-N(AB72),-5)</f>
        <v>0</v>
      </c>
      <c r="AC76" s="260">
        <f>ROUND(N(AC64)+N(AC65)-N(AC66)+N(AC67)+N(AC68)-N(AC72),-5)</f>
        <v>0</v>
      </c>
      <c r="AD76" s="260">
        <f>ROUND(N(AD64)+N(AD65)-N(AD66)+N(AD67)+N(AD68)-N(AD72),-5)</f>
        <v>0</v>
      </c>
      <c r="AE76" s="260">
        <f>ROUND(N(AE64)+N(AE65)-N(AE66)+N(AE67)+N(AE68)-N(AE72),-5)</f>
        <v>0</v>
      </c>
      <c r="AF76" s="260">
        <f>ROUND(N(AF64)+N(AF65)-N(AF66)+N(AF67)+N(AF68)-N(AF72),-5)</f>
        <v>0</v>
      </c>
      <c r="AG76" s="260">
        <f>ROUND(N(AG64)+N(AG65)-N(AG66)+N(AG67)+N(AG68)-N(AG72),-5)</f>
        <v>0</v>
      </c>
      <c r="AH76" s="260">
        <f>ROUND(N(AH64)+N(AH65)-N(AH66)+N(AH67)+N(AH68)-N(AH72),-5)</f>
        <v>0</v>
      </c>
      <c r="AI76" s="260">
        <f>ROUND(N(AI64)+N(AI65)-N(AI66)+N(AI67)+N(AI68)-N(AI72),-5)</f>
        <v>0</v>
      </c>
      <c r="AJ76" s="260">
        <f>ROUND(N(AJ64)+N(AJ65)-N(AJ66)+N(AJ67)+N(AJ68)-N(AJ72),-5)</f>
        <v>0</v>
      </c>
    </row>
    <row r="77">
      <c r="H77" t="inlineStr">
        <is>
          <t>CHECK: receita - custo - despesas + não operacional - IR - lucro (deve ser 0)</t>
        </is>
      </c>
      <c r="J77" t="inlineStr">
        <is>
          <t>derivada</t>
        </is>
      </c>
      <c r="K77">
        <f>ROUND(N(K31)-N(K32)-N(K33)+N(K34)-N(K37)-N(K38),-5)</f>
        <v>0</v>
      </c>
      <c r="L77">
        <f>ROUND(N(L31)-N(L32)-N(L33)+N(L34)-N(L37)-N(L38),-5)</f>
        <v>0</v>
      </c>
      <c r="M77">
        <f>ROUND(N(M31)-N(M32)-N(M33)+N(M34)-N(M37)-N(M38),-5)</f>
        <v>0</v>
      </c>
      <c r="N77">
        <f>ROUND(N(N31)-N(N32)-N(N33)+N(N34)-N(N37)-N(N38),-5)</f>
        <v>0</v>
      </c>
      <c r="O77">
        <f>ROUND(N(O31)-N(O32)-N(O33)+N(O34)-N(O37)-N(O38),-5)</f>
        <v>0</v>
      </c>
      <c r="P77">
        <f>ROUND(N(P31)-N(P32)-N(P33)+N(P34)-N(P37)-N(P38),-5)</f>
        <v>0</v>
      </c>
      <c r="Q77">
        <f>ROUND(N(Q31)-N(Q32)-N(Q33)+N(Q34)-N(Q37)-N(Q38),-5)</f>
        <v>0</v>
      </c>
      <c r="R77">
        <f>ROUND(N(R31)-N(R32)-N(R33)+N(R34)-N(R37)-N(R38),-5)</f>
        <v>0</v>
      </c>
      <c r="S77">
        <f>ROUND(N(S31)-N(S32)-N(S33)+N(S34)-N(S37)-N(S38),-5)</f>
        <v>0</v>
      </c>
      <c r="T77">
        <f>ROUND(N(T31)-N(T32)-N(T33)+N(T34)-N(T37)-N(T38),-5)</f>
        <v>0</v>
      </c>
      <c r="U77">
        <f>ROUND(N(U31)-N(U32)-N(U33)+N(U34)-N(U37)-N(U38),-5)</f>
        <v>0</v>
      </c>
      <c r="V77">
        <f>ROUND(N(V31)-N(V32)-N(V33)+N(V34)-N(V37)-N(V38),-5)</f>
        <v>0</v>
      </c>
      <c r="W77">
        <f>ROUND(N(W31)-N(W32)-N(W33)+N(W34)-N(W37)-N(W38),-5)</f>
        <v>0</v>
      </c>
      <c r="X77">
        <f>ROUND(N(X31)-N(X32)-N(X33)+N(X34)-N(X37)-N(X38),-5)</f>
        <v>0</v>
      </c>
      <c r="Y77">
        <f>ROUND(N(Y31)-N(Y32)-N(Y33)+N(Y34)-N(Y37)-N(Y38),-5)</f>
        <v>0</v>
      </c>
      <c r="Z77">
        <f>ROUND(N(Z31)-N(Z32)-N(Z33)+N(Z34)-N(Z37)-N(Z38),-5)</f>
        <v>0</v>
      </c>
      <c r="AA77">
        <f>ROUND(N(AA31)-N(AA32)-N(AA33)+N(AA34)-N(AA37)-N(AA38),-5)</f>
        <v>0</v>
      </c>
      <c r="AB77">
        <f>ROUND(N(AB31)-N(AB32)-N(AB33)+N(AB34)-N(AB37)-N(AB38),-5)</f>
        <v>0</v>
      </c>
      <c r="AC77">
        <f>ROUND(N(AC31)-N(AC32)-N(AC33)+N(AC34)-N(AC37)-N(AC38),-5)</f>
        <v>0</v>
      </c>
      <c r="AD77">
        <f>ROUND(N(AD31)-N(AD32)-N(AD33)+N(AD34)-N(AD37)-N(AD38),-5)</f>
        <v>0</v>
      </c>
      <c r="AE77">
        <f>ROUND(N(AE31)-N(AE32)-N(AE33)+N(AE34)-N(AE37)-N(AE38),-5)</f>
        <v>0</v>
      </c>
      <c r="AF77">
        <f>ROUND(N(AF31)-N(AF32)-N(AF33)+N(AF34)-N(AF37)-N(AF38),-5)</f>
        <v>0</v>
      </c>
      <c r="AG77">
        <f>ROUND(N(AG31)-N(AG32)-N(AG33)+N(AG34)-N(AG37)-N(AG38),-5)</f>
        <v>0</v>
      </c>
      <c r="AH77">
        <f>ROUND(N(AH31)-N(AH32)-N(AH33)+N(AH34)-N(AH37)-N(AH38),-5)</f>
        <v>0</v>
      </c>
      <c r="AI77">
        <f>ROUND(N(AI31)-N(AI32)-N(AI33)+N(AI34)-N(AI37)-N(AI38),-5)</f>
        <v>0</v>
      </c>
      <c r="AJ77">
        <f>ROUND(N(AJ31)-N(AJ32)-N(AJ33)+N(AJ34)-N(AJ37)-N(AJ38),-5)</f>
        <v>0</v>
      </c>
    </row>
    <row r="78">
      <c r="H78" t="inlineStr">
        <is>
          <t>[vazio] cod 8 Equity in affiliates: inexistente na DRE (ganhos/perdas em participações ficam em outras receitas, cod 6)</t>
        </is>
      </c>
    </row>
    <row r="79">
      <c r="H79" t="inlineStr">
        <is>
          <t>[vazio] cod 9 Minority interest: inexistente</t>
        </is>
      </c>
    </row>
    <row r="80">
      <c r="H80" t="inlineStr">
        <is>
          <t>[vazio] cod 15 Prepaid: junto com outros ativos circulantes (cod 16)</t>
        </is>
      </c>
    </row>
    <row r="81">
      <c r="H81" t="inlineStr">
        <is>
          <t>[vazio] cod 17 Equity in affiliates: participações ficam em ativos circulantes (ações listadas) e outros ativos NC (non-marketable)</t>
        </is>
      </c>
    </row>
    <row r="82">
      <c r="H82" t="inlineStr">
        <is>
          <t>[vazio] cod 25 IR a pagar CP: dentro de despesas provisionadas (cod 24)</t>
        </is>
      </c>
    </row>
    <row r="83">
      <c r="H83" t="inlineStr">
        <is>
          <t>[vazio] cod 26 Outros passivos circulantes: dentro de despesas provisionadas (cod 24)</t>
        </is>
      </c>
    </row>
    <row r="84">
      <c r="H84" t="inlineStr">
        <is>
          <t>[vazio] cod 29 Arrendamento CP: dentro de despesas provisionadas (cod 24)</t>
        </is>
      </c>
    </row>
    <row r="85">
      <c r="H85" t="inlineStr">
        <is>
          <t>[vazio] cod 33 IR diferido passivo: dentro de outros passivos não circulantes</t>
        </is>
      </c>
    </row>
    <row r="86">
      <c r="H86" t="inlineStr">
        <is>
          <t>[vazio] cod 38 Tesouraria: só até out/21; a NVIDIA cancelou as ações em tesouraria no FQ4 FY22 (a partir daí, zero)</t>
        </is>
      </c>
    </row>
    <row r="88">
      <c r="H88" s="254" t="inlineStr">
        <is>
          <t>DRIVERS DE RECEITA (codigos 45+): receita por plataforma de mercado, segmentos operacionais (receita e lucro operacional) e receita por local de faturamento - SEC XBRL (instâncias dos 10-Q/10-K; USD, fator 0,000001).</t>
        </is>
      </c>
    </row>
    <row r="89">
      <c r="A89" t="n">
        <v>45</v>
      </c>
      <c r="B89" t="n">
        <v>1</v>
      </c>
      <c r="G89" t="inlineStr">
        <is>
          <t>moeda</t>
        </is>
      </c>
      <c r="H89" t="inlineStr">
        <is>
          <t>Receita Data Center (USD; trimestre-calendário; o 4T (nov-jan, FQ4) = ano fiscal do 10-K menos 9M do 10-Q de out)</t>
        </is>
      </c>
      <c r="J89" t="inlineStr">
        <is>
          <t>fonte</t>
        </is>
      </c>
      <c r="K89" s="262" t="n">
        <v>1141000000</v>
      </c>
      <c r="L89" s="262" t="n">
        <v>1752000000</v>
      </c>
      <c r="M89" s="262" t="n">
        <v>1900000000</v>
      </c>
      <c r="N89" s="262" t="n">
        <v>1903000000</v>
      </c>
      <c r="O89" s="262" t="n">
        <v>2048000000</v>
      </c>
      <c r="P89" s="262" t="n">
        <v>2366000000</v>
      </c>
      <c r="Q89" s="262" t="n">
        <v>2936000000</v>
      </c>
      <c r="R89" s="262" t="n">
        <v>3263000000</v>
      </c>
      <c r="S89" s="262" t="n">
        <v>3750000000</v>
      </c>
      <c r="T89" s="262" t="n">
        <v>3806000000</v>
      </c>
      <c r="U89" s="262" t="n">
        <v>3833000000</v>
      </c>
      <c r="V89" s="262" t="n">
        <v>3616000000</v>
      </c>
      <c r="W89" s="262" t="n">
        <v>4284000000</v>
      </c>
      <c r="X89" s="262" t="n">
        <v>10323000000</v>
      </c>
      <c r="Y89" s="262" t="n">
        <v>14514000000</v>
      </c>
      <c r="Z89" s="262" t="n">
        <v>18404000000</v>
      </c>
      <c r="AA89" s="262" t="n">
        <v>22563000000</v>
      </c>
      <c r="AB89" s="262" t="n">
        <v>26272000000</v>
      </c>
      <c r="AC89" s="262" t="n">
        <v>30771000000</v>
      </c>
      <c r="AD89" s="262" t="n">
        <v>35580000000</v>
      </c>
      <c r="AE89" s="262" t="n">
        <v>39112000000</v>
      </c>
      <c r="AF89" s="262" t="n">
        <v>41096000000</v>
      </c>
      <c r="AG89" s="262" t="n">
        <v>51215000000</v>
      </c>
      <c r="AH89" s="262" t="n">
        <v>62314000000</v>
      </c>
      <c r="AI89" s="262" t="n">
        <v>75246000000</v>
      </c>
      <c r="AJ89" s="262" t="n">
        <v>89023000000</v>
      </c>
    </row>
    <row r="90">
      <c r="A90" t="n">
        <v>46</v>
      </c>
      <c r="B90" t="n">
        <v>1</v>
      </c>
      <c r="G90" t="inlineStr">
        <is>
          <t>moeda</t>
        </is>
      </c>
      <c r="H90" t="inlineStr">
        <is>
          <t>Data Center - Compute (USD; aberto de 1T23 a 4T25)</t>
        </is>
      </c>
      <c r="J90" t="inlineStr">
        <is>
          <t>fonte</t>
        </is>
      </c>
      <c r="K90" s="262" t="n"/>
      <c r="L90" s="262" t="n"/>
      <c r="M90" s="262" t="n"/>
      <c r="N90" s="262" t="n"/>
      <c r="O90" s="262" t="n"/>
      <c r="P90" s="262" t="n"/>
      <c r="Q90" s="262" t="n"/>
      <c r="R90" s="262" t="n"/>
      <c r="S90" s="262" t="n"/>
      <c r="T90" s="262" t="n"/>
      <c r="U90" s="262" t="n"/>
      <c r="V90" s="262" t="n"/>
      <c r="W90" s="262" t="n">
        <v>3357000000</v>
      </c>
      <c r="X90" s="262" t="n">
        <v>8612000000</v>
      </c>
      <c r="Y90" s="262" t="n">
        <v>11908000000</v>
      </c>
      <c r="Z90" s="262" t="n">
        <v>15073000000</v>
      </c>
      <c r="AA90" s="262" t="n">
        <v>19392000000</v>
      </c>
      <c r="AB90" s="262" t="n">
        <v>22604000000</v>
      </c>
      <c r="AC90" s="262" t="n">
        <v>27644000000</v>
      </c>
      <c r="AD90" s="262" t="n">
        <v>32556000000</v>
      </c>
      <c r="AE90" s="262" t="n">
        <v>34155000000</v>
      </c>
      <c r="AF90" s="262" t="n">
        <v>33844000000</v>
      </c>
      <c r="AG90" s="262" t="n">
        <v>43028000000</v>
      </c>
      <c r="AH90" s="262" t="n">
        <v>51334000000</v>
      </c>
      <c r="AI90" s="262" t="n"/>
      <c r="AJ90" s="262" t="n"/>
    </row>
    <row r="91">
      <c r="A91" t="n">
        <v>47</v>
      </c>
      <c r="B91" t="n">
        <v>1</v>
      </c>
      <c r="G91" t="inlineStr">
        <is>
          <t>moeda</t>
        </is>
      </c>
      <c r="H91" t="inlineStr">
        <is>
          <t>Data Center - Networking (USD; aberto de 1T23 a 4T25)</t>
        </is>
      </c>
      <c r="J91" t="inlineStr">
        <is>
          <t>fonte</t>
        </is>
      </c>
      <c r="K91" s="262" t="n"/>
      <c r="L91" s="262" t="n"/>
      <c r="M91" s="262" t="n"/>
      <c r="N91" s="262" t="n"/>
      <c r="O91" s="262" t="n"/>
      <c r="P91" s="262" t="n"/>
      <c r="Q91" s="262" t="n"/>
      <c r="R91" s="262" t="n"/>
      <c r="S91" s="262" t="n"/>
      <c r="T91" s="262" t="n"/>
      <c r="U91" s="262" t="n"/>
      <c r="V91" s="262" t="n"/>
      <c r="W91" s="262" t="n">
        <v>927000000</v>
      </c>
      <c r="X91" s="262" t="n">
        <v>1711000000</v>
      </c>
      <c r="Y91" s="262" t="n">
        <v>2606000000</v>
      </c>
      <c r="Z91" s="262" t="n">
        <v>3331000000</v>
      </c>
      <c r="AA91" s="262" t="n">
        <v>3171000000</v>
      </c>
      <c r="AB91" s="262" t="n">
        <v>3668000000</v>
      </c>
      <c r="AC91" s="262" t="n">
        <v>3127000000</v>
      </c>
      <c r="AD91" s="262" t="n">
        <v>3024000000</v>
      </c>
      <c r="AE91" s="262" t="n">
        <v>4957000000</v>
      </c>
      <c r="AF91" s="262" t="n">
        <v>7252000000</v>
      </c>
      <c r="AG91" s="262" t="n">
        <v>8187000000</v>
      </c>
      <c r="AH91" s="262" t="n">
        <v>10980000000</v>
      </c>
      <c r="AI91" s="262" t="n"/>
      <c r="AJ91" s="262" t="n"/>
    </row>
    <row r="92">
      <c r="A92" t="n">
        <v>48</v>
      </c>
      <c r="B92" t="n">
        <v>1</v>
      </c>
      <c r="G92" t="inlineStr">
        <is>
          <t>moeda</t>
        </is>
      </c>
      <c r="H92" t="inlineStr">
        <is>
          <t>Data Center - Hyperscale (USD; nova abertura do FY27, com 1T25 e 2T25 reapresentados)</t>
        </is>
      </c>
      <c r="J92" t="inlineStr">
        <is>
          <t>fonte</t>
        </is>
      </c>
      <c r="K92" s="262" t="n"/>
      <c r="L92" s="262" t="n"/>
      <c r="M92" s="262" t="n"/>
      <c r="N92" s="262" t="n"/>
      <c r="O92" s="262" t="n"/>
      <c r="P92" s="262" t="n"/>
      <c r="Q92" s="262" t="n"/>
      <c r="R92" s="262" t="n"/>
      <c r="S92" s="262" t="n"/>
      <c r="T92" s="262" t="n"/>
      <c r="U92" s="262" t="n"/>
      <c r="V92" s="262" t="n"/>
      <c r="W92" s="262" t="n"/>
      <c r="X92" s="262" t="n"/>
      <c r="Y92" s="262" t="n"/>
      <c r="Z92" s="262" t="n"/>
      <c r="AA92" s="262" t="n"/>
      <c r="AB92" s="262" t="n"/>
      <c r="AC92" s="262" t="n"/>
      <c r="AD92" s="262" t="n"/>
      <c r="AE92" s="262" t="n">
        <v>17599000000</v>
      </c>
      <c r="AF92" s="262" t="n">
        <v>24168000000</v>
      </c>
      <c r="AG92" s="262" t="n"/>
      <c r="AH92" s="262" t="n"/>
      <c r="AI92" s="262" t="n">
        <v>37869000000</v>
      </c>
      <c r="AJ92" s="262" t="n">
        <v>48710000000</v>
      </c>
    </row>
    <row r="93">
      <c r="A93" t="n">
        <v>49</v>
      </c>
      <c r="B93" t="n">
        <v>1</v>
      </c>
      <c r="G93" t="inlineStr">
        <is>
          <t>moeda</t>
        </is>
      </c>
      <c r="H93" t="inlineStr">
        <is>
          <t>Data Center - AI Clouds, Industrial &amp; Enterprise (USD; nova abertura do FY27)</t>
        </is>
      </c>
      <c r="J93" t="inlineStr">
        <is>
          <t>fonte</t>
        </is>
      </c>
      <c r="K93" s="262" t="n"/>
      <c r="L93" s="262" t="n"/>
      <c r="M93" s="262" t="n"/>
      <c r="N93" s="262" t="n"/>
      <c r="O93" s="262" t="n"/>
      <c r="P93" s="262" t="n"/>
      <c r="Q93" s="262" t="n"/>
      <c r="R93" s="262" t="n"/>
      <c r="S93" s="262" t="n"/>
      <c r="T93" s="262" t="n"/>
      <c r="U93" s="262" t="n"/>
      <c r="V93" s="262" t="n"/>
      <c r="W93" s="262" t="n"/>
      <c r="X93" s="262" t="n"/>
      <c r="Y93" s="262" t="n"/>
      <c r="Z93" s="262" t="n"/>
      <c r="AA93" s="262" t="n"/>
      <c r="AB93" s="262" t="n"/>
      <c r="AC93" s="262" t="n"/>
      <c r="AD93" s="262" t="n"/>
      <c r="AE93" s="262" t="n">
        <v>21513000000</v>
      </c>
      <c r="AF93" s="262" t="n">
        <v>16928000000</v>
      </c>
      <c r="AG93" s="262" t="n"/>
      <c r="AH93" s="262" t="n"/>
      <c r="AI93" s="262" t="n">
        <v>37377000000</v>
      </c>
      <c r="AJ93" s="262" t="n">
        <v>40313000000</v>
      </c>
    </row>
    <row r="94">
      <c r="A94" t="n">
        <v>50</v>
      </c>
      <c r="B94" t="n">
        <v>1</v>
      </c>
      <c r="G94" t="inlineStr">
        <is>
          <t>moeda</t>
        </is>
      </c>
      <c r="H94" t="inlineStr">
        <is>
          <t>Receita Gaming (USD; até 4T25)</t>
        </is>
      </c>
      <c r="J94" t="inlineStr">
        <is>
          <t>fonte</t>
        </is>
      </c>
      <c r="K94" s="262" t="n">
        <v>1339000000</v>
      </c>
      <c r="L94" s="262" t="n">
        <v>1654000000</v>
      </c>
      <c r="M94" s="262" t="n">
        <v>2271000000</v>
      </c>
      <c r="N94" s="262" t="n">
        <v>2495000000</v>
      </c>
      <c r="O94" s="262" t="n">
        <v>2760000000</v>
      </c>
      <c r="P94" s="262" t="n">
        <v>3061000000</v>
      </c>
      <c r="Q94" s="262" t="n">
        <v>3221000000</v>
      </c>
      <c r="R94" s="262" t="n">
        <v>3420000000</v>
      </c>
      <c r="S94" s="262" t="n">
        <v>3620000000</v>
      </c>
      <c r="T94" s="262" t="n">
        <v>2042000000</v>
      </c>
      <c r="U94" s="262" t="n">
        <v>1574000000</v>
      </c>
      <c r="V94" s="262" t="n">
        <v>1831000000</v>
      </c>
      <c r="W94" s="262" t="n">
        <v>2240000000</v>
      </c>
      <c r="X94" s="262" t="n">
        <v>2486000000</v>
      </c>
      <c r="Y94" s="262" t="n">
        <v>2856000000</v>
      </c>
      <c r="Z94" s="262" t="n">
        <v>2865000000</v>
      </c>
      <c r="AA94" s="262" t="n">
        <v>2647000000</v>
      </c>
      <c r="AB94" s="262" t="n">
        <v>2880000000</v>
      </c>
      <c r="AC94" s="262" t="n">
        <v>3279000000</v>
      </c>
      <c r="AD94" s="262" t="n">
        <v>2544000000</v>
      </c>
      <c r="AE94" s="262" t="n">
        <v>3763000000</v>
      </c>
      <c r="AF94" s="262" t="n">
        <v>4287000000</v>
      </c>
      <c r="AG94" s="262" t="n">
        <v>4265000000</v>
      </c>
      <c r="AH94" s="262" t="n">
        <v>3727000000</v>
      </c>
      <c r="AI94" s="262" t="n"/>
      <c r="AJ94" s="262" t="n"/>
    </row>
    <row r="95">
      <c r="A95" t="n">
        <v>51</v>
      </c>
      <c r="B95" t="n">
        <v>1</v>
      </c>
      <c r="G95" t="inlineStr">
        <is>
          <t>moeda</t>
        </is>
      </c>
      <c r="H95" t="inlineStr">
        <is>
          <t>Receita Professional Visualization (USD; até 4T25)</t>
        </is>
      </c>
      <c r="J95" t="inlineStr">
        <is>
          <t>fonte</t>
        </is>
      </c>
      <c r="K95" s="262" t="n">
        <v>307000000</v>
      </c>
      <c r="L95" s="262" t="n">
        <v>203000000</v>
      </c>
      <c r="M95" s="262" t="n">
        <v>236000000</v>
      </c>
      <c r="N95" s="262" t="n">
        <v>307000000</v>
      </c>
      <c r="O95" s="262" t="n">
        <v>372000000</v>
      </c>
      <c r="P95" s="262" t="n">
        <v>519000000</v>
      </c>
      <c r="Q95" s="262" t="n">
        <v>577000000</v>
      </c>
      <c r="R95" s="262" t="n">
        <v>643000000</v>
      </c>
      <c r="S95" s="262" t="n">
        <v>622000000</v>
      </c>
      <c r="T95" s="262" t="n">
        <v>496000000</v>
      </c>
      <c r="U95" s="262" t="n">
        <v>200000000</v>
      </c>
      <c r="V95" s="262" t="n">
        <v>226000000</v>
      </c>
      <c r="W95" s="262" t="n">
        <v>295000000</v>
      </c>
      <c r="X95" s="262" t="n">
        <v>379000000</v>
      </c>
      <c r="Y95" s="262" t="n">
        <v>416000000</v>
      </c>
      <c r="Z95" s="262" t="n">
        <v>463000000</v>
      </c>
      <c r="AA95" s="262" t="n">
        <v>427000000</v>
      </c>
      <c r="AB95" s="262" t="n">
        <v>454000000</v>
      </c>
      <c r="AC95" s="262" t="n">
        <v>486000000</v>
      </c>
      <c r="AD95" s="262" t="n">
        <v>511000000</v>
      </c>
      <c r="AE95" s="262" t="n">
        <v>509000000</v>
      </c>
      <c r="AF95" s="262" t="n">
        <v>601000000</v>
      </c>
      <c r="AG95" s="262" t="n">
        <v>760000000</v>
      </c>
      <c r="AH95" s="262" t="n">
        <v>1321000000</v>
      </c>
      <c r="AI95" s="262" t="n"/>
      <c r="AJ95" s="262" t="n"/>
    </row>
    <row r="96">
      <c r="A96" t="n">
        <v>52</v>
      </c>
      <c r="B96" t="n">
        <v>1</v>
      </c>
      <c r="G96" t="inlineStr">
        <is>
          <t>moeda</t>
        </is>
      </c>
      <c r="H96" t="inlineStr">
        <is>
          <t>Receita Automotive (USD; até 4T25)</t>
        </is>
      </c>
      <c r="J96" t="inlineStr">
        <is>
          <t>fonte</t>
        </is>
      </c>
      <c r="K96" s="262" t="n">
        <v>155000000</v>
      </c>
      <c r="L96" s="262" t="n">
        <v>111000000</v>
      </c>
      <c r="M96" s="262" t="n">
        <v>125000000</v>
      </c>
      <c r="N96" s="262" t="n">
        <v>145000000</v>
      </c>
      <c r="O96" s="262" t="n">
        <v>154000000</v>
      </c>
      <c r="P96" s="262" t="n">
        <v>152000000</v>
      </c>
      <c r="Q96" s="262" t="n">
        <v>135000000</v>
      </c>
      <c r="R96" s="262" t="n">
        <v>125000000</v>
      </c>
      <c r="S96" s="262" t="n">
        <v>138000000</v>
      </c>
      <c r="T96" s="262" t="n">
        <v>220000000</v>
      </c>
      <c r="U96" s="262" t="n">
        <v>251000000</v>
      </c>
      <c r="V96" s="262" t="n">
        <v>294000000</v>
      </c>
      <c r="W96" s="262" t="n">
        <v>296000000</v>
      </c>
      <c r="X96" s="262" t="n">
        <v>253000000</v>
      </c>
      <c r="Y96" s="262" t="n">
        <v>261000000</v>
      </c>
      <c r="Z96" s="262" t="n">
        <v>281000000</v>
      </c>
      <c r="AA96" s="262" t="n">
        <v>329000000</v>
      </c>
      <c r="AB96" s="262" t="n">
        <v>346000000</v>
      </c>
      <c r="AC96" s="262" t="n">
        <v>449000000</v>
      </c>
      <c r="AD96" s="262" t="n">
        <v>570000000</v>
      </c>
      <c r="AE96" s="262" t="n">
        <v>567000000</v>
      </c>
      <c r="AF96" s="262" t="n">
        <v>586000000</v>
      </c>
      <c r="AG96" s="262" t="n">
        <v>592000000</v>
      </c>
      <c r="AH96" s="262" t="n">
        <v>604000000</v>
      </c>
      <c r="AI96" s="262" t="n"/>
      <c r="AJ96" s="262" t="n"/>
    </row>
    <row r="97">
      <c r="A97" t="n">
        <v>53</v>
      </c>
      <c r="B97" t="n">
        <v>1</v>
      </c>
      <c r="G97" t="inlineStr">
        <is>
          <t>moeda</t>
        </is>
      </c>
      <c r="H97" t="inlineStr">
        <is>
          <t>Receita OEM &amp; Other (USD; até 4T25)</t>
        </is>
      </c>
      <c r="J97" t="inlineStr">
        <is>
          <t>fonte</t>
        </is>
      </c>
      <c r="K97" s="262" t="n">
        <v>138000000</v>
      </c>
      <c r="L97" s="262" t="n">
        <v>146000000</v>
      </c>
      <c r="M97" s="262" t="n">
        <v>194000000</v>
      </c>
      <c r="N97" s="262" t="n">
        <v>153000000</v>
      </c>
      <c r="O97" s="262" t="n">
        <v>327000000</v>
      </c>
      <c r="P97" s="262" t="n">
        <v>409000000</v>
      </c>
      <c r="Q97" s="262" t="n">
        <v>234000000</v>
      </c>
      <c r="R97" s="262" t="n">
        <v>192000000</v>
      </c>
      <c r="S97" s="262" t="n">
        <v>158000000</v>
      </c>
      <c r="T97" s="262" t="n">
        <v>140000000</v>
      </c>
      <c r="U97" s="262" t="n">
        <v>73000000</v>
      </c>
      <c r="V97" s="262" t="n">
        <v>84000000</v>
      </c>
      <c r="W97" s="262" t="n">
        <v>77000000</v>
      </c>
      <c r="X97" s="262" t="n">
        <v>66000000</v>
      </c>
      <c r="Y97" s="262" t="n">
        <v>73000000</v>
      </c>
      <c r="Z97" s="262" t="n">
        <v>90000000</v>
      </c>
      <c r="AA97" s="262" t="n">
        <v>78000000</v>
      </c>
      <c r="AB97" s="262" t="n">
        <v>88000000</v>
      </c>
      <c r="AC97" s="262" t="n">
        <v>97000000</v>
      </c>
      <c r="AD97" s="262" t="n">
        <v>126000000</v>
      </c>
      <c r="AE97" s="262" t="n">
        <v>111000000</v>
      </c>
      <c r="AF97" s="262" t="n">
        <v>173000000</v>
      </c>
      <c r="AG97" s="262" t="n">
        <v>174000000</v>
      </c>
      <c r="AH97" s="262" t="n">
        <v>161000000</v>
      </c>
      <c r="AI97" s="262" t="n"/>
      <c r="AJ97" s="262" t="n"/>
    </row>
    <row r="98">
      <c r="A98" t="n">
        <v>54</v>
      </c>
      <c r="B98" t="n">
        <v>1</v>
      </c>
      <c r="G98" t="inlineStr">
        <is>
          <t>moeda</t>
        </is>
      </c>
      <c r="H98" t="inlineStr">
        <is>
          <t>Receita Edge Computing (USD; plataforma nova do FY27 que reúne o que não é Data Center)</t>
        </is>
      </c>
      <c r="J98" t="inlineStr">
        <is>
          <t>fonte</t>
        </is>
      </c>
      <c r="K98" s="262" t="n"/>
      <c r="L98" s="262" t="n"/>
      <c r="M98" s="262" t="n"/>
      <c r="N98" s="262" t="n"/>
      <c r="O98" s="262" t="n"/>
      <c r="P98" s="262" t="n"/>
      <c r="Q98" s="262" t="n"/>
      <c r="R98" s="262" t="n"/>
      <c r="S98" s="262" t="n"/>
      <c r="T98" s="262" t="n"/>
      <c r="U98" s="262" t="n"/>
      <c r="V98" s="262" t="n"/>
      <c r="W98" s="262" t="n"/>
      <c r="X98" s="262" t="n"/>
      <c r="Y98" s="262" t="n"/>
      <c r="Z98" s="262" t="n"/>
      <c r="AA98" s="262" t="n"/>
      <c r="AB98" s="262" t="n"/>
      <c r="AC98" s="262" t="n"/>
      <c r="AD98" s="262" t="n"/>
      <c r="AE98" s="262" t="n">
        <v>4950000000</v>
      </c>
      <c r="AF98" s="262" t="n">
        <v>5647000000</v>
      </c>
      <c r="AG98" s="262" t="n"/>
      <c r="AH98" s="262" t="n"/>
      <c r="AI98" s="262" t="n">
        <v>6369000000</v>
      </c>
      <c r="AJ98" s="262" t="n">
        <v>7198000000</v>
      </c>
    </row>
    <row r="99">
      <c r="A99" t="n">
        <v>55</v>
      </c>
      <c r="B99" t="n">
        <v>1</v>
      </c>
      <c r="G99" t="inlineStr">
        <is>
          <t>moeda</t>
        </is>
      </c>
      <c r="H99" t="inlineStr">
        <is>
          <t>Segmento Compute &amp; Networking - receita (USD)</t>
        </is>
      </c>
      <c r="J99" t="inlineStr">
        <is>
          <t>fonte</t>
        </is>
      </c>
      <c r="K99" s="262" t="n">
        <v>1174000000</v>
      </c>
      <c r="L99" s="262" t="n">
        <v>1781000000</v>
      </c>
      <c r="M99" s="262" t="n">
        <v>1939000000</v>
      </c>
      <c r="N99" s="262" t="n">
        <v>1947000000</v>
      </c>
      <c r="O99" s="262" t="n">
        <v>2210000000</v>
      </c>
      <c r="P99" s="262" t="n">
        <v>2600000000</v>
      </c>
      <c r="Q99" s="262" t="n">
        <v>3011000000</v>
      </c>
      <c r="R99" s="262" t="n">
        <v>3225000000</v>
      </c>
      <c r="S99" s="262" t="n">
        <v>3672000000</v>
      </c>
      <c r="T99" s="262" t="n">
        <v>3907000000</v>
      </c>
      <c r="U99" s="262" t="n">
        <v>3816000000</v>
      </c>
      <c r="V99" s="262" t="n">
        <v>3673000000</v>
      </c>
      <c r="W99" s="262" t="n">
        <v>4460000000</v>
      </c>
      <c r="X99" s="262" t="n">
        <v>10402000000</v>
      </c>
      <c r="Y99" s="262" t="n">
        <v>14645000000</v>
      </c>
      <c r="Z99" s="262" t="n">
        <v>17898000000</v>
      </c>
      <c r="AA99" s="262" t="n">
        <v>22675000000</v>
      </c>
      <c r="AB99" s="262" t="n">
        <v>26446000000</v>
      </c>
      <c r="AC99" s="262" t="n">
        <v>31036000000</v>
      </c>
      <c r="AD99" s="262" t="n">
        <v>36036000000</v>
      </c>
      <c r="AE99" s="262" t="n">
        <v>39589000000</v>
      </c>
      <c r="AF99" s="262" t="n">
        <v>41331000000</v>
      </c>
      <c r="AG99" s="262" t="n">
        <v>50908000000</v>
      </c>
      <c r="AH99" s="262" t="n">
        <v>61651000000</v>
      </c>
      <c r="AI99" s="262" t="n">
        <v>74550000000</v>
      </c>
      <c r="AJ99" s="262" t="n">
        <v>88299000000</v>
      </c>
    </row>
    <row r="100">
      <c r="A100" t="n">
        <v>56</v>
      </c>
      <c r="B100" t="n">
        <v>1</v>
      </c>
      <c r="G100" t="inlineStr">
        <is>
          <t>moeda</t>
        </is>
      </c>
      <c r="H100" t="inlineStr">
        <is>
          <t>Segmento Graphics - receita (USD)</t>
        </is>
      </c>
      <c r="J100" t="inlineStr">
        <is>
          <t>fonte</t>
        </is>
      </c>
      <c r="K100" s="262" t="n">
        <v>1906000000</v>
      </c>
      <c r="L100" s="262" t="n">
        <v>2085000000</v>
      </c>
      <c r="M100" s="262" t="n">
        <v>2787000000</v>
      </c>
      <c r="N100" s="262" t="n">
        <v>3056000000</v>
      </c>
      <c r="O100" s="262" t="n">
        <v>3451000000</v>
      </c>
      <c r="P100" s="262" t="n">
        <v>3907000000</v>
      </c>
      <c r="Q100" s="262" t="n">
        <v>4092000000</v>
      </c>
      <c r="R100" s="262" t="n">
        <v>4418000000</v>
      </c>
      <c r="S100" s="262" t="n">
        <v>4616000000</v>
      </c>
      <c r="T100" s="262" t="n">
        <v>2797000000</v>
      </c>
      <c r="U100" s="262" t="n">
        <v>2115000000</v>
      </c>
      <c r="V100" s="262" t="n">
        <v>2378000000</v>
      </c>
      <c r="W100" s="262" t="n">
        <v>2732000000</v>
      </c>
      <c r="X100" s="262" t="n">
        <v>3105000000</v>
      </c>
      <c r="Y100" s="262" t="n">
        <v>3475000000</v>
      </c>
      <c r="Z100" s="262" t="n">
        <v>4205000000</v>
      </c>
      <c r="AA100" s="262" t="n">
        <v>3369000000</v>
      </c>
      <c r="AB100" s="262" t="n">
        <v>3594000000</v>
      </c>
      <c r="AC100" s="262" t="n">
        <v>4046000000</v>
      </c>
      <c r="AD100" s="262" t="n">
        <v>3295000000</v>
      </c>
      <c r="AE100" s="262" t="n">
        <v>4473000000</v>
      </c>
      <c r="AF100" s="262" t="n">
        <v>5412000000</v>
      </c>
      <c r="AG100" s="262" t="n">
        <v>6098000000</v>
      </c>
      <c r="AH100" s="262" t="n">
        <v>6476000000</v>
      </c>
      <c r="AI100" s="262" t="n">
        <v>7065000000</v>
      </c>
      <c r="AJ100" s="262" t="n">
        <v>7922000000</v>
      </c>
    </row>
    <row r="101">
      <c r="A101" t="n">
        <v>57</v>
      </c>
      <c r="B101" t="n">
        <v>1</v>
      </c>
      <c r="G101" t="inlineStr">
        <is>
          <t>moeda</t>
        </is>
      </c>
      <c r="H101" t="inlineStr">
        <is>
          <t>Segmento Compute &amp; Networking - lucro operacional (USD)</t>
        </is>
      </c>
      <c r="J101" t="inlineStr">
        <is>
          <t>fonte</t>
        </is>
      </c>
      <c r="K101" s="262" t="n">
        <v>451000000</v>
      </c>
      <c r="L101" s="262" t="n">
        <v>691000000</v>
      </c>
      <c r="M101" s="262" t="n">
        <v>738000000</v>
      </c>
      <c r="N101" s="262" t="n">
        <v>668000000</v>
      </c>
      <c r="O101" s="262" t="n">
        <v>861000000</v>
      </c>
      <c r="P101" s="262" t="n">
        <v>1034000000</v>
      </c>
      <c r="Q101" s="262" t="n">
        <v>1332000000</v>
      </c>
      <c r="R101" s="262" t="n">
        <v>1371000000</v>
      </c>
      <c r="S101" s="262" t="n">
        <v>1606000000</v>
      </c>
      <c r="T101" s="262" t="n">
        <v>816000000</v>
      </c>
      <c r="U101" s="262" t="n">
        <v>1086000000</v>
      </c>
      <c r="V101" s="262" t="n">
        <v>1574000000</v>
      </c>
      <c r="W101" s="262" t="n">
        <v>2160000000</v>
      </c>
      <c r="X101" s="262" t="n">
        <v>6728000000</v>
      </c>
      <c r="Y101" s="262" t="n">
        <v>10262000000</v>
      </c>
      <c r="Z101" s="262" t="n">
        <v>12867000000</v>
      </c>
      <c r="AA101" s="262" t="n">
        <v>17047000000</v>
      </c>
      <c r="AB101" s="262" t="n">
        <v>18848000000</v>
      </c>
      <c r="AC101" s="262" t="n">
        <v>22081000000</v>
      </c>
      <c r="AD101" s="262" t="n">
        <v>24898000000</v>
      </c>
      <c r="AE101" s="262" t="n">
        <v>22054000000</v>
      </c>
      <c r="AF101" s="262" t="n">
        <v>28363000000</v>
      </c>
      <c r="AG101" s="262" t="n">
        <v>35721000000</v>
      </c>
      <c r="AH101" s="262" t="n">
        <v>44002000000</v>
      </c>
      <c r="AI101" s="262" t="n">
        <v>53335000000</v>
      </c>
      <c r="AJ101" s="262" t="n">
        <v>62696000000</v>
      </c>
    </row>
    <row r="102">
      <c r="A102" t="n">
        <v>58</v>
      </c>
      <c r="B102" t="n">
        <v>1</v>
      </c>
      <c r="G102" t="inlineStr">
        <is>
          <t>moeda</t>
        </is>
      </c>
      <c r="H102" t="inlineStr">
        <is>
          <t>Segmento Graphics - lucro operacional (USD)</t>
        </is>
      </c>
      <c r="J102" t="inlineStr">
        <is>
          <t>fonte</t>
        </is>
      </c>
      <c r="K102" s="262" t="n">
        <v>836000000</v>
      </c>
      <c r="L102" s="262" t="n">
        <v>911000000</v>
      </c>
      <c r="M102" s="262" t="n">
        <v>1345000000</v>
      </c>
      <c r="N102" s="262" t="n">
        <v>1520000000</v>
      </c>
      <c r="O102" s="262" t="n">
        <v>1786000000</v>
      </c>
      <c r="P102" s="262" t="n">
        <v>2127000000</v>
      </c>
      <c r="Q102" s="262" t="n">
        <v>2160000000</v>
      </c>
      <c r="R102" s="262" t="n">
        <v>2419000000</v>
      </c>
      <c r="S102" s="262" t="n">
        <v>2476000000</v>
      </c>
      <c r="T102" s="262" t="n">
        <v>657000000</v>
      </c>
      <c r="U102" s="262" t="n">
        <v>606000000</v>
      </c>
      <c r="V102" s="262" t="n">
        <v>813000000</v>
      </c>
      <c r="W102" s="262" t="n">
        <v>1046000000</v>
      </c>
      <c r="X102" s="262" t="n">
        <v>1211000000</v>
      </c>
      <c r="Y102" s="262" t="n">
        <v>1493000000</v>
      </c>
      <c r="Z102" s="262" t="n">
        <v>2095000000</v>
      </c>
      <c r="AA102" s="262" t="n">
        <v>1241000000</v>
      </c>
      <c r="AB102" s="262" t="n">
        <v>1369000000</v>
      </c>
      <c r="AC102" s="262" t="n">
        <v>1502000000</v>
      </c>
      <c r="AD102" s="262" t="n">
        <v>974000000</v>
      </c>
      <c r="AE102" s="262" t="n">
        <v>1640000000</v>
      </c>
      <c r="AF102" s="262" t="n">
        <v>2242000000</v>
      </c>
      <c r="AG102" s="262" t="n">
        <v>2546000000</v>
      </c>
      <c r="AH102" s="262" t="n">
        <v>2728000000</v>
      </c>
      <c r="AI102" s="262" t="n">
        <v>2941000000</v>
      </c>
      <c r="AJ102" s="262" t="n">
        <v>3899000000</v>
      </c>
    </row>
    <row r="103">
      <c r="A103" t="n">
        <v>59</v>
      </c>
      <c r="B103" t="n">
        <v>1</v>
      </c>
      <c r="G103" t="inlineStr">
        <is>
          <t>moeda</t>
        </is>
      </c>
      <c r="H103" t="inlineStr">
        <is>
          <t>Receita por local de faturamento - Estados Unidos (USD; como divulgado originalmente: os 10-Qs do FY26 reapresentaram a abertura geográfica de 3T24-2T25 e o modelo mantém a base original para o 4T = ano - 9M ficar coerente)</t>
        </is>
      </c>
      <c r="J103" t="inlineStr">
        <is>
          <t>fonte</t>
        </is>
      </c>
      <c r="K103" s="262" t="n">
        <v>497000000</v>
      </c>
      <c r="L103" s="262" t="n">
        <v>944000000</v>
      </c>
      <c r="M103" s="262" t="n">
        <v>890000000</v>
      </c>
      <c r="N103" s="262" t="n">
        <v>883000000</v>
      </c>
      <c r="O103" s="262" t="n">
        <v>768000000</v>
      </c>
      <c r="P103" s="262" t="n">
        <v>996000000</v>
      </c>
      <c r="Q103" s="262" t="n">
        <v>1126000000</v>
      </c>
      <c r="R103" s="262" t="n">
        <v>1459000000</v>
      </c>
      <c r="S103" s="262" t="n">
        <v>1932000000</v>
      </c>
      <c r="T103" s="262" t="n">
        <v>1988000000</v>
      </c>
      <c r="U103" s="262" t="n">
        <v>2148000000</v>
      </c>
      <c r="V103" s="262" t="n">
        <v>2223000000</v>
      </c>
      <c r="W103" s="262" t="n">
        <v>2385000000</v>
      </c>
      <c r="X103" s="262" t="n">
        <v>6043000000</v>
      </c>
      <c r="Y103" s="262" t="n">
        <v>6302000000</v>
      </c>
      <c r="Z103" s="262" t="n">
        <v>12236000000</v>
      </c>
      <c r="AA103" s="262" t="n">
        <v>13496000000</v>
      </c>
      <c r="AB103" s="262" t="n">
        <v>13022000000</v>
      </c>
      <c r="AC103" s="262" t="n">
        <v>14800000000</v>
      </c>
      <c r="AD103" s="262" t="n">
        <v>19939000000</v>
      </c>
      <c r="AE103" s="262" t="n">
        <v>20739000000</v>
      </c>
      <c r="AF103" s="262" t="n">
        <v>23470000000</v>
      </c>
      <c r="AG103" s="262" t="n">
        <v>39177000000</v>
      </c>
      <c r="AH103" s="262" t="n">
        <v>51858000000</v>
      </c>
      <c r="AI103" s="262" t="n">
        <v>63769000000</v>
      </c>
      <c r="AJ103" s="262" t="n">
        <v>60074000000</v>
      </c>
    </row>
    <row r="104">
      <c r="A104" t="n">
        <v>60</v>
      </c>
      <c r="B104" t="n">
        <v>1</v>
      </c>
      <c r="G104" t="inlineStr">
        <is>
          <t>moeda</t>
        </is>
      </c>
      <c r="H104" t="inlineStr">
        <is>
          <t>Receita por local de faturamento - Taiwan (USD)</t>
        </is>
      </c>
      <c r="J104" t="inlineStr">
        <is>
          <t>fonte</t>
        </is>
      </c>
      <c r="K104" s="262" t="n">
        <v>813000000</v>
      </c>
      <c r="L104" s="262" t="n">
        <v>954000000</v>
      </c>
      <c r="M104" s="262" t="n">
        <v>1296000000</v>
      </c>
      <c r="N104" s="262" t="n">
        <v>1469000000</v>
      </c>
      <c r="O104" s="262" t="n">
        <v>1784000000</v>
      </c>
      <c r="P104" s="262" t="n">
        <v>1961000000</v>
      </c>
      <c r="Q104" s="262" t="n">
        <v>2187000000</v>
      </c>
      <c r="R104" s="262" t="n">
        <v>2612000000</v>
      </c>
      <c r="S104" s="262" t="n">
        <v>2777000000</v>
      </c>
      <c r="T104" s="262" t="n">
        <v>1204000000</v>
      </c>
      <c r="U104" s="262" t="n">
        <v>1153000000</v>
      </c>
      <c r="V104" s="262" t="n">
        <v>1852000000</v>
      </c>
      <c r="W104" s="262" t="n">
        <v>1796000000</v>
      </c>
      <c r="X104" s="262" t="n">
        <v>2839000000</v>
      </c>
      <c r="Y104" s="262" t="n">
        <v>4333000000</v>
      </c>
      <c r="Z104" s="262" t="n">
        <v>4437000000</v>
      </c>
      <c r="AA104" s="262" t="n">
        <v>4373000000</v>
      </c>
      <c r="AB104" s="262" t="n">
        <v>5740000000</v>
      </c>
      <c r="AC104" s="262" t="n">
        <v>5153000000</v>
      </c>
      <c r="AD104" s="262" t="n">
        <v>5307000000</v>
      </c>
      <c r="AE104" s="262" t="n">
        <v>7158000000</v>
      </c>
      <c r="AF104" s="262" t="n">
        <v>8529000000</v>
      </c>
      <c r="AG104" s="262" t="n">
        <v>13751000000</v>
      </c>
      <c r="AH104" s="262" t="n">
        <v>12044000000</v>
      </c>
      <c r="AI104" s="262" t="n">
        <v>12006000000</v>
      </c>
      <c r="AJ104" s="262" t="n">
        <v>26985000000</v>
      </c>
    </row>
    <row r="105">
      <c r="A105" t="n">
        <v>61</v>
      </c>
      <c r="B105" t="n">
        <v>1</v>
      </c>
      <c r="G105" t="inlineStr">
        <is>
          <t>moeda</t>
        </is>
      </c>
      <c r="H105" t="inlineStr">
        <is>
          <t>Receita por local de faturamento - China, inclui Hong Kong (USD)</t>
        </is>
      </c>
      <c r="J105" t="inlineStr">
        <is>
          <t>fonte</t>
        </is>
      </c>
      <c r="K105" s="262" t="n">
        <v>758000000</v>
      </c>
      <c r="L105" s="262" t="n">
        <v>855000000</v>
      </c>
      <c r="M105" s="262" t="n">
        <v>1113000000</v>
      </c>
      <c r="N105" s="262" t="n">
        <v>1159000000</v>
      </c>
      <c r="O105" s="262" t="n">
        <v>1391000000</v>
      </c>
      <c r="P105" s="262" t="n">
        <v>1720000000</v>
      </c>
      <c r="Q105" s="262" t="n">
        <v>2017000000</v>
      </c>
      <c r="R105" s="262" t="n">
        <v>1983000000</v>
      </c>
      <c r="S105" s="262" t="n">
        <v>2081000000</v>
      </c>
      <c r="T105" s="262" t="n">
        <v>1602000000</v>
      </c>
      <c r="U105" s="262" t="n">
        <v>1148000000</v>
      </c>
      <c r="V105" s="262" t="n">
        <v>954000000</v>
      </c>
      <c r="W105" s="262" t="n">
        <v>1590000000</v>
      </c>
      <c r="X105" s="262" t="n">
        <v>2740000000</v>
      </c>
      <c r="Y105" s="262" t="n">
        <v>4030000000</v>
      </c>
      <c r="Z105" s="262" t="n">
        <v>1946000000</v>
      </c>
      <c r="AA105" s="262" t="n">
        <v>2491000000</v>
      </c>
      <c r="AB105" s="262" t="n">
        <v>3667000000</v>
      </c>
      <c r="AC105" s="262" t="n">
        <v>5416000000</v>
      </c>
      <c r="AD105" s="262" t="n">
        <v>5534000000</v>
      </c>
      <c r="AE105" s="262" t="n">
        <v>5522000000</v>
      </c>
      <c r="AF105" s="262" t="n">
        <v>2769000000</v>
      </c>
      <c r="AG105" s="262" t="n">
        <v>2973000000</v>
      </c>
      <c r="AH105" s="262" t="n">
        <v>3060000000</v>
      </c>
      <c r="AI105" s="262" t="n">
        <v>4550000000</v>
      </c>
      <c r="AJ105" s="262" t="n">
        <v>7880000000</v>
      </c>
    </row>
    <row r="106">
      <c r="H106" t="inlineStr">
        <is>
          <t>Notas: valores dimensionais lidos das instâncias XBRL; o trimestre nov-jan (FQ4) é o ano fiscal menos 9M, calculado na extração. Em 2026 (FY27) a NVIDIA trocou a abertura por plataforma: Data Center passou a abrir Hyperscale e AI Clouds/Industrial/Enterprise, e Gaming, ProViz, Automotive e OEM viraram Edge Computing; o 3T25 e o 4T25 ainda não foram reapresentados no formato novo.</t>
        </is>
      </c>
    </row>
    <row r="143">
      <c r="H143" s="254" t="inlineStr">
        <is>
          <t>CONVENCOES</t>
        </is>
      </c>
    </row>
    <row r="144">
      <c r="H144" t="inlineStr">
        <is>
          <t>Linhas de origem: 5 a 106. As formulas da Inputs (2) varrem as linhas 5 a 140; as linhas 107 a 140 estao livres para novas contas.</t>
        </is>
      </c>
    </row>
    <row r="145">
      <c r="H145" t="inlineStr">
        <is>
          <t>Periodos: colunas K a AJ = trimestres-calendário 1Q20 a 2Q26 (linha 2: trimestre fiscal NVIDIA correspondente).</t>
        </is>
      </c>
    </row>
    <row r="146">
      <c r="H146" t="inlineStr">
        <is>
          <t>Brutos em USD unidades: fator da célula B1 = 0,000001 converte para USD milhões nas linhas UNID = moeda.</t>
        </is>
      </c>
    </row>
    <row r="147">
      <c r="H147" t="inlineStr">
        <is>
          <t>ORIGEM: fonte = copiado da planilha; memoria = como divulgado, sem codigo; derivada = formula nesta aba.</t>
        </is>
      </c>
    </row>
    <row r="148">
      <c r="H148" t="inlineStr">
        <is>
          <t>Codigos 45 a 61: drivers de receita (memoria); alimentam o bloco logo abaixo da receita liquida no Model.</t>
        </is>
      </c>
    </row>
    <row r="153">
      <c r="H153" s="254" t="n"/>
    </row>
    <row r="154"/>
    <row r="155"/>
    <row r="156"/>
    <row r="157"/>
    <row r="158"/>
    <row r="159"/>
    <row r="160"/>
    <row r="161"/>
    <row r="162"/>
    <row r="163"/>
    <row r="164"/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69"/>
  <sheetViews>
    <sheetView showGridLines="0" zoomScale="85" zoomScaleNormal="85" workbookViewId="0">
      <pane xSplit="3" ySplit="2" topLeftCell="E3" activePane="bottomRight" state="frozen"/>
      <selection activeCell="D24" sqref="D24"/>
      <selection pane="topRight" activeCell="D24" sqref="D24"/>
      <selection pane="bottomLeft" activeCell="D24" sqref="D24"/>
      <selection pane="bottomRight" activeCell="G24" sqref="G24:G34"/>
    </sheetView>
  </sheetViews>
  <sheetFormatPr baseColWidth="8" defaultColWidth="9.140625" defaultRowHeight="12.75"/>
  <cols>
    <col width="2.28515625" bestFit="1" customWidth="1" style="1" min="1" max="1"/>
    <col width="4.42578125" bestFit="1" customWidth="1" style="1" min="2" max="2"/>
    <col width="53.140625" bestFit="1" customWidth="1" style="4" min="3" max="3"/>
    <col width="8.140625" bestFit="1" customWidth="1" style="1" min="4" max="4"/>
    <col width="9.28515625" bestFit="1" customWidth="1" style="1" min="5" max="7"/>
    <col width="10" bestFit="1" customWidth="1" style="1" min="8" max="8"/>
    <col width="8.140625" bestFit="1" customWidth="1" style="1" min="9" max="9"/>
    <col width="9.28515625" bestFit="1" customWidth="1" style="1" min="10" max="12"/>
    <col width="10" bestFit="1" customWidth="1" style="1" min="13" max="13"/>
    <col width="8.140625" bestFit="1" customWidth="1" style="1" min="14" max="14"/>
    <col width="9.28515625" bestFit="1" customWidth="1" style="1" min="15" max="16"/>
    <col width="10" bestFit="1" customWidth="1" style="1" min="17" max="18"/>
    <col width="8.140625" bestFit="1" customWidth="1" style="1" min="19" max="19"/>
    <col width="9.28515625" bestFit="1" customWidth="1" style="1" min="20" max="20"/>
    <col width="10" bestFit="1" customWidth="1" style="1" min="21" max="23"/>
    <col width="8.140625" bestFit="1" customWidth="1" style="1" min="24" max="24"/>
    <col width="10" bestFit="1" customWidth="1" style="1" min="25" max="27"/>
    <col width="10.42578125" bestFit="1" customWidth="1" style="1" min="28" max="28"/>
    <col width="9.28515625" bestFit="1" customWidth="1" style="1" min="29" max="29"/>
    <col width="11.7109375" bestFit="1" customWidth="1" style="1" min="30" max="31"/>
    <col width="12.7109375" bestFit="1" customWidth="1" style="1" min="32" max="32"/>
    <col width="10.28515625" customWidth="1" style="1" min="33" max="33"/>
    <col width="9.28515625" customWidth="1" style="4" min="34" max="54"/>
    <col width="9.28515625" customWidth="1" min="35" max="35"/>
    <col width="9.28515625" customWidth="1" min="36" max="36"/>
    <col width="9.28515625" customWidth="1" min="37" max="37"/>
    <col width="9.28515625" customWidth="1" min="38" max="38"/>
    <col width="9.7109375" bestFit="1" customWidth="1" style="4" min="55" max="55"/>
    <col width="9.140625" customWidth="1" style="4" min="56" max="56"/>
    <col width="9.140625" customWidth="1" style="4" min="57" max="16384"/>
  </cols>
  <sheetData>
    <row r="1" customFormat="1" s="1">
      <c r="A1" s="1">
        <f>COUNTIF($B$3:$B$1048576,$B$1)</f>
        <v>1</v>
      </c>
      <c r="B1" s="1">
        <f>MAX($B$3:$B$1048576)</f>
        <v>61</v>
      </c>
    </row>
    <row r="2">
      <c r="A2" s="4" t="n"/>
      <c r="B2" s="4" t="n"/>
      <c r="D2" s="50" t="inlineStr">
        <is>
          <t>1Q21</t>
        </is>
      </c>
      <c r="E2" s="50" t="inlineStr">
        <is>
          <t>2Q21</t>
        </is>
      </c>
      <c r="F2" s="50" t="inlineStr">
        <is>
          <t>3Q21</t>
        </is>
      </c>
      <c r="G2" s="50" t="inlineStr">
        <is>
          <t>4Q21</t>
        </is>
      </c>
      <c r="H2" s="244" t="n">
        <v>2021</v>
      </c>
      <c r="I2" s="50" t="inlineStr">
        <is>
          <t>1Q22</t>
        </is>
      </c>
      <c r="J2" s="50" t="inlineStr">
        <is>
          <t>2Q22</t>
        </is>
      </c>
      <c r="K2" s="50" t="inlineStr">
        <is>
          <t>3Q22</t>
        </is>
      </c>
      <c r="L2" s="50" t="inlineStr">
        <is>
          <t>4Q22</t>
        </is>
      </c>
      <c r="M2" s="244" t="n">
        <v>2022</v>
      </c>
      <c r="N2" s="50" t="inlineStr">
        <is>
          <t>1Q23</t>
        </is>
      </c>
      <c r="O2" s="50" t="inlineStr">
        <is>
          <t>2Q23</t>
        </is>
      </c>
      <c r="P2" s="50" t="inlineStr">
        <is>
          <t>3Q23</t>
        </is>
      </c>
      <c r="Q2" s="50" t="inlineStr">
        <is>
          <t>4Q23</t>
        </is>
      </c>
      <c r="R2" s="244" t="n">
        <v>2023</v>
      </c>
      <c r="S2" s="50" t="inlineStr">
        <is>
          <t>1Q24</t>
        </is>
      </c>
      <c r="T2" s="50" t="inlineStr">
        <is>
          <t>2Q24</t>
        </is>
      </c>
      <c r="U2" s="50" t="inlineStr">
        <is>
          <t>3Q24</t>
        </is>
      </c>
      <c r="V2" s="50" t="inlineStr">
        <is>
          <t>4Q24</t>
        </is>
      </c>
      <c r="W2" s="244" t="n">
        <v>2024</v>
      </c>
      <c r="X2" s="50" t="inlineStr">
        <is>
          <t>1Q25</t>
        </is>
      </c>
      <c r="Y2" s="50" t="inlineStr">
        <is>
          <t>2Q25</t>
        </is>
      </c>
      <c r="Z2" s="50" t="inlineStr">
        <is>
          <t>3Q25</t>
        </is>
      </c>
      <c r="AA2" s="50" t="inlineStr">
        <is>
          <t>4Q25</t>
        </is>
      </c>
      <c r="AB2" s="244" t="n">
        <v>2025</v>
      </c>
      <c r="AC2" s="50" t="inlineStr">
        <is>
          <t>1Q26</t>
        </is>
      </c>
      <c r="AD2" s="50" t="inlineStr">
        <is>
          <t>2Q26</t>
        </is>
      </c>
      <c r="AE2" s="257" t="inlineStr">
        <is>
          <t>3Q26</t>
        </is>
      </c>
      <c r="AF2" s="257" t="inlineStr">
        <is>
          <t>4Q26</t>
        </is>
      </c>
      <c r="AG2" s="258" t="n">
        <v>2026</v>
      </c>
      <c r="AH2" s="50" t="inlineStr">
        <is>
          <t>1Q20</t>
        </is>
      </c>
      <c r="AI2" s="50" t="inlineStr">
        <is>
          <t>2Q20</t>
        </is>
      </c>
      <c r="AJ2" s="50" t="inlineStr">
        <is>
          <t>3Q20</t>
        </is>
      </c>
      <c r="AK2" s="50" t="inlineStr">
        <is>
          <t>4Q20</t>
        </is>
      </c>
      <c r="AL2" s="244" t="n">
        <v>2020</v>
      </c>
      <c r="AN2" t="inlineStr">
        <is>
          <t>Sem dado na fonte: 3Q26, 4Q26 e 2026 (rotulo em cinza). 2020 fica nas colunas AH-AL.</t>
        </is>
      </c>
    </row>
    <row r="3"/>
    <row r="4">
      <c r="B4" s="46" t="n">
        <v>1</v>
      </c>
      <c r="C4" s="29" t="inlineStr">
        <is>
          <t>Net Revenues</t>
        </is>
      </c>
      <c r="D4" s="6">
        <f>IF(ISNA(MATCH(D$2,Inputs!$K$4:$AJ$4,0)),NA(),IF(SUMPRODUCT((Inputs!$A$5:$A$140=$B4)*ISNUMBER(INDEX(Inputs!$K$5:$AJ$140,0,MATCH(D$2,Inputs!$K$4:$AJ$4,0))))+SUMPRODUCT((Inputs!$C$5:$C$140=$B4)*ISNUMBER(INDEX(Inputs!$K$5:$AJ$140,0,MATCH(D$2,Inputs!$K$4:$AJ$4,0))))+SUMPRODUCT((Inputs!$E$5:$E$140=$B4)*ISNUMBER(INDEX(Inputs!$K$5:$AJ$140,0,MATCH(D$2,Inputs!$K$4:$AJ$4,0))))=0,NA(),SUMPRODUCT((Inputs!$A$5:$A$140=$B4)*Inputs!$B$5:$B$140*(((Inputs!$G$5:$G$140="moeda")+(Inputs!$G$5:$G$140="acoes"))*Inputs!$B$1+((Inputs!$G$5:$G$140&lt;&gt;"moeda")*(Inputs!$G$5:$G$140&lt;&gt;"acoes")))*INDEX(Inputs!$K$5:$AJ$140,0,MATCH(D$2,Inputs!$K$4:$AJ$4,0)))+SUMPRODUCT((Inputs!$C$5:$C$140=$B4)*Inputs!$D$5:$D$140*(((Inputs!$G$5:$G$140="moeda")+(Inputs!$G$5:$G$140="acoes"))*Inputs!$B$1+((Inputs!$G$5:$G$140&lt;&gt;"moeda")*(Inputs!$G$5:$G$140&lt;&gt;"acoes")))*INDEX(Inputs!$K$5:$AJ$140,0,MATCH(D$2,Inputs!$K$4:$AJ$4,0)))+SUMPRODUCT((Inputs!$E$5:$E$140=$B4)*Inputs!$F$5:$F$140*(((Inputs!$G$5:$G$140="moeda")+(Inputs!$G$5:$G$140="acoes"))*Inputs!$B$1+((Inputs!$G$5:$G$140&lt;&gt;"moeda")*(Inputs!$G$5:$G$140&lt;&gt;"acoes")))*INDEX(Inputs!$K$5:$AJ$140,0,MATCH(D$2,Inputs!$K$4:$AJ$4,0)))))</f>
        <v>5661</v>
      </c>
      <c r="E4" s="6">
        <f>IF(ISNA(MATCH(E$2,Inputs!$K$4:$AJ$4,0)),NA(),IF(SUMPRODUCT((Inputs!$A$5:$A$140=$B4)*ISNUMBER(INDEX(Inputs!$K$5:$AJ$140,0,MATCH(E$2,Inputs!$K$4:$AJ$4,0))))+SUMPRODUCT((Inputs!$C$5:$C$140=$B4)*ISNUMBER(INDEX(Inputs!$K$5:$AJ$140,0,MATCH(E$2,Inputs!$K$4:$AJ$4,0))))+SUMPRODUCT((Inputs!$E$5:$E$140=$B4)*ISNUMBER(INDEX(Inputs!$K$5:$AJ$140,0,MATCH(E$2,Inputs!$K$4:$AJ$4,0))))=0,NA(),SUMPRODUCT((Inputs!$A$5:$A$140=$B4)*Inputs!$B$5:$B$140*(((Inputs!$G$5:$G$140="moeda")+(Inputs!$G$5:$G$140="acoes"))*Inputs!$B$1+((Inputs!$G$5:$G$140&lt;&gt;"moeda")*(Inputs!$G$5:$G$140&lt;&gt;"acoes")))*INDEX(Inputs!$K$5:$AJ$140,0,MATCH(E$2,Inputs!$K$4:$AJ$4,0)))+SUMPRODUCT((Inputs!$C$5:$C$140=$B4)*Inputs!$D$5:$D$140*(((Inputs!$G$5:$G$140="moeda")+(Inputs!$G$5:$G$140="acoes"))*Inputs!$B$1+((Inputs!$G$5:$G$140&lt;&gt;"moeda")*(Inputs!$G$5:$G$140&lt;&gt;"acoes")))*INDEX(Inputs!$K$5:$AJ$140,0,MATCH(E$2,Inputs!$K$4:$AJ$4,0)))+SUMPRODUCT((Inputs!$E$5:$E$140=$B4)*Inputs!$F$5:$F$140*(((Inputs!$G$5:$G$140="moeda")+(Inputs!$G$5:$G$140="acoes"))*Inputs!$B$1+((Inputs!$G$5:$G$140&lt;&gt;"moeda")*(Inputs!$G$5:$G$140&lt;&gt;"acoes")))*INDEX(Inputs!$K$5:$AJ$140,0,MATCH(E$2,Inputs!$K$4:$AJ$4,0)))))</f>
        <v>6507</v>
      </c>
      <c r="F4" s="6">
        <f>IF(ISNA(MATCH(F$2,Inputs!$K$4:$AJ$4,0)),NA(),IF(SUMPRODUCT((Inputs!$A$5:$A$140=$B4)*ISNUMBER(INDEX(Inputs!$K$5:$AJ$140,0,MATCH(F$2,Inputs!$K$4:$AJ$4,0))))+SUMPRODUCT((Inputs!$C$5:$C$140=$B4)*ISNUMBER(INDEX(Inputs!$K$5:$AJ$140,0,MATCH(F$2,Inputs!$K$4:$AJ$4,0))))+SUMPRODUCT((Inputs!$E$5:$E$140=$B4)*ISNUMBER(INDEX(Inputs!$K$5:$AJ$140,0,MATCH(F$2,Inputs!$K$4:$AJ$4,0))))=0,NA(),SUMPRODUCT((Inputs!$A$5:$A$140=$B4)*Inputs!$B$5:$B$140*(((Inputs!$G$5:$G$140="moeda")+(Inputs!$G$5:$G$140="acoes"))*Inputs!$B$1+((Inputs!$G$5:$G$140&lt;&gt;"moeda")*(Inputs!$G$5:$G$140&lt;&gt;"acoes")))*INDEX(Inputs!$K$5:$AJ$140,0,MATCH(F$2,Inputs!$K$4:$AJ$4,0)))+SUMPRODUCT((Inputs!$C$5:$C$140=$B4)*Inputs!$D$5:$D$140*(((Inputs!$G$5:$G$140="moeda")+(Inputs!$G$5:$G$140="acoes"))*Inputs!$B$1+((Inputs!$G$5:$G$140&lt;&gt;"moeda")*(Inputs!$G$5:$G$140&lt;&gt;"acoes")))*INDEX(Inputs!$K$5:$AJ$140,0,MATCH(F$2,Inputs!$K$4:$AJ$4,0)))+SUMPRODUCT((Inputs!$E$5:$E$140=$B4)*Inputs!$F$5:$F$140*(((Inputs!$G$5:$G$140="moeda")+(Inputs!$G$5:$G$140="acoes"))*Inputs!$B$1+((Inputs!$G$5:$G$140&lt;&gt;"moeda")*(Inputs!$G$5:$G$140&lt;&gt;"acoes")))*INDEX(Inputs!$K$5:$AJ$140,0,MATCH(F$2,Inputs!$K$4:$AJ$4,0)))))</f>
        <v>7103</v>
      </c>
      <c r="G4" s="6">
        <f>IF(ISNA(MATCH(G$2,Inputs!$K$4:$AJ$4,0)),NA(),IF(SUMPRODUCT((Inputs!$A$5:$A$140=$B4)*ISNUMBER(INDEX(Inputs!$K$5:$AJ$140,0,MATCH(G$2,Inputs!$K$4:$AJ$4,0))))+SUMPRODUCT((Inputs!$C$5:$C$140=$B4)*ISNUMBER(INDEX(Inputs!$K$5:$AJ$140,0,MATCH(G$2,Inputs!$K$4:$AJ$4,0))))+SUMPRODUCT((Inputs!$E$5:$E$140=$B4)*ISNUMBER(INDEX(Inputs!$K$5:$AJ$140,0,MATCH(G$2,Inputs!$K$4:$AJ$4,0))))=0,NA(),SUMPRODUCT((Inputs!$A$5:$A$140=$B4)*Inputs!$B$5:$B$140*(((Inputs!$G$5:$G$140="moeda")+(Inputs!$G$5:$G$140="acoes"))*Inputs!$B$1+((Inputs!$G$5:$G$140&lt;&gt;"moeda")*(Inputs!$G$5:$G$140&lt;&gt;"acoes")))*INDEX(Inputs!$K$5:$AJ$140,0,MATCH(G$2,Inputs!$K$4:$AJ$4,0)))+SUMPRODUCT((Inputs!$C$5:$C$140=$B4)*Inputs!$D$5:$D$140*(((Inputs!$G$5:$G$140="moeda")+(Inputs!$G$5:$G$140="acoes"))*Inputs!$B$1+((Inputs!$G$5:$G$140&lt;&gt;"moeda")*(Inputs!$G$5:$G$140&lt;&gt;"acoes")))*INDEX(Inputs!$K$5:$AJ$140,0,MATCH(G$2,Inputs!$K$4:$AJ$4,0)))+SUMPRODUCT((Inputs!$E$5:$E$140=$B4)*Inputs!$F$5:$F$140*(((Inputs!$G$5:$G$140="moeda")+(Inputs!$G$5:$G$140="acoes"))*Inputs!$B$1+((Inputs!$G$5:$G$140&lt;&gt;"moeda")*(Inputs!$G$5:$G$140&lt;&gt;"acoes")))*INDEX(Inputs!$K$5:$AJ$140,0,MATCH(G$2,Inputs!$K$4:$AJ$4,0)))))</f>
        <v>7643</v>
      </c>
      <c r="H4" s="3">
        <f>SUM(D4:G4)</f>
        <v>26914</v>
      </c>
      <c r="I4" s="6">
        <f>IF(ISNA(MATCH(I$2,Inputs!$K$4:$AJ$4,0)),NA(),IF(SUMPRODUCT((Inputs!$A$5:$A$140=$B4)*ISNUMBER(INDEX(Inputs!$K$5:$AJ$140,0,MATCH(I$2,Inputs!$K$4:$AJ$4,0))))+SUMPRODUCT((Inputs!$C$5:$C$140=$B4)*ISNUMBER(INDEX(Inputs!$K$5:$AJ$140,0,MATCH(I$2,Inputs!$K$4:$AJ$4,0))))+SUMPRODUCT((Inputs!$E$5:$E$140=$B4)*ISNUMBER(INDEX(Inputs!$K$5:$AJ$140,0,MATCH(I$2,Inputs!$K$4:$AJ$4,0))))=0,NA(),SUMPRODUCT((Inputs!$A$5:$A$140=$B4)*Inputs!$B$5:$B$140*(((Inputs!$G$5:$G$140="moeda")+(Inputs!$G$5:$G$140="acoes"))*Inputs!$B$1+((Inputs!$G$5:$G$140&lt;&gt;"moeda")*(Inputs!$G$5:$G$140&lt;&gt;"acoes")))*INDEX(Inputs!$K$5:$AJ$140,0,MATCH(I$2,Inputs!$K$4:$AJ$4,0)))+SUMPRODUCT((Inputs!$C$5:$C$140=$B4)*Inputs!$D$5:$D$140*(((Inputs!$G$5:$G$140="moeda")+(Inputs!$G$5:$G$140="acoes"))*Inputs!$B$1+((Inputs!$G$5:$G$140&lt;&gt;"moeda")*(Inputs!$G$5:$G$140&lt;&gt;"acoes")))*INDEX(Inputs!$K$5:$AJ$140,0,MATCH(I$2,Inputs!$K$4:$AJ$4,0)))+SUMPRODUCT((Inputs!$E$5:$E$140=$B4)*Inputs!$F$5:$F$140*(((Inputs!$G$5:$G$140="moeda")+(Inputs!$G$5:$G$140="acoes"))*Inputs!$B$1+((Inputs!$G$5:$G$140&lt;&gt;"moeda")*(Inputs!$G$5:$G$140&lt;&gt;"acoes")))*INDEX(Inputs!$K$5:$AJ$140,0,MATCH(I$2,Inputs!$K$4:$AJ$4,0)))))</f>
        <v>8288</v>
      </c>
      <c r="J4" s="6">
        <f>IF(ISNA(MATCH(J$2,Inputs!$K$4:$AJ$4,0)),NA(),IF(SUMPRODUCT((Inputs!$A$5:$A$140=$B4)*ISNUMBER(INDEX(Inputs!$K$5:$AJ$140,0,MATCH(J$2,Inputs!$K$4:$AJ$4,0))))+SUMPRODUCT((Inputs!$C$5:$C$140=$B4)*ISNUMBER(INDEX(Inputs!$K$5:$AJ$140,0,MATCH(J$2,Inputs!$K$4:$AJ$4,0))))+SUMPRODUCT((Inputs!$E$5:$E$140=$B4)*ISNUMBER(INDEX(Inputs!$K$5:$AJ$140,0,MATCH(J$2,Inputs!$K$4:$AJ$4,0))))=0,NA(),SUMPRODUCT((Inputs!$A$5:$A$140=$B4)*Inputs!$B$5:$B$140*(((Inputs!$G$5:$G$140="moeda")+(Inputs!$G$5:$G$140="acoes"))*Inputs!$B$1+((Inputs!$G$5:$G$140&lt;&gt;"moeda")*(Inputs!$G$5:$G$140&lt;&gt;"acoes")))*INDEX(Inputs!$K$5:$AJ$140,0,MATCH(J$2,Inputs!$K$4:$AJ$4,0)))+SUMPRODUCT((Inputs!$C$5:$C$140=$B4)*Inputs!$D$5:$D$140*(((Inputs!$G$5:$G$140="moeda")+(Inputs!$G$5:$G$140="acoes"))*Inputs!$B$1+((Inputs!$G$5:$G$140&lt;&gt;"moeda")*(Inputs!$G$5:$G$140&lt;&gt;"acoes")))*INDEX(Inputs!$K$5:$AJ$140,0,MATCH(J$2,Inputs!$K$4:$AJ$4,0)))+SUMPRODUCT((Inputs!$E$5:$E$140=$B4)*Inputs!$F$5:$F$140*(((Inputs!$G$5:$G$140="moeda")+(Inputs!$G$5:$G$140="acoes"))*Inputs!$B$1+((Inputs!$G$5:$G$140&lt;&gt;"moeda")*(Inputs!$G$5:$G$140&lt;&gt;"acoes")))*INDEX(Inputs!$K$5:$AJ$140,0,MATCH(J$2,Inputs!$K$4:$AJ$4,0)))))</f>
        <v>6704</v>
      </c>
      <c r="K4" s="6">
        <f>IF(ISNA(MATCH(K$2,Inputs!$K$4:$AJ$4,0)),NA(),IF(SUMPRODUCT((Inputs!$A$5:$A$140=$B4)*ISNUMBER(INDEX(Inputs!$K$5:$AJ$140,0,MATCH(K$2,Inputs!$K$4:$AJ$4,0))))+SUMPRODUCT((Inputs!$C$5:$C$140=$B4)*ISNUMBER(INDEX(Inputs!$K$5:$AJ$140,0,MATCH(K$2,Inputs!$K$4:$AJ$4,0))))+SUMPRODUCT((Inputs!$E$5:$E$140=$B4)*ISNUMBER(INDEX(Inputs!$K$5:$AJ$140,0,MATCH(K$2,Inputs!$K$4:$AJ$4,0))))=0,NA(),SUMPRODUCT((Inputs!$A$5:$A$140=$B4)*Inputs!$B$5:$B$140*(((Inputs!$G$5:$G$140="moeda")+(Inputs!$G$5:$G$140="acoes"))*Inputs!$B$1+((Inputs!$G$5:$G$140&lt;&gt;"moeda")*(Inputs!$G$5:$G$140&lt;&gt;"acoes")))*INDEX(Inputs!$K$5:$AJ$140,0,MATCH(K$2,Inputs!$K$4:$AJ$4,0)))+SUMPRODUCT((Inputs!$C$5:$C$140=$B4)*Inputs!$D$5:$D$140*(((Inputs!$G$5:$G$140="moeda")+(Inputs!$G$5:$G$140="acoes"))*Inputs!$B$1+((Inputs!$G$5:$G$140&lt;&gt;"moeda")*(Inputs!$G$5:$G$140&lt;&gt;"acoes")))*INDEX(Inputs!$K$5:$AJ$140,0,MATCH(K$2,Inputs!$K$4:$AJ$4,0)))+SUMPRODUCT((Inputs!$E$5:$E$140=$B4)*Inputs!$F$5:$F$140*(((Inputs!$G$5:$G$140="moeda")+(Inputs!$G$5:$G$140="acoes"))*Inputs!$B$1+((Inputs!$G$5:$G$140&lt;&gt;"moeda")*(Inputs!$G$5:$G$140&lt;&gt;"acoes")))*INDEX(Inputs!$K$5:$AJ$140,0,MATCH(K$2,Inputs!$K$4:$AJ$4,0)))))</f>
        <v>5931</v>
      </c>
      <c r="L4" s="6">
        <f>IF(ISNA(MATCH(L$2,Inputs!$K$4:$AJ$4,0)),NA(),IF(SUMPRODUCT((Inputs!$A$5:$A$140=$B4)*ISNUMBER(INDEX(Inputs!$K$5:$AJ$140,0,MATCH(L$2,Inputs!$K$4:$AJ$4,0))))+SUMPRODUCT((Inputs!$C$5:$C$140=$B4)*ISNUMBER(INDEX(Inputs!$K$5:$AJ$140,0,MATCH(L$2,Inputs!$K$4:$AJ$4,0))))+SUMPRODUCT((Inputs!$E$5:$E$140=$B4)*ISNUMBER(INDEX(Inputs!$K$5:$AJ$140,0,MATCH(L$2,Inputs!$K$4:$AJ$4,0))))=0,NA(),SUMPRODUCT((Inputs!$A$5:$A$140=$B4)*Inputs!$B$5:$B$140*(((Inputs!$G$5:$G$140="moeda")+(Inputs!$G$5:$G$140="acoes"))*Inputs!$B$1+((Inputs!$G$5:$G$140&lt;&gt;"moeda")*(Inputs!$G$5:$G$140&lt;&gt;"acoes")))*INDEX(Inputs!$K$5:$AJ$140,0,MATCH(L$2,Inputs!$K$4:$AJ$4,0)))+SUMPRODUCT((Inputs!$C$5:$C$140=$B4)*Inputs!$D$5:$D$140*(((Inputs!$G$5:$G$140="moeda")+(Inputs!$G$5:$G$140="acoes"))*Inputs!$B$1+((Inputs!$G$5:$G$140&lt;&gt;"moeda")*(Inputs!$G$5:$G$140&lt;&gt;"acoes")))*INDEX(Inputs!$K$5:$AJ$140,0,MATCH(L$2,Inputs!$K$4:$AJ$4,0)))+SUMPRODUCT((Inputs!$E$5:$E$140=$B4)*Inputs!$F$5:$F$140*(((Inputs!$G$5:$G$140="moeda")+(Inputs!$G$5:$G$140="acoes"))*Inputs!$B$1+((Inputs!$G$5:$G$140&lt;&gt;"moeda")*(Inputs!$G$5:$G$140&lt;&gt;"acoes")))*INDEX(Inputs!$K$5:$AJ$140,0,MATCH(L$2,Inputs!$K$4:$AJ$4,0)))))</f>
        <v>6051</v>
      </c>
      <c r="M4" s="3">
        <f>SUM(I4:L4)</f>
        <v>26974</v>
      </c>
      <c r="N4" s="6">
        <f>IF(ISNA(MATCH(N$2,Inputs!$K$4:$AJ$4,0)),NA(),IF(SUMPRODUCT((Inputs!$A$5:$A$140=$B4)*ISNUMBER(INDEX(Inputs!$K$5:$AJ$140,0,MATCH(N$2,Inputs!$K$4:$AJ$4,0))))+SUMPRODUCT((Inputs!$C$5:$C$140=$B4)*ISNUMBER(INDEX(Inputs!$K$5:$AJ$140,0,MATCH(N$2,Inputs!$K$4:$AJ$4,0))))+SUMPRODUCT((Inputs!$E$5:$E$140=$B4)*ISNUMBER(INDEX(Inputs!$K$5:$AJ$140,0,MATCH(N$2,Inputs!$K$4:$AJ$4,0))))=0,NA(),SUMPRODUCT((Inputs!$A$5:$A$140=$B4)*Inputs!$B$5:$B$140*(((Inputs!$G$5:$G$140="moeda")+(Inputs!$G$5:$G$140="acoes"))*Inputs!$B$1+((Inputs!$G$5:$G$140&lt;&gt;"moeda")*(Inputs!$G$5:$G$140&lt;&gt;"acoes")))*INDEX(Inputs!$K$5:$AJ$140,0,MATCH(N$2,Inputs!$K$4:$AJ$4,0)))+SUMPRODUCT((Inputs!$C$5:$C$140=$B4)*Inputs!$D$5:$D$140*(((Inputs!$G$5:$G$140="moeda")+(Inputs!$G$5:$G$140="acoes"))*Inputs!$B$1+((Inputs!$G$5:$G$140&lt;&gt;"moeda")*(Inputs!$G$5:$G$140&lt;&gt;"acoes")))*INDEX(Inputs!$K$5:$AJ$140,0,MATCH(N$2,Inputs!$K$4:$AJ$4,0)))+SUMPRODUCT((Inputs!$E$5:$E$140=$B4)*Inputs!$F$5:$F$140*(((Inputs!$G$5:$G$140="moeda")+(Inputs!$G$5:$G$140="acoes"))*Inputs!$B$1+((Inputs!$G$5:$G$140&lt;&gt;"moeda")*(Inputs!$G$5:$G$140&lt;&gt;"acoes")))*INDEX(Inputs!$K$5:$AJ$140,0,MATCH(N$2,Inputs!$K$4:$AJ$4,0)))))</f>
        <v>7192</v>
      </c>
      <c r="O4" s="6">
        <f>IF(ISNA(MATCH(O$2,Inputs!$K$4:$AJ$4,0)),NA(),IF(SUMPRODUCT((Inputs!$A$5:$A$140=$B4)*ISNUMBER(INDEX(Inputs!$K$5:$AJ$140,0,MATCH(O$2,Inputs!$K$4:$AJ$4,0))))+SUMPRODUCT((Inputs!$C$5:$C$140=$B4)*ISNUMBER(INDEX(Inputs!$K$5:$AJ$140,0,MATCH(O$2,Inputs!$K$4:$AJ$4,0))))+SUMPRODUCT((Inputs!$E$5:$E$140=$B4)*ISNUMBER(INDEX(Inputs!$K$5:$AJ$140,0,MATCH(O$2,Inputs!$K$4:$AJ$4,0))))=0,NA(),SUMPRODUCT((Inputs!$A$5:$A$140=$B4)*Inputs!$B$5:$B$140*(((Inputs!$G$5:$G$140="moeda")+(Inputs!$G$5:$G$140="acoes"))*Inputs!$B$1+((Inputs!$G$5:$G$140&lt;&gt;"moeda")*(Inputs!$G$5:$G$140&lt;&gt;"acoes")))*INDEX(Inputs!$K$5:$AJ$140,0,MATCH(O$2,Inputs!$K$4:$AJ$4,0)))+SUMPRODUCT((Inputs!$C$5:$C$140=$B4)*Inputs!$D$5:$D$140*(((Inputs!$G$5:$G$140="moeda")+(Inputs!$G$5:$G$140="acoes"))*Inputs!$B$1+((Inputs!$G$5:$G$140&lt;&gt;"moeda")*(Inputs!$G$5:$G$140&lt;&gt;"acoes")))*INDEX(Inputs!$K$5:$AJ$140,0,MATCH(O$2,Inputs!$K$4:$AJ$4,0)))+SUMPRODUCT((Inputs!$E$5:$E$140=$B4)*Inputs!$F$5:$F$140*(((Inputs!$G$5:$G$140="moeda")+(Inputs!$G$5:$G$140="acoes"))*Inputs!$B$1+((Inputs!$G$5:$G$140&lt;&gt;"moeda")*(Inputs!$G$5:$G$140&lt;&gt;"acoes")))*INDEX(Inputs!$K$5:$AJ$140,0,MATCH(O$2,Inputs!$K$4:$AJ$4,0)))))</f>
        <v>13507</v>
      </c>
      <c r="P4" s="6">
        <f>IF(ISNA(MATCH(P$2,Inputs!$K$4:$AJ$4,0)),NA(),IF(SUMPRODUCT((Inputs!$A$5:$A$140=$B4)*ISNUMBER(INDEX(Inputs!$K$5:$AJ$140,0,MATCH(P$2,Inputs!$K$4:$AJ$4,0))))+SUMPRODUCT((Inputs!$C$5:$C$140=$B4)*ISNUMBER(INDEX(Inputs!$K$5:$AJ$140,0,MATCH(P$2,Inputs!$K$4:$AJ$4,0))))+SUMPRODUCT((Inputs!$E$5:$E$140=$B4)*ISNUMBER(INDEX(Inputs!$K$5:$AJ$140,0,MATCH(P$2,Inputs!$K$4:$AJ$4,0))))=0,NA(),SUMPRODUCT((Inputs!$A$5:$A$140=$B4)*Inputs!$B$5:$B$140*(((Inputs!$G$5:$G$140="moeda")+(Inputs!$G$5:$G$140="acoes"))*Inputs!$B$1+((Inputs!$G$5:$G$140&lt;&gt;"moeda")*(Inputs!$G$5:$G$140&lt;&gt;"acoes")))*INDEX(Inputs!$K$5:$AJ$140,0,MATCH(P$2,Inputs!$K$4:$AJ$4,0)))+SUMPRODUCT((Inputs!$C$5:$C$140=$B4)*Inputs!$D$5:$D$140*(((Inputs!$G$5:$G$140="moeda")+(Inputs!$G$5:$G$140="acoes"))*Inputs!$B$1+((Inputs!$G$5:$G$140&lt;&gt;"moeda")*(Inputs!$G$5:$G$140&lt;&gt;"acoes")))*INDEX(Inputs!$K$5:$AJ$140,0,MATCH(P$2,Inputs!$K$4:$AJ$4,0)))+SUMPRODUCT((Inputs!$E$5:$E$140=$B4)*Inputs!$F$5:$F$140*(((Inputs!$G$5:$G$140="moeda")+(Inputs!$G$5:$G$140="acoes"))*Inputs!$B$1+((Inputs!$G$5:$G$140&lt;&gt;"moeda")*(Inputs!$G$5:$G$140&lt;&gt;"acoes")))*INDEX(Inputs!$K$5:$AJ$140,0,MATCH(P$2,Inputs!$K$4:$AJ$4,0)))))</f>
        <v>18120</v>
      </c>
      <c r="Q4" s="6">
        <f>IF(ISNA(MATCH(Q$2,Inputs!$K$4:$AJ$4,0)),NA(),IF(SUMPRODUCT((Inputs!$A$5:$A$140=$B4)*ISNUMBER(INDEX(Inputs!$K$5:$AJ$140,0,MATCH(Q$2,Inputs!$K$4:$AJ$4,0))))+SUMPRODUCT((Inputs!$C$5:$C$140=$B4)*ISNUMBER(INDEX(Inputs!$K$5:$AJ$140,0,MATCH(Q$2,Inputs!$K$4:$AJ$4,0))))+SUMPRODUCT((Inputs!$E$5:$E$140=$B4)*ISNUMBER(INDEX(Inputs!$K$5:$AJ$140,0,MATCH(Q$2,Inputs!$K$4:$AJ$4,0))))=0,NA(),SUMPRODUCT((Inputs!$A$5:$A$140=$B4)*Inputs!$B$5:$B$140*(((Inputs!$G$5:$G$140="moeda")+(Inputs!$G$5:$G$140="acoes"))*Inputs!$B$1+((Inputs!$G$5:$G$140&lt;&gt;"moeda")*(Inputs!$G$5:$G$140&lt;&gt;"acoes")))*INDEX(Inputs!$K$5:$AJ$140,0,MATCH(Q$2,Inputs!$K$4:$AJ$4,0)))+SUMPRODUCT((Inputs!$C$5:$C$140=$B4)*Inputs!$D$5:$D$140*(((Inputs!$G$5:$G$140="moeda")+(Inputs!$G$5:$G$140="acoes"))*Inputs!$B$1+((Inputs!$G$5:$G$140&lt;&gt;"moeda")*(Inputs!$G$5:$G$140&lt;&gt;"acoes")))*INDEX(Inputs!$K$5:$AJ$140,0,MATCH(Q$2,Inputs!$K$4:$AJ$4,0)))+SUMPRODUCT((Inputs!$E$5:$E$140=$B4)*Inputs!$F$5:$F$140*(((Inputs!$G$5:$G$140="moeda")+(Inputs!$G$5:$G$140="acoes"))*Inputs!$B$1+((Inputs!$G$5:$G$140&lt;&gt;"moeda")*(Inputs!$G$5:$G$140&lt;&gt;"acoes")))*INDEX(Inputs!$K$5:$AJ$140,0,MATCH(Q$2,Inputs!$K$4:$AJ$4,0)))))</f>
        <v>22103</v>
      </c>
      <c r="R4" s="3">
        <f>SUM(N4:Q4)</f>
        <v>60922</v>
      </c>
      <c r="S4" s="6">
        <f>IF(ISNA(MATCH(S$2,Inputs!$K$4:$AJ$4,0)),NA(),IF(SUMPRODUCT((Inputs!$A$5:$A$140=$B4)*ISNUMBER(INDEX(Inputs!$K$5:$AJ$140,0,MATCH(S$2,Inputs!$K$4:$AJ$4,0))))+SUMPRODUCT((Inputs!$C$5:$C$140=$B4)*ISNUMBER(INDEX(Inputs!$K$5:$AJ$140,0,MATCH(S$2,Inputs!$K$4:$AJ$4,0))))+SUMPRODUCT((Inputs!$E$5:$E$140=$B4)*ISNUMBER(INDEX(Inputs!$K$5:$AJ$140,0,MATCH(S$2,Inputs!$K$4:$AJ$4,0))))=0,NA(),SUMPRODUCT((Inputs!$A$5:$A$140=$B4)*Inputs!$B$5:$B$140*(((Inputs!$G$5:$G$140="moeda")+(Inputs!$G$5:$G$140="acoes"))*Inputs!$B$1+((Inputs!$G$5:$G$140&lt;&gt;"moeda")*(Inputs!$G$5:$G$140&lt;&gt;"acoes")))*INDEX(Inputs!$K$5:$AJ$140,0,MATCH(S$2,Inputs!$K$4:$AJ$4,0)))+SUMPRODUCT((Inputs!$C$5:$C$140=$B4)*Inputs!$D$5:$D$140*(((Inputs!$G$5:$G$140="moeda")+(Inputs!$G$5:$G$140="acoes"))*Inputs!$B$1+((Inputs!$G$5:$G$140&lt;&gt;"moeda")*(Inputs!$G$5:$G$140&lt;&gt;"acoes")))*INDEX(Inputs!$K$5:$AJ$140,0,MATCH(S$2,Inputs!$K$4:$AJ$4,0)))+SUMPRODUCT((Inputs!$E$5:$E$140=$B4)*Inputs!$F$5:$F$140*(((Inputs!$G$5:$G$140="moeda")+(Inputs!$G$5:$G$140="acoes"))*Inputs!$B$1+((Inputs!$G$5:$G$140&lt;&gt;"moeda")*(Inputs!$G$5:$G$140&lt;&gt;"acoes")))*INDEX(Inputs!$K$5:$AJ$140,0,MATCH(S$2,Inputs!$K$4:$AJ$4,0)))))</f>
        <v>26044</v>
      </c>
      <c r="T4" s="6">
        <f>IF(ISNA(MATCH(T$2,Inputs!$K$4:$AJ$4,0)),NA(),IF(SUMPRODUCT((Inputs!$A$5:$A$140=$B4)*ISNUMBER(INDEX(Inputs!$K$5:$AJ$140,0,MATCH(T$2,Inputs!$K$4:$AJ$4,0))))+SUMPRODUCT((Inputs!$C$5:$C$140=$B4)*ISNUMBER(INDEX(Inputs!$K$5:$AJ$140,0,MATCH(T$2,Inputs!$K$4:$AJ$4,0))))+SUMPRODUCT((Inputs!$E$5:$E$140=$B4)*ISNUMBER(INDEX(Inputs!$K$5:$AJ$140,0,MATCH(T$2,Inputs!$K$4:$AJ$4,0))))=0,NA(),SUMPRODUCT((Inputs!$A$5:$A$140=$B4)*Inputs!$B$5:$B$140*(((Inputs!$G$5:$G$140="moeda")+(Inputs!$G$5:$G$140="acoes"))*Inputs!$B$1+((Inputs!$G$5:$G$140&lt;&gt;"moeda")*(Inputs!$G$5:$G$140&lt;&gt;"acoes")))*INDEX(Inputs!$K$5:$AJ$140,0,MATCH(T$2,Inputs!$K$4:$AJ$4,0)))+SUMPRODUCT((Inputs!$C$5:$C$140=$B4)*Inputs!$D$5:$D$140*(((Inputs!$G$5:$G$140="moeda")+(Inputs!$G$5:$G$140="acoes"))*Inputs!$B$1+((Inputs!$G$5:$G$140&lt;&gt;"moeda")*(Inputs!$G$5:$G$140&lt;&gt;"acoes")))*INDEX(Inputs!$K$5:$AJ$140,0,MATCH(T$2,Inputs!$K$4:$AJ$4,0)))+SUMPRODUCT((Inputs!$E$5:$E$140=$B4)*Inputs!$F$5:$F$140*(((Inputs!$G$5:$G$140="moeda")+(Inputs!$G$5:$G$140="acoes"))*Inputs!$B$1+((Inputs!$G$5:$G$140&lt;&gt;"moeda")*(Inputs!$G$5:$G$140&lt;&gt;"acoes")))*INDEX(Inputs!$K$5:$AJ$140,0,MATCH(T$2,Inputs!$K$4:$AJ$4,0)))))</f>
        <v>30040</v>
      </c>
      <c r="U4" s="6">
        <f>IF(ISNA(MATCH(U$2,Inputs!$K$4:$AJ$4,0)),NA(),IF(SUMPRODUCT((Inputs!$A$5:$A$140=$B4)*ISNUMBER(INDEX(Inputs!$K$5:$AJ$140,0,MATCH(U$2,Inputs!$K$4:$AJ$4,0))))+SUMPRODUCT((Inputs!$C$5:$C$140=$B4)*ISNUMBER(INDEX(Inputs!$K$5:$AJ$140,0,MATCH(U$2,Inputs!$K$4:$AJ$4,0))))+SUMPRODUCT((Inputs!$E$5:$E$140=$B4)*ISNUMBER(INDEX(Inputs!$K$5:$AJ$140,0,MATCH(U$2,Inputs!$K$4:$AJ$4,0))))=0,NA(),SUMPRODUCT((Inputs!$A$5:$A$140=$B4)*Inputs!$B$5:$B$140*(((Inputs!$G$5:$G$140="moeda")+(Inputs!$G$5:$G$140="acoes"))*Inputs!$B$1+((Inputs!$G$5:$G$140&lt;&gt;"moeda")*(Inputs!$G$5:$G$140&lt;&gt;"acoes")))*INDEX(Inputs!$K$5:$AJ$140,0,MATCH(U$2,Inputs!$K$4:$AJ$4,0)))+SUMPRODUCT((Inputs!$C$5:$C$140=$B4)*Inputs!$D$5:$D$140*(((Inputs!$G$5:$G$140="moeda")+(Inputs!$G$5:$G$140="acoes"))*Inputs!$B$1+((Inputs!$G$5:$G$140&lt;&gt;"moeda")*(Inputs!$G$5:$G$140&lt;&gt;"acoes")))*INDEX(Inputs!$K$5:$AJ$140,0,MATCH(U$2,Inputs!$K$4:$AJ$4,0)))+SUMPRODUCT((Inputs!$E$5:$E$140=$B4)*Inputs!$F$5:$F$140*(((Inputs!$G$5:$G$140="moeda")+(Inputs!$G$5:$G$140="acoes"))*Inputs!$B$1+((Inputs!$G$5:$G$140&lt;&gt;"moeda")*(Inputs!$G$5:$G$140&lt;&gt;"acoes")))*INDEX(Inputs!$K$5:$AJ$140,0,MATCH(U$2,Inputs!$K$4:$AJ$4,0)))))</f>
        <v>35082</v>
      </c>
      <c r="V4" s="6">
        <f>IF(ISNA(MATCH(V$2,Inputs!$K$4:$AJ$4,0)),NA(),IF(SUMPRODUCT((Inputs!$A$5:$A$140=$B4)*ISNUMBER(INDEX(Inputs!$K$5:$AJ$140,0,MATCH(V$2,Inputs!$K$4:$AJ$4,0))))+SUMPRODUCT((Inputs!$C$5:$C$140=$B4)*ISNUMBER(INDEX(Inputs!$K$5:$AJ$140,0,MATCH(V$2,Inputs!$K$4:$AJ$4,0))))+SUMPRODUCT((Inputs!$E$5:$E$140=$B4)*ISNUMBER(INDEX(Inputs!$K$5:$AJ$140,0,MATCH(V$2,Inputs!$K$4:$AJ$4,0))))=0,NA(),SUMPRODUCT((Inputs!$A$5:$A$140=$B4)*Inputs!$B$5:$B$140*(((Inputs!$G$5:$G$140="moeda")+(Inputs!$G$5:$G$140="acoes"))*Inputs!$B$1+((Inputs!$G$5:$G$140&lt;&gt;"moeda")*(Inputs!$G$5:$G$140&lt;&gt;"acoes")))*INDEX(Inputs!$K$5:$AJ$140,0,MATCH(V$2,Inputs!$K$4:$AJ$4,0)))+SUMPRODUCT((Inputs!$C$5:$C$140=$B4)*Inputs!$D$5:$D$140*(((Inputs!$G$5:$G$140="moeda")+(Inputs!$G$5:$G$140="acoes"))*Inputs!$B$1+((Inputs!$G$5:$G$140&lt;&gt;"moeda")*(Inputs!$G$5:$G$140&lt;&gt;"acoes")))*INDEX(Inputs!$K$5:$AJ$140,0,MATCH(V$2,Inputs!$K$4:$AJ$4,0)))+SUMPRODUCT((Inputs!$E$5:$E$140=$B4)*Inputs!$F$5:$F$140*(((Inputs!$G$5:$G$140="moeda")+(Inputs!$G$5:$G$140="acoes"))*Inputs!$B$1+((Inputs!$G$5:$G$140&lt;&gt;"moeda")*(Inputs!$G$5:$G$140&lt;&gt;"acoes")))*INDEX(Inputs!$K$5:$AJ$140,0,MATCH(V$2,Inputs!$K$4:$AJ$4,0)))))</f>
        <v>39331</v>
      </c>
      <c r="W4" s="3">
        <f>SUM(S4:V4)</f>
        <v>130497</v>
      </c>
      <c r="X4" s="6">
        <f>IF(ISNA(MATCH(X$2,Inputs!$K$4:$AJ$4,0)),NA(),IF(SUMPRODUCT((Inputs!$A$5:$A$140=$B4)*ISNUMBER(INDEX(Inputs!$K$5:$AJ$140,0,MATCH(X$2,Inputs!$K$4:$AJ$4,0))))+SUMPRODUCT((Inputs!$C$5:$C$140=$B4)*ISNUMBER(INDEX(Inputs!$K$5:$AJ$140,0,MATCH(X$2,Inputs!$K$4:$AJ$4,0))))+SUMPRODUCT((Inputs!$E$5:$E$140=$B4)*ISNUMBER(INDEX(Inputs!$K$5:$AJ$140,0,MATCH(X$2,Inputs!$K$4:$AJ$4,0))))=0,NA(),SUMPRODUCT((Inputs!$A$5:$A$140=$B4)*Inputs!$B$5:$B$140*(((Inputs!$G$5:$G$140="moeda")+(Inputs!$G$5:$G$140="acoes"))*Inputs!$B$1+((Inputs!$G$5:$G$140&lt;&gt;"moeda")*(Inputs!$G$5:$G$140&lt;&gt;"acoes")))*INDEX(Inputs!$K$5:$AJ$140,0,MATCH(X$2,Inputs!$K$4:$AJ$4,0)))+SUMPRODUCT((Inputs!$C$5:$C$140=$B4)*Inputs!$D$5:$D$140*(((Inputs!$G$5:$G$140="moeda")+(Inputs!$G$5:$G$140="acoes"))*Inputs!$B$1+((Inputs!$G$5:$G$140&lt;&gt;"moeda")*(Inputs!$G$5:$G$140&lt;&gt;"acoes")))*INDEX(Inputs!$K$5:$AJ$140,0,MATCH(X$2,Inputs!$K$4:$AJ$4,0)))+SUMPRODUCT((Inputs!$E$5:$E$140=$B4)*Inputs!$F$5:$F$140*(((Inputs!$G$5:$G$140="moeda")+(Inputs!$G$5:$G$140="acoes"))*Inputs!$B$1+((Inputs!$G$5:$G$140&lt;&gt;"moeda")*(Inputs!$G$5:$G$140&lt;&gt;"acoes")))*INDEX(Inputs!$K$5:$AJ$140,0,MATCH(X$2,Inputs!$K$4:$AJ$4,0)))))</f>
        <v>44062</v>
      </c>
      <c r="Y4" s="6">
        <f>IF(ISNA(MATCH(Y$2,Inputs!$K$4:$AJ$4,0)),NA(),IF(SUMPRODUCT((Inputs!$A$5:$A$140=$B4)*ISNUMBER(INDEX(Inputs!$K$5:$AJ$140,0,MATCH(Y$2,Inputs!$K$4:$AJ$4,0))))+SUMPRODUCT((Inputs!$C$5:$C$140=$B4)*ISNUMBER(INDEX(Inputs!$K$5:$AJ$140,0,MATCH(Y$2,Inputs!$K$4:$AJ$4,0))))+SUMPRODUCT((Inputs!$E$5:$E$140=$B4)*ISNUMBER(INDEX(Inputs!$K$5:$AJ$140,0,MATCH(Y$2,Inputs!$K$4:$AJ$4,0))))=0,NA(),SUMPRODUCT((Inputs!$A$5:$A$140=$B4)*Inputs!$B$5:$B$140*(((Inputs!$G$5:$G$140="moeda")+(Inputs!$G$5:$G$140="acoes"))*Inputs!$B$1+((Inputs!$G$5:$G$140&lt;&gt;"moeda")*(Inputs!$G$5:$G$140&lt;&gt;"acoes")))*INDEX(Inputs!$K$5:$AJ$140,0,MATCH(Y$2,Inputs!$K$4:$AJ$4,0)))+SUMPRODUCT((Inputs!$C$5:$C$140=$B4)*Inputs!$D$5:$D$140*(((Inputs!$G$5:$G$140="moeda")+(Inputs!$G$5:$G$140="acoes"))*Inputs!$B$1+((Inputs!$G$5:$G$140&lt;&gt;"moeda")*(Inputs!$G$5:$G$140&lt;&gt;"acoes")))*INDEX(Inputs!$K$5:$AJ$140,0,MATCH(Y$2,Inputs!$K$4:$AJ$4,0)))+SUMPRODUCT((Inputs!$E$5:$E$140=$B4)*Inputs!$F$5:$F$140*(((Inputs!$G$5:$G$140="moeda")+(Inputs!$G$5:$G$140="acoes"))*Inputs!$B$1+((Inputs!$G$5:$G$140&lt;&gt;"moeda")*(Inputs!$G$5:$G$140&lt;&gt;"acoes")))*INDEX(Inputs!$K$5:$AJ$140,0,MATCH(Y$2,Inputs!$K$4:$AJ$4,0)))))</f>
        <v>46743</v>
      </c>
      <c r="Z4" s="6">
        <f>IF(ISNA(MATCH(Z$2,Inputs!$K$4:$AJ$4,0)),NA(),IF(SUMPRODUCT((Inputs!$A$5:$A$140=$B4)*ISNUMBER(INDEX(Inputs!$K$5:$AJ$140,0,MATCH(Z$2,Inputs!$K$4:$AJ$4,0))))+SUMPRODUCT((Inputs!$C$5:$C$140=$B4)*ISNUMBER(INDEX(Inputs!$K$5:$AJ$140,0,MATCH(Z$2,Inputs!$K$4:$AJ$4,0))))+SUMPRODUCT((Inputs!$E$5:$E$140=$B4)*ISNUMBER(INDEX(Inputs!$K$5:$AJ$140,0,MATCH(Z$2,Inputs!$K$4:$AJ$4,0))))=0,NA(),SUMPRODUCT((Inputs!$A$5:$A$140=$B4)*Inputs!$B$5:$B$140*(((Inputs!$G$5:$G$140="moeda")+(Inputs!$G$5:$G$140="acoes"))*Inputs!$B$1+((Inputs!$G$5:$G$140&lt;&gt;"moeda")*(Inputs!$G$5:$G$140&lt;&gt;"acoes")))*INDEX(Inputs!$K$5:$AJ$140,0,MATCH(Z$2,Inputs!$K$4:$AJ$4,0)))+SUMPRODUCT((Inputs!$C$5:$C$140=$B4)*Inputs!$D$5:$D$140*(((Inputs!$G$5:$G$140="moeda")+(Inputs!$G$5:$G$140="acoes"))*Inputs!$B$1+((Inputs!$G$5:$G$140&lt;&gt;"moeda")*(Inputs!$G$5:$G$140&lt;&gt;"acoes")))*INDEX(Inputs!$K$5:$AJ$140,0,MATCH(Z$2,Inputs!$K$4:$AJ$4,0)))+SUMPRODUCT((Inputs!$E$5:$E$140=$B4)*Inputs!$F$5:$F$140*(((Inputs!$G$5:$G$140="moeda")+(Inputs!$G$5:$G$140="acoes"))*Inputs!$B$1+((Inputs!$G$5:$G$140&lt;&gt;"moeda")*(Inputs!$G$5:$G$140&lt;&gt;"acoes")))*INDEX(Inputs!$K$5:$AJ$140,0,MATCH(Z$2,Inputs!$K$4:$AJ$4,0)))))</f>
        <v>57006</v>
      </c>
      <c r="AA4" s="6">
        <f>IF(ISNA(MATCH(AA$2,Inputs!$K$4:$AJ$4,0)),NA(),IF(SUMPRODUCT((Inputs!$A$5:$A$140=$B4)*ISNUMBER(INDEX(Inputs!$K$5:$AJ$140,0,MATCH(AA$2,Inputs!$K$4:$AJ$4,0))))+SUMPRODUCT((Inputs!$C$5:$C$140=$B4)*ISNUMBER(INDEX(Inputs!$K$5:$AJ$140,0,MATCH(AA$2,Inputs!$K$4:$AJ$4,0))))+SUMPRODUCT((Inputs!$E$5:$E$140=$B4)*ISNUMBER(INDEX(Inputs!$K$5:$AJ$140,0,MATCH(AA$2,Inputs!$K$4:$AJ$4,0))))=0,NA(),SUMPRODUCT((Inputs!$A$5:$A$140=$B4)*Inputs!$B$5:$B$140*(((Inputs!$G$5:$G$140="moeda")+(Inputs!$G$5:$G$140="acoes"))*Inputs!$B$1+((Inputs!$G$5:$G$140&lt;&gt;"moeda")*(Inputs!$G$5:$G$140&lt;&gt;"acoes")))*INDEX(Inputs!$K$5:$AJ$140,0,MATCH(AA$2,Inputs!$K$4:$AJ$4,0)))+SUMPRODUCT((Inputs!$C$5:$C$140=$B4)*Inputs!$D$5:$D$140*(((Inputs!$G$5:$G$140="moeda")+(Inputs!$G$5:$G$140="acoes"))*Inputs!$B$1+((Inputs!$G$5:$G$140&lt;&gt;"moeda")*(Inputs!$G$5:$G$140&lt;&gt;"acoes")))*INDEX(Inputs!$K$5:$AJ$140,0,MATCH(AA$2,Inputs!$K$4:$AJ$4,0)))+SUMPRODUCT((Inputs!$E$5:$E$140=$B4)*Inputs!$F$5:$F$140*(((Inputs!$G$5:$G$140="moeda")+(Inputs!$G$5:$G$140="acoes"))*Inputs!$B$1+((Inputs!$G$5:$G$140&lt;&gt;"moeda")*(Inputs!$G$5:$G$140&lt;&gt;"acoes")))*INDEX(Inputs!$K$5:$AJ$140,0,MATCH(AA$2,Inputs!$K$4:$AJ$4,0)))))</f>
        <v>68127</v>
      </c>
      <c r="AB4" s="3">
        <f>SUM(X4:AA4)</f>
        <v>215938</v>
      </c>
      <c r="AC4" s="6">
        <f>IF(ISNA(MATCH(AC$2,Inputs!$K$4:$AJ$4,0)),NA(),IF(SUMPRODUCT((Inputs!$A$5:$A$140=$B4)*ISNUMBER(INDEX(Inputs!$K$5:$AJ$140,0,MATCH(AC$2,Inputs!$K$4:$AJ$4,0))))+SUMPRODUCT((Inputs!$C$5:$C$140=$B4)*ISNUMBER(INDEX(Inputs!$K$5:$AJ$140,0,MATCH(AC$2,Inputs!$K$4:$AJ$4,0))))+SUMPRODUCT((Inputs!$E$5:$E$140=$B4)*ISNUMBER(INDEX(Inputs!$K$5:$AJ$140,0,MATCH(AC$2,Inputs!$K$4:$AJ$4,0))))=0,NA(),SUMPRODUCT((Inputs!$A$5:$A$140=$B4)*Inputs!$B$5:$B$140*(((Inputs!$G$5:$G$140="moeda")+(Inputs!$G$5:$G$140="acoes"))*Inputs!$B$1+((Inputs!$G$5:$G$140&lt;&gt;"moeda")*(Inputs!$G$5:$G$140&lt;&gt;"acoes")))*INDEX(Inputs!$K$5:$AJ$140,0,MATCH(AC$2,Inputs!$K$4:$AJ$4,0)))+SUMPRODUCT((Inputs!$C$5:$C$140=$B4)*Inputs!$D$5:$D$140*(((Inputs!$G$5:$G$140="moeda")+(Inputs!$G$5:$G$140="acoes"))*Inputs!$B$1+((Inputs!$G$5:$G$140&lt;&gt;"moeda")*(Inputs!$G$5:$G$140&lt;&gt;"acoes")))*INDEX(Inputs!$K$5:$AJ$140,0,MATCH(AC$2,Inputs!$K$4:$AJ$4,0)))+SUMPRODUCT((Inputs!$E$5:$E$140=$B4)*Inputs!$F$5:$F$140*(((Inputs!$G$5:$G$140="moeda")+(Inputs!$G$5:$G$140="acoes"))*Inputs!$B$1+((Inputs!$G$5:$G$140&lt;&gt;"moeda")*(Inputs!$G$5:$G$140&lt;&gt;"acoes")))*INDEX(Inputs!$K$5:$AJ$140,0,MATCH(AC$2,Inputs!$K$4:$AJ$4,0)))))</f>
        <v>81615</v>
      </c>
      <c r="AD4" s="6">
        <f>IF(ISNA(MATCH(AD$2,Inputs!$K$4:$AJ$4,0)),NA(),IF(SUMPRODUCT((Inputs!$A$5:$A$140=$B4)*ISNUMBER(INDEX(Inputs!$K$5:$AJ$140,0,MATCH(AD$2,Inputs!$K$4:$AJ$4,0))))+SUMPRODUCT((Inputs!$C$5:$C$140=$B4)*ISNUMBER(INDEX(Inputs!$K$5:$AJ$140,0,MATCH(AD$2,Inputs!$K$4:$AJ$4,0))))+SUMPRODUCT((Inputs!$E$5:$E$140=$B4)*ISNUMBER(INDEX(Inputs!$K$5:$AJ$140,0,MATCH(AD$2,Inputs!$K$4:$AJ$4,0))))=0,NA(),SUMPRODUCT((Inputs!$A$5:$A$140=$B4)*Inputs!$B$5:$B$140*(((Inputs!$G$5:$G$140="moeda")+(Inputs!$G$5:$G$140="acoes"))*Inputs!$B$1+((Inputs!$G$5:$G$140&lt;&gt;"moeda")*(Inputs!$G$5:$G$140&lt;&gt;"acoes")))*INDEX(Inputs!$K$5:$AJ$140,0,MATCH(AD$2,Inputs!$K$4:$AJ$4,0)))+SUMPRODUCT((Inputs!$C$5:$C$140=$B4)*Inputs!$D$5:$D$140*(((Inputs!$G$5:$G$140="moeda")+(Inputs!$G$5:$G$140="acoes"))*Inputs!$B$1+((Inputs!$G$5:$G$140&lt;&gt;"moeda")*(Inputs!$G$5:$G$140&lt;&gt;"acoes")))*INDEX(Inputs!$K$5:$AJ$140,0,MATCH(AD$2,Inputs!$K$4:$AJ$4,0)))+SUMPRODUCT((Inputs!$E$5:$E$140=$B4)*Inputs!$F$5:$F$140*(((Inputs!$G$5:$G$140="moeda")+(Inputs!$G$5:$G$140="acoes"))*Inputs!$B$1+((Inputs!$G$5:$G$140&lt;&gt;"moeda")*(Inputs!$G$5:$G$140&lt;&gt;"acoes")))*INDEX(Inputs!$K$5:$AJ$140,0,MATCH(AD$2,Inputs!$K$4:$AJ$4,0)))))</f>
        <v>96221</v>
      </c>
      <c r="AE4" s="6" t="e">
        <f>IF(ISNA(MATCH(AE$2,Inputs!$K$4:$AJ$4,0)),NA(),IF(SUMPRODUCT((Inputs!$A$5:$A$140=$B4)*ISNUMBER(INDEX(Inputs!$K$5:$AJ$140,0,MATCH(AE$2,Inputs!$K$4:$AJ$4,0))))+SUMPRODUCT((Inputs!$C$5:$C$140=$B4)*ISNUMBER(INDEX(Inputs!$K$5:$AJ$140,0,MATCH(AE$2,Inputs!$K$4:$AJ$4,0))))+SUMPRODUCT((Inputs!$E$5:$E$140=$B4)*ISNUMBER(INDEX(Inputs!$K$5:$AJ$140,0,MATCH(AE$2,Inputs!$K$4:$AJ$4,0))))=0,NA(),SUMPRODUCT((Inputs!$A$5:$A$140=$B4)*Inputs!$B$5:$B$140*(((Inputs!$G$5:$G$140="moeda")+(Inputs!$G$5:$G$140="acoes"))*Inputs!$B$1+((Inputs!$G$5:$G$140&lt;&gt;"moeda")*(Inputs!$G$5:$G$140&lt;&gt;"acoes")))*INDEX(Inputs!$K$5:$AJ$140,0,MATCH(AE$2,Inputs!$K$4:$AJ$4,0)))+SUMPRODUCT((Inputs!$C$5:$C$140=$B4)*Inputs!$D$5:$D$140*(((Inputs!$G$5:$G$140="moeda")+(Inputs!$G$5:$G$140="acoes"))*Inputs!$B$1+((Inputs!$G$5:$G$140&lt;&gt;"moeda")*(Inputs!$G$5:$G$140&lt;&gt;"acoes")))*INDEX(Inputs!$K$5:$AJ$140,0,MATCH(AE$2,Inputs!$K$4:$AJ$4,0)))+SUMPRODUCT((Inputs!$E$5:$E$140=$B4)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4" s="6" t="e">
        <f>IF(ISNA(MATCH(AF$2,Inputs!$K$4:$AJ$4,0)),NA(),IF(SUMPRODUCT((Inputs!$A$5:$A$140=$B4)*ISNUMBER(INDEX(Inputs!$K$5:$AJ$140,0,MATCH(AF$2,Inputs!$K$4:$AJ$4,0))))+SUMPRODUCT((Inputs!$C$5:$C$140=$B4)*ISNUMBER(INDEX(Inputs!$K$5:$AJ$140,0,MATCH(AF$2,Inputs!$K$4:$AJ$4,0))))+SUMPRODUCT((Inputs!$E$5:$E$140=$B4)*ISNUMBER(INDEX(Inputs!$K$5:$AJ$140,0,MATCH(AF$2,Inputs!$K$4:$AJ$4,0))))=0,NA(),SUMPRODUCT((Inputs!$A$5:$A$140=$B4)*Inputs!$B$5:$B$140*(((Inputs!$G$5:$G$140="moeda")+(Inputs!$G$5:$G$140="acoes"))*Inputs!$B$1+((Inputs!$G$5:$G$140&lt;&gt;"moeda")*(Inputs!$G$5:$G$140&lt;&gt;"acoes")))*INDEX(Inputs!$K$5:$AJ$140,0,MATCH(AF$2,Inputs!$K$4:$AJ$4,0)))+SUMPRODUCT((Inputs!$C$5:$C$140=$B4)*Inputs!$D$5:$D$140*(((Inputs!$G$5:$G$140="moeda")+(Inputs!$G$5:$G$140="acoes"))*Inputs!$B$1+((Inputs!$G$5:$G$140&lt;&gt;"moeda")*(Inputs!$G$5:$G$140&lt;&gt;"acoes")))*INDEX(Inputs!$K$5:$AJ$140,0,MATCH(AF$2,Inputs!$K$4:$AJ$4,0)))+SUMPRODUCT((Inputs!$E$5:$E$140=$B4)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4" s="3" t="e">
        <f>SUM(AC4:AF4)</f>
        <v>#N/A</v>
      </c>
      <c r="AH4" s="6">
        <f>IF(ISNA(MATCH(AH$2,Inputs!$K$4:$AJ$4,0)),NA(),IF(SUMPRODUCT((Inputs!$A$5:$A$140=$B4)*ISNUMBER(INDEX(Inputs!$K$5:$AJ$140,0,MATCH(AH$2,Inputs!$K$4:$AJ$4,0))))+SUMPRODUCT((Inputs!$C$5:$C$140=$B4)*ISNUMBER(INDEX(Inputs!$K$5:$AJ$140,0,MATCH(AH$2,Inputs!$K$4:$AJ$4,0))))+SUMPRODUCT((Inputs!$E$5:$E$140=$B4)*ISNUMBER(INDEX(Inputs!$K$5:$AJ$140,0,MATCH(AH$2,Inputs!$K$4:$AJ$4,0))))=0,NA(),SUMPRODUCT((Inputs!$A$5:$A$140=$B4)*Inputs!$B$5:$B$140*(((Inputs!$G$5:$G$140="moeda")+(Inputs!$G$5:$G$140="acoes"))*Inputs!$B$1+((Inputs!$G$5:$G$140&lt;&gt;"moeda")*(Inputs!$G$5:$G$140&lt;&gt;"acoes")))*INDEX(Inputs!$K$5:$AJ$140,0,MATCH(AH$2,Inputs!$K$4:$AJ$4,0)))+SUMPRODUCT((Inputs!$C$5:$C$140=$B4)*Inputs!$D$5:$D$140*(((Inputs!$G$5:$G$140="moeda")+(Inputs!$G$5:$G$140="acoes"))*Inputs!$B$1+((Inputs!$G$5:$G$140&lt;&gt;"moeda")*(Inputs!$G$5:$G$140&lt;&gt;"acoes")))*INDEX(Inputs!$K$5:$AJ$140,0,MATCH(AH$2,Inputs!$K$4:$AJ$4,0)))+SUMPRODUCT((Inputs!$E$5:$E$140=$B4)*Inputs!$F$5:$F$140*(((Inputs!$G$5:$G$140="moeda")+(Inputs!$G$5:$G$140="acoes"))*Inputs!$B$1+((Inputs!$G$5:$G$140&lt;&gt;"moeda")*(Inputs!$G$5:$G$140&lt;&gt;"acoes")))*INDEX(Inputs!$K$5:$AJ$140,0,MATCH(AH$2,Inputs!$K$4:$AJ$4,0)))))</f>
        <v>3080</v>
      </c>
      <c r="AI4" s="6">
        <f>IF(ISNA(MATCH(AI$2,Inputs!$K$4:$AJ$4,0)),NA(),IF(SUMPRODUCT((Inputs!$A$5:$A$140=$B4)*ISNUMBER(INDEX(Inputs!$K$5:$AJ$140,0,MATCH(AI$2,Inputs!$K$4:$AJ$4,0))))+SUMPRODUCT((Inputs!$C$5:$C$140=$B4)*ISNUMBER(INDEX(Inputs!$K$5:$AJ$140,0,MATCH(AI$2,Inputs!$K$4:$AJ$4,0))))+SUMPRODUCT((Inputs!$E$5:$E$140=$B4)*ISNUMBER(INDEX(Inputs!$K$5:$AJ$140,0,MATCH(AI$2,Inputs!$K$4:$AJ$4,0))))=0,NA(),SUMPRODUCT((Inputs!$A$5:$A$140=$B4)*Inputs!$B$5:$B$140*(((Inputs!$G$5:$G$140="moeda")+(Inputs!$G$5:$G$140="acoes"))*Inputs!$B$1+((Inputs!$G$5:$G$140&lt;&gt;"moeda")*(Inputs!$G$5:$G$140&lt;&gt;"acoes")))*INDEX(Inputs!$K$5:$AJ$140,0,MATCH(AI$2,Inputs!$K$4:$AJ$4,0)))+SUMPRODUCT((Inputs!$C$5:$C$140=$B4)*Inputs!$D$5:$D$140*(((Inputs!$G$5:$G$140="moeda")+(Inputs!$G$5:$G$140="acoes"))*Inputs!$B$1+((Inputs!$G$5:$G$140&lt;&gt;"moeda")*(Inputs!$G$5:$G$140&lt;&gt;"acoes")))*INDEX(Inputs!$K$5:$AJ$140,0,MATCH(AI$2,Inputs!$K$4:$AJ$4,0)))+SUMPRODUCT((Inputs!$E$5:$E$140=$B4)*Inputs!$F$5:$F$140*(((Inputs!$G$5:$G$140="moeda")+(Inputs!$G$5:$G$140="acoes"))*Inputs!$B$1+((Inputs!$G$5:$G$140&lt;&gt;"moeda")*(Inputs!$G$5:$G$140&lt;&gt;"acoes")))*INDEX(Inputs!$K$5:$AJ$140,0,MATCH(AI$2,Inputs!$K$4:$AJ$4,0)))))</f>
        <v>3866</v>
      </c>
      <c r="AJ4" s="6">
        <f>IF(ISNA(MATCH(AJ$2,Inputs!$K$4:$AJ$4,0)),NA(),IF(SUMPRODUCT((Inputs!$A$5:$A$140=$B4)*ISNUMBER(INDEX(Inputs!$K$5:$AJ$140,0,MATCH(AJ$2,Inputs!$K$4:$AJ$4,0))))+SUMPRODUCT((Inputs!$C$5:$C$140=$B4)*ISNUMBER(INDEX(Inputs!$K$5:$AJ$140,0,MATCH(AJ$2,Inputs!$K$4:$AJ$4,0))))+SUMPRODUCT((Inputs!$E$5:$E$140=$B4)*ISNUMBER(INDEX(Inputs!$K$5:$AJ$140,0,MATCH(AJ$2,Inputs!$K$4:$AJ$4,0))))=0,NA(),SUMPRODUCT((Inputs!$A$5:$A$140=$B4)*Inputs!$B$5:$B$140*(((Inputs!$G$5:$G$140="moeda")+(Inputs!$G$5:$G$140="acoes"))*Inputs!$B$1+((Inputs!$G$5:$G$140&lt;&gt;"moeda")*(Inputs!$G$5:$G$140&lt;&gt;"acoes")))*INDEX(Inputs!$K$5:$AJ$140,0,MATCH(AJ$2,Inputs!$K$4:$AJ$4,0)))+SUMPRODUCT((Inputs!$C$5:$C$140=$B4)*Inputs!$D$5:$D$140*(((Inputs!$G$5:$G$140="moeda")+(Inputs!$G$5:$G$140="acoes"))*Inputs!$B$1+((Inputs!$G$5:$G$140&lt;&gt;"moeda")*(Inputs!$G$5:$G$140&lt;&gt;"acoes")))*INDEX(Inputs!$K$5:$AJ$140,0,MATCH(AJ$2,Inputs!$K$4:$AJ$4,0)))+SUMPRODUCT((Inputs!$E$5:$E$140=$B4)*Inputs!$F$5:$F$140*(((Inputs!$G$5:$G$140="moeda")+(Inputs!$G$5:$G$140="acoes"))*Inputs!$B$1+((Inputs!$G$5:$G$140&lt;&gt;"moeda")*(Inputs!$G$5:$G$140&lt;&gt;"acoes")))*INDEX(Inputs!$K$5:$AJ$140,0,MATCH(AJ$2,Inputs!$K$4:$AJ$4,0)))))</f>
        <v>4726</v>
      </c>
      <c r="AK4" s="6">
        <f>IF(ISNA(MATCH(AK$2,Inputs!$K$4:$AJ$4,0)),NA(),IF(SUMPRODUCT((Inputs!$A$5:$A$140=$B4)*ISNUMBER(INDEX(Inputs!$K$5:$AJ$140,0,MATCH(AK$2,Inputs!$K$4:$AJ$4,0))))+SUMPRODUCT((Inputs!$C$5:$C$140=$B4)*ISNUMBER(INDEX(Inputs!$K$5:$AJ$140,0,MATCH(AK$2,Inputs!$K$4:$AJ$4,0))))+SUMPRODUCT((Inputs!$E$5:$E$140=$B4)*ISNUMBER(INDEX(Inputs!$K$5:$AJ$140,0,MATCH(AK$2,Inputs!$K$4:$AJ$4,0))))=0,NA(),SUMPRODUCT((Inputs!$A$5:$A$140=$B4)*Inputs!$B$5:$B$140*(((Inputs!$G$5:$G$140="moeda")+(Inputs!$G$5:$G$140="acoes"))*Inputs!$B$1+((Inputs!$G$5:$G$140&lt;&gt;"moeda")*(Inputs!$G$5:$G$140&lt;&gt;"acoes")))*INDEX(Inputs!$K$5:$AJ$140,0,MATCH(AK$2,Inputs!$K$4:$AJ$4,0)))+SUMPRODUCT((Inputs!$C$5:$C$140=$B4)*Inputs!$D$5:$D$140*(((Inputs!$G$5:$G$140="moeda")+(Inputs!$G$5:$G$140="acoes"))*Inputs!$B$1+((Inputs!$G$5:$G$140&lt;&gt;"moeda")*(Inputs!$G$5:$G$140&lt;&gt;"acoes")))*INDEX(Inputs!$K$5:$AJ$140,0,MATCH(AK$2,Inputs!$K$4:$AJ$4,0)))+SUMPRODUCT((Inputs!$E$5:$E$140=$B4)*Inputs!$F$5:$F$140*(((Inputs!$G$5:$G$140="moeda")+(Inputs!$G$5:$G$140="acoes"))*Inputs!$B$1+((Inputs!$G$5:$G$140&lt;&gt;"moeda")*(Inputs!$G$5:$G$140&lt;&gt;"acoes")))*INDEX(Inputs!$K$5:$AJ$140,0,MATCH(AK$2,Inputs!$K$4:$AJ$4,0)))))</f>
        <v>5003</v>
      </c>
      <c r="AL4" s="3">
        <f>SUM(AH4:AK4)</f>
        <v>16675</v>
      </c>
    </row>
    <row r="5">
      <c r="B5" s="46" t="n">
        <v>2</v>
      </c>
      <c r="C5" s="24" t="inlineStr">
        <is>
          <t>COGS (cash)</t>
        </is>
      </c>
      <c r="D5" s="6">
        <f>IF(ISNA(MATCH(D$2,Inputs!$K$4:$AJ$4,0)),NA(),IF(SUMPRODUCT((Inputs!$A$5:$A$140=$B5)*ISNUMBER(INDEX(Inputs!$K$5:$AJ$140,0,MATCH(D$2,Inputs!$K$4:$AJ$4,0))))+SUMPRODUCT((Inputs!$C$5:$C$140=$B5)*ISNUMBER(INDEX(Inputs!$K$5:$AJ$140,0,MATCH(D$2,Inputs!$K$4:$AJ$4,0))))+SUMPRODUCT((Inputs!$E$5:$E$140=$B5)*ISNUMBER(INDEX(Inputs!$K$5:$AJ$140,0,MATCH(D$2,Inputs!$K$4:$AJ$4,0))))=0,NA(),SUMPRODUCT((Inputs!$A$5:$A$140=$B5)*Inputs!$B$5:$B$140*(((Inputs!$G$5:$G$140="moeda")+(Inputs!$G$5:$G$140="acoes"))*Inputs!$B$1+((Inputs!$G$5:$G$140&lt;&gt;"moeda")*(Inputs!$G$5:$G$140&lt;&gt;"acoes")))*INDEX(Inputs!$K$5:$AJ$140,0,MATCH(D$2,Inputs!$K$4:$AJ$4,0)))+SUMPRODUCT((Inputs!$C$5:$C$140=$B5)*Inputs!$D$5:$D$140*(((Inputs!$G$5:$G$140="moeda")+(Inputs!$G$5:$G$140="acoes"))*Inputs!$B$1+((Inputs!$G$5:$G$140&lt;&gt;"moeda")*(Inputs!$G$5:$G$140&lt;&gt;"acoes")))*INDEX(Inputs!$K$5:$AJ$140,0,MATCH(D$2,Inputs!$K$4:$AJ$4,0)))+SUMPRODUCT((Inputs!$E$5:$E$140=$B5)*Inputs!$F$5:$F$140*(((Inputs!$G$5:$G$140="moeda")+(Inputs!$G$5:$G$140="acoes"))*Inputs!$B$1+((Inputs!$G$5:$G$140&lt;&gt;"moeda")*(Inputs!$G$5:$G$140&lt;&gt;"acoes")))*INDEX(Inputs!$K$5:$AJ$140,0,MATCH(D$2,Inputs!$K$4:$AJ$4,0)))))</f>
        <v>-2032</v>
      </c>
      <c r="E5" s="6">
        <f>IF(ISNA(MATCH(E$2,Inputs!$K$4:$AJ$4,0)),NA(),IF(SUMPRODUCT((Inputs!$A$5:$A$140=$B5)*ISNUMBER(INDEX(Inputs!$K$5:$AJ$140,0,MATCH(E$2,Inputs!$K$4:$AJ$4,0))))+SUMPRODUCT((Inputs!$C$5:$C$140=$B5)*ISNUMBER(INDEX(Inputs!$K$5:$AJ$140,0,MATCH(E$2,Inputs!$K$4:$AJ$4,0))))+SUMPRODUCT((Inputs!$E$5:$E$140=$B5)*ISNUMBER(INDEX(Inputs!$K$5:$AJ$140,0,MATCH(E$2,Inputs!$K$4:$AJ$4,0))))=0,NA(),SUMPRODUCT((Inputs!$A$5:$A$140=$B5)*Inputs!$B$5:$B$140*(((Inputs!$G$5:$G$140="moeda")+(Inputs!$G$5:$G$140="acoes"))*Inputs!$B$1+((Inputs!$G$5:$G$140&lt;&gt;"moeda")*(Inputs!$G$5:$G$140&lt;&gt;"acoes")))*INDEX(Inputs!$K$5:$AJ$140,0,MATCH(E$2,Inputs!$K$4:$AJ$4,0)))+SUMPRODUCT((Inputs!$C$5:$C$140=$B5)*Inputs!$D$5:$D$140*(((Inputs!$G$5:$G$140="moeda")+(Inputs!$G$5:$G$140="acoes"))*Inputs!$B$1+((Inputs!$G$5:$G$140&lt;&gt;"moeda")*(Inputs!$G$5:$G$140&lt;&gt;"acoes")))*INDEX(Inputs!$K$5:$AJ$140,0,MATCH(E$2,Inputs!$K$4:$AJ$4,0)))+SUMPRODUCT((Inputs!$E$5:$E$140=$B5)*Inputs!$F$5:$F$140*(((Inputs!$G$5:$G$140="moeda")+(Inputs!$G$5:$G$140="acoes"))*Inputs!$B$1+((Inputs!$G$5:$G$140&lt;&gt;"moeda")*(Inputs!$G$5:$G$140&lt;&gt;"acoes")))*INDEX(Inputs!$K$5:$AJ$140,0,MATCH(E$2,Inputs!$K$4:$AJ$4,0)))))</f>
        <v>-2292</v>
      </c>
      <c r="F5" s="6">
        <f>IF(ISNA(MATCH(F$2,Inputs!$K$4:$AJ$4,0)),NA(),IF(SUMPRODUCT((Inputs!$A$5:$A$140=$B5)*ISNUMBER(INDEX(Inputs!$K$5:$AJ$140,0,MATCH(F$2,Inputs!$K$4:$AJ$4,0))))+SUMPRODUCT((Inputs!$C$5:$C$140=$B5)*ISNUMBER(INDEX(Inputs!$K$5:$AJ$140,0,MATCH(F$2,Inputs!$K$4:$AJ$4,0))))+SUMPRODUCT((Inputs!$E$5:$E$140=$B5)*ISNUMBER(INDEX(Inputs!$K$5:$AJ$140,0,MATCH(F$2,Inputs!$K$4:$AJ$4,0))))=0,NA(),SUMPRODUCT((Inputs!$A$5:$A$140=$B5)*Inputs!$B$5:$B$140*(((Inputs!$G$5:$G$140="moeda")+(Inputs!$G$5:$G$140="acoes"))*Inputs!$B$1+((Inputs!$G$5:$G$140&lt;&gt;"moeda")*(Inputs!$G$5:$G$140&lt;&gt;"acoes")))*INDEX(Inputs!$K$5:$AJ$140,0,MATCH(F$2,Inputs!$K$4:$AJ$4,0)))+SUMPRODUCT((Inputs!$C$5:$C$140=$B5)*Inputs!$D$5:$D$140*(((Inputs!$G$5:$G$140="moeda")+(Inputs!$G$5:$G$140="acoes"))*Inputs!$B$1+((Inputs!$G$5:$G$140&lt;&gt;"moeda")*(Inputs!$G$5:$G$140&lt;&gt;"acoes")))*INDEX(Inputs!$K$5:$AJ$140,0,MATCH(F$2,Inputs!$K$4:$AJ$4,0)))+SUMPRODUCT((Inputs!$E$5:$E$140=$B5)*Inputs!$F$5:$F$140*(((Inputs!$G$5:$G$140="moeda")+(Inputs!$G$5:$G$140="acoes"))*Inputs!$B$1+((Inputs!$G$5:$G$140&lt;&gt;"moeda")*(Inputs!$G$5:$G$140&lt;&gt;"acoes")))*INDEX(Inputs!$K$5:$AJ$140,0,MATCH(F$2,Inputs!$K$4:$AJ$4,0)))))</f>
        <v>-2472</v>
      </c>
      <c r="G5" s="6">
        <f>IF(ISNA(MATCH(G$2,Inputs!$K$4:$AJ$4,0)),NA(),IF(SUMPRODUCT((Inputs!$A$5:$A$140=$B5)*ISNUMBER(INDEX(Inputs!$K$5:$AJ$140,0,MATCH(G$2,Inputs!$K$4:$AJ$4,0))))+SUMPRODUCT((Inputs!$C$5:$C$140=$B5)*ISNUMBER(INDEX(Inputs!$K$5:$AJ$140,0,MATCH(G$2,Inputs!$K$4:$AJ$4,0))))+SUMPRODUCT((Inputs!$E$5:$E$140=$B5)*ISNUMBER(INDEX(Inputs!$K$5:$AJ$140,0,MATCH(G$2,Inputs!$K$4:$AJ$4,0))))=0,NA(),SUMPRODUCT((Inputs!$A$5:$A$140=$B5)*Inputs!$B$5:$B$140*(((Inputs!$G$5:$G$140="moeda")+(Inputs!$G$5:$G$140="acoes"))*Inputs!$B$1+((Inputs!$G$5:$G$140&lt;&gt;"moeda")*(Inputs!$G$5:$G$140&lt;&gt;"acoes")))*INDEX(Inputs!$K$5:$AJ$140,0,MATCH(G$2,Inputs!$K$4:$AJ$4,0)))+SUMPRODUCT((Inputs!$C$5:$C$140=$B5)*Inputs!$D$5:$D$140*(((Inputs!$G$5:$G$140="moeda")+(Inputs!$G$5:$G$140="acoes"))*Inputs!$B$1+((Inputs!$G$5:$G$140&lt;&gt;"moeda")*(Inputs!$G$5:$G$140&lt;&gt;"acoes")))*INDEX(Inputs!$K$5:$AJ$140,0,MATCH(G$2,Inputs!$K$4:$AJ$4,0)))+SUMPRODUCT((Inputs!$E$5:$E$140=$B5)*Inputs!$F$5:$F$140*(((Inputs!$G$5:$G$140="moeda")+(Inputs!$G$5:$G$140="acoes"))*Inputs!$B$1+((Inputs!$G$5:$G$140&lt;&gt;"moeda")*(Inputs!$G$5:$G$140&lt;&gt;"acoes")))*INDEX(Inputs!$K$5:$AJ$140,0,MATCH(G$2,Inputs!$K$4:$AJ$4,0)))))</f>
        <v>-2644</v>
      </c>
      <c r="H5" s="3">
        <f>SUM(D5:G5)</f>
        <v>-9440</v>
      </c>
      <c r="I5" s="6">
        <f>IF(ISNA(MATCH(I$2,Inputs!$K$4:$AJ$4,0)),NA(),IF(SUMPRODUCT((Inputs!$A$5:$A$140=$B5)*ISNUMBER(INDEX(Inputs!$K$5:$AJ$140,0,MATCH(I$2,Inputs!$K$4:$AJ$4,0))))+SUMPRODUCT((Inputs!$C$5:$C$140=$B5)*ISNUMBER(INDEX(Inputs!$K$5:$AJ$140,0,MATCH(I$2,Inputs!$K$4:$AJ$4,0))))+SUMPRODUCT((Inputs!$E$5:$E$140=$B5)*ISNUMBER(INDEX(Inputs!$K$5:$AJ$140,0,MATCH(I$2,Inputs!$K$4:$AJ$4,0))))=0,NA(),SUMPRODUCT((Inputs!$A$5:$A$140=$B5)*Inputs!$B$5:$B$140*(((Inputs!$G$5:$G$140="moeda")+(Inputs!$G$5:$G$140="acoes"))*Inputs!$B$1+((Inputs!$G$5:$G$140&lt;&gt;"moeda")*(Inputs!$G$5:$G$140&lt;&gt;"acoes")))*INDEX(Inputs!$K$5:$AJ$140,0,MATCH(I$2,Inputs!$K$4:$AJ$4,0)))+SUMPRODUCT((Inputs!$C$5:$C$140=$B5)*Inputs!$D$5:$D$140*(((Inputs!$G$5:$G$140="moeda")+(Inputs!$G$5:$G$140="acoes"))*Inputs!$B$1+((Inputs!$G$5:$G$140&lt;&gt;"moeda")*(Inputs!$G$5:$G$140&lt;&gt;"acoes")))*INDEX(Inputs!$K$5:$AJ$140,0,MATCH(I$2,Inputs!$K$4:$AJ$4,0)))+SUMPRODUCT((Inputs!$E$5:$E$140=$B5)*Inputs!$F$5:$F$140*(((Inputs!$G$5:$G$140="moeda")+(Inputs!$G$5:$G$140="acoes"))*Inputs!$B$1+((Inputs!$G$5:$G$140&lt;&gt;"moeda")*(Inputs!$G$5:$G$140&lt;&gt;"acoes")))*INDEX(Inputs!$K$5:$AJ$140,0,MATCH(I$2,Inputs!$K$4:$AJ$4,0)))))</f>
        <v>-2857</v>
      </c>
      <c r="J5" s="6">
        <f>IF(ISNA(MATCH(J$2,Inputs!$K$4:$AJ$4,0)),NA(),IF(SUMPRODUCT((Inputs!$A$5:$A$140=$B5)*ISNUMBER(INDEX(Inputs!$K$5:$AJ$140,0,MATCH(J$2,Inputs!$K$4:$AJ$4,0))))+SUMPRODUCT((Inputs!$C$5:$C$140=$B5)*ISNUMBER(INDEX(Inputs!$K$5:$AJ$140,0,MATCH(J$2,Inputs!$K$4:$AJ$4,0))))+SUMPRODUCT((Inputs!$E$5:$E$140=$B5)*ISNUMBER(INDEX(Inputs!$K$5:$AJ$140,0,MATCH(J$2,Inputs!$K$4:$AJ$4,0))))=0,NA(),SUMPRODUCT((Inputs!$A$5:$A$140=$B5)*Inputs!$B$5:$B$140*(((Inputs!$G$5:$G$140="moeda")+(Inputs!$G$5:$G$140="acoes"))*Inputs!$B$1+((Inputs!$G$5:$G$140&lt;&gt;"moeda")*(Inputs!$G$5:$G$140&lt;&gt;"acoes")))*INDEX(Inputs!$K$5:$AJ$140,0,MATCH(J$2,Inputs!$K$4:$AJ$4,0)))+SUMPRODUCT((Inputs!$C$5:$C$140=$B5)*Inputs!$D$5:$D$140*(((Inputs!$G$5:$G$140="moeda")+(Inputs!$G$5:$G$140="acoes"))*Inputs!$B$1+((Inputs!$G$5:$G$140&lt;&gt;"moeda")*(Inputs!$G$5:$G$140&lt;&gt;"acoes")))*INDEX(Inputs!$K$5:$AJ$140,0,MATCH(J$2,Inputs!$K$4:$AJ$4,0)))+SUMPRODUCT((Inputs!$E$5:$E$140=$B5)*Inputs!$F$5:$F$140*(((Inputs!$G$5:$G$140="moeda")+(Inputs!$G$5:$G$140="acoes"))*Inputs!$B$1+((Inputs!$G$5:$G$140&lt;&gt;"moeda")*(Inputs!$G$5:$G$140&lt;&gt;"acoes")))*INDEX(Inputs!$K$5:$AJ$140,0,MATCH(J$2,Inputs!$K$4:$AJ$4,0)))))</f>
        <v>-3789</v>
      </c>
      <c r="K5" s="6">
        <f>IF(ISNA(MATCH(K$2,Inputs!$K$4:$AJ$4,0)),NA(),IF(SUMPRODUCT((Inputs!$A$5:$A$140=$B5)*ISNUMBER(INDEX(Inputs!$K$5:$AJ$140,0,MATCH(K$2,Inputs!$K$4:$AJ$4,0))))+SUMPRODUCT((Inputs!$C$5:$C$140=$B5)*ISNUMBER(INDEX(Inputs!$K$5:$AJ$140,0,MATCH(K$2,Inputs!$K$4:$AJ$4,0))))+SUMPRODUCT((Inputs!$E$5:$E$140=$B5)*ISNUMBER(INDEX(Inputs!$K$5:$AJ$140,0,MATCH(K$2,Inputs!$K$4:$AJ$4,0))))=0,NA(),SUMPRODUCT((Inputs!$A$5:$A$140=$B5)*Inputs!$B$5:$B$140*(((Inputs!$G$5:$G$140="moeda")+(Inputs!$G$5:$G$140="acoes"))*Inputs!$B$1+((Inputs!$G$5:$G$140&lt;&gt;"moeda")*(Inputs!$G$5:$G$140&lt;&gt;"acoes")))*INDEX(Inputs!$K$5:$AJ$140,0,MATCH(K$2,Inputs!$K$4:$AJ$4,0)))+SUMPRODUCT((Inputs!$C$5:$C$140=$B5)*Inputs!$D$5:$D$140*(((Inputs!$G$5:$G$140="moeda")+(Inputs!$G$5:$G$140="acoes"))*Inputs!$B$1+((Inputs!$G$5:$G$140&lt;&gt;"moeda")*(Inputs!$G$5:$G$140&lt;&gt;"acoes")))*INDEX(Inputs!$K$5:$AJ$140,0,MATCH(K$2,Inputs!$K$4:$AJ$4,0)))+SUMPRODUCT((Inputs!$E$5:$E$140=$B5)*Inputs!$F$5:$F$140*(((Inputs!$G$5:$G$140="moeda")+(Inputs!$G$5:$G$140="acoes"))*Inputs!$B$1+((Inputs!$G$5:$G$140&lt;&gt;"moeda")*(Inputs!$G$5:$G$140&lt;&gt;"acoes")))*INDEX(Inputs!$K$5:$AJ$140,0,MATCH(K$2,Inputs!$K$4:$AJ$4,0)))))</f>
        <v>-2754</v>
      </c>
      <c r="L5" s="6">
        <f>IF(ISNA(MATCH(L$2,Inputs!$K$4:$AJ$4,0)),NA(),IF(SUMPRODUCT((Inputs!$A$5:$A$140=$B5)*ISNUMBER(INDEX(Inputs!$K$5:$AJ$140,0,MATCH(L$2,Inputs!$K$4:$AJ$4,0))))+SUMPRODUCT((Inputs!$C$5:$C$140=$B5)*ISNUMBER(INDEX(Inputs!$K$5:$AJ$140,0,MATCH(L$2,Inputs!$K$4:$AJ$4,0))))+SUMPRODUCT((Inputs!$E$5:$E$140=$B5)*ISNUMBER(INDEX(Inputs!$K$5:$AJ$140,0,MATCH(L$2,Inputs!$K$4:$AJ$4,0))))=0,NA(),SUMPRODUCT((Inputs!$A$5:$A$140=$B5)*Inputs!$B$5:$B$140*(((Inputs!$G$5:$G$140="moeda")+(Inputs!$G$5:$G$140="acoes"))*Inputs!$B$1+((Inputs!$G$5:$G$140&lt;&gt;"moeda")*(Inputs!$G$5:$G$140&lt;&gt;"acoes")))*INDEX(Inputs!$K$5:$AJ$140,0,MATCH(L$2,Inputs!$K$4:$AJ$4,0)))+SUMPRODUCT((Inputs!$C$5:$C$140=$B5)*Inputs!$D$5:$D$140*(((Inputs!$G$5:$G$140="moeda")+(Inputs!$G$5:$G$140="acoes"))*Inputs!$B$1+((Inputs!$G$5:$G$140&lt;&gt;"moeda")*(Inputs!$G$5:$G$140&lt;&gt;"acoes")))*INDEX(Inputs!$K$5:$AJ$140,0,MATCH(L$2,Inputs!$K$4:$AJ$4,0)))+SUMPRODUCT((Inputs!$E$5:$E$140=$B5)*Inputs!$F$5:$F$140*(((Inputs!$G$5:$G$140="moeda")+(Inputs!$G$5:$G$140="acoes"))*Inputs!$B$1+((Inputs!$G$5:$G$140&lt;&gt;"moeda")*(Inputs!$G$5:$G$140&lt;&gt;"acoes")))*INDEX(Inputs!$K$5:$AJ$140,0,MATCH(L$2,Inputs!$K$4:$AJ$4,0)))))</f>
        <v>-2218</v>
      </c>
      <c r="M5" s="3">
        <f>SUM(I5:L5)</f>
        <v>-11618</v>
      </c>
      <c r="N5" s="6">
        <f>IF(ISNA(MATCH(N$2,Inputs!$K$4:$AJ$4,0)),NA(),IF(SUMPRODUCT((Inputs!$A$5:$A$140=$B5)*ISNUMBER(INDEX(Inputs!$K$5:$AJ$140,0,MATCH(N$2,Inputs!$K$4:$AJ$4,0))))+SUMPRODUCT((Inputs!$C$5:$C$140=$B5)*ISNUMBER(INDEX(Inputs!$K$5:$AJ$140,0,MATCH(N$2,Inputs!$K$4:$AJ$4,0))))+SUMPRODUCT((Inputs!$E$5:$E$140=$B5)*ISNUMBER(INDEX(Inputs!$K$5:$AJ$140,0,MATCH(N$2,Inputs!$K$4:$AJ$4,0))))=0,NA(),SUMPRODUCT((Inputs!$A$5:$A$140=$B5)*Inputs!$B$5:$B$140*(((Inputs!$G$5:$G$140="moeda")+(Inputs!$G$5:$G$140="acoes"))*Inputs!$B$1+((Inputs!$G$5:$G$140&lt;&gt;"moeda")*(Inputs!$G$5:$G$140&lt;&gt;"acoes")))*INDEX(Inputs!$K$5:$AJ$140,0,MATCH(N$2,Inputs!$K$4:$AJ$4,0)))+SUMPRODUCT((Inputs!$C$5:$C$140=$B5)*Inputs!$D$5:$D$140*(((Inputs!$G$5:$G$140="moeda")+(Inputs!$G$5:$G$140="acoes"))*Inputs!$B$1+((Inputs!$G$5:$G$140&lt;&gt;"moeda")*(Inputs!$G$5:$G$140&lt;&gt;"acoes")))*INDEX(Inputs!$K$5:$AJ$140,0,MATCH(N$2,Inputs!$K$4:$AJ$4,0)))+SUMPRODUCT((Inputs!$E$5:$E$140=$B5)*Inputs!$F$5:$F$140*(((Inputs!$G$5:$G$140="moeda")+(Inputs!$G$5:$G$140="acoes"))*Inputs!$B$1+((Inputs!$G$5:$G$140&lt;&gt;"moeda")*(Inputs!$G$5:$G$140&lt;&gt;"acoes")))*INDEX(Inputs!$K$5:$AJ$140,0,MATCH(N$2,Inputs!$K$4:$AJ$4,0)))))</f>
        <v>-2544</v>
      </c>
      <c r="O5" s="6">
        <f>IF(ISNA(MATCH(O$2,Inputs!$K$4:$AJ$4,0)),NA(),IF(SUMPRODUCT((Inputs!$A$5:$A$140=$B5)*ISNUMBER(INDEX(Inputs!$K$5:$AJ$140,0,MATCH(O$2,Inputs!$K$4:$AJ$4,0))))+SUMPRODUCT((Inputs!$C$5:$C$140=$B5)*ISNUMBER(INDEX(Inputs!$K$5:$AJ$140,0,MATCH(O$2,Inputs!$K$4:$AJ$4,0))))+SUMPRODUCT((Inputs!$E$5:$E$140=$B5)*ISNUMBER(INDEX(Inputs!$K$5:$AJ$140,0,MATCH(O$2,Inputs!$K$4:$AJ$4,0))))=0,NA(),SUMPRODUCT((Inputs!$A$5:$A$140=$B5)*Inputs!$B$5:$B$140*(((Inputs!$G$5:$G$140="moeda")+(Inputs!$G$5:$G$140="acoes"))*Inputs!$B$1+((Inputs!$G$5:$G$140&lt;&gt;"moeda")*(Inputs!$G$5:$G$140&lt;&gt;"acoes")))*INDEX(Inputs!$K$5:$AJ$140,0,MATCH(O$2,Inputs!$K$4:$AJ$4,0)))+SUMPRODUCT((Inputs!$C$5:$C$140=$B5)*Inputs!$D$5:$D$140*(((Inputs!$G$5:$G$140="moeda")+(Inputs!$G$5:$G$140="acoes"))*Inputs!$B$1+((Inputs!$G$5:$G$140&lt;&gt;"moeda")*(Inputs!$G$5:$G$140&lt;&gt;"acoes")))*INDEX(Inputs!$K$5:$AJ$140,0,MATCH(O$2,Inputs!$K$4:$AJ$4,0)))+SUMPRODUCT((Inputs!$E$5:$E$140=$B5)*Inputs!$F$5:$F$140*(((Inputs!$G$5:$G$140="moeda")+(Inputs!$G$5:$G$140="acoes"))*Inputs!$B$1+((Inputs!$G$5:$G$140&lt;&gt;"moeda")*(Inputs!$G$5:$G$140&lt;&gt;"acoes")))*INDEX(Inputs!$K$5:$AJ$140,0,MATCH(O$2,Inputs!$K$4:$AJ$4,0)))))</f>
        <v>-4045</v>
      </c>
      <c r="P5" s="6">
        <f>IF(ISNA(MATCH(P$2,Inputs!$K$4:$AJ$4,0)),NA(),IF(SUMPRODUCT((Inputs!$A$5:$A$140=$B5)*ISNUMBER(INDEX(Inputs!$K$5:$AJ$140,0,MATCH(P$2,Inputs!$K$4:$AJ$4,0))))+SUMPRODUCT((Inputs!$C$5:$C$140=$B5)*ISNUMBER(INDEX(Inputs!$K$5:$AJ$140,0,MATCH(P$2,Inputs!$K$4:$AJ$4,0))))+SUMPRODUCT((Inputs!$E$5:$E$140=$B5)*ISNUMBER(INDEX(Inputs!$K$5:$AJ$140,0,MATCH(P$2,Inputs!$K$4:$AJ$4,0))))=0,NA(),SUMPRODUCT((Inputs!$A$5:$A$140=$B5)*Inputs!$B$5:$B$140*(((Inputs!$G$5:$G$140="moeda")+(Inputs!$G$5:$G$140="acoes"))*Inputs!$B$1+((Inputs!$G$5:$G$140&lt;&gt;"moeda")*(Inputs!$G$5:$G$140&lt;&gt;"acoes")))*INDEX(Inputs!$K$5:$AJ$140,0,MATCH(P$2,Inputs!$K$4:$AJ$4,0)))+SUMPRODUCT((Inputs!$C$5:$C$140=$B5)*Inputs!$D$5:$D$140*(((Inputs!$G$5:$G$140="moeda")+(Inputs!$G$5:$G$140="acoes"))*Inputs!$B$1+((Inputs!$G$5:$G$140&lt;&gt;"moeda")*(Inputs!$G$5:$G$140&lt;&gt;"acoes")))*INDEX(Inputs!$K$5:$AJ$140,0,MATCH(P$2,Inputs!$K$4:$AJ$4,0)))+SUMPRODUCT((Inputs!$E$5:$E$140=$B5)*Inputs!$F$5:$F$140*(((Inputs!$G$5:$G$140="moeda")+(Inputs!$G$5:$G$140="acoes"))*Inputs!$B$1+((Inputs!$G$5:$G$140&lt;&gt;"moeda")*(Inputs!$G$5:$G$140&lt;&gt;"acoes")))*INDEX(Inputs!$K$5:$AJ$140,0,MATCH(P$2,Inputs!$K$4:$AJ$4,0)))))</f>
        <v>-4720</v>
      </c>
      <c r="Q5" s="6">
        <f>IF(ISNA(MATCH(Q$2,Inputs!$K$4:$AJ$4,0)),NA(),IF(SUMPRODUCT((Inputs!$A$5:$A$140=$B5)*ISNUMBER(INDEX(Inputs!$K$5:$AJ$140,0,MATCH(Q$2,Inputs!$K$4:$AJ$4,0))))+SUMPRODUCT((Inputs!$C$5:$C$140=$B5)*ISNUMBER(INDEX(Inputs!$K$5:$AJ$140,0,MATCH(Q$2,Inputs!$K$4:$AJ$4,0))))+SUMPRODUCT((Inputs!$E$5:$E$140=$B5)*ISNUMBER(INDEX(Inputs!$K$5:$AJ$140,0,MATCH(Q$2,Inputs!$K$4:$AJ$4,0))))=0,NA(),SUMPRODUCT((Inputs!$A$5:$A$140=$B5)*Inputs!$B$5:$B$140*(((Inputs!$G$5:$G$140="moeda")+(Inputs!$G$5:$G$140="acoes"))*Inputs!$B$1+((Inputs!$G$5:$G$140&lt;&gt;"moeda")*(Inputs!$G$5:$G$140&lt;&gt;"acoes")))*INDEX(Inputs!$K$5:$AJ$140,0,MATCH(Q$2,Inputs!$K$4:$AJ$4,0)))+SUMPRODUCT((Inputs!$C$5:$C$140=$B5)*Inputs!$D$5:$D$140*(((Inputs!$G$5:$G$140="moeda")+(Inputs!$G$5:$G$140="acoes"))*Inputs!$B$1+((Inputs!$G$5:$G$140&lt;&gt;"moeda")*(Inputs!$G$5:$G$140&lt;&gt;"acoes")))*INDEX(Inputs!$K$5:$AJ$140,0,MATCH(Q$2,Inputs!$K$4:$AJ$4,0)))+SUMPRODUCT((Inputs!$E$5:$E$140=$B5)*Inputs!$F$5:$F$140*(((Inputs!$G$5:$G$140="moeda")+(Inputs!$G$5:$G$140="acoes"))*Inputs!$B$1+((Inputs!$G$5:$G$140&lt;&gt;"moeda")*(Inputs!$G$5:$G$140&lt;&gt;"acoes")))*INDEX(Inputs!$K$5:$AJ$140,0,MATCH(Q$2,Inputs!$K$4:$AJ$4,0)))))</f>
        <v>-5312</v>
      </c>
      <c r="R5" s="3">
        <f>SUM(N5:Q5)</f>
        <v>-16621</v>
      </c>
      <c r="S5" s="6">
        <f>IF(ISNA(MATCH(S$2,Inputs!$K$4:$AJ$4,0)),NA(),IF(SUMPRODUCT((Inputs!$A$5:$A$140=$B5)*ISNUMBER(INDEX(Inputs!$K$5:$AJ$140,0,MATCH(S$2,Inputs!$K$4:$AJ$4,0))))+SUMPRODUCT((Inputs!$C$5:$C$140=$B5)*ISNUMBER(INDEX(Inputs!$K$5:$AJ$140,0,MATCH(S$2,Inputs!$K$4:$AJ$4,0))))+SUMPRODUCT((Inputs!$E$5:$E$140=$B5)*ISNUMBER(INDEX(Inputs!$K$5:$AJ$140,0,MATCH(S$2,Inputs!$K$4:$AJ$4,0))))=0,NA(),SUMPRODUCT((Inputs!$A$5:$A$140=$B5)*Inputs!$B$5:$B$140*(((Inputs!$G$5:$G$140="moeda")+(Inputs!$G$5:$G$140="acoes"))*Inputs!$B$1+((Inputs!$G$5:$G$140&lt;&gt;"moeda")*(Inputs!$G$5:$G$140&lt;&gt;"acoes")))*INDEX(Inputs!$K$5:$AJ$140,0,MATCH(S$2,Inputs!$K$4:$AJ$4,0)))+SUMPRODUCT((Inputs!$C$5:$C$140=$B5)*Inputs!$D$5:$D$140*(((Inputs!$G$5:$G$140="moeda")+(Inputs!$G$5:$G$140="acoes"))*Inputs!$B$1+((Inputs!$G$5:$G$140&lt;&gt;"moeda")*(Inputs!$G$5:$G$140&lt;&gt;"acoes")))*INDEX(Inputs!$K$5:$AJ$140,0,MATCH(S$2,Inputs!$K$4:$AJ$4,0)))+SUMPRODUCT((Inputs!$E$5:$E$140=$B5)*Inputs!$F$5:$F$140*(((Inputs!$G$5:$G$140="moeda")+(Inputs!$G$5:$G$140="acoes"))*Inputs!$B$1+((Inputs!$G$5:$G$140&lt;&gt;"moeda")*(Inputs!$G$5:$G$140&lt;&gt;"acoes")))*INDEX(Inputs!$K$5:$AJ$140,0,MATCH(S$2,Inputs!$K$4:$AJ$4,0)))))</f>
        <v>-5638</v>
      </c>
      <c r="T5" s="6">
        <f>IF(ISNA(MATCH(T$2,Inputs!$K$4:$AJ$4,0)),NA(),IF(SUMPRODUCT((Inputs!$A$5:$A$140=$B5)*ISNUMBER(INDEX(Inputs!$K$5:$AJ$140,0,MATCH(T$2,Inputs!$K$4:$AJ$4,0))))+SUMPRODUCT((Inputs!$C$5:$C$140=$B5)*ISNUMBER(INDEX(Inputs!$K$5:$AJ$140,0,MATCH(T$2,Inputs!$K$4:$AJ$4,0))))+SUMPRODUCT((Inputs!$E$5:$E$140=$B5)*ISNUMBER(INDEX(Inputs!$K$5:$AJ$140,0,MATCH(T$2,Inputs!$K$4:$AJ$4,0))))=0,NA(),SUMPRODUCT((Inputs!$A$5:$A$140=$B5)*Inputs!$B$5:$B$140*(((Inputs!$G$5:$G$140="moeda")+(Inputs!$G$5:$G$140="acoes"))*Inputs!$B$1+((Inputs!$G$5:$G$140&lt;&gt;"moeda")*(Inputs!$G$5:$G$140&lt;&gt;"acoes")))*INDEX(Inputs!$K$5:$AJ$140,0,MATCH(T$2,Inputs!$K$4:$AJ$4,0)))+SUMPRODUCT((Inputs!$C$5:$C$140=$B5)*Inputs!$D$5:$D$140*(((Inputs!$G$5:$G$140="moeda")+(Inputs!$G$5:$G$140="acoes"))*Inputs!$B$1+((Inputs!$G$5:$G$140&lt;&gt;"moeda")*(Inputs!$G$5:$G$140&lt;&gt;"acoes")))*INDEX(Inputs!$K$5:$AJ$140,0,MATCH(T$2,Inputs!$K$4:$AJ$4,0)))+SUMPRODUCT((Inputs!$E$5:$E$140=$B5)*Inputs!$F$5:$F$140*(((Inputs!$G$5:$G$140="moeda")+(Inputs!$G$5:$G$140="acoes"))*Inputs!$B$1+((Inputs!$G$5:$G$140&lt;&gt;"moeda")*(Inputs!$G$5:$G$140&lt;&gt;"acoes")))*INDEX(Inputs!$K$5:$AJ$140,0,MATCH(T$2,Inputs!$K$4:$AJ$4,0)))))</f>
        <v>-7466</v>
      </c>
      <c r="U5" s="6">
        <f>IF(ISNA(MATCH(U$2,Inputs!$K$4:$AJ$4,0)),NA(),IF(SUMPRODUCT((Inputs!$A$5:$A$140=$B5)*ISNUMBER(INDEX(Inputs!$K$5:$AJ$140,0,MATCH(U$2,Inputs!$K$4:$AJ$4,0))))+SUMPRODUCT((Inputs!$C$5:$C$140=$B5)*ISNUMBER(INDEX(Inputs!$K$5:$AJ$140,0,MATCH(U$2,Inputs!$K$4:$AJ$4,0))))+SUMPRODUCT((Inputs!$E$5:$E$140=$B5)*ISNUMBER(INDEX(Inputs!$K$5:$AJ$140,0,MATCH(U$2,Inputs!$K$4:$AJ$4,0))))=0,NA(),SUMPRODUCT((Inputs!$A$5:$A$140=$B5)*Inputs!$B$5:$B$140*(((Inputs!$G$5:$G$140="moeda")+(Inputs!$G$5:$G$140="acoes"))*Inputs!$B$1+((Inputs!$G$5:$G$140&lt;&gt;"moeda")*(Inputs!$G$5:$G$140&lt;&gt;"acoes")))*INDEX(Inputs!$K$5:$AJ$140,0,MATCH(U$2,Inputs!$K$4:$AJ$4,0)))+SUMPRODUCT((Inputs!$C$5:$C$140=$B5)*Inputs!$D$5:$D$140*(((Inputs!$G$5:$G$140="moeda")+(Inputs!$G$5:$G$140="acoes"))*Inputs!$B$1+((Inputs!$G$5:$G$140&lt;&gt;"moeda")*(Inputs!$G$5:$G$140&lt;&gt;"acoes")))*INDEX(Inputs!$K$5:$AJ$140,0,MATCH(U$2,Inputs!$K$4:$AJ$4,0)))+SUMPRODUCT((Inputs!$E$5:$E$140=$B5)*Inputs!$F$5:$F$140*(((Inputs!$G$5:$G$140="moeda")+(Inputs!$G$5:$G$140="acoes"))*Inputs!$B$1+((Inputs!$G$5:$G$140&lt;&gt;"moeda")*(Inputs!$G$5:$G$140&lt;&gt;"acoes")))*INDEX(Inputs!$K$5:$AJ$140,0,MATCH(U$2,Inputs!$K$4:$AJ$4,0)))))</f>
        <v>-8926</v>
      </c>
      <c r="V5" s="6">
        <f>IF(ISNA(MATCH(V$2,Inputs!$K$4:$AJ$4,0)),NA(),IF(SUMPRODUCT((Inputs!$A$5:$A$140=$B5)*ISNUMBER(INDEX(Inputs!$K$5:$AJ$140,0,MATCH(V$2,Inputs!$K$4:$AJ$4,0))))+SUMPRODUCT((Inputs!$C$5:$C$140=$B5)*ISNUMBER(INDEX(Inputs!$K$5:$AJ$140,0,MATCH(V$2,Inputs!$K$4:$AJ$4,0))))+SUMPRODUCT((Inputs!$E$5:$E$140=$B5)*ISNUMBER(INDEX(Inputs!$K$5:$AJ$140,0,MATCH(V$2,Inputs!$K$4:$AJ$4,0))))=0,NA(),SUMPRODUCT((Inputs!$A$5:$A$140=$B5)*Inputs!$B$5:$B$140*(((Inputs!$G$5:$G$140="moeda")+(Inputs!$G$5:$G$140="acoes"))*Inputs!$B$1+((Inputs!$G$5:$G$140&lt;&gt;"moeda")*(Inputs!$G$5:$G$140&lt;&gt;"acoes")))*INDEX(Inputs!$K$5:$AJ$140,0,MATCH(V$2,Inputs!$K$4:$AJ$4,0)))+SUMPRODUCT((Inputs!$C$5:$C$140=$B5)*Inputs!$D$5:$D$140*(((Inputs!$G$5:$G$140="moeda")+(Inputs!$G$5:$G$140="acoes"))*Inputs!$B$1+((Inputs!$G$5:$G$140&lt;&gt;"moeda")*(Inputs!$G$5:$G$140&lt;&gt;"acoes")))*INDEX(Inputs!$K$5:$AJ$140,0,MATCH(V$2,Inputs!$K$4:$AJ$4,0)))+SUMPRODUCT((Inputs!$E$5:$E$140=$B5)*Inputs!$F$5:$F$140*(((Inputs!$G$5:$G$140="moeda")+(Inputs!$G$5:$G$140="acoes"))*Inputs!$B$1+((Inputs!$G$5:$G$140&lt;&gt;"moeda")*(Inputs!$G$5:$G$140&lt;&gt;"acoes")))*INDEX(Inputs!$K$5:$AJ$140,0,MATCH(V$2,Inputs!$K$4:$AJ$4,0)))))</f>
        <v>-10608</v>
      </c>
      <c r="W5" s="3">
        <f>SUM(S5:V5)</f>
        <v>-32638</v>
      </c>
      <c r="X5" s="6">
        <f>IF(ISNA(MATCH(X$2,Inputs!$K$4:$AJ$4,0)),NA(),IF(SUMPRODUCT((Inputs!$A$5:$A$140=$B5)*ISNUMBER(INDEX(Inputs!$K$5:$AJ$140,0,MATCH(X$2,Inputs!$K$4:$AJ$4,0))))+SUMPRODUCT((Inputs!$C$5:$C$140=$B5)*ISNUMBER(INDEX(Inputs!$K$5:$AJ$140,0,MATCH(X$2,Inputs!$K$4:$AJ$4,0))))+SUMPRODUCT((Inputs!$E$5:$E$140=$B5)*ISNUMBER(INDEX(Inputs!$K$5:$AJ$140,0,MATCH(X$2,Inputs!$K$4:$AJ$4,0))))=0,NA(),SUMPRODUCT((Inputs!$A$5:$A$140=$B5)*Inputs!$B$5:$B$140*(((Inputs!$G$5:$G$140="moeda")+(Inputs!$G$5:$G$140="acoes"))*Inputs!$B$1+((Inputs!$G$5:$G$140&lt;&gt;"moeda")*(Inputs!$G$5:$G$140&lt;&gt;"acoes")))*INDEX(Inputs!$K$5:$AJ$140,0,MATCH(X$2,Inputs!$K$4:$AJ$4,0)))+SUMPRODUCT((Inputs!$C$5:$C$140=$B5)*Inputs!$D$5:$D$140*(((Inputs!$G$5:$G$140="moeda")+(Inputs!$G$5:$G$140="acoes"))*Inputs!$B$1+((Inputs!$G$5:$G$140&lt;&gt;"moeda")*(Inputs!$G$5:$G$140&lt;&gt;"acoes")))*INDEX(Inputs!$K$5:$AJ$140,0,MATCH(X$2,Inputs!$K$4:$AJ$4,0)))+SUMPRODUCT((Inputs!$E$5:$E$140=$B5)*Inputs!$F$5:$F$140*(((Inputs!$G$5:$G$140="moeda")+(Inputs!$G$5:$G$140="acoes"))*Inputs!$B$1+((Inputs!$G$5:$G$140&lt;&gt;"moeda")*(Inputs!$G$5:$G$140&lt;&gt;"acoes")))*INDEX(Inputs!$K$5:$AJ$140,0,MATCH(X$2,Inputs!$K$4:$AJ$4,0)))))</f>
        <v>-17394</v>
      </c>
      <c r="Y5" s="6">
        <f>IF(ISNA(MATCH(Y$2,Inputs!$K$4:$AJ$4,0)),NA(),IF(SUMPRODUCT((Inputs!$A$5:$A$140=$B5)*ISNUMBER(INDEX(Inputs!$K$5:$AJ$140,0,MATCH(Y$2,Inputs!$K$4:$AJ$4,0))))+SUMPRODUCT((Inputs!$C$5:$C$140=$B5)*ISNUMBER(INDEX(Inputs!$K$5:$AJ$140,0,MATCH(Y$2,Inputs!$K$4:$AJ$4,0))))+SUMPRODUCT((Inputs!$E$5:$E$140=$B5)*ISNUMBER(INDEX(Inputs!$K$5:$AJ$140,0,MATCH(Y$2,Inputs!$K$4:$AJ$4,0))))=0,NA(),SUMPRODUCT((Inputs!$A$5:$A$140=$B5)*Inputs!$B$5:$B$140*(((Inputs!$G$5:$G$140="moeda")+(Inputs!$G$5:$G$140="acoes"))*Inputs!$B$1+((Inputs!$G$5:$G$140&lt;&gt;"moeda")*(Inputs!$G$5:$G$140&lt;&gt;"acoes")))*INDEX(Inputs!$K$5:$AJ$140,0,MATCH(Y$2,Inputs!$K$4:$AJ$4,0)))+SUMPRODUCT((Inputs!$C$5:$C$140=$B5)*Inputs!$D$5:$D$140*(((Inputs!$G$5:$G$140="moeda")+(Inputs!$G$5:$G$140="acoes"))*Inputs!$B$1+((Inputs!$G$5:$G$140&lt;&gt;"moeda")*(Inputs!$G$5:$G$140&lt;&gt;"acoes")))*INDEX(Inputs!$K$5:$AJ$140,0,MATCH(Y$2,Inputs!$K$4:$AJ$4,0)))+SUMPRODUCT((Inputs!$E$5:$E$140=$B5)*Inputs!$F$5:$F$140*(((Inputs!$G$5:$G$140="moeda")+(Inputs!$G$5:$G$140="acoes"))*Inputs!$B$1+((Inputs!$G$5:$G$140&lt;&gt;"moeda")*(Inputs!$G$5:$G$140&lt;&gt;"acoes")))*INDEX(Inputs!$K$5:$AJ$140,0,MATCH(Y$2,Inputs!$K$4:$AJ$4,0)))))</f>
        <v>-12890</v>
      </c>
      <c r="Z5" s="6">
        <f>IF(ISNA(MATCH(Z$2,Inputs!$K$4:$AJ$4,0)),NA(),IF(SUMPRODUCT((Inputs!$A$5:$A$140=$B5)*ISNUMBER(INDEX(Inputs!$K$5:$AJ$140,0,MATCH(Z$2,Inputs!$K$4:$AJ$4,0))))+SUMPRODUCT((Inputs!$C$5:$C$140=$B5)*ISNUMBER(INDEX(Inputs!$K$5:$AJ$140,0,MATCH(Z$2,Inputs!$K$4:$AJ$4,0))))+SUMPRODUCT((Inputs!$E$5:$E$140=$B5)*ISNUMBER(INDEX(Inputs!$K$5:$AJ$140,0,MATCH(Z$2,Inputs!$K$4:$AJ$4,0))))=0,NA(),SUMPRODUCT((Inputs!$A$5:$A$140=$B5)*Inputs!$B$5:$B$140*(((Inputs!$G$5:$G$140="moeda")+(Inputs!$G$5:$G$140="acoes"))*Inputs!$B$1+((Inputs!$G$5:$G$140&lt;&gt;"moeda")*(Inputs!$G$5:$G$140&lt;&gt;"acoes")))*INDEX(Inputs!$K$5:$AJ$140,0,MATCH(Z$2,Inputs!$K$4:$AJ$4,0)))+SUMPRODUCT((Inputs!$C$5:$C$140=$B5)*Inputs!$D$5:$D$140*(((Inputs!$G$5:$G$140="moeda")+(Inputs!$G$5:$G$140="acoes"))*Inputs!$B$1+((Inputs!$G$5:$G$140&lt;&gt;"moeda")*(Inputs!$G$5:$G$140&lt;&gt;"acoes")))*INDEX(Inputs!$K$5:$AJ$140,0,MATCH(Z$2,Inputs!$K$4:$AJ$4,0)))+SUMPRODUCT((Inputs!$E$5:$E$140=$B5)*Inputs!$F$5:$F$140*(((Inputs!$G$5:$G$140="moeda")+(Inputs!$G$5:$G$140="acoes"))*Inputs!$B$1+((Inputs!$G$5:$G$140&lt;&gt;"moeda")*(Inputs!$G$5:$G$140&lt;&gt;"acoes")))*INDEX(Inputs!$K$5:$AJ$140,0,MATCH(Z$2,Inputs!$K$4:$AJ$4,0)))))</f>
        <v>-15157</v>
      </c>
      <c r="AA5" s="6">
        <f>IF(ISNA(MATCH(AA$2,Inputs!$K$4:$AJ$4,0)),NA(),IF(SUMPRODUCT((Inputs!$A$5:$A$140=$B5)*ISNUMBER(INDEX(Inputs!$K$5:$AJ$140,0,MATCH(AA$2,Inputs!$K$4:$AJ$4,0))))+SUMPRODUCT((Inputs!$C$5:$C$140=$B5)*ISNUMBER(INDEX(Inputs!$K$5:$AJ$140,0,MATCH(AA$2,Inputs!$K$4:$AJ$4,0))))+SUMPRODUCT((Inputs!$E$5:$E$140=$B5)*ISNUMBER(INDEX(Inputs!$K$5:$AJ$140,0,MATCH(AA$2,Inputs!$K$4:$AJ$4,0))))=0,NA(),SUMPRODUCT((Inputs!$A$5:$A$140=$B5)*Inputs!$B$5:$B$140*(((Inputs!$G$5:$G$140="moeda")+(Inputs!$G$5:$G$140="acoes"))*Inputs!$B$1+((Inputs!$G$5:$G$140&lt;&gt;"moeda")*(Inputs!$G$5:$G$140&lt;&gt;"acoes")))*INDEX(Inputs!$K$5:$AJ$140,0,MATCH(AA$2,Inputs!$K$4:$AJ$4,0)))+SUMPRODUCT((Inputs!$C$5:$C$140=$B5)*Inputs!$D$5:$D$140*(((Inputs!$G$5:$G$140="moeda")+(Inputs!$G$5:$G$140="acoes"))*Inputs!$B$1+((Inputs!$G$5:$G$140&lt;&gt;"moeda")*(Inputs!$G$5:$G$140&lt;&gt;"acoes")))*INDEX(Inputs!$K$5:$AJ$140,0,MATCH(AA$2,Inputs!$K$4:$AJ$4,0)))+SUMPRODUCT((Inputs!$E$5:$E$140=$B5)*Inputs!$F$5:$F$140*(((Inputs!$G$5:$G$140="moeda")+(Inputs!$G$5:$G$140="acoes"))*Inputs!$B$1+((Inputs!$G$5:$G$140&lt;&gt;"moeda")*(Inputs!$G$5:$G$140&lt;&gt;"acoes")))*INDEX(Inputs!$K$5:$AJ$140,0,MATCH(AA$2,Inputs!$K$4:$AJ$4,0)))))</f>
        <v>-17034</v>
      </c>
      <c r="AB5" s="3">
        <f>SUM(X5:AA5)</f>
        <v>-62475</v>
      </c>
      <c r="AC5" s="6">
        <f>IF(ISNA(MATCH(AC$2,Inputs!$K$4:$AJ$4,0)),NA(),IF(SUMPRODUCT((Inputs!$A$5:$A$140=$B5)*ISNUMBER(INDEX(Inputs!$K$5:$AJ$140,0,MATCH(AC$2,Inputs!$K$4:$AJ$4,0))))+SUMPRODUCT((Inputs!$C$5:$C$140=$B5)*ISNUMBER(INDEX(Inputs!$K$5:$AJ$140,0,MATCH(AC$2,Inputs!$K$4:$AJ$4,0))))+SUMPRODUCT((Inputs!$E$5:$E$140=$B5)*ISNUMBER(INDEX(Inputs!$K$5:$AJ$140,0,MATCH(AC$2,Inputs!$K$4:$AJ$4,0))))=0,NA(),SUMPRODUCT((Inputs!$A$5:$A$140=$B5)*Inputs!$B$5:$B$140*(((Inputs!$G$5:$G$140="moeda")+(Inputs!$G$5:$G$140="acoes"))*Inputs!$B$1+((Inputs!$G$5:$G$140&lt;&gt;"moeda")*(Inputs!$G$5:$G$140&lt;&gt;"acoes")))*INDEX(Inputs!$K$5:$AJ$140,0,MATCH(AC$2,Inputs!$K$4:$AJ$4,0)))+SUMPRODUCT((Inputs!$C$5:$C$140=$B5)*Inputs!$D$5:$D$140*(((Inputs!$G$5:$G$140="moeda")+(Inputs!$G$5:$G$140="acoes"))*Inputs!$B$1+((Inputs!$G$5:$G$140&lt;&gt;"moeda")*(Inputs!$G$5:$G$140&lt;&gt;"acoes")))*INDEX(Inputs!$K$5:$AJ$140,0,MATCH(AC$2,Inputs!$K$4:$AJ$4,0)))+SUMPRODUCT((Inputs!$E$5:$E$140=$B5)*Inputs!$F$5:$F$140*(((Inputs!$G$5:$G$140="moeda")+(Inputs!$G$5:$G$140="acoes"))*Inputs!$B$1+((Inputs!$G$5:$G$140&lt;&gt;"moeda")*(Inputs!$G$5:$G$140&lt;&gt;"acoes")))*INDEX(Inputs!$K$5:$AJ$140,0,MATCH(AC$2,Inputs!$K$4:$AJ$4,0)))))</f>
        <v>-20458</v>
      </c>
      <c r="AD5" s="6">
        <f>IF(ISNA(MATCH(AD$2,Inputs!$K$4:$AJ$4,0)),NA(),IF(SUMPRODUCT((Inputs!$A$5:$A$140=$B5)*ISNUMBER(INDEX(Inputs!$K$5:$AJ$140,0,MATCH(AD$2,Inputs!$K$4:$AJ$4,0))))+SUMPRODUCT((Inputs!$C$5:$C$140=$B5)*ISNUMBER(INDEX(Inputs!$K$5:$AJ$140,0,MATCH(AD$2,Inputs!$K$4:$AJ$4,0))))+SUMPRODUCT((Inputs!$E$5:$E$140=$B5)*ISNUMBER(INDEX(Inputs!$K$5:$AJ$140,0,MATCH(AD$2,Inputs!$K$4:$AJ$4,0))))=0,NA(),SUMPRODUCT((Inputs!$A$5:$A$140=$B5)*Inputs!$B$5:$B$140*(((Inputs!$G$5:$G$140="moeda")+(Inputs!$G$5:$G$140="acoes"))*Inputs!$B$1+((Inputs!$G$5:$G$140&lt;&gt;"moeda")*(Inputs!$G$5:$G$140&lt;&gt;"acoes")))*INDEX(Inputs!$K$5:$AJ$140,0,MATCH(AD$2,Inputs!$K$4:$AJ$4,0)))+SUMPRODUCT((Inputs!$C$5:$C$140=$B5)*Inputs!$D$5:$D$140*(((Inputs!$G$5:$G$140="moeda")+(Inputs!$G$5:$G$140="acoes"))*Inputs!$B$1+((Inputs!$G$5:$G$140&lt;&gt;"moeda")*(Inputs!$G$5:$G$140&lt;&gt;"acoes")))*INDEX(Inputs!$K$5:$AJ$140,0,MATCH(AD$2,Inputs!$K$4:$AJ$4,0)))+SUMPRODUCT((Inputs!$E$5:$E$140=$B5)*Inputs!$F$5:$F$140*(((Inputs!$G$5:$G$140="moeda")+(Inputs!$G$5:$G$140="acoes"))*Inputs!$B$1+((Inputs!$G$5:$G$140&lt;&gt;"moeda")*(Inputs!$G$5:$G$140&lt;&gt;"acoes")))*INDEX(Inputs!$K$5:$AJ$140,0,MATCH(AD$2,Inputs!$K$4:$AJ$4,0)))))</f>
        <v>-24079</v>
      </c>
      <c r="AE5" s="6" t="e">
        <f>IF(ISNA(MATCH(AE$2,Inputs!$K$4:$AJ$4,0)),NA(),IF(SUMPRODUCT((Inputs!$A$5:$A$140=$B5)*ISNUMBER(INDEX(Inputs!$K$5:$AJ$140,0,MATCH(AE$2,Inputs!$K$4:$AJ$4,0))))+SUMPRODUCT((Inputs!$C$5:$C$140=$B5)*ISNUMBER(INDEX(Inputs!$K$5:$AJ$140,0,MATCH(AE$2,Inputs!$K$4:$AJ$4,0))))+SUMPRODUCT((Inputs!$E$5:$E$140=$B5)*ISNUMBER(INDEX(Inputs!$K$5:$AJ$140,0,MATCH(AE$2,Inputs!$K$4:$AJ$4,0))))=0,NA(),SUMPRODUCT((Inputs!$A$5:$A$140=$B5)*Inputs!$B$5:$B$140*(((Inputs!$G$5:$G$140="moeda")+(Inputs!$G$5:$G$140="acoes"))*Inputs!$B$1+((Inputs!$G$5:$G$140&lt;&gt;"moeda")*(Inputs!$G$5:$G$140&lt;&gt;"acoes")))*INDEX(Inputs!$K$5:$AJ$140,0,MATCH(AE$2,Inputs!$K$4:$AJ$4,0)))+SUMPRODUCT((Inputs!$C$5:$C$140=$B5)*Inputs!$D$5:$D$140*(((Inputs!$G$5:$G$140="moeda")+(Inputs!$G$5:$G$140="acoes"))*Inputs!$B$1+((Inputs!$G$5:$G$140&lt;&gt;"moeda")*(Inputs!$G$5:$G$140&lt;&gt;"acoes")))*INDEX(Inputs!$K$5:$AJ$140,0,MATCH(AE$2,Inputs!$K$4:$AJ$4,0)))+SUMPRODUCT((Inputs!$E$5:$E$140=$B5)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5" s="6" t="e">
        <f>IF(ISNA(MATCH(AF$2,Inputs!$K$4:$AJ$4,0)),NA(),IF(SUMPRODUCT((Inputs!$A$5:$A$140=$B5)*ISNUMBER(INDEX(Inputs!$K$5:$AJ$140,0,MATCH(AF$2,Inputs!$K$4:$AJ$4,0))))+SUMPRODUCT((Inputs!$C$5:$C$140=$B5)*ISNUMBER(INDEX(Inputs!$K$5:$AJ$140,0,MATCH(AF$2,Inputs!$K$4:$AJ$4,0))))+SUMPRODUCT((Inputs!$E$5:$E$140=$B5)*ISNUMBER(INDEX(Inputs!$K$5:$AJ$140,0,MATCH(AF$2,Inputs!$K$4:$AJ$4,0))))=0,NA(),SUMPRODUCT((Inputs!$A$5:$A$140=$B5)*Inputs!$B$5:$B$140*(((Inputs!$G$5:$G$140="moeda")+(Inputs!$G$5:$G$140="acoes"))*Inputs!$B$1+((Inputs!$G$5:$G$140&lt;&gt;"moeda")*(Inputs!$G$5:$G$140&lt;&gt;"acoes")))*INDEX(Inputs!$K$5:$AJ$140,0,MATCH(AF$2,Inputs!$K$4:$AJ$4,0)))+SUMPRODUCT((Inputs!$C$5:$C$140=$B5)*Inputs!$D$5:$D$140*(((Inputs!$G$5:$G$140="moeda")+(Inputs!$G$5:$G$140="acoes"))*Inputs!$B$1+((Inputs!$G$5:$G$140&lt;&gt;"moeda")*(Inputs!$G$5:$G$140&lt;&gt;"acoes")))*INDEX(Inputs!$K$5:$AJ$140,0,MATCH(AF$2,Inputs!$K$4:$AJ$4,0)))+SUMPRODUCT((Inputs!$E$5:$E$140=$B5)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5" s="3" t="e">
        <f>SUM(AC5:AF5)</f>
        <v>#N/A</v>
      </c>
      <c r="AH5" s="6">
        <f>IF(ISNA(MATCH(AH$2,Inputs!$K$4:$AJ$4,0)),NA(),IF(SUMPRODUCT((Inputs!$A$5:$A$140=$B5)*ISNUMBER(INDEX(Inputs!$K$5:$AJ$140,0,MATCH(AH$2,Inputs!$K$4:$AJ$4,0))))+SUMPRODUCT((Inputs!$C$5:$C$140=$B5)*ISNUMBER(INDEX(Inputs!$K$5:$AJ$140,0,MATCH(AH$2,Inputs!$K$4:$AJ$4,0))))+SUMPRODUCT((Inputs!$E$5:$E$140=$B5)*ISNUMBER(INDEX(Inputs!$K$5:$AJ$140,0,MATCH(AH$2,Inputs!$K$4:$AJ$4,0))))=0,NA(),SUMPRODUCT((Inputs!$A$5:$A$140=$B5)*Inputs!$B$5:$B$140*(((Inputs!$G$5:$G$140="moeda")+(Inputs!$G$5:$G$140="acoes"))*Inputs!$B$1+((Inputs!$G$5:$G$140&lt;&gt;"moeda")*(Inputs!$G$5:$G$140&lt;&gt;"acoes")))*INDEX(Inputs!$K$5:$AJ$140,0,MATCH(AH$2,Inputs!$K$4:$AJ$4,0)))+SUMPRODUCT((Inputs!$C$5:$C$140=$B5)*Inputs!$D$5:$D$140*(((Inputs!$G$5:$G$140="moeda")+(Inputs!$G$5:$G$140="acoes"))*Inputs!$B$1+((Inputs!$G$5:$G$140&lt;&gt;"moeda")*(Inputs!$G$5:$G$140&lt;&gt;"acoes")))*INDEX(Inputs!$K$5:$AJ$140,0,MATCH(AH$2,Inputs!$K$4:$AJ$4,0)))+SUMPRODUCT((Inputs!$E$5:$E$140=$B5)*Inputs!$F$5:$F$140*(((Inputs!$G$5:$G$140="moeda")+(Inputs!$G$5:$G$140="acoes"))*Inputs!$B$1+((Inputs!$G$5:$G$140&lt;&gt;"moeda")*(Inputs!$G$5:$G$140&lt;&gt;"acoes")))*INDEX(Inputs!$K$5:$AJ$140,0,MATCH(AH$2,Inputs!$K$4:$AJ$4,0)))))</f>
        <v>-1076</v>
      </c>
      <c r="AI5" s="6">
        <f>IF(ISNA(MATCH(AI$2,Inputs!$K$4:$AJ$4,0)),NA(),IF(SUMPRODUCT((Inputs!$A$5:$A$140=$B5)*ISNUMBER(INDEX(Inputs!$K$5:$AJ$140,0,MATCH(AI$2,Inputs!$K$4:$AJ$4,0))))+SUMPRODUCT((Inputs!$C$5:$C$140=$B5)*ISNUMBER(INDEX(Inputs!$K$5:$AJ$140,0,MATCH(AI$2,Inputs!$K$4:$AJ$4,0))))+SUMPRODUCT((Inputs!$E$5:$E$140=$B5)*ISNUMBER(INDEX(Inputs!$K$5:$AJ$140,0,MATCH(AI$2,Inputs!$K$4:$AJ$4,0))))=0,NA(),SUMPRODUCT((Inputs!$A$5:$A$140=$B5)*Inputs!$B$5:$B$140*(((Inputs!$G$5:$G$140="moeda")+(Inputs!$G$5:$G$140="acoes"))*Inputs!$B$1+((Inputs!$G$5:$G$140&lt;&gt;"moeda")*(Inputs!$G$5:$G$140&lt;&gt;"acoes")))*INDEX(Inputs!$K$5:$AJ$140,0,MATCH(AI$2,Inputs!$K$4:$AJ$4,0)))+SUMPRODUCT((Inputs!$C$5:$C$140=$B5)*Inputs!$D$5:$D$140*(((Inputs!$G$5:$G$140="moeda")+(Inputs!$G$5:$G$140="acoes"))*Inputs!$B$1+((Inputs!$G$5:$G$140&lt;&gt;"moeda")*(Inputs!$G$5:$G$140&lt;&gt;"acoes")))*INDEX(Inputs!$K$5:$AJ$140,0,MATCH(AI$2,Inputs!$K$4:$AJ$4,0)))+SUMPRODUCT((Inputs!$E$5:$E$140=$B5)*Inputs!$F$5:$F$140*(((Inputs!$G$5:$G$140="moeda")+(Inputs!$G$5:$G$140="acoes"))*Inputs!$B$1+((Inputs!$G$5:$G$140&lt;&gt;"moeda")*(Inputs!$G$5:$G$140&lt;&gt;"acoes")))*INDEX(Inputs!$K$5:$AJ$140,0,MATCH(AI$2,Inputs!$K$4:$AJ$4,0)))))</f>
        <v>-1591</v>
      </c>
      <c r="AJ5" s="6">
        <f>IF(ISNA(MATCH(AJ$2,Inputs!$K$4:$AJ$4,0)),NA(),IF(SUMPRODUCT((Inputs!$A$5:$A$140=$B5)*ISNUMBER(INDEX(Inputs!$K$5:$AJ$140,0,MATCH(AJ$2,Inputs!$K$4:$AJ$4,0))))+SUMPRODUCT((Inputs!$C$5:$C$140=$B5)*ISNUMBER(INDEX(Inputs!$K$5:$AJ$140,0,MATCH(AJ$2,Inputs!$K$4:$AJ$4,0))))+SUMPRODUCT((Inputs!$E$5:$E$140=$B5)*ISNUMBER(INDEX(Inputs!$K$5:$AJ$140,0,MATCH(AJ$2,Inputs!$K$4:$AJ$4,0))))=0,NA(),SUMPRODUCT((Inputs!$A$5:$A$140=$B5)*Inputs!$B$5:$B$140*(((Inputs!$G$5:$G$140="moeda")+(Inputs!$G$5:$G$140="acoes"))*Inputs!$B$1+((Inputs!$G$5:$G$140&lt;&gt;"moeda")*(Inputs!$G$5:$G$140&lt;&gt;"acoes")))*INDEX(Inputs!$K$5:$AJ$140,0,MATCH(AJ$2,Inputs!$K$4:$AJ$4,0)))+SUMPRODUCT((Inputs!$C$5:$C$140=$B5)*Inputs!$D$5:$D$140*(((Inputs!$G$5:$G$140="moeda")+(Inputs!$G$5:$G$140="acoes"))*Inputs!$B$1+((Inputs!$G$5:$G$140&lt;&gt;"moeda")*(Inputs!$G$5:$G$140&lt;&gt;"acoes")))*INDEX(Inputs!$K$5:$AJ$140,0,MATCH(AJ$2,Inputs!$K$4:$AJ$4,0)))+SUMPRODUCT((Inputs!$E$5:$E$140=$B5)*Inputs!$F$5:$F$140*(((Inputs!$G$5:$G$140="moeda")+(Inputs!$G$5:$G$140="acoes"))*Inputs!$B$1+((Inputs!$G$5:$G$140&lt;&gt;"moeda")*(Inputs!$G$5:$G$140&lt;&gt;"acoes")))*INDEX(Inputs!$K$5:$AJ$140,0,MATCH(AJ$2,Inputs!$K$4:$AJ$4,0)))))</f>
        <v>-1766</v>
      </c>
      <c r="AK5" s="6">
        <f>IF(ISNA(MATCH(AK$2,Inputs!$K$4:$AJ$4,0)),NA(),IF(SUMPRODUCT((Inputs!$A$5:$A$140=$B5)*ISNUMBER(INDEX(Inputs!$K$5:$AJ$140,0,MATCH(AK$2,Inputs!$K$4:$AJ$4,0))))+SUMPRODUCT((Inputs!$C$5:$C$140=$B5)*ISNUMBER(INDEX(Inputs!$K$5:$AJ$140,0,MATCH(AK$2,Inputs!$K$4:$AJ$4,0))))+SUMPRODUCT((Inputs!$E$5:$E$140=$B5)*ISNUMBER(INDEX(Inputs!$K$5:$AJ$140,0,MATCH(AK$2,Inputs!$K$4:$AJ$4,0))))=0,NA(),SUMPRODUCT((Inputs!$A$5:$A$140=$B5)*Inputs!$B$5:$B$140*(((Inputs!$G$5:$G$140="moeda")+(Inputs!$G$5:$G$140="acoes"))*Inputs!$B$1+((Inputs!$G$5:$G$140&lt;&gt;"moeda")*(Inputs!$G$5:$G$140&lt;&gt;"acoes")))*INDEX(Inputs!$K$5:$AJ$140,0,MATCH(AK$2,Inputs!$K$4:$AJ$4,0)))+SUMPRODUCT((Inputs!$C$5:$C$140=$B5)*Inputs!$D$5:$D$140*(((Inputs!$G$5:$G$140="moeda")+(Inputs!$G$5:$G$140="acoes"))*Inputs!$B$1+((Inputs!$G$5:$G$140&lt;&gt;"moeda")*(Inputs!$G$5:$G$140&lt;&gt;"acoes")))*INDEX(Inputs!$K$5:$AJ$140,0,MATCH(AK$2,Inputs!$K$4:$AJ$4,0)))+SUMPRODUCT((Inputs!$E$5:$E$140=$B5)*Inputs!$F$5:$F$140*(((Inputs!$G$5:$G$140="moeda")+(Inputs!$G$5:$G$140="acoes"))*Inputs!$B$1+((Inputs!$G$5:$G$140&lt;&gt;"moeda")*(Inputs!$G$5:$G$140&lt;&gt;"acoes")))*INDEX(Inputs!$K$5:$AJ$140,0,MATCH(AK$2,Inputs!$K$4:$AJ$4,0)))))</f>
        <v>-1847</v>
      </c>
      <c r="AL5" s="3">
        <f>SUM(AH5:AK5)</f>
        <v>-6280</v>
      </c>
    </row>
    <row r="6">
      <c r="B6" s="46" t="n">
        <v>3</v>
      </c>
      <c r="C6" s="24" t="inlineStr">
        <is>
          <t>SG&amp;A and Other (cash)</t>
        </is>
      </c>
      <c r="D6" s="6">
        <f>IF(ISNA(MATCH(D$2,Inputs!$K$4:$AJ$4,0)),NA(),IF(SUMPRODUCT((Inputs!$A$5:$A$140=$B6)*ISNUMBER(INDEX(Inputs!$K$5:$AJ$140,0,MATCH(D$2,Inputs!$K$4:$AJ$4,0))))+SUMPRODUCT((Inputs!$C$5:$C$140=$B6)*ISNUMBER(INDEX(Inputs!$K$5:$AJ$140,0,MATCH(D$2,Inputs!$K$4:$AJ$4,0))))+SUMPRODUCT((Inputs!$E$5:$E$140=$B6)*ISNUMBER(INDEX(Inputs!$K$5:$AJ$140,0,MATCH(D$2,Inputs!$K$4:$AJ$4,0))))=0,NA(),SUMPRODUCT((Inputs!$A$5:$A$140=$B6)*Inputs!$B$5:$B$140*(((Inputs!$G$5:$G$140="moeda")+(Inputs!$G$5:$G$140="acoes"))*Inputs!$B$1+((Inputs!$G$5:$G$140&lt;&gt;"moeda")*(Inputs!$G$5:$G$140&lt;&gt;"acoes")))*INDEX(Inputs!$K$5:$AJ$140,0,MATCH(D$2,Inputs!$K$4:$AJ$4,0)))+SUMPRODUCT((Inputs!$C$5:$C$140=$B6)*Inputs!$D$5:$D$140*(((Inputs!$G$5:$G$140="moeda")+(Inputs!$G$5:$G$140="acoes"))*Inputs!$B$1+((Inputs!$G$5:$G$140&lt;&gt;"moeda")*(Inputs!$G$5:$G$140&lt;&gt;"acoes")))*INDEX(Inputs!$K$5:$AJ$140,0,MATCH(D$2,Inputs!$K$4:$AJ$4,0)))+SUMPRODUCT((Inputs!$E$5:$E$140=$B6)*Inputs!$F$5:$F$140*(((Inputs!$G$5:$G$140="moeda")+(Inputs!$G$5:$G$140="acoes"))*Inputs!$B$1+((Inputs!$G$5:$G$140&lt;&gt;"moeda")*(Inputs!$G$5:$G$140&lt;&gt;"acoes")))*INDEX(Inputs!$K$5:$AJ$140,0,MATCH(D$2,Inputs!$K$4:$AJ$4,0)))))</f>
        <v>-1392</v>
      </c>
      <c r="E6" s="6">
        <f>IF(ISNA(MATCH(E$2,Inputs!$K$4:$AJ$4,0)),NA(),IF(SUMPRODUCT((Inputs!$A$5:$A$140=$B6)*ISNUMBER(INDEX(Inputs!$K$5:$AJ$140,0,MATCH(E$2,Inputs!$K$4:$AJ$4,0))))+SUMPRODUCT((Inputs!$C$5:$C$140=$B6)*ISNUMBER(INDEX(Inputs!$K$5:$AJ$140,0,MATCH(E$2,Inputs!$K$4:$AJ$4,0))))+SUMPRODUCT((Inputs!$E$5:$E$140=$B6)*ISNUMBER(INDEX(Inputs!$K$5:$AJ$140,0,MATCH(E$2,Inputs!$K$4:$AJ$4,0))))=0,NA(),SUMPRODUCT((Inputs!$A$5:$A$140=$B6)*Inputs!$B$5:$B$140*(((Inputs!$G$5:$G$140="moeda")+(Inputs!$G$5:$G$140="acoes"))*Inputs!$B$1+((Inputs!$G$5:$G$140&lt;&gt;"moeda")*(Inputs!$G$5:$G$140&lt;&gt;"acoes")))*INDEX(Inputs!$K$5:$AJ$140,0,MATCH(E$2,Inputs!$K$4:$AJ$4,0)))+SUMPRODUCT((Inputs!$C$5:$C$140=$B6)*Inputs!$D$5:$D$140*(((Inputs!$G$5:$G$140="moeda")+(Inputs!$G$5:$G$140="acoes"))*Inputs!$B$1+((Inputs!$G$5:$G$140&lt;&gt;"moeda")*(Inputs!$G$5:$G$140&lt;&gt;"acoes")))*INDEX(Inputs!$K$5:$AJ$140,0,MATCH(E$2,Inputs!$K$4:$AJ$4,0)))+SUMPRODUCT((Inputs!$E$5:$E$140=$B6)*Inputs!$F$5:$F$140*(((Inputs!$G$5:$G$140="moeda")+(Inputs!$G$5:$G$140="acoes"))*Inputs!$B$1+((Inputs!$G$5:$G$140&lt;&gt;"moeda")*(Inputs!$G$5:$G$140&lt;&gt;"acoes")))*INDEX(Inputs!$K$5:$AJ$140,0,MATCH(E$2,Inputs!$K$4:$AJ$4,0)))))</f>
        <v>-1485</v>
      </c>
      <c r="F6" s="6">
        <f>IF(ISNA(MATCH(F$2,Inputs!$K$4:$AJ$4,0)),NA(),IF(SUMPRODUCT((Inputs!$A$5:$A$140=$B6)*ISNUMBER(INDEX(Inputs!$K$5:$AJ$140,0,MATCH(F$2,Inputs!$K$4:$AJ$4,0))))+SUMPRODUCT((Inputs!$C$5:$C$140=$B6)*ISNUMBER(INDEX(Inputs!$K$5:$AJ$140,0,MATCH(F$2,Inputs!$K$4:$AJ$4,0))))+SUMPRODUCT((Inputs!$E$5:$E$140=$B6)*ISNUMBER(INDEX(Inputs!$K$5:$AJ$140,0,MATCH(F$2,Inputs!$K$4:$AJ$4,0))))=0,NA(),SUMPRODUCT((Inputs!$A$5:$A$140=$B6)*Inputs!$B$5:$B$140*(((Inputs!$G$5:$G$140="moeda")+(Inputs!$G$5:$G$140="acoes"))*Inputs!$B$1+((Inputs!$G$5:$G$140&lt;&gt;"moeda")*(Inputs!$G$5:$G$140&lt;&gt;"acoes")))*INDEX(Inputs!$K$5:$AJ$140,0,MATCH(F$2,Inputs!$K$4:$AJ$4,0)))+SUMPRODUCT((Inputs!$C$5:$C$140=$B6)*Inputs!$D$5:$D$140*(((Inputs!$G$5:$G$140="moeda")+(Inputs!$G$5:$G$140="acoes"))*Inputs!$B$1+((Inputs!$G$5:$G$140&lt;&gt;"moeda")*(Inputs!$G$5:$G$140&lt;&gt;"acoes")))*INDEX(Inputs!$K$5:$AJ$140,0,MATCH(F$2,Inputs!$K$4:$AJ$4,0)))+SUMPRODUCT((Inputs!$E$5:$E$140=$B6)*Inputs!$F$5:$F$140*(((Inputs!$G$5:$G$140="moeda")+(Inputs!$G$5:$G$140="acoes"))*Inputs!$B$1+((Inputs!$G$5:$G$140&lt;&gt;"moeda")*(Inputs!$G$5:$G$140&lt;&gt;"acoes")))*INDEX(Inputs!$K$5:$AJ$140,0,MATCH(F$2,Inputs!$K$4:$AJ$4,0)))))</f>
        <v>-1662</v>
      </c>
      <c r="G6" s="6">
        <f>IF(ISNA(MATCH(G$2,Inputs!$K$4:$AJ$4,0)),NA(),IF(SUMPRODUCT((Inputs!$A$5:$A$140=$B6)*ISNUMBER(INDEX(Inputs!$K$5:$AJ$140,0,MATCH(G$2,Inputs!$K$4:$AJ$4,0))))+SUMPRODUCT((Inputs!$C$5:$C$140=$B6)*ISNUMBER(INDEX(Inputs!$K$5:$AJ$140,0,MATCH(G$2,Inputs!$K$4:$AJ$4,0))))+SUMPRODUCT((Inputs!$E$5:$E$140=$B6)*ISNUMBER(INDEX(Inputs!$K$5:$AJ$140,0,MATCH(G$2,Inputs!$K$4:$AJ$4,0))))=0,NA(),SUMPRODUCT((Inputs!$A$5:$A$140=$B6)*Inputs!$B$5:$B$140*(((Inputs!$G$5:$G$140="moeda")+(Inputs!$G$5:$G$140="acoes"))*Inputs!$B$1+((Inputs!$G$5:$G$140&lt;&gt;"moeda")*(Inputs!$G$5:$G$140&lt;&gt;"acoes")))*INDEX(Inputs!$K$5:$AJ$140,0,MATCH(G$2,Inputs!$K$4:$AJ$4,0)))+SUMPRODUCT((Inputs!$C$5:$C$140=$B6)*Inputs!$D$5:$D$140*(((Inputs!$G$5:$G$140="moeda")+(Inputs!$G$5:$G$140="acoes"))*Inputs!$B$1+((Inputs!$G$5:$G$140&lt;&gt;"moeda")*(Inputs!$G$5:$G$140&lt;&gt;"acoes")))*INDEX(Inputs!$K$5:$AJ$140,0,MATCH(G$2,Inputs!$K$4:$AJ$4,0)))+SUMPRODUCT((Inputs!$E$5:$E$140=$B6)*Inputs!$F$5:$F$140*(((Inputs!$G$5:$G$140="moeda")+(Inputs!$G$5:$G$140="acoes"))*Inputs!$B$1+((Inputs!$G$5:$G$140&lt;&gt;"moeda")*(Inputs!$G$5:$G$140&lt;&gt;"acoes")))*INDEX(Inputs!$K$5:$AJ$140,0,MATCH(G$2,Inputs!$K$4:$AJ$4,0)))))</f>
        <v>-1720</v>
      </c>
      <c r="H6" s="3">
        <f>SUM(D6:G6)</f>
        <v>-6259</v>
      </c>
      <c r="I6" s="6">
        <f>IF(ISNA(MATCH(I$2,Inputs!$K$4:$AJ$4,0)),NA(),IF(SUMPRODUCT((Inputs!$A$5:$A$140=$B6)*ISNUMBER(INDEX(Inputs!$K$5:$AJ$140,0,MATCH(I$2,Inputs!$K$4:$AJ$4,0))))+SUMPRODUCT((Inputs!$C$5:$C$140=$B6)*ISNUMBER(INDEX(Inputs!$K$5:$AJ$140,0,MATCH(I$2,Inputs!$K$4:$AJ$4,0))))+SUMPRODUCT((Inputs!$E$5:$E$140=$B6)*ISNUMBER(INDEX(Inputs!$K$5:$AJ$140,0,MATCH(I$2,Inputs!$K$4:$AJ$4,0))))=0,NA(),SUMPRODUCT((Inputs!$A$5:$A$140=$B6)*Inputs!$B$5:$B$140*(((Inputs!$G$5:$G$140="moeda")+(Inputs!$G$5:$G$140="acoes"))*Inputs!$B$1+((Inputs!$G$5:$G$140&lt;&gt;"moeda")*(Inputs!$G$5:$G$140&lt;&gt;"acoes")))*INDEX(Inputs!$K$5:$AJ$140,0,MATCH(I$2,Inputs!$K$4:$AJ$4,0)))+SUMPRODUCT((Inputs!$C$5:$C$140=$B6)*Inputs!$D$5:$D$140*(((Inputs!$G$5:$G$140="moeda")+(Inputs!$G$5:$G$140="acoes"))*Inputs!$B$1+((Inputs!$G$5:$G$140&lt;&gt;"moeda")*(Inputs!$G$5:$G$140&lt;&gt;"acoes")))*INDEX(Inputs!$K$5:$AJ$140,0,MATCH(I$2,Inputs!$K$4:$AJ$4,0)))+SUMPRODUCT((Inputs!$E$5:$E$140=$B6)*Inputs!$F$5:$F$140*(((Inputs!$G$5:$G$140="moeda")+(Inputs!$G$5:$G$140="acoes"))*Inputs!$B$1+((Inputs!$G$5:$G$140&lt;&gt;"moeda")*(Inputs!$G$5:$G$140&lt;&gt;"acoes")))*INDEX(Inputs!$K$5:$AJ$140,0,MATCH(I$2,Inputs!$K$4:$AJ$4,0)))))</f>
        <v>-3229</v>
      </c>
      <c r="J6" s="6">
        <f>IF(ISNA(MATCH(J$2,Inputs!$K$4:$AJ$4,0)),NA(),IF(SUMPRODUCT((Inputs!$A$5:$A$140=$B6)*ISNUMBER(INDEX(Inputs!$K$5:$AJ$140,0,MATCH(J$2,Inputs!$K$4:$AJ$4,0))))+SUMPRODUCT((Inputs!$C$5:$C$140=$B6)*ISNUMBER(INDEX(Inputs!$K$5:$AJ$140,0,MATCH(J$2,Inputs!$K$4:$AJ$4,0))))+SUMPRODUCT((Inputs!$E$5:$E$140=$B6)*ISNUMBER(INDEX(Inputs!$K$5:$AJ$140,0,MATCH(J$2,Inputs!$K$4:$AJ$4,0))))=0,NA(),SUMPRODUCT((Inputs!$A$5:$A$140=$B6)*Inputs!$B$5:$B$140*(((Inputs!$G$5:$G$140="moeda")+(Inputs!$G$5:$G$140="acoes"))*Inputs!$B$1+((Inputs!$G$5:$G$140&lt;&gt;"moeda")*(Inputs!$G$5:$G$140&lt;&gt;"acoes")))*INDEX(Inputs!$K$5:$AJ$140,0,MATCH(J$2,Inputs!$K$4:$AJ$4,0)))+SUMPRODUCT((Inputs!$C$5:$C$140=$B6)*Inputs!$D$5:$D$140*(((Inputs!$G$5:$G$140="moeda")+(Inputs!$G$5:$G$140="acoes"))*Inputs!$B$1+((Inputs!$G$5:$G$140&lt;&gt;"moeda")*(Inputs!$G$5:$G$140&lt;&gt;"acoes")))*INDEX(Inputs!$K$5:$AJ$140,0,MATCH(J$2,Inputs!$K$4:$AJ$4,0)))+SUMPRODUCT((Inputs!$E$5:$E$140=$B6)*Inputs!$F$5:$F$140*(((Inputs!$G$5:$G$140="moeda")+(Inputs!$G$5:$G$140="acoes"))*Inputs!$B$1+((Inputs!$G$5:$G$140&lt;&gt;"moeda")*(Inputs!$G$5:$G$140&lt;&gt;"acoes")))*INDEX(Inputs!$K$5:$AJ$140,0,MATCH(J$2,Inputs!$K$4:$AJ$4,0)))))</f>
        <v>-2038</v>
      </c>
      <c r="K6" s="6">
        <f>IF(ISNA(MATCH(K$2,Inputs!$K$4:$AJ$4,0)),NA(),IF(SUMPRODUCT((Inputs!$A$5:$A$140=$B6)*ISNUMBER(INDEX(Inputs!$K$5:$AJ$140,0,MATCH(K$2,Inputs!$K$4:$AJ$4,0))))+SUMPRODUCT((Inputs!$C$5:$C$140=$B6)*ISNUMBER(INDEX(Inputs!$K$5:$AJ$140,0,MATCH(K$2,Inputs!$K$4:$AJ$4,0))))+SUMPRODUCT((Inputs!$E$5:$E$140=$B6)*ISNUMBER(INDEX(Inputs!$K$5:$AJ$140,0,MATCH(K$2,Inputs!$K$4:$AJ$4,0))))=0,NA(),SUMPRODUCT((Inputs!$A$5:$A$140=$B6)*Inputs!$B$5:$B$140*(((Inputs!$G$5:$G$140="moeda")+(Inputs!$G$5:$G$140="acoes"))*Inputs!$B$1+((Inputs!$G$5:$G$140&lt;&gt;"moeda")*(Inputs!$G$5:$G$140&lt;&gt;"acoes")))*INDEX(Inputs!$K$5:$AJ$140,0,MATCH(K$2,Inputs!$K$4:$AJ$4,0)))+SUMPRODUCT((Inputs!$C$5:$C$140=$B6)*Inputs!$D$5:$D$140*(((Inputs!$G$5:$G$140="moeda")+(Inputs!$G$5:$G$140="acoes"))*Inputs!$B$1+((Inputs!$G$5:$G$140&lt;&gt;"moeda")*(Inputs!$G$5:$G$140&lt;&gt;"acoes")))*INDEX(Inputs!$K$5:$AJ$140,0,MATCH(K$2,Inputs!$K$4:$AJ$4,0)))+SUMPRODUCT((Inputs!$E$5:$E$140=$B6)*Inputs!$F$5:$F$140*(((Inputs!$G$5:$G$140="moeda")+(Inputs!$G$5:$G$140="acoes"))*Inputs!$B$1+((Inputs!$G$5:$G$140&lt;&gt;"moeda")*(Inputs!$G$5:$G$140&lt;&gt;"acoes")))*INDEX(Inputs!$K$5:$AJ$140,0,MATCH(K$2,Inputs!$K$4:$AJ$4,0)))))</f>
        <v>-2170</v>
      </c>
      <c r="L6" s="6">
        <f>IF(ISNA(MATCH(L$2,Inputs!$K$4:$AJ$4,0)),NA(),IF(SUMPRODUCT((Inputs!$A$5:$A$140=$B6)*ISNUMBER(INDEX(Inputs!$K$5:$AJ$140,0,MATCH(L$2,Inputs!$K$4:$AJ$4,0))))+SUMPRODUCT((Inputs!$C$5:$C$140=$B6)*ISNUMBER(INDEX(Inputs!$K$5:$AJ$140,0,MATCH(L$2,Inputs!$K$4:$AJ$4,0))))+SUMPRODUCT((Inputs!$E$5:$E$140=$B6)*ISNUMBER(INDEX(Inputs!$K$5:$AJ$140,0,MATCH(L$2,Inputs!$K$4:$AJ$4,0))))=0,NA(),SUMPRODUCT((Inputs!$A$5:$A$140=$B6)*Inputs!$B$5:$B$140*(((Inputs!$G$5:$G$140="moeda")+(Inputs!$G$5:$G$140="acoes"))*Inputs!$B$1+((Inputs!$G$5:$G$140&lt;&gt;"moeda")*(Inputs!$G$5:$G$140&lt;&gt;"acoes")))*INDEX(Inputs!$K$5:$AJ$140,0,MATCH(L$2,Inputs!$K$4:$AJ$4,0)))+SUMPRODUCT((Inputs!$C$5:$C$140=$B6)*Inputs!$D$5:$D$140*(((Inputs!$G$5:$G$140="moeda")+(Inputs!$G$5:$G$140="acoes"))*Inputs!$B$1+((Inputs!$G$5:$G$140&lt;&gt;"moeda")*(Inputs!$G$5:$G$140&lt;&gt;"acoes")))*INDEX(Inputs!$K$5:$AJ$140,0,MATCH(L$2,Inputs!$K$4:$AJ$4,0)))+SUMPRODUCT((Inputs!$E$5:$E$140=$B6)*Inputs!$F$5:$F$140*(((Inputs!$G$5:$G$140="moeda")+(Inputs!$G$5:$G$140="acoes"))*Inputs!$B$1+((Inputs!$G$5:$G$140&lt;&gt;"moeda")*(Inputs!$G$5:$G$140&lt;&gt;"acoes")))*INDEX(Inputs!$K$5:$AJ$140,0,MATCH(L$2,Inputs!$K$4:$AJ$4,0)))))</f>
        <v>-2151</v>
      </c>
      <c r="M6" s="3">
        <f>SUM(I6:L6)</f>
        <v>-9588</v>
      </c>
      <c r="N6" s="6">
        <f>IF(ISNA(MATCH(N$2,Inputs!$K$4:$AJ$4,0)),NA(),IF(SUMPRODUCT((Inputs!$A$5:$A$140=$B6)*ISNUMBER(INDEX(Inputs!$K$5:$AJ$140,0,MATCH(N$2,Inputs!$K$4:$AJ$4,0))))+SUMPRODUCT((Inputs!$C$5:$C$140=$B6)*ISNUMBER(INDEX(Inputs!$K$5:$AJ$140,0,MATCH(N$2,Inputs!$K$4:$AJ$4,0))))+SUMPRODUCT((Inputs!$E$5:$E$140=$B6)*ISNUMBER(INDEX(Inputs!$K$5:$AJ$140,0,MATCH(N$2,Inputs!$K$4:$AJ$4,0))))=0,NA(),SUMPRODUCT((Inputs!$A$5:$A$140=$B6)*Inputs!$B$5:$B$140*(((Inputs!$G$5:$G$140="moeda")+(Inputs!$G$5:$G$140="acoes"))*Inputs!$B$1+((Inputs!$G$5:$G$140&lt;&gt;"moeda")*(Inputs!$G$5:$G$140&lt;&gt;"acoes")))*INDEX(Inputs!$K$5:$AJ$140,0,MATCH(N$2,Inputs!$K$4:$AJ$4,0)))+SUMPRODUCT((Inputs!$C$5:$C$140=$B6)*Inputs!$D$5:$D$140*(((Inputs!$G$5:$G$140="moeda")+(Inputs!$G$5:$G$140="acoes"))*Inputs!$B$1+((Inputs!$G$5:$G$140&lt;&gt;"moeda")*(Inputs!$G$5:$G$140&lt;&gt;"acoes")))*INDEX(Inputs!$K$5:$AJ$140,0,MATCH(N$2,Inputs!$K$4:$AJ$4,0)))+SUMPRODUCT((Inputs!$E$5:$E$140=$B6)*Inputs!$F$5:$F$140*(((Inputs!$G$5:$G$140="moeda")+(Inputs!$G$5:$G$140="acoes"))*Inputs!$B$1+((Inputs!$G$5:$G$140&lt;&gt;"moeda")*(Inputs!$G$5:$G$140&lt;&gt;"acoes")))*INDEX(Inputs!$K$5:$AJ$140,0,MATCH(N$2,Inputs!$K$4:$AJ$4,0)))))</f>
        <v>-2124</v>
      </c>
      <c r="O6" s="6">
        <f>IF(ISNA(MATCH(O$2,Inputs!$K$4:$AJ$4,0)),NA(),IF(SUMPRODUCT((Inputs!$A$5:$A$140=$B6)*ISNUMBER(INDEX(Inputs!$K$5:$AJ$140,0,MATCH(O$2,Inputs!$K$4:$AJ$4,0))))+SUMPRODUCT((Inputs!$C$5:$C$140=$B6)*ISNUMBER(INDEX(Inputs!$K$5:$AJ$140,0,MATCH(O$2,Inputs!$K$4:$AJ$4,0))))+SUMPRODUCT((Inputs!$E$5:$E$140=$B6)*ISNUMBER(INDEX(Inputs!$K$5:$AJ$140,0,MATCH(O$2,Inputs!$K$4:$AJ$4,0))))=0,NA(),SUMPRODUCT((Inputs!$A$5:$A$140=$B6)*Inputs!$B$5:$B$140*(((Inputs!$G$5:$G$140="moeda")+(Inputs!$G$5:$G$140="acoes"))*Inputs!$B$1+((Inputs!$G$5:$G$140&lt;&gt;"moeda")*(Inputs!$G$5:$G$140&lt;&gt;"acoes")))*INDEX(Inputs!$K$5:$AJ$140,0,MATCH(O$2,Inputs!$K$4:$AJ$4,0)))+SUMPRODUCT((Inputs!$C$5:$C$140=$B6)*Inputs!$D$5:$D$140*(((Inputs!$G$5:$G$140="moeda")+(Inputs!$G$5:$G$140="acoes"))*Inputs!$B$1+((Inputs!$G$5:$G$140&lt;&gt;"moeda")*(Inputs!$G$5:$G$140&lt;&gt;"acoes")))*INDEX(Inputs!$K$5:$AJ$140,0,MATCH(O$2,Inputs!$K$4:$AJ$4,0)))+SUMPRODUCT((Inputs!$E$5:$E$140=$B6)*Inputs!$F$5:$F$140*(((Inputs!$G$5:$G$140="moeda")+(Inputs!$G$5:$G$140="acoes"))*Inputs!$B$1+((Inputs!$G$5:$G$140&lt;&gt;"moeda")*(Inputs!$G$5:$G$140&lt;&gt;"acoes")))*INDEX(Inputs!$K$5:$AJ$140,0,MATCH(O$2,Inputs!$K$4:$AJ$4,0)))))</f>
        <v>-2297</v>
      </c>
      <c r="P6" s="6">
        <f>IF(ISNA(MATCH(P$2,Inputs!$K$4:$AJ$4,0)),NA(),IF(SUMPRODUCT((Inputs!$A$5:$A$140=$B6)*ISNUMBER(INDEX(Inputs!$K$5:$AJ$140,0,MATCH(P$2,Inputs!$K$4:$AJ$4,0))))+SUMPRODUCT((Inputs!$C$5:$C$140=$B6)*ISNUMBER(INDEX(Inputs!$K$5:$AJ$140,0,MATCH(P$2,Inputs!$K$4:$AJ$4,0))))+SUMPRODUCT((Inputs!$E$5:$E$140=$B6)*ISNUMBER(INDEX(Inputs!$K$5:$AJ$140,0,MATCH(P$2,Inputs!$K$4:$AJ$4,0))))=0,NA(),SUMPRODUCT((Inputs!$A$5:$A$140=$B6)*Inputs!$B$5:$B$140*(((Inputs!$G$5:$G$140="moeda")+(Inputs!$G$5:$G$140="acoes"))*Inputs!$B$1+((Inputs!$G$5:$G$140&lt;&gt;"moeda")*(Inputs!$G$5:$G$140&lt;&gt;"acoes")))*INDEX(Inputs!$K$5:$AJ$140,0,MATCH(P$2,Inputs!$K$4:$AJ$4,0)))+SUMPRODUCT((Inputs!$C$5:$C$140=$B6)*Inputs!$D$5:$D$140*(((Inputs!$G$5:$G$140="moeda")+(Inputs!$G$5:$G$140="acoes"))*Inputs!$B$1+((Inputs!$G$5:$G$140&lt;&gt;"moeda")*(Inputs!$G$5:$G$140&lt;&gt;"acoes")))*INDEX(Inputs!$K$5:$AJ$140,0,MATCH(P$2,Inputs!$K$4:$AJ$4,0)))+SUMPRODUCT((Inputs!$E$5:$E$140=$B6)*Inputs!$F$5:$F$140*(((Inputs!$G$5:$G$140="moeda")+(Inputs!$G$5:$G$140="acoes"))*Inputs!$B$1+((Inputs!$G$5:$G$140&lt;&gt;"moeda")*(Inputs!$G$5:$G$140&lt;&gt;"acoes")))*INDEX(Inputs!$K$5:$AJ$140,0,MATCH(P$2,Inputs!$K$4:$AJ$4,0)))))</f>
        <v>-2611</v>
      </c>
      <c r="Q6" s="6">
        <f>IF(ISNA(MATCH(Q$2,Inputs!$K$4:$AJ$4,0)),NA(),IF(SUMPRODUCT((Inputs!$A$5:$A$140=$B6)*ISNUMBER(INDEX(Inputs!$K$5:$AJ$140,0,MATCH(Q$2,Inputs!$K$4:$AJ$4,0))))+SUMPRODUCT((Inputs!$C$5:$C$140=$B6)*ISNUMBER(INDEX(Inputs!$K$5:$AJ$140,0,MATCH(Q$2,Inputs!$K$4:$AJ$4,0))))+SUMPRODUCT((Inputs!$E$5:$E$140=$B6)*ISNUMBER(INDEX(Inputs!$K$5:$AJ$140,0,MATCH(Q$2,Inputs!$K$4:$AJ$4,0))))=0,NA(),SUMPRODUCT((Inputs!$A$5:$A$140=$B6)*Inputs!$B$5:$B$140*(((Inputs!$G$5:$G$140="moeda")+(Inputs!$G$5:$G$140="acoes"))*Inputs!$B$1+((Inputs!$G$5:$G$140&lt;&gt;"moeda")*(Inputs!$G$5:$G$140&lt;&gt;"acoes")))*INDEX(Inputs!$K$5:$AJ$140,0,MATCH(Q$2,Inputs!$K$4:$AJ$4,0)))+SUMPRODUCT((Inputs!$C$5:$C$140=$B6)*Inputs!$D$5:$D$140*(((Inputs!$G$5:$G$140="moeda")+(Inputs!$G$5:$G$140="acoes"))*Inputs!$B$1+((Inputs!$G$5:$G$140&lt;&gt;"moeda")*(Inputs!$G$5:$G$140&lt;&gt;"acoes")))*INDEX(Inputs!$K$5:$AJ$140,0,MATCH(Q$2,Inputs!$K$4:$AJ$4,0)))+SUMPRODUCT((Inputs!$E$5:$E$140=$B6)*Inputs!$F$5:$F$140*(((Inputs!$G$5:$G$140="moeda")+(Inputs!$G$5:$G$140="acoes"))*Inputs!$B$1+((Inputs!$G$5:$G$140&lt;&gt;"moeda")*(Inputs!$G$5:$G$140&lt;&gt;"acoes")))*INDEX(Inputs!$K$5:$AJ$140,0,MATCH(Q$2,Inputs!$K$4:$AJ$4,0)))))</f>
        <v>-2790</v>
      </c>
      <c r="R6" s="3">
        <f>SUM(N6:Q6)</f>
        <v>-9822</v>
      </c>
      <c r="S6" s="6">
        <f>IF(ISNA(MATCH(S$2,Inputs!$K$4:$AJ$4,0)),NA(),IF(SUMPRODUCT((Inputs!$A$5:$A$140=$B6)*ISNUMBER(INDEX(Inputs!$K$5:$AJ$140,0,MATCH(S$2,Inputs!$K$4:$AJ$4,0))))+SUMPRODUCT((Inputs!$C$5:$C$140=$B6)*ISNUMBER(INDEX(Inputs!$K$5:$AJ$140,0,MATCH(S$2,Inputs!$K$4:$AJ$4,0))))+SUMPRODUCT((Inputs!$E$5:$E$140=$B6)*ISNUMBER(INDEX(Inputs!$K$5:$AJ$140,0,MATCH(S$2,Inputs!$K$4:$AJ$4,0))))=0,NA(),SUMPRODUCT((Inputs!$A$5:$A$140=$B6)*Inputs!$B$5:$B$140*(((Inputs!$G$5:$G$140="moeda")+(Inputs!$G$5:$G$140="acoes"))*Inputs!$B$1+((Inputs!$G$5:$G$140&lt;&gt;"moeda")*(Inputs!$G$5:$G$140&lt;&gt;"acoes")))*INDEX(Inputs!$K$5:$AJ$140,0,MATCH(S$2,Inputs!$K$4:$AJ$4,0)))+SUMPRODUCT((Inputs!$C$5:$C$140=$B6)*Inputs!$D$5:$D$140*(((Inputs!$G$5:$G$140="moeda")+(Inputs!$G$5:$G$140="acoes"))*Inputs!$B$1+((Inputs!$G$5:$G$140&lt;&gt;"moeda")*(Inputs!$G$5:$G$140&lt;&gt;"acoes")))*INDEX(Inputs!$K$5:$AJ$140,0,MATCH(S$2,Inputs!$K$4:$AJ$4,0)))+SUMPRODUCT((Inputs!$E$5:$E$140=$B6)*Inputs!$F$5:$F$140*(((Inputs!$G$5:$G$140="moeda")+(Inputs!$G$5:$G$140="acoes"))*Inputs!$B$1+((Inputs!$G$5:$G$140&lt;&gt;"moeda")*(Inputs!$G$5:$G$140&lt;&gt;"acoes")))*INDEX(Inputs!$K$5:$AJ$140,0,MATCH(S$2,Inputs!$K$4:$AJ$4,0)))))</f>
        <v>-3087</v>
      </c>
      <c r="T6" s="6">
        <f>IF(ISNA(MATCH(T$2,Inputs!$K$4:$AJ$4,0)),NA(),IF(SUMPRODUCT((Inputs!$A$5:$A$140=$B6)*ISNUMBER(INDEX(Inputs!$K$5:$AJ$140,0,MATCH(T$2,Inputs!$K$4:$AJ$4,0))))+SUMPRODUCT((Inputs!$C$5:$C$140=$B6)*ISNUMBER(INDEX(Inputs!$K$5:$AJ$140,0,MATCH(T$2,Inputs!$K$4:$AJ$4,0))))+SUMPRODUCT((Inputs!$E$5:$E$140=$B6)*ISNUMBER(INDEX(Inputs!$K$5:$AJ$140,0,MATCH(T$2,Inputs!$K$4:$AJ$4,0))))=0,NA(),SUMPRODUCT((Inputs!$A$5:$A$140=$B6)*Inputs!$B$5:$B$140*(((Inputs!$G$5:$G$140="moeda")+(Inputs!$G$5:$G$140="acoes"))*Inputs!$B$1+((Inputs!$G$5:$G$140&lt;&gt;"moeda")*(Inputs!$G$5:$G$140&lt;&gt;"acoes")))*INDEX(Inputs!$K$5:$AJ$140,0,MATCH(T$2,Inputs!$K$4:$AJ$4,0)))+SUMPRODUCT((Inputs!$C$5:$C$140=$B6)*Inputs!$D$5:$D$140*(((Inputs!$G$5:$G$140="moeda")+(Inputs!$G$5:$G$140="acoes"))*Inputs!$B$1+((Inputs!$G$5:$G$140&lt;&gt;"moeda")*(Inputs!$G$5:$G$140&lt;&gt;"acoes")))*INDEX(Inputs!$K$5:$AJ$140,0,MATCH(T$2,Inputs!$K$4:$AJ$4,0)))+SUMPRODUCT((Inputs!$E$5:$E$140=$B6)*Inputs!$F$5:$F$140*(((Inputs!$G$5:$G$140="moeda")+(Inputs!$G$5:$G$140="acoes"))*Inputs!$B$1+((Inputs!$G$5:$G$140&lt;&gt;"moeda")*(Inputs!$G$5:$G$140&lt;&gt;"acoes")))*INDEX(Inputs!$K$5:$AJ$140,0,MATCH(T$2,Inputs!$K$4:$AJ$4,0)))))</f>
        <v>-3499</v>
      </c>
      <c r="U6" s="6">
        <f>IF(ISNA(MATCH(U$2,Inputs!$K$4:$AJ$4,0)),NA(),IF(SUMPRODUCT((Inputs!$A$5:$A$140=$B6)*ISNUMBER(INDEX(Inputs!$K$5:$AJ$140,0,MATCH(U$2,Inputs!$K$4:$AJ$4,0))))+SUMPRODUCT((Inputs!$C$5:$C$140=$B6)*ISNUMBER(INDEX(Inputs!$K$5:$AJ$140,0,MATCH(U$2,Inputs!$K$4:$AJ$4,0))))+SUMPRODUCT((Inputs!$E$5:$E$140=$B6)*ISNUMBER(INDEX(Inputs!$K$5:$AJ$140,0,MATCH(U$2,Inputs!$K$4:$AJ$4,0))))=0,NA(),SUMPRODUCT((Inputs!$A$5:$A$140=$B6)*Inputs!$B$5:$B$140*(((Inputs!$G$5:$G$140="moeda")+(Inputs!$G$5:$G$140="acoes"))*Inputs!$B$1+((Inputs!$G$5:$G$140&lt;&gt;"moeda")*(Inputs!$G$5:$G$140&lt;&gt;"acoes")))*INDEX(Inputs!$K$5:$AJ$140,0,MATCH(U$2,Inputs!$K$4:$AJ$4,0)))+SUMPRODUCT((Inputs!$C$5:$C$140=$B6)*Inputs!$D$5:$D$140*(((Inputs!$G$5:$G$140="moeda")+(Inputs!$G$5:$G$140="acoes"))*Inputs!$B$1+((Inputs!$G$5:$G$140&lt;&gt;"moeda")*(Inputs!$G$5:$G$140&lt;&gt;"acoes")))*INDEX(Inputs!$K$5:$AJ$140,0,MATCH(U$2,Inputs!$K$4:$AJ$4,0)))+SUMPRODUCT((Inputs!$E$5:$E$140=$B6)*Inputs!$F$5:$F$140*(((Inputs!$G$5:$G$140="moeda")+(Inputs!$G$5:$G$140="acoes"))*Inputs!$B$1+((Inputs!$G$5:$G$140&lt;&gt;"moeda")*(Inputs!$G$5:$G$140&lt;&gt;"acoes")))*INDEX(Inputs!$K$5:$AJ$140,0,MATCH(U$2,Inputs!$K$4:$AJ$4,0)))))</f>
        <v>-3809</v>
      </c>
      <c r="V6" s="6">
        <f>IF(ISNA(MATCH(V$2,Inputs!$K$4:$AJ$4,0)),NA(),IF(SUMPRODUCT((Inputs!$A$5:$A$140=$B6)*ISNUMBER(INDEX(Inputs!$K$5:$AJ$140,0,MATCH(V$2,Inputs!$K$4:$AJ$4,0))))+SUMPRODUCT((Inputs!$C$5:$C$140=$B6)*ISNUMBER(INDEX(Inputs!$K$5:$AJ$140,0,MATCH(V$2,Inputs!$K$4:$AJ$4,0))))+SUMPRODUCT((Inputs!$E$5:$E$140=$B6)*ISNUMBER(INDEX(Inputs!$K$5:$AJ$140,0,MATCH(V$2,Inputs!$K$4:$AJ$4,0))))=0,NA(),SUMPRODUCT((Inputs!$A$5:$A$140=$B6)*Inputs!$B$5:$B$140*(((Inputs!$G$5:$G$140="moeda")+(Inputs!$G$5:$G$140="acoes"))*Inputs!$B$1+((Inputs!$G$5:$G$140&lt;&gt;"moeda")*(Inputs!$G$5:$G$140&lt;&gt;"acoes")))*INDEX(Inputs!$K$5:$AJ$140,0,MATCH(V$2,Inputs!$K$4:$AJ$4,0)))+SUMPRODUCT((Inputs!$C$5:$C$140=$B6)*Inputs!$D$5:$D$140*(((Inputs!$G$5:$G$140="moeda")+(Inputs!$G$5:$G$140="acoes"))*Inputs!$B$1+((Inputs!$G$5:$G$140&lt;&gt;"moeda")*(Inputs!$G$5:$G$140&lt;&gt;"acoes")))*INDEX(Inputs!$K$5:$AJ$140,0,MATCH(V$2,Inputs!$K$4:$AJ$4,0)))+SUMPRODUCT((Inputs!$E$5:$E$140=$B6)*Inputs!$F$5:$F$140*(((Inputs!$G$5:$G$140="moeda")+(Inputs!$G$5:$G$140="acoes"))*Inputs!$B$1+((Inputs!$G$5:$G$140&lt;&gt;"moeda")*(Inputs!$G$5:$G$140&lt;&gt;"acoes")))*INDEX(Inputs!$K$5:$AJ$140,0,MATCH(V$2,Inputs!$K$4:$AJ$4,0)))))</f>
        <v>-4146</v>
      </c>
      <c r="W6" s="3">
        <f>SUM(S6:V6)</f>
        <v>-14541</v>
      </c>
      <c r="X6" s="6">
        <f>IF(ISNA(MATCH(X$2,Inputs!$K$4:$AJ$4,0)),NA(),IF(SUMPRODUCT((Inputs!$A$5:$A$140=$B6)*ISNUMBER(INDEX(Inputs!$K$5:$AJ$140,0,MATCH(X$2,Inputs!$K$4:$AJ$4,0))))+SUMPRODUCT((Inputs!$C$5:$C$140=$B6)*ISNUMBER(INDEX(Inputs!$K$5:$AJ$140,0,MATCH(X$2,Inputs!$K$4:$AJ$4,0))))+SUMPRODUCT((Inputs!$E$5:$E$140=$B6)*ISNUMBER(INDEX(Inputs!$K$5:$AJ$140,0,MATCH(X$2,Inputs!$K$4:$AJ$4,0))))=0,NA(),SUMPRODUCT((Inputs!$A$5:$A$140=$B6)*Inputs!$B$5:$B$140*(((Inputs!$G$5:$G$140="moeda")+(Inputs!$G$5:$G$140="acoes"))*Inputs!$B$1+((Inputs!$G$5:$G$140&lt;&gt;"moeda")*(Inputs!$G$5:$G$140&lt;&gt;"acoes")))*INDEX(Inputs!$K$5:$AJ$140,0,MATCH(X$2,Inputs!$K$4:$AJ$4,0)))+SUMPRODUCT((Inputs!$C$5:$C$140=$B6)*Inputs!$D$5:$D$140*(((Inputs!$G$5:$G$140="moeda")+(Inputs!$G$5:$G$140="acoes"))*Inputs!$B$1+((Inputs!$G$5:$G$140&lt;&gt;"moeda")*(Inputs!$G$5:$G$140&lt;&gt;"acoes")))*INDEX(Inputs!$K$5:$AJ$140,0,MATCH(X$2,Inputs!$K$4:$AJ$4,0)))+SUMPRODUCT((Inputs!$E$5:$E$140=$B6)*Inputs!$F$5:$F$140*(((Inputs!$G$5:$G$140="moeda")+(Inputs!$G$5:$G$140="acoes"))*Inputs!$B$1+((Inputs!$G$5:$G$140&lt;&gt;"moeda")*(Inputs!$G$5:$G$140&lt;&gt;"acoes")))*INDEX(Inputs!$K$5:$AJ$140,0,MATCH(X$2,Inputs!$K$4:$AJ$4,0)))))</f>
        <v>-4419</v>
      </c>
      <c r="Y6" s="6">
        <f>IF(ISNA(MATCH(Y$2,Inputs!$K$4:$AJ$4,0)),NA(),IF(SUMPRODUCT((Inputs!$A$5:$A$140=$B6)*ISNUMBER(INDEX(Inputs!$K$5:$AJ$140,0,MATCH(Y$2,Inputs!$K$4:$AJ$4,0))))+SUMPRODUCT((Inputs!$C$5:$C$140=$B6)*ISNUMBER(INDEX(Inputs!$K$5:$AJ$140,0,MATCH(Y$2,Inputs!$K$4:$AJ$4,0))))+SUMPRODUCT((Inputs!$E$5:$E$140=$B6)*ISNUMBER(INDEX(Inputs!$K$5:$AJ$140,0,MATCH(Y$2,Inputs!$K$4:$AJ$4,0))))=0,NA(),SUMPRODUCT((Inputs!$A$5:$A$140=$B6)*Inputs!$B$5:$B$140*(((Inputs!$G$5:$G$140="moeda")+(Inputs!$G$5:$G$140="acoes"))*Inputs!$B$1+((Inputs!$G$5:$G$140&lt;&gt;"moeda")*(Inputs!$G$5:$G$140&lt;&gt;"acoes")))*INDEX(Inputs!$K$5:$AJ$140,0,MATCH(Y$2,Inputs!$K$4:$AJ$4,0)))+SUMPRODUCT((Inputs!$C$5:$C$140=$B6)*Inputs!$D$5:$D$140*(((Inputs!$G$5:$G$140="moeda")+(Inputs!$G$5:$G$140="acoes"))*Inputs!$B$1+((Inputs!$G$5:$G$140&lt;&gt;"moeda")*(Inputs!$G$5:$G$140&lt;&gt;"acoes")))*INDEX(Inputs!$K$5:$AJ$140,0,MATCH(Y$2,Inputs!$K$4:$AJ$4,0)))+SUMPRODUCT((Inputs!$E$5:$E$140=$B6)*Inputs!$F$5:$F$140*(((Inputs!$G$5:$G$140="moeda")+(Inputs!$G$5:$G$140="acoes"))*Inputs!$B$1+((Inputs!$G$5:$G$140&lt;&gt;"moeda")*(Inputs!$G$5:$G$140&lt;&gt;"acoes")))*INDEX(Inputs!$K$5:$AJ$140,0,MATCH(Y$2,Inputs!$K$4:$AJ$4,0)))))</f>
        <v>-4744</v>
      </c>
      <c r="Z6" s="6">
        <f>IF(ISNA(MATCH(Z$2,Inputs!$K$4:$AJ$4,0)),NA(),IF(SUMPRODUCT((Inputs!$A$5:$A$140=$B6)*ISNUMBER(INDEX(Inputs!$K$5:$AJ$140,0,MATCH(Z$2,Inputs!$K$4:$AJ$4,0))))+SUMPRODUCT((Inputs!$C$5:$C$140=$B6)*ISNUMBER(INDEX(Inputs!$K$5:$AJ$140,0,MATCH(Z$2,Inputs!$K$4:$AJ$4,0))))+SUMPRODUCT((Inputs!$E$5:$E$140=$B6)*ISNUMBER(INDEX(Inputs!$K$5:$AJ$140,0,MATCH(Z$2,Inputs!$K$4:$AJ$4,0))))=0,NA(),SUMPRODUCT((Inputs!$A$5:$A$140=$B6)*Inputs!$B$5:$B$140*(((Inputs!$G$5:$G$140="moeda")+(Inputs!$G$5:$G$140="acoes"))*Inputs!$B$1+((Inputs!$G$5:$G$140&lt;&gt;"moeda")*(Inputs!$G$5:$G$140&lt;&gt;"acoes")))*INDEX(Inputs!$K$5:$AJ$140,0,MATCH(Z$2,Inputs!$K$4:$AJ$4,0)))+SUMPRODUCT((Inputs!$C$5:$C$140=$B6)*Inputs!$D$5:$D$140*(((Inputs!$G$5:$G$140="moeda")+(Inputs!$G$5:$G$140="acoes"))*Inputs!$B$1+((Inputs!$G$5:$G$140&lt;&gt;"moeda")*(Inputs!$G$5:$G$140&lt;&gt;"acoes")))*INDEX(Inputs!$K$5:$AJ$140,0,MATCH(Z$2,Inputs!$K$4:$AJ$4,0)))+SUMPRODUCT((Inputs!$E$5:$E$140=$B6)*Inputs!$F$5:$F$140*(((Inputs!$G$5:$G$140="moeda")+(Inputs!$G$5:$G$140="acoes"))*Inputs!$B$1+((Inputs!$G$5:$G$140&lt;&gt;"moeda")*(Inputs!$G$5:$G$140&lt;&gt;"acoes")))*INDEX(Inputs!$K$5:$AJ$140,0,MATCH(Z$2,Inputs!$K$4:$AJ$4,0)))))</f>
        <v>-5088</v>
      </c>
      <c r="AA6" s="6">
        <f>IF(ISNA(MATCH(AA$2,Inputs!$K$4:$AJ$4,0)),NA(),IF(SUMPRODUCT((Inputs!$A$5:$A$140=$B6)*ISNUMBER(INDEX(Inputs!$K$5:$AJ$140,0,MATCH(AA$2,Inputs!$K$4:$AJ$4,0))))+SUMPRODUCT((Inputs!$C$5:$C$140=$B6)*ISNUMBER(INDEX(Inputs!$K$5:$AJ$140,0,MATCH(AA$2,Inputs!$K$4:$AJ$4,0))))+SUMPRODUCT((Inputs!$E$5:$E$140=$B6)*ISNUMBER(INDEX(Inputs!$K$5:$AJ$140,0,MATCH(AA$2,Inputs!$K$4:$AJ$4,0))))=0,NA(),SUMPRODUCT((Inputs!$A$5:$A$140=$B6)*Inputs!$B$5:$B$140*(((Inputs!$G$5:$G$140="moeda")+(Inputs!$G$5:$G$140="acoes"))*Inputs!$B$1+((Inputs!$G$5:$G$140&lt;&gt;"moeda")*(Inputs!$G$5:$G$140&lt;&gt;"acoes")))*INDEX(Inputs!$K$5:$AJ$140,0,MATCH(AA$2,Inputs!$K$4:$AJ$4,0)))+SUMPRODUCT((Inputs!$C$5:$C$140=$B6)*Inputs!$D$5:$D$140*(((Inputs!$G$5:$G$140="moeda")+(Inputs!$G$5:$G$140="acoes"))*Inputs!$B$1+((Inputs!$G$5:$G$140&lt;&gt;"moeda")*(Inputs!$G$5:$G$140&lt;&gt;"acoes")))*INDEX(Inputs!$K$5:$AJ$140,0,MATCH(AA$2,Inputs!$K$4:$AJ$4,0)))+SUMPRODUCT((Inputs!$E$5:$E$140=$B6)*Inputs!$F$5:$F$140*(((Inputs!$G$5:$G$140="moeda")+(Inputs!$G$5:$G$140="acoes"))*Inputs!$B$1+((Inputs!$G$5:$G$140&lt;&gt;"moeda")*(Inputs!$G$5:$G$140&lt;&gt;"acoes")))*INDEX(Inputs!$K$5:$AJ$140,0,MATCH(AA$2,Inputs!$K$4:$AJ$4,0)))))</f>
        <v>-5982</v>
      </c>
      <c r="AB6" s="3">
        <f>SUM(X6:AA6)</f>
        <v>-20233</v>
      </c>
      <c r="AC6" s="6">
        <f>IF(ISNA(MATCH(AC$2,Inputs!$K$4:$AJ$4,0)),NA(),IF(SUMPRODUCT((Inputs!$A$5:$A$140=$B6)*ISNUMBER(INDEX(Inputs!$K$5:$AJ$140,0,MATCH(AC$2,Inputs!$K$4:$AJ$4,0))))+SUMPRODUCT((Inputs!$C$5:$C$140=$B6)*ISNUMBER(INDEX(Inputs!$K$5:$AJ$140,0,MATCH(AC$2,Inputs!$K$4:$AJ$4,0))))+SUMPRODUCT((Inputs!$E$5:$E$140=$B6)*ISNUMBER(INDEX(Inputs!$K$5:$AJ$140,0,MATCH(AC$2,Inputs!$K$4:$AJ$4,0))))=0,NA(),SUMPRODUCT((Inputs!$A$5:$A$140=$B6)*Inputs!$B$5:$B$140*(((Inputs!$G$5:$G$140="moeda")+(Inputs!$G$5:$G$140="acoes"))*Inputs!$B$1+((Inputs!$G$5:$G$140&lt;&gt;"moeda")*(Inputs!$G$5:$G$140&lt;&gt;"acoes")))*INDEX(Inputs!$K$5:$AJ$140,0,MATCH(AC$2,Inputs!$K$4:$AJ$4,0)))+SUMPRODUCT((Inputs!$C$5:$C$140=$B6)*Inputs!$D$5:$D$140*(((Inputs!$G$5:$G$140="moeda")+(Inputs!$G$5:$G$140="acoes"))*Inputs!$B$1+((Inputs!$G$5:$G$140&lt;&gt;"moeda")*(Inputs!$G$5:$G$140&lt;&gt;"acoes")))*INDEX(Inputs!$K$5:$AJ$140,0,MATCH(AC$2,Inputs!$K$4:$AJ$4,0)))+SUMPRODUCT((Inputs!$E$5:$E$140=$B6)*Inputs!$F$5:$F$140*(((Inputs!$G$5:$G$140="moeda")+(Inputs!$G$5:$G$140="acoes"))*Inputs!$B$1+((Inputs!$G$5:$G$140&lt;&gt;"moeda")*(Inputs!$G$5:$G$140&lt;&gt;"acoes")))*INDEX(Inputs!$K$5:$AJ$140,0,MATCH(AC$2,Inputs!$K$4:$AJ$4,0)))))</f>
        <v>-6624</v>
      </c>
      <c r="AD6" s="6">
        <f>IF(ISNA(MATCH(AD$2,Inputs!$K$4:$AJ$4,0)),NA(),IF(SUMPRODUCT((Inputs!$A$5:$A$140=$B6)*ISNUMBER(INDEX(Inputs!$K$5:$AJ$140,0,MATCH(AD$2,Inputs!$K$4:$AJ$4,0))))+SUMPRODUCT((Inputs!$C$5:$C$140=$B6)*ISNUMBER(INDEX(Inputs!$K$5:$AJ$140,0,MATCH(AD$2,Inputs!$K$4:$AJ$4,0))))+SUMPRODUCT((Inputs!$E$5:$E$140=$B6)*ISNUMBER(INDEX(Inputs!$K$5:$AJ$140,0,MATCH(AD$2,Inputs!$K$4:$AJ$4,0))))=0,NA(),SUMPRODUCT((Inputs!$A$5:$A$140=$B6)*Inputs!$B$5:$B$140*(((Inputs!$G$5:$G$140="moeda")+(Inputs!$G$5:$G$140="acoes"))*Inputs!$B$1+((Inputs!$G$5:$G$140&lt;&gt;"moeda")*(Inputs!$G$5:$G$140&lt;&gt;"acoes")))*INDEX(Inputs!$K$5:$AJ$140,0,MATCH(AD$2,Inputs!$K$4:$AJ$4,0)))+SUMPRODUCT((Inputs!$C$5:$C$140=$B6)*Inputs!$D$5:$D$140*(((Inputs!$G$5:$G$140="moeda")+(Inputs!$G$5:$G$140="acoes"))*Inputs!$B$1+((Inputs!$G$5:$G$140&lt;&gt;"moeda")*(Inputs!$G$5:$G$140&lt;&gt;"acoes")))*INDEX(Inputs!$K$5:$AJ$140,0,MATCH(AD$2,Inputs!$K$4:$AJ$4,0)))+SUMPRODUCT((Inputs!$E$5:$E$140=$B6)*Inputs!$F$5:$F$140*(((Inputs!$G$5:$G$140="moeda")+(Inputs!$G$5:$G$140="acoes"))*Inputs!$B$1+((Inputs!$G$5:$G$140&lt;&gt;"moeda")*(Inputs!$G$5:$G$140&lt;&gt;"acoes")))*INDEX(Inputs!$K$5:$AJ$140,0,MATCH(AD$2,Inputs!$K$4:$AJ$4,0)))))</f>
        <v>-7281</v>
      </c>
      <c r="AE6" s="6" t="e">
        <f>IF(ISNA(MATCH(AE$2,Inputs!$K$4:$AJ$4,0)),NA(),IF(SUMPRODUCT((Inputs!$A$5:$A$140=$B6)*ISNUMBER(INDEX(Inputs!$K$5:$AJ$140,0,MATCH(AE$2,Inputs!$K$4:$AJ$4,0))))+SUMPRODUCT((Inputs!$C$5:$C$140=$B6)*ISNUMBER(INDEX(Inputs!$K$5:$AJ$140,0,MATCH(AE$2,Inputs!$K$4:$AJ$4,0))))+SUMPRODUCT((Inputs!$E$5:$E$140=$B6)*ISNUMBER(INDEX(Inputs!$K$5:$AJ$140,0,MATCH(AE$2,Inputs!$K$4:$AJ$4,0))))=0,NA(),SUMPRODUCT((Inputs!$A$5:$A$140=$B6)*Inputs!$B$5:$B$140*(((Inputs!$G$5:$G$140="moeda")+(Inputs!$G$5:$G$140="acoes"))*Inputs!$B$1+((Inputs!$G$5:$G$140&lt;&gt;"moeda")*(Inputs!$G$5:$G$140&lt;&gt;"acoes")))*INDEX(Inputs!$K$5:$AJ$140,0,MATCH(AE$2,Inputs!$K$4:$AJ$4,0)))+SUMPRODUCT((Inputs!$C$5:$C$140=$B6)*Inputs!$D$5:$D$140*(((Inputs!$G$5:$G$140="moeda")+(Inputs!$G$5:$G$140="acoes"))*Inputs!$B$1+((Inputs!$G$5:$G$140&lt;&gt;"moeda")*(Inputs!$G$5:$G$140&lt;&gt;"acoes")))*INDEX(Inputs!$K$5:$AJ$140,0,MATCH(AE$2,Inputs!$K$4:$AJ$4,0)))+SUMPRODUCT((Inputs!$E$5:$E$140=$B6)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6" s="6" t="e">
        <f>IF(ISNA(MATCH(AF$2,Inputs!$K$4:$AJ$4,0)),NA(),IF(SUMPRODUCT((Inputs!$A$5:$A$140=$B6)*ISNUMBER(INDEX(Inputs!$K$5:$AJ$140,0,MATCH(AF$2,Inputs!$K$4:$AJ$4,0))))+SUMPRODUCT((Inputs!$C$5:$C$140=$B6)*ISNUMBER(INDEX(Inputs!$K$5:$AJ$140,0,MATCH(AF$2,Inputs!$K$4:$AJ$4,0))))+SUMPRODUCT((Inputs!$E$5:$E$140=$B6)*ISNUMBER(INDEX(Inputs!$K$5:$AJ$140,0,MATCH(AF$2,Inputs!$K$4:$AJ$4,0))))=0,NA(),SUMPRODUCT((Inputs!$A$5:$A$140=$B6)*Inputs!$B$5:$B$140*(((Inputs!$G$5:$G$140="moeda")+(Inputs!$G$5:$G$140="acoes"))*Inputs!$B$1+((Inputs!$G$5:$G$140&lt;&gt;"moeda")*(Inputs!$G$5:$G$140&lt;&gt;"acoes")))*INDEX(Inputs!$K$5:$AJ$140,0,MATCH(AF$2,Inputs!$K$4:$AJ$4,0)))+SUMPRODUCT((Inputs!$C$5:$C$140=$B6)*Inputs!$D$5:$D$140*(((Inputs!$G$5:$G$140="moeda")+(Inputs!$G$5:$G$140="acoes"))*Inputs!$B$1+((Inputs!$G$5:$G$140&lt;&gt;"moeda")*(Inputs!$G$5:$G$140&lt;&gt;"acoes")))*INDEX(Inputs!$K$5:$AJ$140,0,MATCH(AF$2,Inputs!$K$4:$AJ$4,0)))+SUMPRODUCT((Inputs!$E$5:$E$140=$B6)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6" s="3" t="e">
        <f>SUM(AC6:AF6)</f>
        <v>#N/A</v>
      </c>
      <c r="AH6" s="6">
        <f>IF(ISNA(MATCH(AH$2,Inputs!$K$4:$AJ$4,0)),NA(),IF(SUMPRODUCT((Inputs!$A$5:$A$140=$B6)*ISNUMBER(INDEX(Inputs!$K$5:$AJ$140,0,MATCH(AH$2,Inputs!$K$4:$AJ$4,0))))+SUMPRODUCT((Inputs!$C$5:$C$140=$B6)*ISNUMBER(INDEX(Inputs!$K$5:$AJ$140,0,MATCH(AH$2,Inputs!$K$4:$AJ$4,0))))+SUMPRODUCT((Inputs!$E$5:$E$140=$B6)*ISNUMBER(INDEX(Inputs!$K$5:$AJ$140,0,MATCH(AH$2,Inputs!$K$4:$AJ$4,0))))=0,NA(),SUMPRODUCT((Inputs!$A$5:$A$140=$B6)*Inputs!$B$5:$B$140*(((Inputs!$G$5:$G$140="moeda")+(Inputs!$G$5:$G$140="acoes"))*Inputs!$B$1+((Inputs!$G$5:$G$140&lt;&gt;"moeda")*(Inputs!$G$5:$G$140&lt;&gt;"acoes")))*INDEX(Inputs!$K$5:$AJ$140,0,MATCH(AH$2,Inputs!$K$4:$AJ$4,0)))+SUMPRODUCT((Inputs!$C$5:$C$140=$B6)*Inputs!$D$5:$D$140*(((Inputs!$G$5:$G$140="moeda")+(Inputs!$G$5:$G$140="acoes"))*Inputs!$B$1+((Inputs!$G$5:$G$140&lt;&gt;"moeda")*(Inputs!$G$5:$G$140&lt;&gt;"acoes")))*INDEX(Inputs!$K$5:$AJ$140,0,MATCH(AH$2,Inputs!$K$4:$AJ$4,0)))+SUMPRODUCT((Inputs!$E$5:$E$140=$B6)*Inputs!$F$5:$F$140*(((Inputs!$G$5:$G$140="moeda")+(Inputs!$G$5:$G$140="acoes"))*Inputs!$B$1+((Inputs!$G$5:$G$140&lt;&gt;"moeda")*(Inputs!$G$5:$G$140&lt;&gt;"acoes")))*INDEX(Inputs!$K$5:$AJ$140,0,MATCH(AH$2,Inputs!$K$4:$AJ$4,0)))))</f>
        <v>-921</v>
      </c>
      <c r="AI6" s="6">
        <f>IF(ISNA(MATCH(AI$2,Inputs!$K$4:$AJ$4,0)),NA(),IF(SUMPRODUCT((Inputs!$A$5:$A$140=$B6)*ISNUMBER(INDEX(Inputs!$K$5:$AJ$140,0,MATCH(AI$2,Inputs!$K$4:$AJ$4,0))))+SUMPRODUCT((Inputs!$C$5:$C$140=$B6)*ISNUMBER(INDEX(Inputs!$K$5:$AJ$140,0,MATCH(AI$2,Inputs!$K$4:$AJ$4,0))))+SUMPRODUCT((Inputs!$E$5:$E$140=$B6)*ISNUMBER(INDEX(Inputs!$K$5:$AJ$140,0,MATCH(AI$2,Inputs!$K$4:$AJ$4,0))))=0,NA(),SUMPRODUCT((Inputs!$A$5:$A$140=$B6)*Inputs!$B$5:$B$140*(((Inputs!$G$5:$G$140="moeda")+(Inputs!$G$5:$G$140="acoes"))*Inputs!$B$1+((Inputs!$G$5:$G$140&lt;&gt;"moeda")*(Inputs!$G$5:$G$140&lt;&gt;"acoes")))*INDEX(Inputs!$K$5:$AJ$140,0,MATCH(AI$2,Inputs!$K$4:$AJ$4,0)))+SUMPRODUCT((Inputs!$C$5:$C$140=$B6)*Inputs!$D$5:$D$140*(((Inputs!$G$5:$G$140="moeda")+(Inputs!$G$5:$G$140="acoes"))*Inputs!$B$1+((Inputs!$G$5:$G$140&lt;&gt;"moeda")*(Inputs!$G$5:$G$140&lt;&gt;"acoes")))*INDEX(Inputs!$K$5:$AJ$140,0,MATCH(AI$2,Inputs!$K$4:$AJ$4,0)))+SUMPRODUCT((Inputs!$E$5:$E$140=$B6)*Inputs!$F$5:$F$140*(((Inputs!$G$5:$G$140="moeda")+(Inputs!$G$5:$G$140="acoes"))*Inputs!$B$1+((Inputs!$G$5:$G$140&lt;&gt;"moeda")*(Inputs!$G$5:$G$140&lt;&gt;"acoes")))*INDEX(Inputs!$K$5:$AJ$140,0,MATCH(AI$2,Inputs!$K$4:$AJ$4,0)))))</f>
        <v>-1220</v>
      </c>
      <c r="AJ6" s="6">
        <f>IF(ISNA(MATCH(AJ$2,Inputs!$K$4:$AJ$4,0)),NA(),IF(SUMPRODUCT((Inputs!$A$5:$A$140=$B6)*ISNUMBER(INDEX(Inputs!$K$5:$AJ$140,0,MATCH(AJ$2,Inputs!$K$4:$AJ$4,0))))+SUMPRODUCT((Inputs!$C$5:$C$140=$B6)*ISNUMBER(INDEX(Inputs!$K$5:$AJ$140,0,MATCH(AJ$2,Inputs!$K$4:$AJ$4,0))))+SUMPRODUCT((Inputs!$E$5:$E$140=$B6)*ISNUMBER(INDEX(Inputs!$K$5:$AJ$140,0,MATCH(AJ$2,Inputs!$K$4:$AJ$4,0))))=0,NA(),SUMPRODUCT((Inputs!$A$5:$A$140=$B6)*Inputs!$B$5:$B$140*(((Inputs!$G$5:$G$140="moeda")+(Inputs!$G$5:$G$140="acoes"))*Inputs!$B$1+((Inputs!$G$5:$G$140&lt;&gt;"moeda")*(Inputs!$G$5:$G$140&lt;&gt;"acoes")))*INDEX(Inputs!$K$5:$AJ$140,0,MATCH(AJ$2,Inputs!$K$4:$AJ$4,0)))+SUMPRODUCT((Inputs!$C$5:$C$140=$B6)*Inputs!$D$5:$D$140*(((Inputs!$G$5:$G$140="moeda")+(Inputs!$G$5:$G$140="acoes"))*Inputs!$B$1+((Inputs!$G$5:$G$140&lt;&gt;"moeda")*(Inputs!$G$5:$G$140&lt;&gt;"acoes")))*INDEX(Inputs!$K$5:$AJ$140,0,MATCH(AJ$2,Inputs!$K$4:$AJ$4,0)))+SUMPRODUCT((Inputs!$E$5:$E$140=$B6)*Inputs!$F$5:$F$140*(((Inputs!$G$5:$G$140="moeda")+(Inputs!$G$5:$G$140="acoes"))*Inputs!$B$1+((Inputs!$G$5:$G$140&lt;&gt;"moeda")*(Inputs!$G$5:$G$140&lt;&gt;"acoes")))*INDEX(Inputs!$K$5:$AJ$140,0,MATCH(AJ$2,Inputs!$K$4:$AJ$4,0)))))</f>
        <v>-1263</v>
      </c>
      <c r="AK6" s="6">
        <f>IF(ISNA(MATCH(AK$2,Inputs!$K$4:$AJ$4,0)),NA(),IF(SUMPRODUCT((Inputs!$A$5:$A$140=$B6)*ISNUMBER(INDEX(Inputs!$K$5:$AJ$140,0,MATCH(AK$2,Inputs!$K$4:$AJ$4,0))))+SUMPRODUCT((Inputs!$C$5:$C$140=$B6)*ISNUMBER(INDEX(Inputs!$K$5:$AJ$140,0,MATCH(AK$2,Inputs!$K$4:$AJ$4,0))))+SUMPRODUCT((Inputs!$E$5:$E$140=$B6)*ISNUMBER(INDEX(Inputs!$K$5:$AJ$140,0,MATCH(AK$2,Inputs!$K$4:$AJ$4,0))))=0,NA(),SUMPRODUCT((Inputs!$A$5:$A$140=$B6)*Inputs!$B$5:$B$140*(((Inputs!$G$5:$G$140="moeda")+(Inputs!$G$5:$G$140="acoes"))*Inputs!$B$1+((Inputs!$G$5:$G$140&lt;&gt;"moeda")*(Inputs!$G$5:$G$140&lt;&gt;"acoes")))*INDEX(Inputs!$K$5:$AJ$140,0,MATCH(AK$2,Inputs!$K$4:$AJ$4,0)))+SUMPRODUCT((Inputs!$C$5:$C$140=$B6)*Inputs!$D$5:$D$140*(((Inputs!$G$5:$G$140="moeda")+(Inputs!$G$5:$G$140="acoes"))*Inputs!$B$1+((Inputs!$G$5:$G$140&lt;&gt;"moeda")*(Inputs!$G$5:$G$140&lt;&gt;"acoes")))*INDEX(Inputs!$K$5:$AJ$140,0,MATCH(AK$2,Inputs!$K$4:$AJ$4,0)))+SUMPRODUCT((Inputs!$E$5:$E$140=$B6)*Inputs!$F$5:$F$140*(((Inputs!$G$5:$G$140="moeda")+(Inputs!$G$5:$G$140="acoes"))*Inputs!$B$1+((Inputs!$G$5:$G$140&lt;&gt;"moeda")*(Inputs!$G$5:$G$140&lt;&gt;"acoes")))*INDEX(Inputs!$K$5:$AJ$140,0,MATCH(AK$2,Inputs!$K$4:$AJ$4,0)))))</f>
        <v>-1361</v>
      </c>
      <c r="AL6" s="3">
        <f>SUM(AH6:AK6)</f>
        <v>-4765</v>
      </c>
    </row>
    <row r="7">
      <c r="B7" s="46" t="n">
        <v>4</v>
      </c>
      <c r="C7" s="24" t="inlineStr">
        <is>
          <t>D&amp;A</t>
        </is>
      </c>
      <c r="D7" s="6">
        <f>IF(ISNA(MATCH(D$2,Inputs!$K$4:$AJ$4,0)),NA(),IF(SUMPRODUCT((Inputs!$A$5:$A$140=$B7)*ISNUMBER(INDEX(Inputs!$K$5:$AJ$140,0,MATCH(D$2,Inputs!$K$4:$AJ$4,0))))+SUMPRODUCT((Inputs!$C$5:$C$140=$B7)*ISNUMBER(INDEX(Inputs!$K$5:$AJ$140,0,MATCH(D$2,Inputs!$K$4:$AJ$4,0))))+SUMPRODUCT((Inputs!$E$5:$E$140=$B7)*ISNUMBER(INDEX(Inputs!$K$5:$AJ$140,0,MATCH(D$2,Inputs!$K$4:$AJ$4,0))))=0,NA(),SUMPRODUCT((Inputs!$A$5:$A$140=$B7)*Inputs!$B$5:$B$140*(((Inputs!$G$5:$G$140="moeda")+(Inputs!$G$5:$G$140="acoes"))*Inputs!$B$1+((Inputs!$G$5:$G$140&lt;&gt;"moeda")*(Inputs!$G$5:$G$140&lt;&gt;"acoes")))*INDEX(Inputs!$K$5:$AJ$140,0,MATCH(D$2,Inputs!$K$4:$AJ$4,0)))+SUMPRODUCT((Inputs!$C$5:$C$140=$B7)*Inputs!$D$5:$D$140*(((Inputs!$G$5:$G$140="moeda")+(Inputs!$G$5:$G$140="acoes"))*Inputs!$B$1+((Inputs!$G$5:$G$140&lt;&gt;"moeda")*(Inputs!$G$5:$G$140&lt;&gt;"acoes")))*INDEX(Inputs!$K$5:$AJ$140,0,MATCH(D$2,Inputs!$K$4:$AJ$4,0)))+SUMPRODUCT((Inputs!$E$5:$E$140=$B7)*Inputs!$F$5:$F$140*(((Inputs!$G$5:$G$140="moeda")+(Inputs!$G$5:$G$140="acoes"))*Inputs!$B$1+((Inputs!$G$5:$G$140&lt;&gt;"moeda")*(Inputs!$G$5:$G$140&lt;&gt;"acoes")))*INDEX(Inputs!$K$5:$AJ$140,0,MATCH(D$2,Inputs!$K$4:$AJ$4,0)))))</f>
        <v>-281</v>
      </c>
      <c r="E7" s="6">
        <f>IF(ISNA(MATCH(E$2,Inputs!$K$4:$AJ$4,0)),NA(),IF(SUMPRODUCT((Inputs!$A$5:$A$140=$B7)*ISNUMBER(INDEX(Inputs!$K$5:$AJ$140,0,MATCH(E$2,Inputs!$K$4:$AJ$4,0))))+SUMPRODUCT((Inputs!$C$5:$C$140=$B7)*ISNUMBER(INDEX(Inputs!$K$5:$AJ$140,0,MATCH(E$2,Inputs!$K$4:$AJ$4,0))))+SUMPRODUCT((Inputs!$E$5:$E$140=$B7)*ISNUMBER(INDEX(Inputs!$K$5:$AJ$140,0,MATCH(E$2,Inputs!$K$4:$AJ$4,0))))=0,NA(),SUMPRODUCT((Inputs!$A$5:$A$140=$B7)*Inputs!$B$5:$B$140*(((Inputs!$G$5:$G$140="moeda")+(Inputs!$G$5:$G$140="acoes"))*Inputs!$B$1+((Inputs!$G$5:$G$140&lt;&gt;"moeda")*(Inputs!$G$5:$G$140&lt;&gt;"acoes")))*INDEX(Inputs!$K$5:$AJ$140,0,MATCH(E$2,Inputs!$K$4:$AJ$4,0)))+SUMPRODUCT((Inputs!$C$5:$C$140=$B7)*Inputs!$D$5:$D$140*(((Inputs!$G$5:$G$140="moeda")+(Inputs!$G$5:$G$140="acoes"))*Inputs!$B$1+((Inputs!$G$5:$G$140&lt;&gt;"moeda")*(Inputs!$G$5:$G$140&lt;&gt;"acoes")))*INDEX(Inputs!$K$5:$AJ$140,0,MATCH(E$2,Inputs!$K$4:$AJ$4,0)))+SUMPRODUCT((Inputs!$E$5:$E$140=$B7)*Inputs!$F$5:$F$140*(((Inputs!$G$5:$G$140="moeda")+(Inputs!$G$5:$G$140="acoes"))*Inputs!$B$1+((Inputs!$G$5:$G$140&lt;&gt;"moeda")*(Inputs!$G$5:$G$140&lt;&gt;"acoes")))*INDEX(Inputs!$K$5:$AJ$140,0,MATCH(E$2,Inputs!$K$4:$AJ$4,0)))))</f>
        <v>-286</v>
      </c>
      <c r="F7" s="6">
        <f>IF(ISNA(MATCH(F$2,Inputs!$K$4:$AJ$4,0)),NA(),IF(SUMPRODUCT((Inputs!$A$5:$A$140=$B7)*ISNUMBER(INDEX(Inputs!$K$5:$AJ$140,0,MATCH(F$2,Inputs!$K$4:$AJ$4,0))))+SUMPRODUCT((Inputs!$C$5:$C$140=$B7)*ISNUMBER(INDEX(Inputs!$K$5:$AJ$140,0,MATCH(F$2,Inputs!$K$4:$AJ$4,0))))+SUMPRODUCT((Inputs!$E$5:$E$140=$B7)*ISNUMBER(INDEX(Inputs!$K$5:$AJ$140,0,MATCH(F$2,Inputs!$K$4:$AJ$4,0))))=0,NA(),SUMPRODUCT((Inputs!$A$5:$A$140=$B7)*Inputs!$B$5:$B$140*(((Inputs!$G$5:$G$140="moeda")+(Inputs!$G$5:$G$140="acoes"))*Inputs!$B$1+((Inputs!$G$5:$G$140&lt;&gt;"moeda")*(Inputs!$G$5:$G$140&lt;&gt;"acoes")))*INDEX(Inputs!$K$5:$AJ$140,0,MATCH(F$2,Inputs!$K$4:$AJ$4,0)))+SUMPRODUCT((Inputs!$C$5:$C$140=$B7)*Inputs!$D$5:$D$140*(((Inputs!$G$5:$G$140="moeda")+(Inputs!$G$5:$G$140="acoes"))*Inputs!$B$1+((Inputs!$G$5:$G$140&lt;&gt;"moeda")*(Inputs!$G$5:$G$140&lt;&gt;"acoes")))*INDEX(Inputs!$K$5:$AJ$140,0,MATCH(F$2,Inputs!$K$4:$AJ$4,0)))+SUMPRODUCT((Inputs!$E$5:$E$140=$B7)*Inputs!$F$5:$F$140*(((Inputs!$G$5:$G$140="moeda")+(Inputs!$G$5:$G$140="acoes"))*Inputs!$B$1+((Inputs!$G$5:$G$140&lt;&gt;"moeda")*(Inputs!$G$5:$G$140&lt;&gt;"acoes")))*INDEX(Inputs!$K$5:$AJ$140,0,MATCH(F$2,Inputs!$K$4:$AJ$4,0)))))</f>
        <v>-298</v>
      </c>
      <c r="G7" s="6">
        <f>IF(ISNA(MATCH(G$2,Inputs!$K$4:$AJ$4,0)),NA(),IF(SUMPRODUCT((Inputs!$A$5:$A$140=$B7)*ISNUMBER(INDEX(Inputs!$K$5:$AJ$140,0,MATCH(G$2,Inputs!$K$4:$AJ$4,0))))+SUMPRODUCT((Inputs!$C$5:$C$140=$B7)*ISNUMBER(INDEX(Inputs!$K$5:$AJ$140,0,MATCH(G$2,Inputs!$K$4:$AJ$4,0))))+SUMPRODUCT((Inputs!$E$5:$E$140=$B7)*ISNUMBER(INDEX(Inputs!$K$5:$AJ$140,0,MATCH(G$2,Inputs!$K$4:$AJ$4,0))))=0,NA(),SUMPRODUCT((Inputs!$A$5:$A$140=$B7)*Inputs!$B$5:$B$140*(((Inputs!$G$5:$G$140="moeda")+(Inputs!$G$5:$G$140="acoes"))*Inputs!$B$1+((Inputs!$G$5:$G$140&lt;&gt;"moeda")*(Inputs!$G$5:$G$140&lt;&gt;"acoes")))*INDEX(Inputs!$K$5:$AJ$140,0,MATCH(G$2,Inputs!$K$4:$AJ$4,0)))+SUMPRODUCT((Inputs!$C$5:$C$140=$B7)*Inputs!$D$5:$D$140*(((Inputs!$G$5:$G$140="moeda")+(Inputs!$G$5:$G$140="acoes"))*Inputs!$B$1+((Inputs!$G$5:$G$140&lt;&gt;"moeda")*(Inputs!$G$5:$G$140&lt;&gt;"acoes")))*INDEX(Inputs!$K$5:$AJ$140,0,MATCH(G$2,Inputs!$K$4:$AJ$4,0)))+SUMPRODUCT((Inputs!$E$5:$E$140=$B7)*Inputs!$F$5:$F$140*(((Inputs!$G$5:$G$140="moeda")+(Inputs!$G$5:$G$140="acoes"))*Inputs!$B$1+((Inputs!$G$5:$G$140&lt;&gt;"moeda")*(Inputs!$G$5:$G$140&lt;&gt;"acoes")))*INDEX(Inputs!$K$5:$AJ$140,0,MATCH(G$2,Inputs!$K$4:$AJ$4,0)))))</f>
        <v>-309</v>
      </c>
      <c r="H7" s="3">
        <f>SUM(D7:G7)</f>
        <v>-1174</v>
      </c>
      <c r="I7" s="6">
        <f>IF(ISNA(MATCH(I$2,Inputs!$K$4:$AJ$4,0)),NA(),IF(SUMPRODUCT((Inputs!$A$5:$A$140=$B7)*ISNUMBER(INDEX(Inputs!$K$5:$AJ$140,0,MATCH(I$2,Inputs!$K$4:$AJ$4,0))))+SUMPRODUCT((Inputs!$C$5:$C$140=$B7)*ISNUMBER(INDEX(Inputs!$K$5:$AJ$140,0,MATCH(I$2,Inputs!$K$4:$AJ$4,0))))+SUMPRODUCT((Inputs!$E$5:$E$140=$B7)*ISNUMBER(INDEX(Inputs!$K$5:$AJ$140,0,MATCH(I$2,Inputs!$K$4:$AJ$4,0))))=0,NA(),SUMPRODUCT((Inputs!$A$5:$A$140=$B7)*Inputs!$B$5:$B$140*(((Inputs!$G$5:$G$140="moeda")+(Inputs!$G$5:$G$140="acoes"))*Inputs!$B$1+((Inputs!$G$5:$G$140&lt;&gt;"moeda")*(Inputs!$G$5:$G$140&lt;&gt;"acoes")))*INDEX(Inputs!$K$5:$AJ$140,0,MATCH(I$2,Inputs!$K$4:$AJ$4,0)))+SUMPRODUCT((Inputs!$C$5:$C$140=$B7)*Inputs!$D$5:$D$140*(((Inputs!$G$5:$G$140="moeda")+(Inputs!$G$5:$G$140="acoes"))*Inputs!$B$1+((Inputs!$G$5:$G$140&lt;&gt;"moeda")*(Inputs!$G$5:$G$140&lt;&gt;"acoes")))*INDEX(Inputs!$K$5:$AJ$140,0,MATCH(I$2,Inputs!$K$4:$AJ$4,0)))+SUMPRODUCT((Inputs!$E$5:$E$140=$B7)*Inputs!$F$5:$F$140*(((Inputs!$G$5:$G$140="moeda")+(Inputs!$G$5:$G$140="acoes"))*Inputs!$B$1+((Inputs!$G$5:$G$140&lt;&gt;"moeda")*(Inputs!$G$5:$G$140&lt;&gt;"acoes")))*INDEX(Inputs!$K$5:$AJ$140,0,MATCH(I$2,Inputs!$K$4:$AJ$4,0)))))</f>
        <v>-334</v>
      </c>
      <c r="J7" s="6">
        <f>IF(ISNA(MATCH(J$2,Inputs!$K$4:$AJ$4,0)),NA(),IF(SUMPRODUCT((Inputs!$A$5:$A$140=$B7)*ISNUMBER(INDEX(Inputs!$K$5:$AJ$140,0,MATCH(J$2,Inputs!$K$4:$AJ$4,0))))+SUMPRODUCT((Inputs!$C$5:$C$140=$B7)*ISNUMBER(INDEX(Inputs!$K$5:$AJ$140,0,MATCH(J$2,Inputs!$K$4:$AJ$4,0))))+SUMPRODUCT((Inputs!$E$5:$E$140=$B7)*ISNUMBER(INDEX(Inputs!$K$5:$AJ$140,0,MATCH(J$2,Inputs!$K$4:$AJ$4,0))))=0,NA(),SUMPRODUCT((Inputs!$A$5:$A$140=$B7)*Inputs!$B$5:$B$140*(((Inputs!$G$5:$G$140="moeda")+(Inputs!$G$5:$G$140="acoes"))*Inputs!$B$1+((Inputs!$G$5:$G$140&lt;&gt;"moeda")*(Inputs!$G$5:$G$140&lt;&gt;"acoes")))*INDEX(Inputs!$K$5:$AJ$140,0,MATCH(J$2,Inputs!$K$4:$AJ$4,0)))+SUMPRODUCT((Inputs!$C$5:$C$140=$B7)*Inputs!$D$5:$D$140*(((Inputs!$G$5:$G$140="moeda")+(Inputs!$G$5:$G$140="acoes"))*Inputs!$B$1+((Inputs!$G$5:$G$140&lt;&gt;"moeda")*(Inputs!$G$5:$G$140&lt;&gt;"acoes")))*INDEX(Inputs!$K$5:$AJ$140,0,MATCH(J$2,Inputs!$K$4:$AJ$4,0)))+SUMPRODUCT((Inputs!$E$5:$E$140=$B7)*Inputs!$F$5:$F$140*(((Inputs!$G$5:$G$140="moeda")+(Inputs!$G$5:$G$140="acoes"))*Inputs!$B$1+((Inputs!$G$5:$G$140&lt;&gt;"moeda")*(Inputs!$G$5:$G$140&lt;&gt;"acoes")))*INDEX(Inputs!$K$5:$AJ$140,0,MATCH(J$2,Inputs!$K$4:$AJ$4,0)))))</f>
        <v>-378</v>
      </c>
      <c r="K7" s="6">
        <f>IF(ISNA(MATCH(K$2,Inputs!$K$4:$AJ$4,0)),NA(),IF(SUMPRODUCT((Inputs!$A$5:$A$140=$B7)*ISNUMBER(INDEX(Inputs!$K$5:$AJ$140,0,MATCH(K$2,Inputs!$K$4:$AJ$4,0))))+SUMPRODUCT((Inputs!$C$5:$C$140=$B7)*ISNUMBER(INDEX(Inputs!$K$5:$AJ$140,0,MATCH(K$2,Inputs!$K$4:$AJ$4,0))))+SUMPRODUCT((Inputs!$E$5:$E$140=$B7)*ISNUMBER(INDEX(Inputs!$K$5:$AJ$140,0,MATCH(K$2,Inputs!$K$4:$AJ$4,0))))=0,NA(),SUMPRODUCT((Inputs!$A$5:$A$140=$B7)*Inputs!$B$5:$B$140*(((Inputs!$G$5:$G$140="moeda")+(Inputs!$G$5:$G$140="acoes"))*Inputs!$B$1+((Inputs!$G$5:$G$140&lt;&gt;"moeda")*(Inputs!$G$5:$G$140&lt;&gt;"acoes")))*INDEX(Inputs!$K$5:$AJ$140,0,MATCH(K$2,Inputs!$K$4:$AJ$4,0)))+SUMPRODUCT((Inputs!$C$5:$C$140=$B7)*Inputs!$D$5:$D$140*(((Inputs!$G$5:$G$140="moeda")+(Inputs!$G$5:$G$140="acoes"))*Inputs!$B$1+((Inputs!$G$5:$G$140&lt;&gt;"moeda")*(Inputs!$G$5:$G$140&lt;&gt;"acoes")))*INDEX(Inputs!$K$5:$AJ$140,0,MATCH(K$2,Inputs!$K$4:$AJ$4,0)))+SUMPRODUCT((Inputs!$E$5:$E$140=$B7)*Inputs!$F$5:$F$140*(((Inputs!$G$5:$G$140="moeda")+(Inputs!$G$5:$G$140="acoes"))*Inputs!$B$1+((Inputs!$G$5:$G$140&lt;&gt;"moeda")*(Inputs!$G$5:$G$140&lt;&gt;"acoes")))*INDEX(Inputs!$K$5:$AJ$140,0,MATCH(K$2,Inputs!$K$4:$AJ$4,0)))))</f>
        <v>-406</v>
      </c>
      <c r="L7" s="6">
        <f>IF(ISNA(MATCH(L$2,Inputs!$K$4:$AJ$4,0)),NA(),IF(SUMPRODUCT((Inputs!$A$5:$A$140=$B7)*ISNUMBER(INDEX(Inputs!$K$5:$AJ$140,0,MATCH(L$2,Inputs!$K$4:$AJ$4,0))))+SUMPRODUCT((Inputs!$C$5:$C$140=$B7)*ISNUMBER(INDEX(Inputs!$K$5:$AJ$140,0,MATCH(L$2,Inputs!$K$4:$AJ$4,0))))+SUMPRODUCT((Inputs!$E$5:$E$140=$B7)*ISNUMBER(INDEX(Inputs!$K$5:$AJ$140,0,MATCH(L$2,Inputs!$K$4:$AJ$4,0))))=0,NA(),SUMPRODUCT((Inputs!$A$5:$A$140=$B7)*Inputs!$B$5:$B$140*(((Inputs!$G$5:$G$140="moeda")+(Inputs!$G$5:$G$140="acoes"))*Inputs!$B$1+((Inputs!$G$5:$G$140&lt;&gt;"moeda")*(Inputs!$G$5:$G$140&lt;&gt;"acoes")))*INDEX(Inputs!$K$5:$AJ$140,0,MATCH(L$2,Inputs!$K$4:$AJ$4,0)))+SUMPRODUCT((Inputs!$C$5:$C$140=$B7)*Inputs!$D$5:$D$140*(((Inputs!$G$5:$G$140="moeda")+(Inputs!$G$5:$G$140="acoes"))*Inputs!$B$1+((Inputs!$G$5:$G$140&lt;&gt;"moeda")*(Inputs!$G$5:$G$140&lt;&gt;"acoes")))*INDEX(Inputs!$K$5:$AJ$140,0,MATCH(L$2,Inputs!$K$4:$AJ$4,0)))+SUMPRODUCT((Inputs!$E$5:$E$140=$B7)*Inputs!$F$5:$F$140*(((Inputs!$G$5:$G$140="moeda")+(Inputs!$G$5:$G$140="acoes"))*Inputs!$B$1+((Inputs!$G$5:$G$140&lt;&gt;"moeda")*(Inputs!$G$5:$G$140&lt;&gt;"acoes")))*INDEX(Inputs!$K$5:$AJ$140,0,MATCH(L$2,Inputs!$K$4:$AJ$4,0)))))</f>
        <v>-426</v>
      </c>
      <c r="M7" s="3">
        <f>SUM(I7:L7)</f>
        <v>-1544</v>
      </c>
      <c r="N7" s="6">
        <f>IF(ISNA(MATCH(N$2,Inputs!$K$4:$AJ$4,0)),NA(),IF(SUMPRODUCT((Inputs!$A$5:$A$140=$B7)*ISNUMBER(INDEX(Inputs!$K$5:$AJ$140,0,MATCH(N$2,Inputs!$K$4:$AJ$4,0))))+SUMPRODUCT((Inputs!$C$5:$C$140=$B7)*ISNUMBER(INDEX(Inputs!$K$5:$AJ$140,0,MATCH(N$2,Inputs!$K$4:$AJ$4,0))))+SUMPRODUCT((Inputs!$E$5:$E$140=$B7)*ISNUMBER(INDEX(Inputs!$K$5:$AJ$140,0,MATCH(N$2,Inputs!$K$4:$AJ$4,0))))=0,NA(),SUMPRODUCT((Inputs!$A$5:$A$140=$B7)*Inputs!$B$5:$B$140*(((Inputs!$G$5:$G$140="moeda")+(Inputs!$G$5:$G$140="acoes"))*Inputs!$B$1+((Inputs!$G$5:$G$140&lt;&gt;"moeda")*(Inputs!$G$5:$G$140&lt;&gt;"acoes")))*INDEX(Inputs!$K$5:$AJ$140,0,MATCH(N$2,Inputs!$K$4:$AJ$4,0)))+SUMPRODUCT((Inputs!$C$5:$C$140=$B7)*Inputs!$D$5:$D$140*(((Inputs!$G$5:$G$140="moeda")+(Inputs!$G$5:$G$140="acoes"))*Inputs!$B$1+((Inputs!$G$5:$G$140&lt;&gt;"moeda")*(Inputs!$G$5:$G$140&lt;&gt;"acoes")))*INDEX(Inputs!$K$5:$AJ$140,0,MATCH(N$2,Inputs!$K$4:$AJ$4,0)))+SUMPRODUCT((Inputs!$E$5:$E$140=$B7)*Inputs!$F$5:$F$140*(((Inputs!$G$5:$G$140="moeda")+(Inputs!$G$5:$G$140="acoes"))*Inputs!$B$1+((Inputs!$G$5:$G$140&lt;&gt;"moeda")*(Inputs!$G$5:$G$140&lt;&gt;"acoes")))*INDEX(Inputs!$K$5:$AJ$140,0,MATCH(N$2,Inputs!$K$4:$AJ$4,0)))))</f>
        <v>-384</v>
      </c>
      <c r="O7" s="6">
        <f>IF(ISNA(MATCH(O$2,Inputs!$K$4:$AJ$4,0)),NA(),IF(SUMPRODUCT((Inputs!$A$5:$A$140=$B7)*ISNUMBER(INDEX(Inputs!$K$5:$AJ$140,0,MATCH(O$2,Inputs!$K$4:$AJ$4,0))))+SUMPRODUCT((Inputs!$C$5:$C$140=$B7)*ISNUMBER(INDEX(Inputs!$K$5:$AJ$140,0,MATCH(O$2,Inputs!$K$4:$AJ$4,0))))+SUMPRODUCT((Inputs!$E$5:$E$140=$B7)*ISNUMBER(INDEX(Inputs!$K$5:$AJ$140,0,MATCH(O$2,Inputs!$K$4:$AJ$4,0))))=0,NA(),SUMPRODUCT((Inputs!$A$5:$A$140=$B7)*Inputs!$B$5:$B$140*(((Inputs!$G$5:$G$140="moeda")+(Inputs!$G$5:$G$140="acoes"))*Inputs!$B$1+((Inputs!$G$5:$G$140&lt;&gt;"moeda")*(Inputs!$G$5:$G$140&lt;&gt;"acoes")))*INDEX(Inputs!$K$5:$AJ$140,0,MATCH(O$2,Inputs!$K$4:$AJ$4,0)))+SUMPRODUCT((Inputs!$C$5:$C$140=$B7)*Inputs!$D$5:$D$140*(((Inputs!$G$5:$G$140="moeda")+(Inputs!$G$5:$G$140="acoes"))*Inputs!$B$1+((Inputs!$G$5:$G$140&lt;&gt;"moeda")*(Inputs!$G$5:$G$140&lt;&gt;"acoes")))*INDEX(Inputs!$K$5:$AJ$140,0,MATCH(O$2,Inputs!$K$4:$AJ$4,0)))+SUMPRODUCT((Inputs!$E$5:$E$140=$B7)*Inputs!$F$5:$F$140*(((Inputs!$G$5:$G$140="moeda")+(Inputs!$G$5:$G$140="acoes"))*Inputs!$B$1+((Inputs!$G$5:$G$140&lt;&gt;"moeda")*(Inputs!$G$5:$G$140&lt;&gt;"acoes")))*INDEX(Inputs!$K$5:$AJ$140,0,MATCH(O$2,Inputs!$K$4:$AJ$4,0)))))</f>
        <v>-365</v>
      </c>
      <c r="P7" s="6">
        <f>IF(ISNA(MATCH(P$2,Inputs!$K$4:$AJ$4,0)),NA(),IF(SUMPRODUCT((Inputs!$A$5:$A$140=$B7)*ISNUMBER(INDEX(Inputs!$K$5:$AJ$140,0,MATCH(P$2,Inputs!$K$4:$AJ$4,0))))+SUMPRODUCT((Inputs!$C$5:$C$140=$B7)*ISNUMBER(INDEX(Inputs!$K$5:$AJ$140,0,MATCH(P$2,Inputs!$K$4:$AJ$4,0))))+SUMPRODUCT((Inputs!$E$5:$E$140=$B7)*ISNUMBER(INDEX(Inputs!$K$5:$AJ$140,0,MATCH(P$2,Inputs!$K$4:$AJ$4,0))))=0,NA(),SUMPRODUCT((Inputs!$A$5:$A$140=$B7)*Inputs!$B$5:$B$140*(((Inputs!$G$5:$G$140="moeda")+(Inputs!$G$5:$G$140="acoes"))*Inputs!$B$1+((Inputs!$G$5:$G$140&lt;&gt;"moeda")*(Inputs!$G$5:$G$140&lt;&gt;"acoes")))*INDEX(Inputs!$K$5:$AJ$140,0,MATCH(P$2,Inputs!$K$4:$AJ$4,0)))+SUMPRODUCT((Inputs!$C$5:$C$140=$B7)*Inputs!$D$5:$D$140*(((Inputs!$G$5:$G$140="moeda")+(Inputs!$G$5:$G$140="acoes"))*Inputs!$B$1+((Inputs!$G$5:$G$140&lt;&gt;"moeda")*(Inputs!$G$5:$G$140&lt;&gt;"acoes")))*INDEX(Inputs!$K$5:$AJ$140,0,MATCH(P$2,Inputs!$K$4:$AJ$4,0)))+SUMPRODUCT((Inputs!$E$5:$E$140=$B7)*Inputs!$F$5:$F$140*(((Inputs!$G$5:$G$140="moeda")+(Inputs!$G$5:$G$140="acoes"))*Inputs!$B$1+((Inputs!$G$5:$G$140&lt;&gt;"moeda")*(Inputs!$G$5:$G$140&lt;&gt;"acoes")))*INDEX(Inputs!$K$5:$AJ$140,0,MATCH(P$2,Inputs!$K$4:$AJ$4,0)))))</f>
        <v>-372</v>
      </c>
      <c r="Q7" s="6">
        <f>IF(ISNA(MATCH(Q$2,Inputs!$K$4:$AJ$4,0)),NA(),IF(SUMPRODUCT((Inputs!$A$5:$A$140=$B7)*ISNUMBER(INDEX(Inputs!$K$5:$AJ$140,0,MATCH(Q$2,Inputs!$K$4:$AJ$4,0))))+SUMPRODUCT((Inputs!$C$5:$C$140=$B7)*ISNUMBER(INDEX(Inputs!$K$5:$AJ$140,0,MATCH(Q$2,Inputs!$K$4:$AJ$4,0))))+SUMPRODUCT((Inputs!$E$5:$E$140=$B7)*ISNUMBER(INDEX(Inputs!$K$5:$AJ$140,0,MATCH(Q$2,Inputs!$K$4:$AJ$4,0))))=0,NA(),SUMPRODUCT((Inputs!$A$5:$A$140=$B7)*Inputs!$B$5:$B$140*(((Inputs!$G$5:$G$140="moeda")+(Inputs!$G$5:$G$140="acoes"))*Inputs!$B$1+((Inputs!$G$5:$G$140&lt;&gt;"moeda")*(Inputs!$G$5:$G$140&lt;&gt;"acoes")))*INDEX(Inputs!$K$5:$AJ$140,0,MATCH(Q$2,Inputs!$K$4:$AJ$4,0)))+SUMPRODUCT((Inputs!$C$5:$C$140=$B7)*Inputs!$D$5:$D$140*(((Inputs!$G$5:$G$140="moeda")+(Inputs!$G$5:$G$140="acoes"))*Inputs!$B$1+((Inputs!$G$5:$G$140&lt;&gt;"moeda")*(Inputs!$G$5:$G$140&lt;&gt;"acoes")))*INDEX(Inputs!$K$5:$AJ$140,0,MATCH(Q$2,Inputs!$K$4:$AJ$4,0)))+SUMPRODUCT((Inputs!$E$5:$E$140=$B7)*Inputs!$F$5:$F$140*(((Inputs!$G$5:$G$140="moeda")+(Inputs!$G$5:$G$140="acoes"))*Inputs!$B$1+((Inputs!$G$5:$G$140&lt;&gt;"moeda")*(Inputs!$G$5:$G$140&lt;&gt;"acoes")))*INDEX(Inputs!$K$5:$AJ$140,0,MATCH(Q$2,Inputs!$K$4:$AJ$4,0)))))</f>
        <v>-387</v>
      </c>
      <c r="R7" s="3">
        <f>SUM(N7:Q7)</f>
        <v>-1508</v>
      </c>
      <c r="S7" s="6">
        <f>IF(ISNA(MATCH(S$2,Inputs!$K$4:$AJ$4,0)),NA(),IF(SUMPRODUCT((Inputs!$A$5:$A$140=$B7)*ISNUMBER(INDEX(Inputs!$K$5:$AJ$140,0,MATCH(S$2,Inputs!$K$4:$AJ$4,0))))+SUMPRODUCT((Inputs!$C$5:$C$140=$B7)*ISNUMBER(INDEX(Inputs!$K$5:$AJ$140,0,MATCH(S$2,Inputs!$K$4:$AJ$4,0))))+SUMPRODUCT((Inputs!$E$5:$E$140=$B7)*ISNUMBER(INDEX(Inputs!$K$5:$AJ$140,0,MATCH(S$2,Inputs!$K$4:$AJ$4,0))))=0,NA(),SUMPRODUCT((Inputs!$A$5:$A$140=$B7)*Inputs!$B$5:$B$140*(((Inputs!$G$5:$G$140="moeda")+(Inputs!$G$5:$G$140="acoes"))*Inputs!$B$1+((Inputs!$G$5:$G$140&lt;&gt;"moeda")*(Inputs!$G$5:$G$140&lt;&gt;"acoes")))*INDEX(Inputs!$K$5:$AJ$140,0,MATCH(S$2,Inputs!$K$4:$AJ$4,0)))+SUMPRODUCT((Inputs!$C$5:$C$140=$B7)*Inputs!$D$5:$D$140*(((Inputs!$G$5:$G$140="moeda")+(Inputs!$G$5:$G$140="acoes"))*Inputs!$B$1+((Inputs!$G$5:$G$140&lt;&gt;"moeda")*(Inputs!$G$5:$G$140&lt;&gt;"acoes")))*INDEX(Inputs!$K$5:$AJ$140,0,MATCH(S$2,Inputs!$K$4:$AJ$4,0)))+SUMPRODUCT((Inputs!$E$5:$E$140=$B7)*Inputs!$F$5:$F$140*(((Inputs!$G$5:$G$140="moeda")+(Inputs!$G$5:$G$140="acoes"))*Inputs!$B$1+((Inputs!$G$5:$G$140&lt;&gt;"moeda")*(Inputs!$G$5:$G$140&lt;&gt;"acoes")))*INDEX(Inputs!$K$5:$AJ$140,0,MATCH(S$2,Inputs!$K$4:$AJ$4,0)))))</f>
        <v>-410</v>
      </c>
      <c r="T7" s="6">
        <f>IF(ISNA(MATCH(T$2,Inputs!$K$4:$AJ$4,0)),NA(),IF(SUMPRODUCT((Inputs!$A$5:$A$140=$B7)*ISNUMBER(INDEX(Inputs!$K$5:$AJ$140,0,MATCH(T$2,Inputs!$K$4:$AJ$4,0))))+SUMPRODUCT((Inputs!$C$5:$C$140=$B7)*ISNUMBER(INDEX(Inputs!$K$5:$AJ$140,0,MATCH(T$2,Inputs!$K$4:$AJ$4,0))))+SUMPRODUCT((Inputs!$E$5:$E$140=$B7)*ISNUMBER(INDEX(Inputs!$K$5:$AJ$140,0,MATCH(T$2,Inputs!$K$4:$AJ$4,0))))=0,NA(),SUMPRODUCT((Inputs!$A$5:$A$140=$B7)*Inputs!$B$5:$B$140*(((Inputs!$G$5:$G$140="moeda")+(Inputs!$G$5:$G$140="acoes"))*Inputs!$B$1+((Inputs!$G$5:$G$140&lt;&gt;"moeda")*(Inputs!$G$5:$G$140&lt;&gt;"acoes")))*INDEX(Inputs!$K$5:$AJ$140,0,MATCH(T$2,Inputs!$K$4:$AJ$4,0)))+SUMPRODUCT((Inputs!$C$5:$C$140=$B7)*Inputs!$D$5:$D$140*(((Inputs!$G$5:$G$140="moeda")+(Inputs!$G$5:$G$140="acoes"))*Inputs!$B$1+((Inputs!$G$5:$G$140&lt;&gt;"moeda")*(Inputs!$G$5:$G$140&lt;&gt;"acoes")))*INDEX(Inputs!$K$5:$AJ$140,0,MATCH(T$2,Inputs!$K$4:$AJ$4,0)))+SUMPRODUCT((Inputs!$E$5:$E$140=$B7)*Inputs!$F$5:$F$140*(((Inputs!$G$5:$G$140="moeda")+(Inputs!$G$5:$G$140="acoes"))*Inputs!$B$1+((Inputs!$G$5:$G$140&lt;&gt;"moeda")*(Inputs!$G$5:$G$140&lt;&gt;"acoes")))*INDEX(Inputs!$K$5:$AJ$140,0,MATCH(T$2,Inputs!$K$4:$AJ$4,0)))))</f>
        <v>-433</v>
      </c>
      <c r="U7" s="6">
        <f>IF(ISNA(MATCH(U$2,Inputs!$K$4:$AJ$4,0)),NA(),IF(SUMPRODUCT((Inputs!$A$5:$A$140=$B7)*ISNUMBER(INDEX(Inputs!$K$5:$AJ$140,0,MATCH(U$2,Inputs!$K$4:$AJ$4,0))))+SUMPRODUCT((Inputs!$C$5:$C$140=$B7)*ISNUMBER(INDEX(Inputs!$K$5:$AJ$140,0,MATCH(U$2,Inputs!$K$4:$AJ$4,0))))+SUMPRODUCT((Inputs!$E$5:$E$140=$B7)*ISNUMBER(INDEX(Inputs!$K$5:$AJ$140,0,MATCH(U$2,Inputs!$K$4:$AJ$4,0))))=0,NA(),SUMPRODUCT((Inputs!$A$5:$A$140=$B7)*Inputs!$B$5:$B$140*(((Inputs!$G$5:$G$140="moeda")+(Inputs!$G$5:$G$140="acoes"))*Inputs!$B$1+((Inputs!$G$5:$G$140&lt;&gt;"moeda")*(Inputs!$G$5:$G$140&lt;&gt;"acoes")))*INDEX(Inputs!$K$5:$AJ$140,0,MATCH(U$2,Inputs!$K$4:$AJ$4,0)))+SUMPRODUCT((Inputs!$C$5:$C$140=$B7)*Inputs!$D$5:$D$140*(((Inputs!$G$5:$G$140="moeda")+(Inputs!$G$5:$G$140="acoes"))*Inputs!$B$1+((Inputs!$G$5:$G$140&lt;&gt;"moeda")*(Inputs!$G$5:$G$140&lt;&gt;"acoes")))*INDEX(Inputs!$K$5:$AJ$140,0,MATCH(U$2,Inputs!$K$4:$AJ$4,0)))+SUMPRODUCT((Inputs!$E$5:$E$140=$B7)*Inputs!$F$5:$F$140*(((Inputs!$G$5:$G$140="moeda")+(Inputs!$G$5:$G$140="acoes"))*Inputs!$B$1+((Inputs!$G$5:$G$140&lt;&gt;"moeda")*(Inputs!$G$5:$G$140&lt;&gt;"acoes")))*INDEX(Inputs!$K$5:$AJ$140,0,MATCH(U$2,Inputs!$K$4:$AJ$4,0)))))</f>
        <v>-478</v>
      </c>
      <c r="V7" s="6">
        <f>IF(ISNA(MATCH(V$2,Inputs!$K$4:$AJ$4,0)),NA(),IF(SUMPRODUCT((Inputs!$A$5:$A$140=$B7)*ISNUMBER(INDEX(Inputs!$K$5:$AJ$140,0,MATCH(V$2,Inputs!$K$4:$AJ$4,0))))+SUMPRODUCT((Inputs!$C$5:$C$140=$B7)*ISNUMBER(INDEX(Inputs!$K$5:$AJ$140,0,MATCH(V$2,Inputs!$K$4:$AJ$4,0))))+SUMPRODUCT((Inputs!$E$5:$E$140=$B7)*ISNUMBER(INDEX(Inputs!$K$5:$AJ$140,0,MATCH(V$2,Inputs!$K$4:$AJ$4,0))))=0,NA(),SUMPRODUCT((Inputs!$A$5:$A$140=$B7)*Inputs!$B$5:$B$140*(((Inputs!$G$5:$G$140="moeda")+(Inputs!$G$5:$G$140="acoes"))*Inputs!$B$1+((Inputs!$G$5:$G$140&lt;&gt;"moeda")*(Inputs!$G$5:$G$140&lt;&gt;"acoes")))*INDEX(Inputs!$K$5:$AJ$140,0,MATCH(V$2,Inputs!$K$4:$AJ$4,0)))+SUMPRODUCT((Inputs!$C$5:$C$140=$B7)*Inputs!$D$5:$D$140*(((Inputs!$G$5:$G$140="moeda")+(Inputs!$G$5:$G$140="acoes"))*Inputs!$B$1+((Inputs!$G$5:$G$140&lt;&gt;"moeda")*(Inputs!$G$5:$G$140&lt;&gt;"acoes")))*INDEX(Inputs!$K$5:$AJ$140,0,MATCH(V$2,Inputs!$K$4:$AJ$4,0)))+SUMPRODUCT((Inputs!$E$5:$E$140=$B7)*Inputs!$F$5:$F$140*(((Inputs!$G$5:$G$140="moeda")+(Inputs!$G$5:$G$140="acoes"))*Inputs!$B$1+((Inputs!$G$5:$G$140&lt;&gt;"moeda")*(Inputs!$G$5:$G$140&lt;&gt;"acoes")))*INDEX(Inputs!$K$5:$AJ$140,0,MATCH(V$2,Inputs!$K$4:$AJ$4,0)))))</f>
        <v>-543</v>
      </c>
      <c r="W7" s="3">
        <f>SUM(S7:V7)</f>
        <v>-1864</v>
      </c>
      <c r="X7" s="6">
        <f>IF(ISNA(MATCH(X$2,Inputs!$K$4:$AJ$4,0)),NA(),IF(SUMPRODUCT((Inputs!$A$5:$A$140=$B7)*ISNUMBER(INDEX(Inputs!$K$5:$AJ$140,0,MATCH(X$2,Inputs!$K$4:$AJ$4,0))))+SUMPRODUCT((Inputs!$C$5:$C$140=$B7)*ISNUMBER(INDEX(Inputs!$K$5:$AJ$140,0,MATCH(X$2,Inputs!$K$4:$AJ$4,0))))+SUMPRODUCT((Inputs!$E$5:$E$140=$B7)*ISNUMBER(INDEX(Inputs!$K$5:$AJ$140,0,MATCH(X$2,Inputs!$K$4:$AJ$4,0))))=0,NA(),SUMPRODUCT((Inputs!$A$5:$A$140=$B7)*Inputs!$B$5:$B$140*(((Inputs!$G$5:$G$140="moeda")+(Inputs!$G$5:$G$140="acoes"))*Inputs!$B$1+((Inputs!$G$5:$G$140&lt;&gt;"moeda")*(Inputs!$G$5:$G$140&lt;&gt;"acoes")))*INDEX(Inputs!$K$5:$AJ$140,0,MATCH(X$2,Inputs!$K$4:$AJ$4,0)))+SUMPRODUCT((Inputs!$C$5:$C$140=$B7)*Inputs!$D$5:$D$140*(((Inputs!$G$5:$G$140="moeda")+(Inputs!$G$5:$G$140="acoes"))*Inputs!$B$1+((Inputs!$G$5:$G$140&lt;&gt;"moeda")*(Inputs!$G$5:$G$140&lt;&gt;"acoes")))*INDEX(Inputs!$K$5:$AJ$140,0,MATCH(X$2,Inputs!$K$4:$AJ$4,0)))+SUMPRODUCT((Inputs!$E$5:$E$140=$B7)*Inputs!$F$5:$F$140*(((Inputs!$G$5:$G$140="moeda")+(Inputs!$G$5:$G$140="acoes"))*Inputs!$B$1+((Inputs!$G$5:$G$140&lt;&gt;"moeda")*(Inputs!$G$5:$G$140&lt;&gt;"acoes")))*INDEX(Inputs!$K$5:$AJ$140,0,MATCH(X$2,Inputs!$K$4:$AJ$4,0)))))</f>
        <v>-611</v>
      </c>
      <c r="Y7" s="6">
        <f>IF(ISNA(MATCH(Y$2,Inputs!$K$4:$AJ$4,0)),NA(),IF(SUMPRODUCT((Inputs!$A$5:$A$140=$B7)*ISNUMBER(INDEX(Inputs!$K$5:$AJ$140,0,MATCH(Y$2,Inputs!$K$4:$AJ$4,0))))+SUMPRODUCT((Inputs!$C$5:$C$140=$B7)*ISNUMBER(INDEX(Inputs!$K$5:$AJ$140,0,MATCH(Y$2,Inputs!$K$4:$AJ$4,0))))+SUMPRODUCT((Inputs!$E$5:$E$140=$B7)*ISNUMBER(INDEX(Inputs!$K$5:$AJ$140,0,MATCH(Y$2,Inputs!$K$4:$AJ$4,0))))=0,NA(),SUMPRODUCT((Inputs!$A$5:$A$140=$B7)*Inputs!$B$5:$B$140*(((Inputs!$G$5:$G$140="moeda")+(Inputs!$G$5:$G$140="acoes"))*Inputs!$B$1+((Inputs!$G$5:$G$140&lt;&gt;"moeda")*(Inputs!$G$5:$G$140&lt;&gt;"acoes")))*INDEX(Inputs!$K$5:$AJ$140,0,MATCH(Y$2,Inputs!$K$4:$AJ$4,0)))+SUMPRODUCT((Inputs!$C$5:$C$140=$B7)*Inputs!$D$5:$D$140*(((Inputs!$G$5:$G$140="moeda")+(Inputs!$G$5:$G$140="acoes"))*Inputs!$B$1+((Inputs!$G$5:$G$140&lt;&gt;"moeda")*(Inputs!$G$5:$G$140&lt;&gt;"acoes")))*INDEX(Inputs!$K$5:$AJ$140,0,MATCH(Y$2,Inputs!$K$4:$AJ$4,0)))+SUMPRODUCT((Inputs!$E$5:$E$140=$B7)*Inputs!$F$5:$F$140*(((Inputs!$G$5:$G$140="moeda")+(Inputs!$G$5:$G$140="acoes"))*Inputs!$B$1+((Inputs!$G$5:$G$140&lt;&gt;"moeda")*(Inputs!$G$5:$G$140&lt;&gt;"acoes")))*INDEX(Inputs!$K$5:$AJ$140,0,MATCH(Y$2,Inputs!$K$4:$AJ$4,0)))))</f>
        <v>-669</v>
      </c>
      <c r="Z7" s="6">
        <f>IF(ISNA(MATCH(Z$2,Inputs!$K$4:$AJ$4,0)),NA(),IF(SUMPRODUCT((Inputs!$A$5:$A$140=$B7)*ISNUMBER(INDEX(Inputs!$K$5:$AJ$140,0,MATCH(Z$2,Inputs!$K$4:$AJ$4,0))))+SUMPRODUCT((Inputs!$C$5:$C$140=$B7)*ISNUMBER(INDEX(Inputs!$K$5:$AJ$140,0,MATCH(Z$2,Inputs!$K$4:$AJ$4,0))))+SUMPRODUCT((Inputs!$E$5:$E$140=$B7)*ISNUMBER(INDEX(Inputs!$K$5:$AJ$140,0,MATCH(Z$2,Inputs!$K$4:$AJ$4,0))))=0,NA(),SUMPRODUCT((Inputs!$A$5:$A$140=$B7)*Inputs!$B$5:$B$140*(((Inputs!$G$5:$G$140="moeda")+(Inputs!$G$5:$G$140="acoes"))*Inputs!$B$1+((Inputs!$G$5:$G$140&lt;&gt;"moeda")*(Inputs!$G$5:$G$140&lt;&gt;"acoes")))*INDEX(Inputs!$K$5:$AJ$140,0,MATCH(Z$2,Inputs!$K$4:$AJ$4,0)))+SUMPRODUCT((Inputs!$C$5:$C$140=$B7)*Inputs!$D$5:$D$140*(((Inputs!$G$5:$G$140="moeda")+(Inputs!$G$5:$G$140="acoes"))*Inputs!$B$1+((Inputs!$G$5:$G$140&lt;&gt;"moeda")*(Inputs!$G$5:$G$140&lt;&gt;"acoes")))*INDEX(Inputs!$K$5:$AJ$140,0,MATCH(Z$2,Inputs!$K$4:$AJ$4,0)))+SUMPRODUCT((Inputs!$E$5:$E$140=$B7)*Inputs!$F$5:$F$140*(((Inputs!$G$5:$G$140="moeda")+(Inputs!$G$5:$G$140="acoes"))*Inputs!$B$1+((Inputs!$G$5:$G$140&lt;&gt;"moeda")*(Inputs!$G$5:$G$140&lt;&gt;"acoes")))*INDEX(Inputs!$K$5:$AJ$140,0,MATCH(Z$2,Inputs!$K$4:$AJ$4,0)))))</f>
        <v>-751</v>
      </c>
      <c r="AA7" s="6">
        <f>IF(ISNA(MATCH(AA$2,Inputs!$K$4:$AJ$4,0)),NA(),IF(SUMPRODUCT((Inputs!$A$5:$A$140=$B7)*ISNUMBER(INDEX(Inputs!$K$5:$AJ$140,0,MATCH(AA$2,Inputs!$K$4:$AJ$4,0))))+SUMPRODUCT((Inputs!$C$5:$C$140=$B7)*ISNUMBER(INDEX(Inputs!$K$5:$AJ$140,0,MATCH(AA$2,Inputs!$K$4:$AJ$4,0))))+SUMPRODUCT((Inputs!$E$5:$E$140=$B7)*ISNUMBER(INDEX(Inputs!$K$5:$AJ$140,0,MATCH(AA$2,Inputs!$K$4:$AJ$4,0))))=0,NA(),SUMPRODUCT((Inputs!$A$5:$A$140=$B7)*Inputs!$B$5:$B$140*(((Inputs!$G$5:$G$140="moeda")+(Inputs!$G$5:$G$140="acoes"))*Inputs!$B$1+((Inputs!$G$5:$G$140&lt;&gt;"moeda")*(Inputs!$G$5:$G$140&lt;&gt;"acoes")))*INDEX(Inputs!$K$5:$AJ$140,0,MATCH(AA$2,Inputs!$K$4:$AJ$4,0)))+SUMPRODUCT((Inputs!$C$5:$C$140=$B7)*Inputs!$D$5:$D$140*(((Inputs!$G$5:$G$140="moeda")+(Inputs!$G$5:$G$140="acoes"))*Inputs!$B$1+((Inputs!$G$5:$G$140&lt;&gt;"moeda")*(Inputs!$G$5:$G$140&lt;&gt;"acoes")))*INDEX(Inputs!$K$5:$AJ$140,0,MATCH(AA$2,Inputs!$K$4:$AJ$4,0)))+SUMPRODUCT((Inputs!$E$5:$E$140=$B7)*Inputs!$F$5:$F$140*(((Inputs!$G$5:$G$140="moeda")+(Inputs!$G$5:$G$140="acoes"))*Inputs!$B$1+((Inputs!$G$5:$G$140&lt;&gt;"moeda")*(Inputs!$G$5:$G$140&lt;&gt;"acoes")))*INDEX(Inputs!$K$5:$AJ$140,0,MATCH(AA$2,Inputs!$K$4:$AJ$4,0)))))</f>
        <v>-812</v>
      </c>
      <c r="AB7" s="3">
        <f>SUM(X7:AA7)</f>
        <v>-2843</v>
      </c>
      <c r="AC7" s="6">
        <f>IF(ISNA(MATCH(AC$2,Inputs!$K$4:$AJ$4,0)),NA(),IF(SUMPRODUCT((Inputs!$A$5:$A$140=$B7)*ISNUMBER(INDEX(Inputs!$K$5:$AJ$140,0,MATCH(AC$2,Inputs!$K$4:$AJ$4,0))))+SUMPRODUCT((Inputs!$C$5:$C$140=$B7)*ISNUMBER(INDEX(Inputs!$K$5:$AJ$140,0,MATCH(AC$2,Inputs!$K$4:$AJ$4,0))))+SUMPRODUCT((Inputs!$E$5:$E$140=$B7)*ISNUMBER(INDEX(Inputs!$K$5:$AJ$140,0,MATCH(AC$2,Inputs!$K$4:$AJ$4,0))))=0,NA(),SUMPRODUCT((Inputs!$A$5:$A$140=$B7)*Inputs!$B$5:$B$140*(((Inputs!$G$5:$G$140="moeda")+(Inputs!$G$5:$G$140="acoes"))*Inputs!$B$1+((Inputs!$G$5:$G$140&lt;&gt;"moeda")*(Inputs!$G$5:$G$140&lt;&gt;"acoes")))*INDEX(Inputs!$K$5:$AJ$140,0,MATCH(AC$2,Inputs!$K$4:$AJ$4,0)))+SUMPRODUCT((Inputs!$C$5:$C$140=$B7)*Inputs!$D$5:$D$140*(((Inputs!$G$5:$G$140="moeda")+(Inputs!$G$5:$G$140="acoes"))*Inputs!$B$1+((Inputs!$G$5:$G$140&lt;&gt;"moeda")*(Inputs!$G$5:$G$140&lt;&gt;"acoes")))*INDEX(Inputs!$K$5:$AJ$140,0,MATCH(AC$2,Inputs!$K$4:$AJ$4,0)))+SUMPRODUCT((Inputs!$E$5:$E$140=$B7)*Inputs!$F$5:$F$140*(((Inputs!$G$5:$G$140="moeda")+(Inputs!$G$5:$G$140="acoes"))*Inputs!$B$1+((Inputs!$G$5:$G$140&lt;&gt;"moeda")*(Inputs!$G$5:$G$140&lt;&gt;"acoes")))*INDEX(Inputs!$K$5:$AJ$140,0,MATCH(AC$2,Inputs!$K$4:$AJ$4,0)))))</f>
        <v>-997</v>
      </c>
      <c r="AD7" s="6">
        <f>IF(ISNA(MATCH(AD$2,Inputs!$K$4:$AJ$4,0)),NA(),IF(SUMPRODUCT((Inputs!$A$5:$A$140=$B7)*ISNUMBER(INDEX(Inputs!$K$5:$AJ$140,0,MATCH(AD$2,Inputs!$K$4:$AJ$4,0))))+SUMPRODUCT((Inputs!$C$5:$C$140=$B7)*ISNUMBER(INDEX(Inputs!$K$5:$AJ$140,0,MATCH(AD$2,Inputs!$K$4:$AJ$4,0))))+SUMPRODUCT((Inputs!$E$5:$E$140=$B7)*ISNUMBER(INDEX(Inputs!$K$5:$AJ$140,0,MATCH(AD$2,Inputs!$K$4:$AJ$4,0))))=0,NA(),SUMPRODUCT((Inputs!$A$5:$A$140=$B7)*Inputs!$B$5:$B$140*(((Inputs!$G$5:$G$140="moeda")+(Inputs!$G$5:$G$140="acoes"))*Inputs!$B$1+((Inputs!$G$5:$G$140&lt;&gt;"moeda")*(Inputs!$G$5:$G$140&lt;&gt;"acoes")))*INDEX(Inputs!$K$5:$AJ$140,0,MATCH(AD$2,Inputs!$K$4:$AJ$4,0)))+SUMPRODUCT((Inputs!$C$5:$C$140=$B7)*Inputs!$D$5:$D$140*(((Inputs!$G$5:$G$140="moeda")+(Inputs!$G$5:$G$140="acoes"))*Inputs!$B$1+((Inputs!$G$5:$G$140&lt;&gt;"moeda")*(Inputs!$G$5:$G$140&lt;&gt;"acoes")))*INDEX(Inputs!$K$5:$AJ$140,0,MATCH(AD$2,Inputs!$K$4:$AJ$4,0)))+SUMPRODUCT((Inputs!$E$5:$E$140=$B7)*Inputs!$F$5:$F$140*(((Inputs!$G$5:$G$140="moeda")+(Inputs!$G$5:$G$140="acoes"))*Inputs!$B$1+((Inputs!$G$5:$G$140&lt;&gt;"moeda")*(Inputs!$G$5:$G$140&lt;&gt;"acoes")))*INDEX(Inputs!$K$5:$AJ$140,0,MATCH(AD$2,Inputs!$K$4:$AJ$4,0)))))</f>
        <v>-1127</v>
      </c>
      <c r="AE7" s="6" t="e">
        <f>IF(ISNA(MATCH(AE$2,Inputs!$K$4:$AJ$4,0)),NA(),IF(SUMPRODUCT((Inputs!$A$5:$A$140=$B7)*ISNUMBER(INDEX(Inputs!$K$5:$AJ$140,0,MATCH(AE$2,Inputs!$K$4:$AJ$4,0))))+SUMPRODUCT((Inputs!$C$5:$C$140=$B7)*ISNUMBER(INDEX(Inputs!$K$5:$AJ$140,0,MATCH(AE$2,Inputs!$K$4:$AJ$4,0))))+SUMPRODUCT((Inputs!$E$5:$E$140=$B7)*ISNUMBER(INDEX(Inputs!$K$5:$AJ$140,0,MATCH(AE$2,Inputs!$K$4:$AJ$4,0))))=0,NA(),SUMPRODUCT((Inputs!$A$5:$A$140=$B7)*Inputs!$B$5:$B$140*(((Inputs!$G$5:$G$140="moeda")+(Inputs!$G$5:$G$140="acoes"))*Inputs!$B$1+((Inputs!$G$5:$G$140&lt;&gt;"moeda")*(Inputs!$G$5:$G$140&lt;&gt;"acoes")))*INDEX(Inputs!$K$5:$AJ$140,0,MATCH(AE$2,Inputs!$K$4:$AJ$4,0)))+SUMPRODUCT((Inputs!$C$5:$C$140=$B7)*Inputs!$D$5:$D$140*(((Inputs!$G$5:$G$140="moeda")+(Inputs!$G$5:$G$140="acoes"))*Inputs!$B$1+((Inputs!$G$5:$G$140&lt;&gt;"moeda")*(Inputs!$G$5:$G$140&lt;&gt;"acoes")))*INDEX(Inputs!$K$5:$AJ$140,0,MATCH(AE$2,Inputs!$K$4:$AJ$4,0)))+SUMPRODUCT((Inputs!$E$5:$E$140=$B7)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7" s="6" t="e">
        <f>IF(ISNA(MATCH(AF$2,Inputs!$K$4:$AJ$4,0)),NA(),IF(SUMPRODUCT((Inputs!$A$5:$A$140=$B7)*ISNUMBER(INDEX(Inputs!$K$5:$AJ$140,0,MATCH(AF$2,Inputs!$K$4:$AJ$4,0))))+SUMPRODUCT((Inputs!$C$5:$C$140=$B7)*ISNUMBER(INDEX(Inputs!$K$5:$AJ$140,0,MATCH(AF$2,Inputs!$K$4:$AJ$4,0))))+SUMPRODUCT((Inputs!$E$5:$E$140=$B7)*ISNUMBER(INDEX(Inputs!$K$5:$AJ$140,0,MATCH(AF$2,Inputs!$K$4:$AJ$4,0))))=0,NA(),SUMPRODUCT((Inputs!$A$5:$A$140=$B7)*Inputs!$B$5:$B$140*(((Inputs!$G$5:$G$140="moeda")+(Inputs!$G$5:$G$140="acoes"))*Inputs!$B$1+((Inputs!$G$5:$G$140&lt;&gt;"moeda")*(Inputs!$G$5:$G$140&lt;&gt;"acoes")))*INDEX(Inputs!$K$5:$AJ$140,0,MATCH(AF$2,Inputs!$K$4:$AJ$4,0)))+SUMPRODUCT((Inputs!$C$5:$C$140=$B7)*Inputs!$D$5:$D$140*(((Inputs!$G$5:$G$140="moeda")+(Inputs!$G$5:$G$140="acoes"))*Inputs!$B$1+((Inputs!$G$5:$G$140&lt;&gt;"moeda")*(Inputs!$G$5:$G$140&lt;&gt;"acoes")))*INDEX(Inputs!$K$5:$AJ$140,0,MATCH(AF$2,Inputs!$K$4:$AJ$4,0)))+SUMPRODUCT((Inputs!$E$5:$E$140=$B7)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7" s="3" t="e">
        <f>SUM(AC7:AF7)</f>
        <v>#N/A</v>
      </c>
      <c r="AH7" s="6">
        <f>IF(ISNA(MATCH(AH$2,Inputs!$K$4:$AJ$4,0)),NA(),IF(SUMPRODUCT((Inputs!$A$5:$A$140=$B7)*ISNUMBER(INDEX(Inputs!$K$5:$AJ$140,0,MATCH(AH$2,Inputs!$K$4:$AJ$4,0))))+SUMPRODUCT((Inputs!$C$5:$C$140=$B7)*ISNUMBER(INDEX(Inputs!$K$5:$AJ$140,0,MATCH(AH$2,Inputs!$K$4:$AJ$4,0))))+SUMPRODUCT((Inputs!$E$5:$E$140=$B7)*ISNUMBER(INDEX(Inputs!$K$5:$AJ$140,0,MATCH(AH$2,Inputs!$K$4:$AJ$4,0))))=0,NA(),SUMPRODUCT((Inputs!$A$5:$A$140=$B7)*Inputs!$B$5:$B$140*(((Inputs!$G$5:$G$140="moeda")+(Inputs!$G$5:$G$140="acoes"))*Inputs!$B$1+((Inputs!$G$5:$G$140&lt;&gt;"moeda")*(Inputs!$G$5:$G$140&lt;&gt;"acoes")))*INDEX(Inputs!$K$5:$AJ$140,0,MATCH(AH$2,Inputs!$K$4:$AJ$4,0)))+SUMPRODUCT((Inputs!$C$5:$C$140=$B7)*Inputs!$D$5:$D$140*(((Inputs!$G$5:$G$140="moeda")+(Inputs!$G$5:$G$140="acoes"))*Inputs!$B$1+((Inputs!$G$5:$G$140&lt;&gt;"moeda")*(Inputs!$G$5:$G$140&lt;&gt;"acoes")))*INDEX(Inputs!$K$5:$AJ$140,0,MATCH(AH$2,Inputs!$K$4:$AJ$4,0)))+SUMPRODUCT((Inputs!$E$5:$E$140=$B7)*Inputs!$F$5:$F$140*(((Inputs!$G$5:$G$140="moeda")+(Inputs!$G$5:$G$140="acoes"))*Inputs!$B$1+((Inputs!$G$5:$G$140&lt;&gt;"moeda")*(Inputs!$G$5:$G$140&lt;&gt;"acoes")))*INDEX(Inputs!$K$5:$AJ$140,0,MATCH(AH$2,Inputs!$K$4:$AJ$4,0)))))</f>
        <v>-107</v>
      </c>
      <c r="AI7" s="6">
        <f>IF(ISNA(MATCH(AI$2,Inputs!$K$4:$AJ$4,0)),NA(),IF(SUMPRODUCT((Inputs!$A$5:$A$140=$B7)*ISNUMBER(INDEX(Inputs!$K$5:$AJ$140,0,MATCH(AI$2,Inputs!$K$4:$AJ$4,0))))+SUMPRODUCT((Inputs!$C$5:$C$140=$B7)*ISNUMBER(INDEX(Inputs!$K$5:$AJ$140,0,MATCH(AI$2,Inputs!$K$4:$AJ$4,0))))+SUMPRODUCT((Inputs!$E$5:$E$140=$B7)*ISNUMBER(INDEX(Inputs!$K$5:$AJ$140,0,MATCH(AI$2,Inputs!$K$4:$AJ$4,0))))=0,NA(),SUMPRODUCT((Inputs!$A$5:$A$140=$B7)*Inputs!$B$5:$B$140*(((Inputs!$G$5:$G$140="moeda")+(Inputs!$G$5:$G$140="acoes"))*Inputs!$B$1+((Inputs!$G$5:$G$140&lt;&gt;"moeda")*(Inputs!$G$5:$G$140&lt;&gt;"acoes")))*INDEX(Inputs!$K$5:$AJ$140,0,MATCH(AI$2,Inputs!$K$4:$AJ$4,0)))+SUMPRODUCT((Inputs!$C$5:$C$140=$B7)*Inputs!$D$5:$D$140*(((Inputs!$G$5:$G$140="moeda")+(Inputs!$G$5:$G$140="acoes"))*Inputs!$B$1+((Inputs!$G$5:$G$140&lt;&gt;"moeda")*(Inputs!$G$5:$G$140&lt;&gt;"acoes")))*INDEX(Inputs!$K$5:$AJ$140,0,MATCH(AI$2,Inputs!$K$4:$AJ$4,0)))+SUMPRODUCT((Inputs!$E$5:$E$140=$B7)*Inputs!$F$5:$F$140*(((Inputs!$G$5:$G$140="moeda")+(Inputs!$G$5:$G$140="acoes"))*Inputs!$B$1+((Inputs!$G$5:$G$140&lt;&gt;"moeda")*(Inputs!$G$5:$G$140&lt;&gt;"acoes")))*INDEX(Inputs!$K$5:$AJ$140,0,MATCH(AI$2,Inputs!$K$4:$AJ$4,0)))))</f>
        <v>-404</v>
      </c>
      <c r="AJ7" s="6">
        <f>IF(ISNA(MATCH(AJ$2,Inputs!$K$4:$AJ$4,0)),NA(),IF(SUMPRODUCT((Inputs!$A$5:$A$140=$B7)*ISNUMBER(INDEX(Inputs!$K$5:$AJ$140,0,MATCH(AJ$2,Inputs!$K$4:$AJ$4,0))))+SUMPRODUCT((Inputs!$C$5:$C$140=$B7)*ISNUMBER(INDEX(Inputs!$K$5:$AJ$140,0,MATCH(AJ$2,Inputs!$K$4:$AJ$4,0))))+SUMPRODUCT((Inputs!$E$5:$E$140=$B7)*ISNUMBER(INDEX(Inputs!$K$5:$AJ$140,0,MATCH(AJ$2,Inputs!$K$4:$AJ$4,0))))=0,NA(),SUMPRODUCT((Inputs!$A$5:$A$140=$B7)*Inputs!$B$5:$B$140*(((Inputs!$G$5:$G$140="moeda")+(Inputs!$G$5:$G$140="acoes"))*Inputs!$B$1+((Inputs!$G$5:$G$140&lt;&gt;"moeda")*(Inputs!$G$5:$G$140&lt;&gt;"acoes")))*INDEX(Inputs!$K$5:$AJ$140,0,MATCH(AJ$2,Inputs!$K$4:$AJ$4,0)))+SUMPRODUCT((Inputs!$C$5:$C$140=$B7)*Inputs!$D$5:$D$140*(((Inputs!$G$5:$G$140="moeda")+(Inputs!$G$5:$G$140="acoes"))*Inputs!$B$1+((Inputs!$G$5:$G$140&lt;&gt;"moeda")*(Inputs!$G$5:$G$140&lt;&gt;"acoes")))*INDEX(Inputs!$K$5:$AJ$140,0,MATCH(AJ$2,Inputs!$K$4:$AJ$4,0)))+SUMPRODUCT((Inputs!$E$5:$E$140=$B7)*Inputs!$F$5:$F$140*(((Inputs!$G$5:$G$140="moeda")+(Inputs!$G$5:$G$140="acoes"))*Inputs!$B$1+((Inputs!$G$5:$G$140&lt;&gt;"moeda")*(Inputs!$G$5:$G$140&lt;&gt;"acoes")))*INDEX(Inputs!$K$5:$AJ$140,0,MATCH(AJ$2,Inputs!$K$4:$AJ$4,0)))))</f>
        <v>-299</v>
      </c>
      <c r="AK7" s="6">
        <f>IF(ISNA(MATCH(AK$2,Inputs!$K$4:$AJ$4,0)),NA(),IF(SUMPRODUCT((Inputs!$A$5:$A$140=$B7)*ISNUMBER(INDEX(Inputs!$K$5:$AJ$140,0,MATCH(AK$2,Inputs!$K$4:$AJ$4,0))))+SUMPRODUCT((Inputs!$C$5:$C$140=$B7)*ISNUMBER(INDEX(Inputs!$K$5:$AJ$140,0,MATCH(AK$2,Inputs!$K$4:$AJ$4,0))))+SUMPRODUCT((Inputs!$E$5:$E$140=$B7)*ISNUMBER(INDEX(Inputs!$K$5:$AJ$140,0,MATCH(AK$2,Inputs!$K$4:$AJ$4,0))))=0,NA(),SUMPRODUCT((Inputs!$A$5:$A$140=$B7)*Inputs!$B$5:$B$140*(((Inputs!$G$5:$G$140="moeda")+(Inputs!$G$5:$G$140="acoes"))*Inputs!$B$1+((Inputs!$G$5:$G$140&lt;&gt;"moeda")*(Inputs!$G$5:$G$140&lt;&gt;"acoes")))*INDEX(Inputs!$K$5:$AJ$140,0,MATCH(AK$2,Inputs!$K$4:$AJ$4,0)))+SUMPRODUCT((Inputs!$C$5:$C$140=$B7)*Inputs!$D$5:$D$140*(((Inputs!$G$5:$G$140="moeda")+(Inputs!$G$5:$G$140="acoes"))*Inputs!$B$1+((Inputs!$G$5:$G$140&lt;&gt;"moeda")*(Inputs!$G$5:$G$140&lt;&gt;"acoes")))*INDEX(Inputs!$K$5:$AJ$140,0,MATCH(AK$2,Inputs!$K$4:$AJ$4,0)))+SUMPRODUCT((Inputs!$E$5:$E$140=$B7)*Inputs!$F$5:$F$140*(((Inputs!$G$5:$G$140="moeda")+(Inputs!$G$5:$G$140="acoes"))*Inputs!$B$1+((Inputs!$G$5:$G$140&lt;&gt;"moeda")*(Inputs!$G$5:$G$140&lt;&gt;"acoes")))*INDEX(Inputs!$K$5:$AJ$140,0,MATCH(AK$2,Inputs!$K$4:$AJ$4,0)))))</f>
        <v>-288</v>
      </c>
      <c r="AL7" s="3">
        <f>SUM(AH7:AK7)</f>
        <v>-1098</v>
      </c>
    </row>
    <row r="8">
      <c r="B8" s="46" t="n">
        <v>5</v>
      </c>
      <c r="C8" s="26" t="inlineStr">
        <is>
          <t>Interest Expense</t>
        </is>
      </c>
      <c r="D8" s="6">
        <f>IF(ISNA(MATCH(D$2,Inputs!$K$4:$AJ$4,0)),NA(),IF(SUMPRODUCT((Inputs!$A$5:$A$140=$B8)*ISNUMBER(INDEX(Inputs!$K$5:$AJ$140,0,MATCH(D$2,Inputs!$K$4:$AJ$4,0))))+SUMPRODUCT((Inputs!$C$5:$C$140=$B8)*ISNUMBER(INDEX(Inputs!$K$5:$AJ$140,0,MATCH(D$2,Inputs!$K$4:$AJ$4,0))))+SUMPRODUCT((Inputs!$E$5:$E$140=$B8)*ISNUMBER(INDEX(Inputs!$K$5:$AJ$140,0,MATCH(D$2,Inputs!$K$4:$AJ$4,0))))=0,NA(),SUMPRODUCT((Inputs!$A$5:$A$140=$B8)*Inputs!$B$5:$B$140*(((Inputs!$G$5:$G$140="moeda")+(Inputs!$G$5:$G$140="acoes"))*Inputs!$B$1+((Inputs!$G$5:$G$140&lt;&gt;"moeda")*(Inputs!$G$5:$G$140&lt;&gt;"acoes")))*INDEX(Inputs!$K$5:$AJ$140,0,MATCH(D$2,Inputs!$K$4:$AJ$4,0)))+SUMPRODUCT((Inputs!$C$5:$C$140=$B8)*Inputs!$D$5:$D$140*(((Inputs!$G$5:$G$140="moeda")+(Inputs!$G$5:$G$140="acoes"))*Inputs!$B$1+((Inputs!$G$5:$G$140&lt;&gt;"moeda")*(Inputs!$G$5:$G$140&lt;&gt;"acoes")))*INDEX(Inputs!$K$5:$AJ$140,0,MATCH(D$2,Inputs!$K$4:$AJ$4,0)))+SUMPRODUCT((Inputs!$E$5:$E$140=$B8)*Inputs!$F$5:$F$140*(((Inputs!$G$5:$G$140="moeda")+(Inputs!$G$5:$G$140="acoes"))*Inputs!$B$1+((Inputs!$G$5:$G$140&lt;&gt;"moeda")*(Inputs!$G$5:$G$140&lt;&gt;"acoes")))*INDEX(Inputs!$K$5:$AJ$140,0,MATCH(D$2,Inputs!$K$4:$AJ$4,0)))))</f>
        <v>-53</v>
      </c>
      <c r="E8" s="6">
        <f>IF(ISNA(MATCH(E$2,Inputs!$K$4:$AJ$4,0)),NA(),IF(SUMPRODUCT((Inputs!$A$5:$A$140=$B8)*ISNUMBER(INDEX(Inputs!$K$5:$AJ$140,0,MATCH(E$2,Inputs!$K$4:$AJ$4,0))))+SUMPRODUCT((Inputs!$C$5:$C$140=$B8)*ISNUMBER(INDEX(Inputs!$K$5:$AJ$140,0,MATCH(E$2,Inputs!$K$4:$AJ$4,0))))+SUMPRODUCT((Inputs!$E$5:$E$140=$B8)*ISNUMBER(INDEX(Inputs!$K$5:$AJ$140,0,MATCH(E$2,Inputs!$K$4:$AJ$4,0))))=0,NA(),SUMPRODUCT((Inputs!$A$5:$A$140=$B8)*Inputs!$B$5:$B$140*(((Inputs!$G$5:$G$140="moeda")+(Inputs!$G$5:$G$140="acoes"))*Inputs!$B$1+((Inputs!$G$5:$G$140&lt;&gt;"moeda")*(Inputs!$G$5:$G$140&lt;&gt;"acoes")))*INDEX(Inputs!$K$5:$AJ$140,0,MATCH(E$2,Inputs!$K$4:$AJ$4,0)))+SUMPRODUCT((Inputs!$C$5:$C$140=$B8)*Inputs!$D$5:$D$140*(((Inputs!$G$5:$G$140="moeda")+(Inputs!$G$5:$G$140="acoes"))*Inputs!$B$1+((Inputs!$G$5:$G$140&lt;&gt;"moeda")*(Inputs!$G$5:$G$140&lt;&gt;"acoes")))*INDEX(Inputs!$K$5:$AJ$140,0,MATCH(E$2,Inputs!$K$4:$AJ$4,0)))+SUMPRODUCT((Inputs!$E$5:$E$140=$B8)*Inputs!$F$5:$F$140*(((Inputs!$G$5:$G$140="moeda")+(Inputs!$G$5:$G$140="acoes"))*Inputs!$B$1+((Inputs!$G$5:$G$140&lt;&gt;"moeda")*(Inputs!$G$5:$G$140&lt;&gt;"acoes")))*INDEX(Inputs!$K$5:$AJ$140,0,MATCH(E$2,Inputs!$K$4:$AJ$4,0)))))</f>
        <v>-60</v>
      </c>
      <c r="F8" s="6">
        <f>IF(ISNA(MATCH(F$2,Inputs!$K$4:$AJ$4,0)),NA(),IF(SUMPRODUCT((Inputs!$A$5:$A$140=$B8)*ISNUMBER(INDEX(Inputs!$K$5:$AJ$140,0,MATCH(F$2,Inputs!$K$4:$AJ$4,0))))+SUMPRODUCT((Inputs!$C$5:$C$140=$B8)*ISNUMBER(INDEX(Inputs!$K$5:$AJ$140,0,MATCH(F$2,Inputs!$K$4:$AJ$4,0))))+SUMPRODUCT((Inputs!$E$5:$E$140=$B8)*ISNUMBER(INDEX(Inputs!$K$5:$AJ$140,0,MATCH(F$2,Inputs!$K$4:$AJ$4,0))))=0,NA(),SUMPRODUCT((Inputs!$A$5:$A$140=$B8)*Inputs!$B$5:$B$140*(((Inputs!$G$5:$G$140="moeda")+(Inputs!$G$5:$G$140="acoes"))*Inputs!$B$1+((Inputs!$G$5:$G$140&lt;&gt;"moeda")*(Inputs!$G$5:$G$140&lt;&gt;"acoes")))*INDEX(Inputs!$K$5:$AJ$140,0,MATCH(F$2,Inputs!$K$4:$AJ$4,0)))+SUMPRODUCT((Inputs!$C$5:$C$140=$B8)*Inputs!$D$5:$D$140*(((Inputs!$G$5:$G$140="moeda")+(Inputs!$G$5:$G$140="acoes"))*Inputs!$B$1+((Inputs!$G$5:$G$140&lt;&gt;"moeda")*(Inputs!$G$5:$G$140&lt;&gt;"acoes")))*INDEX(Inputs!$K$5:$AJ$140,0,MATCH(F$2,Inputs!$K$4:$AJ$4,0)))+SUMPRODUCT((Inputs!$E$5:$E$140=$B8)*Inputs!$F$5:$F$140*(((Inputs!$G$5:$G$140="moeda")+(Inputs!$G$5:$G$140="acoes"))*Inputs!$B$1+((Inputs!$G$5:$G$140&lt;&gt;"moeda")*(Inputs!$G$5:$G$140&lt;&gt;"acoes")))*INDEX(Inputs!$K$5:$AJ$140,0,MATCH(F$2,Inputs!$K$4:$AJ$4,0)))))</f>
        <v>-62</v>
      </c>
      <c r="G8" s="6">
        <f>IF(ISNA(MATCH(G$2,Inputs!$K$4:$AJ$4,0)),NA(),IF(SUMPRODUCT((Inputs!$A$5:$A$140=$B8)*ISNUMBER(INDEX(Inputs!$K$5:$AJ$140,0,MATCH(G$2,Inputs!$K$4:$AJ$4,0))))+SUMPRODUCT((Inputs!$C$5:$C$140=$B8)*ISNUMBER(INDEX(Inputs!$K$5:$AJ$140,0,MATCH(G$2,Inputs!$K$4:$AJ$4,0))))+SUMPRODUCT((Inputs!$E$5:$E$140=$B8)*ISNUMBER(INDEX(Inputs!$K$5:$AJ$140,0,MATCH(G$2,Inputs!$K$4:$AJ$4,0))))=0,NA(),SUMPRODUCT((Inputs!$A$5:$A$140=$B8)*Inputs!$B$5:$B$140*(((Inputs!$G$5:$G$140="moeda")+(Inputs!$G$5:$G$140="acoes"))*Inputs!$B$1+((Inputs!$G$5:$G$140&lt;&gt;"moeda")*(Inputs!$G$5:$G$140&lt;&gt;"acoes")))*INDEX(Inputs!$K$5:$AJ$140,0,MATCH(G$2,Inputs!$K$4:$AJ$4,0)))+SUMPRODUCT((Inputs!$C$5:$C$140=$B8)*Inputs!$D$5:$D$140*(((Inputs!$G$5:$G$140="moeda")+(Inputs!$G$5:$G$140="acoes"))*Inputs!$B$1+((Inputs!$G$5:$G$140&lt;&gt;"moeda")*(Inputs!$G$5:$G$140&lt;&gt;"acoes")))*INDEX(Inputs!$K$5:$AJ$140,0,MATCH(G$2,Inputs!$K$4:$AJ$4,0)))+SUMPRODUCT((Inputs!$E$5:$E$140=$B8)*Inputs!$F$5:$F$140*(((Inputs!$G$5:$G$140="moeda")+(Inputs!$G$5:$G$140="acoes"))*Inputs!$B$1+((Inputs!$G$5:$G$140&lt;&gt;"moeda")*(Inputs!$G$5:$G$140&lt;&gt;"acoes")))*INDEX(Inputs!$K$5:$AJ$140,0,MATCH(G$2,Inputs!$K$4:$AJ$4,0)))))</f>
        <v>-61</v>
      </c>
      <c r="H8" s="3">
        <f>SUM(D8:G8)</f>
        <v>-236</v>
      </c>
      <c r="I8" s="6">
        <f>IF(ISNA(MATCH(I$2,Inputs!$K$4:$AJ$4,0)),NA(),IF(SUMPRODUCT((Inputs!$A$5:$A$140=$B8)*ISNUMBER(INDEX(Inputs!$K$5:$AJ$140,0,MATCH(I$2,Inputs!$K$4:$AJ$4,0))))+SUMPRODUCT((Inputs!$C$5:$C$140=$B8)*ISNUMBER(INDEX(Inputs!$K$5:$AJ$140,0,MATCH(I$2,Inputs!$K$4:$AJ$4,0))))+SUMPRODUCT((Inputs!$E$5:$E$140=$B8)*ISNUMBER(INDEX(Inputs!$K$5:$AJ$140,0,MATCH(I$2,Inputs!$K$4:$AJ$4,0))))=0,NA(),SUMPRODUCT((Inputs!$A$5:$A$140=$B8)*Inputs!$B$5:$B$140*(((Inputs!$G$5:$G$140="moeda")+(Inputs!$G$5:$G$140="acoes"))*Inputs!$B$1+((Inputs!$G$5:$G$140&lt;&gt;"moeda")*(Inputs!$G$5:$G$140&lt;&gt;"acoes")))*INDEX(Inputs!$K$5:$AJ$140,0,MATCH(I$2,Inputs!$K$4:$AJ$4,0)))+SUMPRODUCT((Inputs!$C$5:$C$140=$B8)*Inputs!$D$5:$D$140*(((Inputs!$G$5:$G$140="moeda")+(Inputs!$G$5:$G$140="acoes"))*Inputs!$B$1+((Inputs!$G$5:$G$140&lt;&gt;"moeda")*(Inputs!$G$5:$G$140&lt;&gt;"acoes")))*INDEX(Inputs!$K$5:$AJ$140,0,MATCH(I$2,Inputs!$K$4:$AJ$4,0)))+SUMPRODUCT((Inputs!$E$5:$E$140=$B8)*Inputs!$F$5:$F$140*(((Inputs!$G$5:$G$140="moeda")+(Inputs!$G$5:$G$140="acoes"))*Inputs!$B$1+((Inputs!$G$5:$G$140&lt;&gt;"moeda")*(Inputs!$G$5:$G$140&lt;&gt;"acoes")))*INDEX(Inputs!$K$5:$AJ$140,0,MATCH(I$2,Inputs!$K$4:$AJ$4,0)))))</f>
        <v>-68</v>
      </c>
      <c r="J8" s="6">
        <f>IF(ISNA(MATCH(J$2,Inputs!$K$4:$AJ$4,0)),NA(),IF(SUMPRODUCT((Inputs!$A$5:$A$140=$B8)*ISNUMBER(INDEX(Inputs!$K$5:$AJ$140,0,MATCH(J$2,Inputs!$K$4:$AJ$4,0))))+SUMPRODUCT((Inputs!$C$5:$C$140=$B8)*ISNUMBER(INDEX(Inputs!$K$5:$AJ$140,0,MATCH(J$2,Inputs!$K$4:$AJ$4,0))))+SUMPRODUCT((Inputs!$E$5:$E$140=$B8)*ISNUMBER(INDEX(Inputs!$K$5:$AJ$140,0,MATCH(J$2,Inputs!$K$4:$AJ$4,0))))=0,NA(),SUMPRODUCT((Inputs!$A$5:$A$140=$B8)*Inputs!$B$5:$B$140*(((Inputs!$G$5:$G$140="moeda")+(Inputs!$G$5:$G$140="acoes"))*Inputs!$B$1+((Inputs!$G$5:$G$140&lt;&gt;"moeda")*(Inputs!$G$5:$G$140&lt;&gt;"acoes")))*INDEX(Inputs!$K$5:$AJ$140,0,MATCH(J$2,Inputs!$K$4:$AJ$4,0)))+SUMPRODUCT((Inputs!$C$5:$C$140=$B8)*Inputs!$D$5:$D$140*(((Inputs!$G$5:$G$140="moeda")+(Inputs!$G$5:$G$140="acoes"))*Inputs!$B$1+((Inputs!$G$5:$G$140&lt;&gt;"moeda")*(Inputs!$G$5:$G$140&lt;&gt;"acoes")))*INDEX(Inputs!$K$5:$AJ$140,0,MATCH(J$2,Inputs!$K$4:$AJ$4,0)))+SUMPRODUCT((Inputs!$E$5:$E$140=$B8)*Inputs!$F$5:$F$140*(((Inputs!$G$5:$G$140="moeda")+(Inputs!$G$5:$G$140="acoes"))*Inputs!$B$1+((Inputs!$G$5:$G$140&lt;&gt;"moeda")*(Inputs!$G$5:$G$140&lt;&gt;"acoes")))*INDEX(Inputs!$K$5:$AJ$140,0,MATCH(J$2,Inputs!$K$4:$AJ$4,0)))))</f>
        <v>-65</v>
      </c>
      <c r="K8" s="6">
        <f>IF(ISNA(MATCH(K$2,Inputs!$K$4:$AJ$4,0)),NA(),IF(SUMPRODUCT((Inputs!$A$5:$A$140=$B8)*ISNUMBER(INDEX(Inputs!$K$5:$AJ$140,0,MATCH(K$2,Inputs!$K$4:$AJ$4,0))))+SUMPRODUCT((Inputs!$C$5:$C$140=$B8)*ISNUMBER(INDEX(Inputs!$K$5:$AJ$140,0,MATCH(K$2,Inputs!$K$4:$AJ$4,0))))+SUMPRODUCT((Inputs!$E$5:$E$140=$B8)*ISNUMBER(INDEX(Inputs!$K$5:$AJ$140,0,MATCH(K$2,Inputs!$K$4:$AJ$4,0))))=0,NA(),SUMPRODUCT((Inputs!$A$5:$A$140=$B8)*Inputs!$B$5:$B$140*(((Inputs!$G$5:$G$140="moeda")+(Inputs!$G$5:$G$140="acoes"))*Inputs!$B$1+((Inputs!$G$5:$G$140&lt;&gt;"moeda")*(Inputs!$G$5:$G$140&lt;&gt;"acoes")))*INDEX(Inputs!$K$5:$AJ$140,0,MATCH(K$2,Inputs!$K$4:$AJ$4,0)))+SUMPRODUCT((Inputs!$C$5:$C$140=$B8)*Inputs!$D$5:$D$140*(((Inputs!$G$5:$G$140="moeda")+(Inputs!$G$5:$G$140="acoes"))*Inputs!$B$1+((Inputs!$G$5:$G$140&lt;&gt;"moeda")*(Inputs!$G$5:$G$140&lt;&gt;"acoes")))*INDEX(Inputs!$K$5:$AJ$140,0,MATCH(K$2,Inputs!$K$4:$AJ$4,0)))+SUMPRODUCT((Inputs!$E$5:$E$140=$B8)*Inputs!$F$5:$F$140*(((Inputs!$G$5:$G$140="moeda")+(Inputs!$G$5:$G$140="acoes"))*Inputs!$B$1+((Inputs!$G$5:$G$140&lt;&gt;"moeda")*(Inputs!$G$5:$G$140&lt;&gt;"acoes")))*INDEX(Inputs!$K$5:$AJ$140,0,MATCH(K$2,Inputs!$K$4:$AJ$4,0)))))</f>
        <v>-65</v>
      </c>
      <c r="L8" s="6">
        <f>IF(ISNA(MATCH(L$2,Inputs!$K$4:$AJ$4,0)),NA(),IF(SUMPRODUCT((Inputs!$A$5:$A$140=$B8)*ISNUMBER(INDEX(Inputs!$K$5:$AJ$140,0,MATCH(L$2,Inputs!$K$4:$AJ$4,0))))+SUMPRODUCT((Inputs!$C$5:$C$140=$B8)*ISNUMBER(INDEX(Inputs!$K$5:$AJ$140,0,MATCH(L$2,Inputs!$K$4:$AJ$4,0))))+SUMPRODUCT((Inputs!$E$5:$E$140=$B8)*ISNUMBER(INDEX(Inputs!$K$5:$AJ$140,0,MATCH(L$2,Inputs!$K$4:$AJ$4,0))))=0,NA(),SUMPRODUCT((Inputs!$A$5:$A$140=$B8)*Inputs!$B$5:$B$140*(((Inputs!$G$5:$G$140="moeda")+(Inputs!$G$5:$G$140="acoes"))*Inputs!$B$1+((Inputs!$G$5:$G$140&lt;&gt;"moeda")*(Inputs!$G$5:$G$140&lt;&gt;"acoes")))*INDEX(Inputs!$K$5:$AJ$140,0,MATCH(L$2,Inputs!$K$4:$AJ$4,0)))+SUMPRODUCT((Inputs!$C$5:$C$140=$B8)*Inputs!$D$5:$D$140*(((Inputs!$G$5:$G$140="moeda")+(Inputs!$G$5:$G$140="acoes"))*Inputs!$B$1+((Inputs!$G$5:$G$140&lt;&gt;"moeda")*(Inputs!$G$5:$G$140&lt;&gt;"acoes")))*INDEX(Inputs!$K$5:$AJ$140,0,MATCH(L$2,Inputs!$K$4:$AJ$4,0)))+SUMPRODUCT((Inputs!$E$5:$E$140=$B8)*Inputs!$F$5:$F$140*(((Inputs!$G$5:$G$140="moeda")+(Inputs!$G$5:$G$140="acoes"))*Inputs!$B$1+((Inputs!$G$5:$G$140&lt;&gt;"moeda")*(Inputs!$G$5:$G$140&lt;&gt;"acoes")))*INDEX(Inputs!$K$5:$AJ$140,0,MATCH(L$2,Inputs!$K$4:$AJ$4,0)))))</f>
        <v>-64</v>
      </c>
      <c r="M8" s="3">
        <f>SUM(I8:L8)</f>
        <v>-262</v>
      </c>
      <c r="N8" s="6">
        <f>IF(ISNA(MATCH(N$2,Inputs!$K$4:$AJ$4,0)),NA(),IF(SUMPRODUCT((Inputs!$A$5:$A$140=$B8)*ISNUMBER(INDEX(Inputs!$K$5:$AJ$140,0,MATCH(N$2,Inputs!$K$4:$AJ$4,0))))+SUMPRODUCT((Inputs!$C$5:$C$140=$B8)*ISNUMBER(INDEX(Inputs!$K$5:$AJ$140,0,MATCH(N$2,Inputs!$K$4:$AJ$4,0))))+SUMPRODUCT((Inputs!$E$5:$E$140=$B8)*ISNUMBER(INDEX(Inputs!$K$5:$AJ$140,0,MATCH(N$2,Inputs!$K$4:$AJ$4,0))))=0,NA(),SUMPRODUCT((Inputs!$A$5:$A$140=$B8)*Inputs!$B$5:$B$140*(((Inputs!$G$5:$G$140="moeda")+(Inputs!$G$5:$G$140="acoes"))*Inputs!$B$1+((Inputs!$G$5:$G$140&lt;&gt;"moeda")*(Inputs!$G$5:$G$140&lt;&gt;"acoes")))*INDEX(Inputs!$K$5:$AJ$140,0,MATCH(N$2,Inputs!$K$4:$AJ$4,0)))+SUMPRODUCT((Inputs!$C$5:$C$140=$B8)*Inputs!$D$5:$D$140*(((Inputs!$G$5:$G$140="moeda")+(Inputs!$G$5:$G$140="acoes"))*Inputs!$B$1+((Inputs!$G$5:$G$140&lt;&gt;"moeda")*(Inputs!$G$5:$G$140&lt;&gt;"acoes")))*INDEX(Inputs!$K$5:$AJ$140,0,MATCH(N$2,Inputs!$K$4:$AJ$4,0)))+SUMPRODUCT((Inputs!$E$5:$E$140=$B8)*Inputs!$F$5:$F$140*(((Inputs!$G$5:$G$140="moeda")+(Inputs!$G$5:$G$140="acoes"))*Inputs!$B$1+((Inputs!$G$5:$G$140&lt;&gt;"moeda")*(Inputs!$G$5:$G$140&lt;&gt;"acoes")))*INDEX(Inputs!$K$5:$AJ$140,0,MATCH(N$2,Inputs!$K$4:$AJ$4,0)))))</f>
        <v>-66</v>
      </c>
      <c r="O8" s="6">
        <f>IF(ISNA(MATCH(O$2,Inputs!$K$4:$AJ$4,0)),NA(),IF(SUMPRODUCT((Inputs!$A$5:$A$140=$B8)*ISNUMBER(INDEX(Inputs!$K$5:$AJ$140,0,MATCH(O$2,Inputs!$K$4:$AJ$4,0))))+SUMPRODUCT((Inputs!$C$5:$C$140=$B8)*ISNUMBER(INDEX(Inputs!$K$5:$AJ$140,0,MATCH(O$2,Inputs!$K$4:$AJ$4,0))))+SUMPRODUCT((Inputs!$E$5:$E$140=$B8)*ISNUMBER(INDEX(Inputs!$K$5:$AJ$140,0,MATCH(O$2,Inputs!$K$4:$AJ$4,0))))=0,NA(),SUMPRODUCT((Inputs!$A$5:$A$140=$B8)*Inputs!$B$5:$B$140*(((Inputs!$G$5:$G$140="moeda")+(Inputs!$G$5:$G$140="acoes"))*Inputs!$B$1+((Inputs!$G$5:$G$140&lt;&gt;"moeda")*(Inputs!$G$5:$G$140&lt;&gt;"acoes")))*INDEX(Inputs!$K$5:$AJ$140,0,MATCH(O$2,Inputs!$K$4:$AJ$4,0)))+SUMPRODUCT((Inputs!$C$5:$C$140=$B8)*Inputs!$D$5:$D$140*(((Inputs!$G$5:$G$140="moeda")+(Inputs!$G$5:$G$140="acoes"))*Inputs!$B$1+((Inputs!$G$5:$G$140&lt;&gt;"moeda")*(Inputs!$G$5:$G$140&lt;&gt;"acoes")))*INDEX(Inputs!$K$5:$AJ$140,0,MATCH(O$2,Inputs!$K$4:$AJ$4,0)))+SUMPRODUCT((Inputs!$E$5:$E$140=$B8)*Inputs!$F$5:$F$140*(((Inputs!$G$5:$G$140="moeda")+(Inputs!$G$5:$G$140="acoes"))*Inputs!$B$1+((Inputs!$G$5:$G$140&lt;&gt;"moeda")*(Inputs!$G$5:$G$140&lt;&gt;"acoes")))*INDEX(Inputs!$K$5:$AJ$140,0,MATCH(O$2,Inputs!$K$4:$AJ$4,0)))))</f>
        <v>-65</v>
      </c>
      <c r="P8" s="6">
        <f>IF(ISNA(MATCH(P$2,Inputs!$K$4:$AJ$4,0)),NA(),IF(SUMPRODUCT((Inputs!$A$5:$A$140=$B8)*ISNUMBER(INDEX(Inputs!$K$5:$AJ$140,0,MATCH(P$2,Inputs!$K$4:$AJ$4,0))))+SUMPRODUCT((Inputs!$C$5:$C$140=$B8)*ISNUMBER(INDEX(Inputs!$K$5:$AJ$140,0,MATCH(P$2,Inputs!$K$4:$AJ$4,0))))+SUMPRODUCT((Inputs!$E$5:$E$140=$B8)*ISNUMBER(INDEX(Inputs!$K$5:$AJ$140,0,MATCH(P$2,Inputs!$K$4:$AJ$4,0))))=0,NA(),SUMPRODUCT((Inputs!$A$5:$A$140=$B8)*Inputs!$B$5:$B$140*(((Inputs!$G$5:$G$140="moeda")+(Inputs!$G$5:$G$140="acoes"))*Inputs!$B$1+((Inputs!$G$5:$G$140&lt;&gt;"moeda")*(Inputs!$G$5:$G$140&lt;&gt;"acoes")))*INDEX(Inputs!$K$5:$AJ$140,0,MATCH(P$2,Inputs!$K$4:$AJ$4,0)))+SUMPRODUCT((Inputs!$C$5:$C$140=$B8)*Inputs!$D$5:$D$140*(((Inputs!$G$5:$G$140="moeda")+(Inputs!$G$5:$G$140="acoes"))*Inputs!$B$1+((Inputs!$G$5:$G$140&lt;&gt;"moeda")*(Inputs!$G$5:$G$140&lt;&gt;"acoes")))*INDEX(Inputs!$K$5:$AJ$140,0,MATCH(P$2,Inputs!$K$4:$AJ$4,0)))+SUMPRODUCT((Inputs!$E$5:$E$140=$B8)*Inputs!$F$5:$F$140*(((Inputs!$G$5:$G$140="moeda")+(Inputs!$G$5:$G$140="acoes"))*Inputs!$B$1+((Inputs!$G$5:$G$140&lt;&gt;"moeda")*(Inputs!$G$5:$G$140&lt;&gt;"acoes")))*INDEX(Inputs!$K$5:$AJ$140,0,MATCH(P$2,Inputs!$K$4:$AJ$4,0)))))</f>
        <v>-63</v>
      </c>
      <c r="Q8" s="6">
        <f>IF(ISNA(MATCH(Q$2,Inputs!$K$4:$AJ$4,0)),NA(),IF(SUMPRODUCT((Inputs!$A$5:$A$140=$B8)*ISNUMBER(INDEX(Inputs!$K$5:$AJ$140,0,MATCH(Q$2,Inputs!$K$4:$AJ$4,0))))+SUMPRODUCT((Inputs!$C$5:$C$140=$B8)*ISNUMBER(INDEX(Inputs!$K$5:$AJ$140,0,MATCH(Q$2,Inputs!$K$4:$AJ$4,0))))+SUMPRODUCT((Inputs!$E$5:$E$140=$B8)*ISNUMBER(INDEX(Inputs!$K$5:$AJ$140,0,MATCH(Q$2,Inputs!$K$4:$AJ$4,0))))=0,NA(),SUMPRODUCT((Inputs!$A$5:$A$140=$B8)*Inputs!$B$5:$B$140*(((Inputs!$G$5:$G$140="moeda")+(Inputs!$G$5:$G$140="acoes"))*Inputs!$B$1+((Inputs!$G$5:$G$140&lt;&gt;"moeda")*(Inputs!$G$5:$G$140&lt;&gt;"acoes")))*INDEX(Inputs!$K$5:$AJ$140,0,MATCH(Q$2,Inputs!$K$4:$AJ$4,0)))+SUMPRODUCT((Inputs!$C$5:$C$140=$B8)*Inputs!$D$5:$D$140*(((Inputs!$G$5:$G$140="moeda")+(Inputs!$G$5:$G$140="acoes"))*Inputs!$B$1+((Inputs!$G$5:$G$140&lt;&gt;"moeda")*(Inputs!$G$5:$G$140&lt;&gt;"acoes")))*INDEX(Inputs!$K$5:$AJ$140,0,MATCH(Q$2,Inputs!$K$4:$AJ$4,0)))+SUMPRODUCT((Inputs!$E$5:$E$140=$B8)*Inputs!$F$5:$F$140*(((Inputs!$G$5:$G$140="moeda")+(Inputs!$G$5:$G$140="acoes"))*Inputs!$B$1+((Inputs!$G$5:$G$140&lt;&gt;"moeda")*(Inputs!$G$5:$G$140&lt;&gt;"acoes")))*INDEX(Inputs!$K$5:$AJ$140,0,MATCH(Q$2,Inputs!$K$4:$AJ$4,0)))))</f>
        <v>-63</v>
      </c>
      <c r="R8" s="3">
        <f>SUM(N8:Q8)</f>
        <v>-257</v>
      </c>
      <c r="S8" s="6">
        <f>IF(ISNA(MATCH(S$2,Inputs!$K$4:$AJ$4,0)),NA(),IF(SUMPRODUCT((Inputs!$A$5:$A$140=$B8)*ISNUMBER(INDEX(Inputs!$K$5:$AJ$140,0,MATCH(S$2,Inputs!$K$4:$AJ$4,0))))+SUMPRODUCT((Inputs!$C$5:$C$140=$B8)*ISNUMBER(INDEX(Inputs!$K$5:$AJ$140,0,MATCH(S$2,Inputs!$K$4:$AJ$4,0))))+SUMPRODUCT((Inputs!$E$5:$E$140=$B8)*ISNUMBER(INDEX(Inputs!$K$5:$AJ$140,0,MATCH(S$2,Inputs!$K$4:$AJ$4,0))))=0,NA(),SUMPRODUCT((Inputs!$A$5:$A$140=$B8)*Inputs!$B$5:$B$140*(((Inputs!$G$5:$G$140="moeda")+(Inputs!$G$5:$G$140="acoes"))*Inputs!$B$1+((Inputs!$G$5:$G$140&lt;&gt;"moeda")*(Inputs!$G$5:$G$140&lt;&gt;"acoes")))*INDEX(Inputs!$K$5:$AJ$140,0,MATCH(S$2,Inputs!$K$4:$AJ$4,0)))+SUMPRODUCT((Inputs!$C$5:$C$140=$B8)*Inputs!$D$5:$D$140*(((Inputs!$G$5:$G$140="moeda")+(Inputs!$G$5:$G$140="acoes"))*Inputs!$B$1+((Inputs!$G$5:$G$140&lt;&gt;"moeda")*(Inputs!$G$5:$G$140&lt;&gt;"acoes")))*INDEX(Inputs!$K$5:$AJ$140,0,MATCH(S$2,Inputs!$K$4:$AJ$4,0)))+SUMPRODUCT((Inputs!$E$5:$E$140=$B8)*Inputs!$F$5:$F$140*(((Inputs!$G$5:$G$140="moeda")+(Inputs!$G$5:$G$140="acoes"))*Inputs!$B$1+((Inputs!$G$5:$G$140&lt;&gt;"moeda")*(Inputs!$G$5:$G$140&lt;&gt;"acoes")))*INDEX(Inputs!$K$5:$AJ$140,0,MATCH(S$2,Inputs!$K$4:$AJ$4,0)))))</f>
        <v>-64</v>
      </c>
      <c r="T8" s="6">
        <f>IF(ISNA(MATCH(T$2,Inputs!$K$4:$AJ$4,0)),NA(),IF(SUMPRODUCT((Inputs!$A$5:$A$140=$B8)*ISNUMBER(INDEX(Inputs!$K$5:$AJ$140,0,MATCH(T$2,Inputs!$K$4:$AJ$4,0))))+SUMPRODUCT((Inputs!$C$5:$C$140=$B8)*ISNUMBER(INDEX(Inputs!$K$5:$AJ$140,0,MATCH(T$2,Inputs!$K$4:$AJ$4,0))))+SUMPRODUCT((Inputs!$E$5:$E$140=$B8)*ISNUMBER(INDEX(Inputs!$K$5:$AJ$140,0,MATCH(T$2,Inputs!$K$4:$AJ$4,0))))=0,NA(),SUMPRODUCT((Inputs!$A$5:$A$140=$B8)*Inputs!$B$5:$B$140*(((Inputs!$G$5:$G$140="moeda")+(Inputs!$G$5:$G$140="acoes"))*Inputs!$B$1+((Inputs!$G$5:$G$140&lt;&gt;"moeda")*(Inputs!$G$5:$G$140&lt;&gt;"acoes")))*INDEX(Inputs!$K$5:$AJ$140,0,MATCH(T$2,Inputs!$K$4:$AJ$4,0)))+SUMPRODUCT((Inputs!$C$5:$C$140=$B8)*Inputs!$D$5:$D$140*(((Inputs!$G$5:$G$140="moeda")+(Inputs!$G$5:$G$140="acoes"))*Inputs!$B$1+((Inputs!$G$5:$G$140&lt;&gt;"moeda")*(Inputs!$G$5:$G$140&lt;&gt;"acoes")))*INDEX(Inputs!$K$5:$AJ$140,0,MATCH(T$2,Inputs!$K$4:$AJ$4,0)))+SUMPRODUCT((Inputs!$E$5:$E$140=$B8)*Inputs!$F$5:$F$140*(((Inputs!$G$5:$G$140="moeda")+(Inputs!$G$5:$G$140="acoes"))*Inputs!$B$1+((Inputs!$G$5:$G$140&lt;&gt;"moeda")*(Inputs!$G$5:$G$140&lt;&gt;"acoes")))*INDEX(Inputs!$K$5:$AJ$140,0,MATCH(T$2,Inputs!$K$4:$AJ$4,0)))))</f>
        <v>-61</v>
      </c>
      <c r="U8" s="6">
        <f>IF(ISNA(MATCH(U$2,Inputs!$K$4:$AJ$4,0)),NA(),IF(SUMPRODUCT((Inputs!$A$5:$A$140=$B8)*ISNUMBER(INDEX(Inputs!$K$5:$AJ$140,0,MATCH(U$2,Inputs!$K$4:$AJ$4,0))))+SUMPRODUCT((Inputs!$C$5:$C$140=$B8)*ISNUMBER(INDEX(Inputs!$K$5:$AJ$140,0,MATCH(U$2,Inputs!$K$4:$AJ$4,0))))+SUMPRODUCT((Inputs!$E$5:$E$140=$B8)*ISNUMBER(INDEX(Inputs!$K$5:$AJ$140,0,MATCH(U$2,Inputs!$K$4:$AJ$4,0))))=0,NA(),SUMPRODUCT((Inputs!$A$5:$A$140=$B8)*Inputs!$B$5:$B$140*(((Inputs!$G$5:$G$140="moeda")+(Inputs!$G$5:$G$140="acoes"))*Inputs!$B$1+((Inputs!$G$5:$G$140&lt;&gt;"moeda")*(Inputs!$G$5:$G$140&lt;&gt;"acoes")))*INDEX(Inputs!$K$5:$AJ$140,0,MATCH(U$2,Inputs!$K$4:$AJ$4,0)))+SUMPRODUCT((Inputs!$C$5:$C$140=$B8)*Inputs!$D$5:$D$140*(((Inputs!$G$5:$G$140="moeda")+(Inputs!$G$5:$G$140="acoes"))*Inputs!$B$1+((Inputs!$G$5:$G$140&lt;&gt;"moeda")*(Inputs!$G$5:$G$140&lt;&gt;"acoes")))*INDEX(Inputs!$K$5:$AJ$140,0,MATCH(U$2,Inputs!$K$4:$AJ$4,0)))+SUMPRODUCT((Inputs!$E$5:$E$140=$B8)*Inputs!$F$5:$F$140*(((Inputs!$G$5:$G$140="moeda")+(Inputs!$G$5:$G$140="acoes"))*Inputs!$B$1+((Inputs!$G$5:$G$140&lt;&gt;"moeda")*(Inputs!$G$5:$G$140&lt;&gt;"acoes")))*INDEX(Inputs!$K$5:$AJ$140,0,MATCH(U$2,Inputs!$K$4:$AJ$4,0)))))</f>
        <v>-61</v>
      </c>
      <c r="V8" s="6">
        <f>IF(ISNA(MATCH(V$2,Inputs!$K$4:$AJ$4,0)),NA(),IF(SUMPRODUCT((Inputs!$A$5:$A$140=$B8)*ISNUMBER(INDEX(Inputs!$K$5:$AJ$140,0,MATCH(V$2,Inputs!$K$4:$AJ$4,0))))+SUMPRODUCT((Inputs!$C$5:$C$140=$B8)*ISNUMBER(INDEX(Inputs!$K$5:$AJ$140,0,MATCH(V$2,Inputs!$K$4:$AJ$4,0))))+SUMPRODUCT((Inputs!$E$5:$E$140=$B8)*ISNUMBER(INDEX(Inputs!$K$5:$AJ$140,0,MATCH(V$2,Inputs!$K$4:$AJ$4,0))))=0,NA(),SUMPRODUCT((Inputs!$A$5:$A$140=$B8)*Inputs!$B$5:$B$140*(((Inputs!$G$5:$G$140="moeda")+(Inputs!$G$5:$G$140="acoes"))*Inputs!$B$1+((Inputs!$G$5:$G$140&lt;&gt;"moeda")*(Inputs!$G$5:$G$140&lt;&gt;"acoes")))*INDEX(Inputs!$K$5:$AJ$140,0,MATCH(V$2,Inputs!$K$4:$AJ$4,0)))+SUMPRODUCT((Inputs!$C$5:$C$140=$B8)*Inputs!$D$5:$D$140*(((Inputs!$G$5:$G$140="moeda")+(Inputs!$G$5:$G$140="acoes"))*Inputs!$B$1+((Inputs!$G$5:$G$140&lt;&gt;"moeda")*(Inputs!$G$5:$G$140&lt;&gt;"acoes")))*INDEX(Inputs!$K$5:$AJ$140,0,MATCH(V$2,Inputs!$K$4:$AJ$4,0)))+SUMPRODUCT((Inputs!$E$5:$E$140=$B8)*Inputs!$F$5:$F$140*(((Inputs!$G$5:$G$140="moeda")+(Inputs!$G$5:$G$140="acoes"))*Inputs!$B$1+((Inputs!$G$5:$G$140&lt;&gt;"moeda")*(Inputs!$G$5:$G$140&lt;&gt;"acoes")))*INDEX(Inputs!$K$5:$AJ$140,0,MATCH(V$2,Inputs!$K$4:$AJ$4,0)))))</f>
        <v>-61</v>
      </c>
      <c r="W8" s="3">
        <f>SUM(S8:V8)</f>
        <v>-247</v>
      </c>
      <c r="X8" s="6">
        <f>IF(ISNA(MATCH(X$2,Inputs!$K$4:$AJ$4,0)),NA(),IF(SUMPRODUCT((Inputs!$A$5:$A$140=$B8)*ISNUMBER(INDEX(Inputs!$K$5:$AJ$140,0,MATCH(X$2,Inputs!$K$4:$AJ$4,0))))+SUMPRODUCT((Inputs!$C$5:$C$140=$B8)*ISNUMBER(INDEX(Inputs!$K$5:$AJ$140,0,MATCH(X$2,Inputs!$K$4:$AJ$4,0))))+SUMPRODUCT((Inputs!$E$5:$E$140=$B8)*ISNUMBER(INDEX(Inputs!$K$5:$AJ$140,0,MATCH(X$2,Inputs!$K$4:$AJ$4,0))))=0,NA(),SUMPRODUCT((Inputs!$A$5:$A$140=$B8)*Inputs!$B$5:$B$140*(((Inputs!$G$5:$G$140="moeda")+(Inputs!$G$5:$G$140="acoes"))*Inputs!$B$1+((Inputs!$G$5:$G$140&lt;&gt;"moeda")*(Inputs!$G$5:$G$140&lt;&gt;"acoes")))*INDEX(Inputs!$K$5:$AJ$140,0,MATCH(X$2,Inputs!$K$4:$AJ$4,0)))+SUMPRODUCT((Inputs!$C$5:$C$140=$B8)*Inputs!$D$5:$D$140*(((Inputs!$G$5:$G$140="moeda")+(Inputs!$G$5:$G$140="acoes"))*Inputs!$B$1+((Inputs!$G$5:$G$140&lt;&gt;"moeda")*(Inputs!$G$5:$G$140&lt;&gt;"acoes")))*INDEX(Inputs!$K$5:$AJ$140,0,MATCH(X$2,Inputs!$K$4:$AJ$4,0)))+SUMPRODUCT((Inputs!$E$5:$E$140=$B8)*Inputs!$F$5:$F$140*(((Inputs!$G$5:$G$140="moeda")+(Inputs!$G$5:$G$140="acoes"))*Inputs!$B$1+((Inputs!$G$5:$G$140&lt;&gt;"moeda")*(Inputs!$G$5:$G$140&lt;&gt;"acoes")))*INDEX(Inputs!$K$5:$AJ$140,0,MATCH(X$2,Inputs!$K$4:$AJ$4,0)))))</f>
        <v>-63</v>
      </c>
      <c r="Y8" s="6">
        <f>IF(ISNA(MATCH(Y$2,Inputs!$K$4:$AJ$4,0)),NA(),IF(SUMPRODUCT((Inputs!$A$5:$A$140=$B8)*ISNUMBER(INDEX(Inputs!$K$5:$AJ$140,0,MATCH(Y$2,Inputs!$K$4:$AJ$4,0))))+SUMPRODUCT((Inputs!$C$5:$C$140=$B8)*ISNUMBER(INDEX(Inputs!$K$5:$AJ$140,0,MATCH(Y$2,Inputs!$K$4:$AJ$4,0))))+SUMPRODUCT((Inputs!$E$5:$E$140=$B8)*ISNUMBER(INDEX(Inputs!$K$5:$AJ$140,0,MATCH(Y$2,Inputs!$K$4:$AJ$4,0))))=0,NA(),SUMPRODUCT((Inputs!$A$5:$A$140=$B8)*Inputs!$B$5:$B$140*(((Inputs!$G$5:$G$140="moeda")+(Inputs!$G$5:$G$140="acoes"))*Inputs!$B$1+((Inputs!$G$5:$G$140&lt;&gt;"moeda")*(Inputs!$G$5:$G$140&lt;&gt;"acoes")))*INDEX(Inputs!$K$5:$AJ$140,0,MATCH(Y$2,Inputs!$K$4:$AJ$4,0)))+SUMPRODUCT((Inputs!$C$5:$C$140=$B8)*Inputs!$D$5:$D$140*(((Inputs!$G$5:$G$140="moeda")+(Inputs!$G$5:$G$140="acoes"))*Inputs!$B$1+((Inputs!$G$5:$G$140&lt;&gt;"moeda")*(Inputs!$G$5:$G$140&lt;&gt;"acoes")))*INDEX(Inputs!$K$5:$AJ$140,0,MATCH(Y$2,Inputs!$K$4:$AJ$4,0)))+SUMPRODUCT((Inputs!$E$5:$E$140=$B8)*Inputs!$F$5:$F$140*(((Inputs!$G$5:$G$140="moeda")+(Inputs!$G$5:$G$140="acoes"))*Inputs!$B$1+((Inputs!$G$5:$G$140&lt;&gt;"moeda")*(Inputs!$G$5:$G$140&lt;&gt;"acoes")))*INDEX(Inputs!$K$5:$AJ$140,0,MATCH(Y$2,Inputs!$K$4:$AJ$4,0)))))</f>
        <v>-62</v>
      </c>
      <c r="Z8" s="6">
        <f>IF(ISNA(MATCH(Z$2,Inputs!$K$4:$AJ$4,0)),NA(),IF(SUMPRODUCT((Inputs!$A$5:$A$140=$B8)*ISNUMBER(INDEX(Inputs!$K$5:$AJ$140,0,MATCH(Z$2,Inputs!$K$4:$AJ$4,0))))+SUMPRODUCT((Inputs!$C$5:$C$140=$B8)*ISNUMBER(INDEX(Inputs!$K$5:$AJ$140,0,MATCH(Z$2,Inputs!$K$4:$AJ$4,0))))+SUMPRODUCT((Inputs!$E$5:$E$140=$B8)*ISNUMBER(INDEX(Inputs!$K$5:$AJ$140,0,MATCH(Z$2,Inputs!$K$4:$AJ$4,0))))=0,NA(),SUMPRODUCT((Inputs!$A$5:$A$140=$B8)*Inputs!$B$5:$B$140*(((Inputs!$G$5:$G$140="moeda")+(Inputs!$G$5:$G$140="acoes"))*Inputs!$B$1+((Inputs!$G$5:$G$140&lt;&gt;"moeda")*(Inputs!$G$5:$G$140&lt;&gt;"acoes")))*INDEX(Inputs!$K$5:$AJ$140,0,MATCH(Z$2,Inputs!$K$4:$AJ$4,0)))+SUMPRODUCT((Inputs!$C$5:$C$140=$B8)*Inputs!$D$5:$D$140*(((Inputs!$G$5:$G$140="moeda")+(Inputs!$G$5:$G$140="acoes"))*Inputs!$B$1+((Inputs!$G$5:$G$140&lt;&gt;"moeda")*(Inputs!$G$5:$G$140&lt;&gt;"acoes")))*INDEX(Inputs!$K$5:$AJ$140,0,MATCH(Z$2,Inputs!$K$4:$AJ$4,0)))+SUMPRODUCT((Inputs!$E$5:$E$140=$B8)*Inputs!$F$5:$F$140*(((Inputs!$G$5:$G$140="moeda")+(Inputs!$G$5:$G$140="acoes"))*Inputs!$B$1+((Inputs!$G$5:$G$140&lt;&gt;"moeda")*(Inputs!$G$5:$G$140&lt;&gt;"acoes")))*INDEX(Inputs!$K$5:$AJ$140,0,MATCH(Z$2,Inputs!$K$4:$AJ$4,0)))))</f>
        <v>-61</v>
      </c>
      <c r="AA8" s="6">
        <f>IF(ISNA(MATCH(AA$2,Inputs!$K$4:$AJ$4,0)),NA(),IF(SUMPRODUCT((Inputs!$A$5:$A$140=$B8)*ISNUMBER(INDEX(Inputs!$K$5:$AJ$140,0,MATCH(AA$2,Inputs!$K$4:$AJ$4,0))))+SUMPRODUCT((Inputs!$C$5:$C$140=$B8)*ISNUMBER(INDEX(Inputs!$K$5:$AJ$140,0,MATCH(AA$2,Inputs!$K$4:$AJ$4,0))))+SUMPRODUCT((Inputs!$E$5:$E$140=$B8)*ISNUMBER(INDEX(Inputs!$K$5:$AJ$140,0,MATCH(AA$2,Inputs!$K$4:$AJ$4,0))))=0,NA(),SUMPRODUCT((Inputs!$A$5:$A$140=$B8)*Inputs!$B$5:$B$140*(((Inputs!$G$5:$G$140="moeda")+(Inputs!$G$5:$G$140="acoes"))*Inputs!$B$1+((Inputs!$G$5:$G$140&lt;&gt;"moeda")*(Inputs!$G$5:$G$140&lt;&gt;"acoes")))*INDEX(Inputs!$K$5:$AJ$140,0,MATCH(AA$2,Inputs!$K$4:$AJ$4,0)))+SUMPRODUCT((Inputs!$C$5:$C$140=$B8)*Inputs!$D$5:$D$140*(((Inputs!$G$5:$G$140="moeda")+(Inputs!$G$5:$G$140="acoes"))*Inputs!$B$1+((Inputs!$G$5:$G$140&lt;&gt;"moeda")*(Inputs!$G$5:$G$140&lt;&gt;"acoes")))*INDEX(Inputs!$K$5:$AJ$140,0,MATCH(AA$2,Inputs!$K$4:$AJ$4,0)))+SUMPRODUCT((Inputs!$E$5:$E$140=$B8)*Inputs!$F$5:$F$140*(((Inputs!$G$5:$G$140="moeda")+(Inputs!$G$5:$G$140="acoes"))*Inputs!$B$1+((Inputs!$G$5:$G$140&lt;&gt;"moeda")*(Inputs!$G$5:$G$140&lt;&gt;"acoes")))*INDEX(Inputs!$K$5:$AJ$140,0,MATCH(AA$2,Inputs!$K$4:$AJ$4,0)))))</f>
        <v>-73</v>
      </c>
      <c r="AB8" s="3">
        <f>SUM(X8:AA8)</f>
        <v>-259</v>
      </c>
      <c r="AC8" s="6">
        <f>IF(ISNA(MATCH(AC$2,Inputs!$K$4:$AJ$4,0)),NA(),IF(SUMPRODUCT((Inputs!$A$5:$A$140=$B8)*ISNUMBER(INDEX(Inputs!$K$5:$AJ$140,0,MATCH(AC$2,Inputs!$K$4:$AJ$4,0))))+SUMPRODUCT((Inputs!$C$5:$C$140=$B8)*ISNUMBER(INDEX(Inputs!$K$5:$AJ$140,0,MATCH(AC$2,Inputs!$K$4:$AJ$4,0))))+SUMPRODUCT((Inputs!$E$5:$E$140=$B8)*ISNUMBER(INDEX(Inputs!$K$5:$AJ$140,0,MATCH(AC$2,Inputs!$K$4:$AJ$4,0))))=0,NA(),SUMPRODUCT((Inputs!$A$5:$A$140=$B8)*Inputs!$B$5:$B$140*(((Inputs!$G$5:$G$140="moeda")+(Inputs!$G$5:$G$140="acoes"))*Inputs!$B$1+((Inputs!$G$5:$G$140&lt;&gt;"moeda")*(Inputs!$G$5:$G$140&lt;&gt;"acoes")))*INDEX(Inputs!$K$5:$AJ$140,0,MATCH(AC$2,Inputs!$K$4:$AJ$4,0)))+SUMPRODUCT((Inputs!$C$5:$C$140=$B8)*Inputs!$D$5:$D$140*(((Inputs!$G$5:$G$140="moeda")+(Inputs!$G$5:$G$140="acoes"))*Inputs!$B$1+((Inputs!$G$5:$G$140&lt;&gt;"moeda")*(Inputs!$G$5:$G$140&lt;&gt;"acoes")))*INDEX(Inputs!$K$5:$AJ$140,0,MATCH(AC$2,Inputs!$K$4:$AJ$4,0)))+SUMPRODUCT((Inputs!$E$5:$E$140=$B8)*Inputs!$F$5:$F$140*(((Inputs!$G$5:$G$140="moeda")+(Inputs!$G$5:$G$140="acoes"))*Inputs!$B$1+((Inputs!$G$5:$G$140&lt;&gt;"moeda")*(Inputs!$G$5:$G$140&lt;&gt;"acoes")))*INDEX(Inputs!$K$5:$AJ$140,0,MATCH(AC$2,Inputs!$K$4:$AJ$4,0)))))</f>
        <v>-102</v>
      </c>
      <c r="AD8" s="6">
        <f>IF(ISNA(MATCH(AD$2,Inputs!$K$4:$AJ$4,0)),NA(),IF(SUMPRODUCT((Inputs!$A$5:$A$140=$B8)*ISNUMBER(INDEX(Inputs!$K$5:$AJ$140,0,MATCH(AD$2,Inputs!$K$4:$AJ$4,0))))+SUMPRODUCT((Inputs!$C$5:$C$140=$B8)*ISNUMBER(INDEX(Inputs!$K$5:$AJ$140,0,MATCH(AD$2,Inputs!$K$4:$AJ$4,0))))+SUMPRODUCT((Inputs!$E$5:$E$140=$B8)*ISNUMBER(INDEX(Inputs!$K$5:$AJ$140,0,MATCH(AD$2,Inputs!$K$4:$AJ$4,0))))=0,NA(),SUMPRODUCT((Inputs!$A$5:$A$140=$B8)*Inputs!$B$5:$B$140*(((Inputs!$G$5:$G$140="moeda")+(Inputs!$G$5:$G$140="acoes"))*Inputs!$B$1+((Inputs!$G$5:$G$140&lt;&gt;"moeda")*(Inputs!$G$5:$G$140&lt;&gt;"acoes")))*INDEX(Inputs!$K$5:$AJ$140,0,MATCH(AD$2,Inputs!$K$4:$AJ$4,0)))+SUMPRODUCT((Inputs!$C$5:$C$140=$B8)*Inputs!$D$5:$D$140*(((Inputs!$G$5:$G$140="moeda")+(Inputs!$G$5:$G$140="acoes"))*Inputs!$B$1+((Inputs!$G$5:$G$140&lt;&gt;"moeda")*(Inputs!$G$5:$G$140&lt;&gt;"acoes")))*INDEX(Inputs!$K$5:$AJ$140,0,MATCH(AD$2,Inputs!$K$4:$AJ$4,0)))+SUMPRODUCT((Inputs!$E$5:$E$140=$B8)*Inputs!$F$5:$F$140*(((Inputs!$G$5:$G$140="moeda")+(Inputs!$G$5:$G$140="acoes"))*Inputs!$B$1+((Inputs!$G$5:$G$140&lt;&gt;"moeda")*(Inputs!$G$5:$G$140&lt;&gt;"acoes")))*INDEX(Inputs!$K$5:$AJ$140,0,MATCH(AD$2,Inputs!$K$4:$AJ$4,0)))))</f>
        <v>-227</v>
      </c>
      <c r="AE8" s="6" t="e">
        <f>IF(ISNA(MATCH(AE$2,Inputs!$K$4:$AJ$4,0)),NA(),IF(SUMPRODUCT((Inputs!$A$5:$A$140=$B8)*ISNUMBER(INDEX(Inputs!$K$5:$AJ$140,0,MATCH(AE$2,Inputs!$K$4:$AJ$4,0))))+SUMPRODUCT((Inputs!$C$5:$C$140=$B8)*ISNUMBER(INDEX(Inputs!$K$5:$AJ$140,0,MATCH(AE$2,Inputs!$K$4:$AJ$4,0))))+SUMPRODUCT((Inputs!$E$5:$E$140=$B8)*ISNUMBER(INDEX(Inputs!$K$5:$AJ$140,0,MATCH(AE$2,Inputs!$K$4:$AJ$4,0))))=0,NA(),SUMPRODUCT((Inputs!$A$5:$A$140=$B8)*Inputs!$B$5:$B$140*(((Inputs!$G$5:$G$140="moeda")+(Inputs!$G$5:$G$140="acoes"))*Inputs!$B$1+((Inputs!$G$5:$G$140&lt;&gt;"moeda")*(Inputs!$G$5:$G$140&lt;&gt;"acoes")))*INDEX(Inputs!$K$5:$AJ$140,0,MATCH(AE$2,Inputs!$K$4:$AJ$4,0)))+SUMPRODUCT((Inputs!$C$5:$C$140=$B8)*Inputs!$D$5:$D$140*(((Inputs!$G$5:$G$140="moeda")+(Inputs!$G$5:$G$140="acoes"))*Inputs!$B$1+((Inputs!$G$5:$G$140&lt;&gt;"moeda")*(Inputs!$G$5:$G$140&lt;&gt;"acoes")))*INDEX(Inputs!$K$5:$AJ$140,0,MATCH(AE$2,Inputs!$K$4:$AJ$4,0)))+SUMPRODUCT((Inputs!$E$5:$E$140=$B8)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8" s="6" t="e">
        <f>IF(ISNA(MATCH(AF$2,Inputs!$K$4:$AJ$4,0)),NA(),IF(SUMPRODUCT((Inputs!$A$5:$A$140=$B8)*ISNUMBER(INDEX(Inputs!$K$5:$AJ$140,0,MATCH(AF$2,Inputs!$K$4:$AJ$4,0))))+SUMPRODUCT((Inputs!$C$5:$C$140=$B8)*ISNUMBER(INDEX(Inputs!$K$5:$AJ$140,0,MATCH(AF$2,Inputs!$K$4:$AJ$4,0))))+SUMPRODUCT((Inputs!$E$5:$E$140=$B8)*ISNUMBER(INDEX(Inputs!$K$5:$AJ$140,0,MATCH(AF$2,Inputs!$K$4:$AJ$4,0))))=0,NA(),SUMPRODUCT((Inputs!$A$5:$A$140=$B8)*Inputs!$B$5:$B$140*(((Inputs!$G$5:$G$140="moeda")+(Inputs!$G$5:$G$140="acoes"))*Inputs!$B$1+((Inputs!$G$5:$G$140&lt;&gt;"moeda")*(Inputs!$G$5:$G$140&lt;&gt;"acoes")))*INDEX(Inputs!$K$5:$AJ$140,0,MATCH(AF$2,Inputs!$K$4:$AJ$4,0)))+SUMPRODUCT((Inputs!$C$5:$C$140=$B8)*Inputs!$D$5:$D$140*(((Inputs!$G$5:$G$140="moeda")+(Inputs!$G$5:$G$140="acoes"))*Inputs!$B$1+((Inputs!$G$5:$G$140&lt;&gt;"moeda")*(Inputs!$G$5:$G$140&lt;&gt;"acoes")))*INDEX(Inputs!$K$5:$AJ$140,0,MATCH(AF$2,Inputs!$K$4:$AJ$4,0)))+SUMPRODUCT((Inputs!$E$5:$E$140=$B8)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8" s="3" t="e">
        <f>SUM(AC8:AF8)</f>
        <v>#N/A</v>
      </c>
      <c r="AH8" s="6">
        <f>IF(ISNA(MATCH(AH$2,Inputs!$K$4:$AJ$4,0)),NA(),IF(SUMPRODUCT((Inputs!$A$5:$A$140=$B8)*ISNUMBER(INDEX(Inputs!$K$5:$AJ$140,0,MATCH(AH$2,Inputs!$K$4:$AJ$4,0))))+SUMPRODUCT((Inputs!$C$5:$C$140=$B8)*ISNUMBER(INDEX(Inputs!$K$5:$AJ$140,0,MATCH(AH$2,Inputs!$K$4:$AJ$4,0))))+SUMPRODUCT((Inputs!$E$5:$E$140=$B8)*ISNUMBER(INDEX(Inputs!$K$5:$AJ$140,0,MATCH(AH$2,Inputs!$K$4:$AJ$4,0))))=0,NA(),SUMPRODUCT((Inputs!$A$5:$A$140=$B8)*Inputs!$B$5:$B$140*(((Inputs!$G$5:$G$140="moeda")+(Inputs!$G$5:$G$140="acoes"))*Inputs!$B$1+((Inputs!$G$5:$G$140&lt;&gt;"moeda")*(Inputs!$G$5:$G$140&lt;&gt;"acoes")))*INDEX(Inputs!$K$5:$AJ$140,0,MATCH(AH$2,Inputs!$K$4:$AJ$4,0)))+SUMPRODUCT((Inputs!$C$5:$C$140=$B8)*Inputs!$D$5:$D$140*(((Inputs!$G$5:$G$140="moeda")+(Inputs!$G$5:$G$140="acoes"))*Inputs!$B$1+((Inputs!$G$5:$G$140&lt;&gt;"moeda")*(Inputs!$G$5:$G$140&lt;&gt;"acoes")))*INDEX(Inputs!$K$5:$AJ$140,0,MATCH(AH$2,Inputs!$K$4:$AJ$4,0)))+SUMPRODUCT((Inputs!$E$5:$E$140=$B8)*Inputs!$F$5:$F$140*(((Inputs!$G$5:$G$140="moeda")+(Inputs!$G$5:$G$140="acoes"))*Inputs!$B$1+((Inputs!$G$5:$G$140&lt;&gt;"moeda")*(Inputs!$G$5:$G$140&lt;&gt;"acoes")))*INDEX(Inputs!$K$5:$AJ$140,0,MATCH(AH$2,Inputs!$K$4:$AJ$4,0)))))</f>
        <v>-25</v>
      </c>
      <c r="AI8" s="6">
        <f>IF(ISNA(MATCH(AI$2,Inputs!$K$4:$AJ$4,0)),NA(),IF(SUMPRODUCT((Inputs!$A$5:$A$140=$B8)*ISNUMBER(INDEX(Inputs!$K$5:$AJ$140,0,MATCH(AI$2,Inputs!$K$4:$AJ$4,0))))+SUMPRODUCT((Inputs!$C$5:$C$140=$B8)*ISNUMBER(INDEX(Inputs!$K$5:$AJ$140,0,MATCH(AI$2,Inputs!$K$4:$AJ$4,0))))+SUMPRODUCT((Inputs!$E$5:$E$140=$B8)*ISNUMBER(INDEX(Inputs!$K$5:$AJ$140,0,MATCH(AI$2,Inputs!$K$4:$AJ$4,0))))=0,NA(),SUMPRODUCT((Inputs!$A$5:$A$140=$B8)*Inputs!$B$5:$B$140*(((Inputs!$G$5:$G$140="moeda")+(Inputs!$G$5:$G$140="acoes"))*Inputs!$B$1+((Inputs!$G$5:$G$140&lt;&gt;"moeda")*(Inputs!$G$5:$G$140&lt;&gt;"acoes")))*INDEX(Inputs!$K$5:$AJ$140,0,MATCH(AI$2,Inputs!$K$4:$AJ$4,0)))+SUMPRODUCT((Inputs!$C$5:$C$140=$B8)*Inputs!$D$5:$D$140*(((Inputs!$G$5:$G$140="moeda")+(Inputs!$G$5:$G$140="acoes"))*Inputs!$B$1+((Inputs!$G$5:$G$140&lt;&gt;"moeda")*(Inputs!$G$5:$G$140&lt;&gt;"acoes")))*INDEX(Inputs!$K$5:$AJ$140,0,MATCH(AI$2,Inputs!$K$4:$AJ$4,0)))+SUMPRODUCT((Inputs!$E$5:$E$140=$B8)*Inputs!$F$5:$F$140*(((Inputs!$G$5:$G$140="moeda")+(Inputs!$G$5:$G$140="acoes"))*Inputs!$B$1+((Inputs!$G$5:$G$140&lt;&gt;"moeda")*(Inputs!$G$5:$G$140&lt;&gt;"acoes")))*INDEX(Inputs!$K$5:$AJ$140,0,MATCH(AI$2,Inputs!$K$4:$AJ$4,0)))))</f>
        <v>-54</v>
      </c>
      <c r="AJ8" s="6">
        <f>IF(ISNA(MATCH(AJ$2,Inputs!$K$4:$AJ$4,0)),NA(),IF(SUMPRODUCT((Inputs!$A$5:$A$140=$B8)*ISNUMBER(INDEX(Inputs!$K$5:$AJ$140,0,MATCH(AJ$2,Inputs!$K$4:$AJ$4,0))))+SUMPRODUCT((Inputs!$C$5:$C$140=$B8)*ISNUMBER(INDEX(Inputs!$K$5:$AJ$140,0,MATCH(AJ$2,Inputs!$K$4:$AJ$4,0))))+SUMPRODUCT((Inputs!$E$5:$E$140=$B8)*ISNUMBER(INDEX(Inputs!$K$5:$AJ$140,0,MATCH(AJ$2,Inputs!$K$4:$AJ$4,0))))=0,NA(),SUMPRODUCT((Inputs!$A$5:$A$140=$B8)*Inputs!$B$5:$B$140*(((Inputs!$G$5:$G$140="moeda")+(Inputs!$G$5:$G$140="acoes"))*Inputs!$B$1+((Inputs!$G$5:$G$140&lt;&gt;"moeda")*(Inputs!$G$5:$G$140&lt;&gt;"acoes")))*INDEX(Inputs!$K$5:$AJ$140,0,MATCH(AJ$2,Inputs!$K$4:$AJ$4,0)))+SUMPRODUCT((Inputs!$C$5:$C$140=$B8)*Inputs!$D$5:$D$140*(((Inputs!$G$5:$G$140="moeda")+(Inputs!$G$5:$G$140="acoes"))*Inputs!$B$1+((Inputs!$G$5:$G$140&lt;&gt;"moeda")*(Inputs!$G$5:$G$140&lt;&gt;"acoes")))*INDEX(Inputs!$K$5:$AJ$140,0,MATCH(AJ$2,Inputs!$K$4:$AJ$4,0)))+SUMPRODUCT((Inputs!$E$5:$E$140=$B8)*Inputs!$F$5:$F$140*(((Inputs!$G$5:$G$140="moeda")+(Inputs!$G$5:$G$140="acoes"))*Inputs!$B$1+((Inputs!$G$5:$G$140&lt;&gt;"moeda")*(Inputs!$G$5:$G$140&lt;&gt;"acoes")))*INDEX(Inputs!$K$5:$AJ$140,0,MATCH(AJ$2,Inputs!$K$4:$AJ$4,0)))))</f>
        <v>-53</v>
      </c>
      <c r="AK8" s="6">
        <f>IF(ISNA(MATCH(AK$2,Inputs!$K$4:$AJ$4,0)),NA(),IF(SUMPRODUCT((Inputs!$A$5:$A$140=$B8)*ISNUMBER(INDEX(Inputs!$K$5:$AJ$140,0,MATCH(AK$2,Inputs!$K$4:$AJ$4,0))))+SUMPRODUCT((Inputs!$C$5:$C$140=$B8)*ISNUMBER(INDEX(Inputs!$K$5:$AJ$140,0,MATCH(AK$2,Inputs!$K$4:$AJ$4,0))))+SUMPRODUCT((Inputs!$E$5:$E$140=$B8)*ISNUMBER(INDEX(Inputs!$K$5:$AJ$140,0,MATCH(AK$2,Inputs!$K$4:$AJ$4,0))))=0,NA(),SUMPRODUCT((Inputs!$A$5:$A$140=$B8)*Inputs!$B$5:$B$140*(((Inputs!$G$5:$G$140="moeda")+(Inputs!$G$5:$G$140="acoes"))*Inputs!$B$1+((Inputs!$G$5:$G$140&lt;&gt;"moeda")*(Inputs!$G$5:$G$140&lt;&gt;"acoes")))*INDEX(Inputs!$K$5:$AJ$140,0,MATCH(AK$2,Inputs!$K$4:$AJ$4,0)))+SUMPRODUCT((Inputs!$C$5:$C$140=$B8)*Inputs!$D$5:$D$140*(((Inputs!$G$5:$G$140="moeda")+(Inputs!$G$5:$G$140="acoes"))*Inputs!$B$1+((Inputs!$G$5:$G$140&lt;&gt;"moeda")*(Inputs!$G$5:$G$140&lt;&gt;"acoes")))*INDEX(Inputs!$K$5:$AJ$140,0,MATCH(AK$2,Inputs!$K$4:$AJ$4,0)))+SUMPRODUCT((Inputs!$E$5:$E$140=$B8)*Inputs!$F$5:$F$140*(((Inputs!$G$5:$G$140="moeda")+(Inputs!$G$5:$G$140="acoes"))*Inputs!$B$1+((Inputs!$G$5:$G$140&lt;&gt;"moeda")*(Inputs!$G$5:$G$140&lt;&gt;"acoes")))*INDEX(Inputs!$K$5:$AJ$140,0,MATCH(AK$2,Inputs!$K$4:$AJ$4,0)))))</f>
        <v>-53</v>
      </c>
      <c r="AL8" s="3">
        <f>SUM(AH8:AK8)</f>
        <v>-185</v>
      </c>
    </row>
    <row r="9">
      <c r="B9" s="46" t="n">
        <v>6</v>
      </c>
      <c r="C9" s="26" t="inlineStr">
        <is>
          <t>Nonoperating Income / (Loss)</t>
        </is>
      </c>
      <c r="D9" s="6">
        <f>IF(ISNA(MATCH(D$2,Inputs!$K$4:$AJ$4,0)),NA(),IF(SUMPRODUCT((Inputs!$A$5:$A$140=$B9)*ISNUMBER(INDEX(Inputs!$K$5:$AJ$140,0,MATCH(D$2,Inputs!$K$4:$AJ$4,0))))+SUMPRODUCT((Inputs!$C$5:$C$140=$B9)*ISNUMBER(INDEX(Inputs!$K$5:$AJ$140,0,MATCH(D$2,Inputs!$K$4:$AJ$4,0))))+SUMPRODUCT((Inputs!$E$5:$E$140=$B9)*ISNUMBER(INDEX(Inputs!$K$5:$AJ$140,0,MATCH(D$2,Inputs!$K$4:$AJ$4,0))))=0,NA(),SUMPRODUCT((Inputs!$A$5:$A$140=$B9)*Inputs!$B$5:$B$140*(((Inputs!$G$5:$G$140="moeda")+(Inputs!$G$5:$G$140="acoes"))*Inputs!$B$1+((Inputs!$G$5:$G$140&lt;&gt;"moeda")*(Inputs!$G$5:$G$140&lt;&gt;"acoes")))*INDEX(Inputs!$K$5:$AJ$140,0,MATCH(D$2,Inputs!$K$4:$AJ$4,0)))+SUMPRODUCT((Inputs!$C$5:$C$140=$B9)*Inputs!$D$5:$D$140*(((Inputs!$G$5:$G$140="moeda")+(Inputs!$G$5:$G$140="acoes"))*Inputs!$B$1+((Inputs!$G$5:$G$140&lt;&gt;"moeda")*(Inputs!$G$5:$G$140&lt;&gt;"acoes")))*INDEX(Inputs!$K$5:$AJ$140,0,MATCH(D$2,Inputs!$K$4:$AJ$4,0)))+SUMPRODUCT((Inputs!$E$5:$E$140=$B9)*Inputs!$F$5:$F$140*(((Inputs!$G$5:$G$140="moeda")+(Inputs!$G$5:$G$140="acoes"))*Inputs!$B$1+((Inputs!$G$5:$G$140&lt;&gt;"moeda")*(Inputs!$G$5:$G$140&lt;&gt;"acoes")))*INDEX(Inputs!$K$5:$AJ$140,0,MATCH(D$2,Inputs!$K$4:$AJ$4,0)))))</f>
        <v>141</v>
      </c>
      <c r="E9" s="6">
        <f>IF(ISNA(MATCH(E$2,Inputs!$K$4:$AJ$4,0)),NA(),IF(SUMPRODUCT((Inputs!$A$5:$A$140=$B9)*ISNUMBER(INDEX(Inputs!$K$5:$AJ$140,0,MATCH(E$2,Inputs!$K$4:$AJ$4,0))))+SUMPRODUCT((Inputs!$C$5:$C$140=$B9)*ISNUMBER(INDEX(Inputs!$K$5:$AJ$140,0,MATCH(E$2,Inputs!$K$4:$AJ$4,0))))+SUMPRODUCT((Inputs!$E$5:$E$140=$B9)*ISNUMBER(INDEX(Inputs!$K$5:$AJ$140,0,MATCH(E$2,Inputs!$K$4:$AJ$4,0))))=0,NA(),SUMPRODUCT((Inputs!$A$5:$A$140=$B9)*Inputs!$B$5:$B$140*(((Inputs!$G$5:$G$140="moeda")+(Inputs!$G$5:$G$140="acoes"))*Inputs!$B$1+((Inputs!$G$5:$G$140&lt;&gt;"moeda")*(Inputs!$G$5:$G$140&lt;&gt;"acoes")))*INDEX(Inputs!$K$5:$AJ$140,0,MATCH(E$2,Inputs!$K$4:$AJ$4,0)))+SUMPRODUCT((Inputs!$C$5:$C$140=$B9)*Inputs!$D$5:$D$140*(((Inputs!$G$5:$G$140="moeda")+(Inputs!$G$5:$G$140="acoes"))*Inputs!$B$1+((Inputs!$G$5:$G$140&lt;&gt;"moeda")*(Inputs!$G$5:$G$140&lt;&gt;"acoes")))*INDEX(Inputs!$K$5:$AJ$140,0,MATCH(E$2,Inputs!$K$4:$AJ$4,0)))+SUMPRODUCT((Inputs!$E$5:$E$140=$B9)*Inputs!$F$5:$F$140*(((Inputs!$G$5:$G$140="moeda")+(Inputs!$G$5:$G$140="acoes"))*Inputs!$B$1+((Inputs!$G$5:$G$140&lt;&gt;"moeda")*(Inputs!$G$5:$G$140&lt;&gt;"acoes")))*INDEX(Inputs!$K$5:$AJ$140,0,MATCH(E$2,Inputs!$K$4:$AJ$4,0)))))</f>
        <v>10</v>
      </c>
      <c r="F9" s="6">
        <f>IF(ISNA(MATCH(F$2,Inputs!$K$4:$AJ$4,0)),NA(),IF(SUMPRODUCT((Inputs!$A$5:$A$140=$B9)*ISNUMBER(INDEX(Inputs!$K$5:$AJ$140,0,MATCH(F$2,Inputs!$K$4:$AJ$4,0))))+SUMPRODUCT((Inputs!$C$5:$C$140=$B9)*ISNUMBER(INDEX(Inputs!$K$5:$AJ$140,0,MATCH(F$2,Inputs!$K$4:$AJ$4,0))))+SUMPRODUCT((Inputs!$E$5:$E$140=$B9)*ISNUMBER(INDEX(Inputs!$K$5:$AJ$140,0,MATCH(F$2,Inputs!$K$4:$AJ$4,0))))=0,NA(),SUMPRODUCT((Inputs!$A$5:$A$140=$B9)*Inputs!$B$5:$B$140*(((Inputs!$G$5:$G$140="moeda")+(Inputs!$G$5:$G$140="acoes"))*Inputs!$B$1+((Inputs!$G$5:$G$140&lt;&gt;"moeda")*(Inputs!$G$5:$G$140&lt;&gt;"acoes")))*INDEX(Inputs!$K$5:$AJ$140,0,MATCH(F$2,Inputs!$K$4:$AJ$4,0)))+SUMPRODUCT((Inputs!$C$5:$C$140=$B9)*Inputs!$D$5:$D$140*(((Inputs!$G$5:$G$140="moeda")+(Inputs!$G$5:$G$140="acoes"))*Inputs!$B$1+((Inputs!$G$5:$G$140&lt;&gt;"moeda")*(Inputs!$G$5:$G$140&lt;&gt;"acoes")))*INDEX(Inputs!$K$5:$AJ$140,0,MATCH(F$2,Inputs!$K$4:$AJ$4,0)))+SUMPRODUCT((Inputs!$E$5:$E$140=$B9)*Inputs!$F$5:$F$140*(((Inputs!$G$5:$G$140="moeda")+(Inputs!$G$5:$G$140="acoes"))*Inputs!$B$1+((Inputs!$G$5:$G$140&lt;&gt;"moeda")*(Inputs!$G$5:$G$140&lt;&gt;"acoes")))*INDEX(Inputs!$K$5:$AJ$140,0,MATCH(F$2,Inputs!$K$4:$AJ$4,0)))))</f>
        <v>29</v>
      </c>
      <c r="G9" s="6">
        <f>IF(ISNA(MATCH(G$2,Inputs!$K$4:$AJ$4,0)),NA(),IF(SUMPRODUCT((Inputs!$A$5:$A$140=$B9)*ISNUMBER(INDEX(Inputs!$K$5:$AJ$140,0,MATCH(G$2,Inputs!$K$4:$AJ$4,0))))+SUMPRODUCT((Inputs!$C$5:$C$140=$B9)*ISNUMBER(INDEX(Inputs!$K$5:$AJ$140,0,MATCH(G$2,Inputs!$K$4:$AJ$4,0))))+SUMPRODUCT((Inputs!$E$5:$E$140=$B9)*ISNUMBER(INDEX(Inputs!$K$5:$AJ$140,0,MATCH(G$2,Inputs!$K$4:$AJ$4,0))))=0,NA(),SUMPRODUCT((Inputs!$A$5:$A$140=$B9)*Inputs!$B$5:$B$140*(((Inputs!$G$5:$G$140="moeda")+(Inputs!$G$5:$G$140="acoes"))*Inputs!$B$1+((Inputs!$G$5:$G$140&lt;&gt;"moeda")*(Inputs!$G$5:$G$140&lt;&gt;"acoes")))*INDEX(Inputs!$K$5:$AJ$140,0,MATCH(G$2,Inputs!$K$4:$AJ$4,0)))+SUMPRODUCT((Inputs!$C$5:$C$140=$B9)*Inputs!$D$5:$D$140*(((Inputs!$G$5:$G$140="moeda")+(Inputs!$G$5:$G$140="acoes"))*Inputs!$B$1+((Inputs!$G$5:$G$140&lt;&gt;"moeda")*(Inputs!$G$5:$G$140&lt;&gt;"acoes")))*INDEX(Inputs!$K$5:$AJ$140,0,MATCH(G$2,Inputs!$K$4:$AJ$4,0)))+SUMPRODUCT((Inputs!$E$5:$E$140=$B9)*Inputs!$F$5:$F$140*(((Inputs!$G$5:$G$140="moeda")+(Inputs!$G$5:$G$140="acoes"))*Inputs!$B$1+((Inputs!$G$5:$G$140&lt;&gt;"moeda")*(Inputs!$G$5:$G$140&lt;&gt;"acoes")))*INDEX(Inputs!$K$5:$AJ$140,0,MATCH(G$2,Inputs!$K$4:$AJ$4,0)))))</f>
        <v>-44</v>
      </c>
      <c r="H9" s="3">
        <f>SUM(D9:G9)</f>
        <v>136</v>
      </c>
      <c r="I9" s="6">
        <f>IF(ISNA(MATCH(I$2,Inputs!$K$4:$AJ$4,0)),NA(),IF(SUMPRODUCT((Inputs!$A$5:$A$140=$B9)*ISNUMBER(INDEX(Inputs!$K$5:$AJ$140,0,MATCH(I$2,Inputs!$K$4:$AJ$4,0))))+SUMPRODUCT((Inputs!$C$5:$C$140=$B9)*ISNUMBER(INDEX(Inputs!$K$5:$AJ$140,0,MATCH(I$2,Inputs!$K$4:$AJ$4,0))))+SUMPRODUCT((Inputs!$E$5:$E$140=$B9)*ISNUMBER(INDEX(Inputs!$K$5:$AJ$140,0,MATCH(I$2,Inputs!$K$4:$AJ$4,0))))=0,NA(),SUMPRODUCT((Inputs!$A$5:$A$140=$B9)*Inputs!$B$5:$B$140*(((Inputs!$G$5:$G$140="moeda")+(Inputs!$G$5:$G$140="acoes"))*Inputs!$B$1+((Inputs!$G$5:$G$140&lt;&gt;"moeda")*(Inputs!$G$5:$G$140&lt;&gt;"acoes")))*INDEX(Inputs!$K$5:$AJ$140,0,MATCH(I$2,Inputs!$K$4:$AJ$4,0)))+SUMPRODUCT((Inputs!$C$5:$C$140=$B9)*Inputs!$D$5:$D$140*(((Inputs!$G$5:$G$140="moeda")+(Inputs!$G$5:$G$140="acoes"))*Inputs!$B$1+((Inputs!$G$5:$G$140&lt;&gt;"moeda")*(Inputs!$G$5:$G$140&lt;&gt;"acoes")))*INDEX(Inputs!$K$5:$AJ$140,0,MATCH(I$2,Inputs!$K$4:$AJ$4,0)))+SUMPRODUCT((Inputs!$E$5:$E$140=$B9)*Inputs!$F$5:$F$140*(((Inputs!$G$5:$G$140="moeda")+(Inputs!$G$5:$G$140="acoes"))*Inputs!$B$1+((Inputs!$G$5:$G$140&lt;&gt;"moeda")*(Inputs!$G$5:$G$140&lt;&gt;"acoes")))*INDEX(Inputs!$K$5:$AJ$140,0,MATCH(I$2,Inputs!$K$4:$AJ$4,0)))))</f>
        <v>5</v>
      </c>
      <c r="J9" s="6">
        <f>IF(ISNA(MATCH(J$2,Inputs!$K$4:$AJ$4,0)),NA(),IF(SUMPRODUCT((Inputs!$A$5:$A$140=$B9)*ISNUMBER(INDEX(Inputs!$K$5:$AJ$140,0,MATCH(J$2,Inputs!$K$4:$AJ$4,0))))+SUMPRODUCT((Inputs!$C$5:$C$140=$B9)*ISNUMBER(INDEX(Inputs!$K$5:$AJ$140,0,MATCH(J$2,Inputs!$K$4:$AJ$4,0))))+SUMPRODUCT((Inputs!$E$5:$E$140=$B9)*ISNUMBER(INDEX(Inputs!$K$5:$AJ$140,0,MATCH(J$2,Inputs!$K$4:$AJ$4,0))))=0,NA(),SUMPRODUCT((Inputs!$A$5:$A$140=$B9)*Inputs!$B$5:$B$140*(((Inputs!$G$5:$G$140="moeda")+(Inputs!$G$5:$G$140="acoes"))*Inputs!$B$1+((Inputs!$G$5:$G$140&lt;&gt;"moeda")*(Inputs!$G$5:$G$140&lt;&gt;"acoes")))*INDEX(Inputs!$K$5:$AJ$140,0,MATCH(J$2,Inputs!$K$4:$AJ$4,0)))+SUMPRODUCT((Inputs!$C$5:$C$140=$B9)*Inputs!$D$5:$D$140*(((Inputs!$G$5:$G$140="moeda")+(Inputs!$G$5:$G$140="acoes"))*Inputs!$B$1+((Inputs!$G$5:$G$140&lt;&gt;"moeda")*(Inputs!$G$5:$G$140&lt;&gt;"acoes")))*INDEX(Inputs!$K$5:$AJ$140,0,MATCH(J$2,Inputs!$K$4:$AJ$4,0)))+SUMPRODUCT((Inputs!$E$5:$E$140=$B9)*Inputs!$F$5:$F$140*(((Inputs!$G$5:$G$140="moeda")+(Inputs!$G$5:$G$140="acoes"))*Inputs!$B$1+((Inputs!$G$5:$G$140&lt;&gt;"moeda")*(Inputs!$G$5:$G$140&lt;&gt;"acoes")))*INDEX(Inputs!$K$5:$AJ$140,0,MATCH(J$2,Inputs!$K$4:$AJ$4,0)))))</f>
        <v>41</v>
      </c>
      <c r="K9" s="6">
        <f>IF(ISNA(MATCH(K$2,Inputs!$K$4:$AJ$4,0)),NA(),IF(SUMPRODUCT((Inputs!$A$5:$A$140=$B9)*ISNUMBER(INDEX(Inputs!$K$5:$AJ$140,0,MATCH(K$2,Inputs!$K$4:$AJ$4,0))))+SUMPRODUCT((Inputs!$C$5:$C$140=$B9)*ISNUMBER(INDEX(Inputs!$K$5:$AJ$140,0,MATCH(K$2,Inputs!$K$4:$AJ$4,0))))+SUMPRODUCT((Inputs!$E$5:$E$140=$B9)*ISNUMBER(INDEX(Inputs!$K$5:$AJ$140,0,MATCH(K$2,Inputs!$K$4:$AJ$4,0))))=0,NA(),SUMPRODUCT((Inputs!$A$5:$A$140=$B9)*Inputs!$B$5:$B$140*(((Inputs!$G$5:$G$140="moeda")+(Inputs!$G$5:$G$140="acoes"))*Inputs!$B$1+((Inputs!$G$5:$G$140&lt;&gt;"moeda")*(Inputs!$G$5:$G$140&lt;&gt;"acoes")))*INDEX(Inputs!$K$5:$AJ$140,0,MATCH(K$2,Inputs!$K$4:$AJ$4,0)))+SUMPRODUCT((Inputs!$C$5:$C$140=$B9)*Inputs!$D$5:$D$140*(((Inputs!$G$5:$G$140="moeda")+(Inputs!$G$5:$G$140="acoes"))*Inputs!$B$1+((Inputs!$G$5:$G$140&lt;&gt;"moeda")*(Inputs!$G$5:$G$140&lt;&gt;"acoes")))*INDEX(Inputs!$K$5:$AJ$140,0,MATCH(K$2,Inputs!$K$4:$AJ$4,0)))+SUMPRODUCT((Inputs!$E$5:$E$140=$B9)*Inputs!$F$5:$F$140*(((Inputs!$G$5:$G$140="moeda")+(Inputs!$G$5:$G$140="acoes"))*Inputs!$B$1+((Inputs!$G$5:$G$140&lt;&gt;"moeda")*(Inputs!$G$5:$G$140&lt;&gt;"acoes")))*INDEX(Inputs!$K$5:$AJ$140,0,MATCH(K$2,Inputs!$K$4:$AJ$4,0)))))</f>
        <v>77</v>
      </c>
      <c r="L9" s="6">
        <f>IF(ISNA(MATCH(L$2,Inputs!$K$4:$AJ$4,0)),NA(),IF(SUMPRODUCT((Inputs!$A$5:$A$140=$B9)*ISNUMBER(INDEX(Inputs!$K$5:$AJ$140,0,MATCH(L$2,Inputs!$K$4:$AJ$4,0))))+SUMPRODUCT((Inputs!$C$5:$C$140=$B9)*ISNUMBER(INDEX(Inputs!$K$5:$AJ$140,0,MATCH(L$2,Inputs!$K$4:$AJ$4,0))))+SUMPRODUCT((Inputs!$E$5:$E$140=$B9)*ISNUMBER(INDEX(Inputs!$K$5:$AJ$140,0,MATCH(L$2,Inputs!$K$4:$AJ$4,0))))=0,NA(),SUMPRODUCT((Inputs!$A$5:$A$140=$B9)*Inputs!$B$5:$B$140*(((Inputs!$G$5:$G$140="moeda")+(Inputs!$G$5:$G$140="acoes"))*Inputs!$B$1+((Inputs!$G$5:$G$140&lt;&gt;"moeda")*(Inputs!$G$5:$G$140&lt;&gt;"acoes")))*INDEX(Inputs!$K$5:$AJ$140,0,MATCH(L$2,Inputs!$K$4:$AJ$4,0)))+SUMPRODUCT((Inputs!$C$5:$C$140=$B9)*Inputs!$D$5:$D$140*(((Inputs!$G$5:$G$140="moeda")+(Inputs!$G$5:$G$140="acoes"))*Inputs!$B$1+((Inputs!$G$5:$G$140&lt;&gt;"moeda")*(Inputs!$G$5:$G$140&lt;&gt;"acoes")))*INDEX(Inputs!$K$5:$AJ$140,0,MATCH(L$2,Inputs!$K$4:$AJ$4,0)))+SUMPRODUCT((Inputs!$E$5:$E$140=$B9)*Inputs!$F$5:$F$140*(((Inputs!$G$5:$G$140="moeda")+(Inputs!$G$5:$G$140="acoes"))*Inputs!$B$1+((Inputs!$G$5:$G$140&lt;&gt;"moeda")*(Inputs!$G$5:$G$140&lt;&gt;"acoes")))*INDEX(Inputs!$K$5:$AJ$140,0,MATCH(L$2,Inputs!$K$4:$AJ$4,0)))))</f>
        <v>96</v>
      </c>
      <c r="M9" s="3">
        <f>SUM(I9:L9)</f>
        <v>219</v>
      </c>
      <c r="N9" s="6">
        <f>IF(ISNA(MATCH(N$2,Inputs!$K$4:$AJ$4,0)),NA(),IF(SUMPRODUCT((Inputs!$A$5:$A$140=$B9)*ISNUMBER(INDEX(Inputs!$K$5:$AJ$140,0,MATCH(N$2,Inputs!$K$4:$AJ$4,0))))+SUMPRODUCT((Inputs!$C$5:$C$140=$B9)*ISNUMBER(INDEX(Inputs!$K$5:$AJ$140,0,MATCH(N$2,Inputs!$K$4:$AJ$4,0))))+SUMPRODUCT((Inputs!$E$5:$E$140=$B9)*ISNUMBER(INDEX(Inputs!$K$5:$AJ$140,0,MATCH(N$2,Inputs!$K$4:$AJ$4,0))))=0,NA(),SUMPRODUCT((Inputs!$A$5:$A$140=$B9)*Inputs!$B$5:$B$140*(((Inputs!$G$5:$G$140="moeda")+(Inputs!$G$5:$G$140="acoes"))*Inputs!$B$1+((Inputs!$G$5:$G$140&lt;&gt;"moeda")*(Inputs!$G$5:$G$140&lt;&gt;"acoes")))*INDEX(Inputs!$K$5:$AJ$140,0,MATCH(N$2,Inputs!$K$4:$AJ$4,0)))+SUMPRODUCT((Inputs!$C$5:$C$140=$B9)*Inputs!$D$5:$D$140*(((Inputs!$G$5:$G$140="moeda")+(Inputs!$G$5:$G$140="acoes"))*Inputs!$B$1+((Inputs!$G$5:$G$140&lt;&gt;"moeda")*(Inputs!$G$5:$G$140&lt;&gt;"acoes")))*INDEX(Inputs!$K$5:$AJ$140,0,MATCH(N$2,Inputs!$K$4:$AJ$4,0)))+SUMPRODUCT((Inputs!$E$5:$E$140=$B9)*Inputs!$F$5:$F$140*(((Inputs!$G$5:$G$140="moeda")+(Inputs!$G$5:$G$140="acoes"))*Inputs!$B$1+((Inputs!$G$5:$G$140&lt;&gt;"moeda")*(Inputs!$G$5:$G$140&lt;&gt;"acoes")))*INDEX(Inputs!$K$5:$AJ$140,0,MATCH(N$2,Inputs!$K$4:$AJ$4,0)))))</f>
        <v>135</v>
      </c>
      <c r="O9" s="6">
        <f>IF(ISNA(MATCH(O$2,Inputs!$K$4:$AJ$4,0)),NA(),IF(SUMPRODUCT((Inputs!$A$5:$A$140=$B9)*ISNUMBER(INDEX(Inputs!$K$5:$AJ$140,0,MATCH(O$2,Inputs!$K$4:$AJ$4,0))))+SUMPRODUCT((Inputs!$C$5:$C$140=$B9)*ISNUMBER(INDEX(Inputs!$K$5:$AJ$140,0,MATCH(O$2,Inputs!$K$4:$AJ$4,0))))+SUMPRODUCT((Inputs!$E$5:$E$140=$B9)*ISNUMBER(INDEX(Inputs!$K$5:$AJ$140,0,MATCH(O$2,Inputs!$K$4:$AJ$4,0))))=0,NA(),SUMPRODUCT((Inputs!$A$5:$A$140=$B9)*Inputs!$B$5:$B$140*(((Inputs!$G$5:$G$140="moeda")+(Inputs!$G$5:$G$140="acoes"))*Inputs!$B$1+((Inputs!$G$5:$G$140&lt;&gt;"moeda")*(Inputs!$G$5:$G$140&lt;&gt;"acoes")))*INDEX(Inputs!$K$5:$AJ$140,0,MATCH(O$2,Inputs!$K$4:$AJ$4,0)))+SUMPRODUCT((Inputs!$C$5:$C$140=$B9)*Inputs!$D$5:$D$140*(((Inputs!$G$5:$G$140="moeda")+(Inputs!$G$5:$G$140="acoes"))*Inputs!$B$1+((Inputs!$G$5:$G$140&lt;&gt;"moeda")*(Inputs!$G$5:$G$140&lt;&gt;"acoes")))*INDEX(Inputs!$K$5:$AJ$140,0,MATCH(O$2,Inputs!$K$4:$AJ$4,0)))+SUMPRODUCT((Inputs!$E$5:$E$140=$B9)*Inputs!$F$5:$F$140*(((Inputs!$G$5:$G$140="moeda")+(Inputs!$G$5:$G$140="acoes"))*Inputs!$B$1+((Inputs!$G$5:$G$140&lt;&gt;"moeda")*(Inputs!$G$5:$G$140&lt;&gt;"acoes")))*INDEX(Inputs!$K$5:$AJ$140,0,MATCH(O$2,Inputs!$K$4:$AJ$4,0)))))</f>
        <v>246</v>
      </c>
      <c r="P9" s="6">
        <f>IF(ISNA(MATCH(P$2,Inputs!$K$4:$AJ$4,0)),NA(),IF(SUMPRODUCT((Inputs!$A$5:$A$140=$B9)*ISNUMBER(INDEX(Inputs!$K$5:$AJ$140,0,MATCH(P$2,Inputs!$K$4:$AJ$4,0))))+SUMPRODUCT((Inputs!$C$5:$C$140=$B9)*ISNUMBER(INDEX(Inputs!$K$5:$AJ$140,0,MATCH(P$2,Inputs!$K$4:$AJ$4,0))))+SUMPRODUCT((Inputs!$E$5:$E$140=$B9)*ISNUMBER(INDEX(Inputs!$K$5:$AJ$140,0,MATCH(P$2,Inputs!$K$4:$AJ$4,0))))=0,NA(),SUMPRODUCT((Inputs!$A$5:$A$140=$B9)*Inputs!$B$5:$B$140*(((Inputs!$G$5:$G$140="moeda")+(Inputs!$G$5:$G$140="acoes"))*Inputs!$B$1+((Inputs!$G$5:$G$140&lt;&gt;"moeda")*(Inputs!$G$5:$G$140&lt;&gt;"acoes")))*INDEX(Inputs!$K$5:$AJ$140,0,MATCH(P$2,Inputs!$K$4:$AJ$4,0)))+SUMPRODUCT((Inputs!$C$5:$C$140=$B9)*Inputs!$D$5:$D$140*(((Inputs!$G$5:$G$140="moeda")+(Inputs!$G$5:$G$140="acoes"))*Inputs!$B$1+((Inputs!$G$5:$G$140&lt;&gt;"moeda")*(Inputs!$G$5:$G$140&lt;&gt;"acoes")))*INDEX(Inputs!$K$5:$AJ$140,0,MATCH(P$2,Inputs!$K$4:$AJ$4,0)))+SUMPRODUCT((Inputs!$E$5:$E$140=$B9)*Inputs!$F$5:$F$140*(((Inputs!$G$5:$G$140="moeda")+(Inputs!$G$5:$G$140="acoes"))*Inputs!$B$1+((Inputs!$G$5:$G$140&lt;&gt;"moeda")*(Inputs!$G$5:$G$140&lt;&gt;"acoes")))*INDEX(Inputs!$K$5:$AJ$140,0,MATCH(P$2,Inputs!$K$4:$AJ$4,0)))))</f>
        <v>168</v>
      </c>
      <c r="Q9" s="6">
        <f>IF(ISNA(MATCH(Q$2,Inputs!$K$4:$AJ$4,0)),NA(),IF(SUMPRODUCT((Inputs!$A$5:$A$140=$B9)*ISNUMBER(INDEX(Inputs!$K$5:$AJ$140,0,MATCH(Q$2,Inputs!$K$4:$AJ$4,0))))+SUMPRODUCT((Inputs!$C$5:$C$140=$B9)*ISNUMBER(INDEX(Inputs!$K$5:$AJ$140,0,MATCH(Q$2,Inputs!$K$4:$AJ$4,0))))+SUMPRODUCT((Inputs!$E$5:$E$140=$B9)*ISNUMBER(INDEX(Inputs!$K$5:$AJ$140,0,MATCH(Q$2,Inputs!$K$4:$AJ$4,0))))=0,NA(),SUMPRODUCT((Inputs!$A$5:$A$140=$B9)*Inputs!$B$5:$B$140*(((Inputs!$G$5:$G$140="moeda")+(Inputs!$G$5:$G$140="acoes"))*Inputs!$B$1+((Inputs!$G$5:$G$140&lt;&gt;"moeda")*(Inputs!$G$5:$G$140&lt;&gt;"acoes")))*INDEX(Inputs!$K$5:$AJ$140,0,MATCH(Q$2,Inputs!$K$4:$AJ$4,0)))+SUMPRODUCT((Inputs!$C$5:$C$140=$B9)*Inputs!$D$5:$D$140*(((Inputs!$G$5:$G$140="moeda")+(Inputs!$G$5:$G$140="acoes"))*Inputs!$B$1+((Inputs!$G$5:$G$140&lt;&gt;"moeda")*(Inputs!$G$5:$G$140&lt;&gt;"acoes")))*INDEX(Inputs!$K$5:$AJ$140,0,MATCH(Q$2,Inputs!$K$4:$AJ$4,0)))+SUMPRODUCT((Inputs!$E$5:$E$140=$B9)*Inputs!$F$5:$F$140*(((Inputs!$G$5:$G$140="moeda")+(Inputs!$G$5:$G$140="acoes"))*Inputs!$B$1+((Inputs!$G$5:$G$140&lt;&gt;"moeda")*(Inputs!$G$5:$G$140&lt;&gt;"acoes")))*INDEX(Inputs!$K$5:$AJ$140,0,MATCH(Q$2,Inputs!$K$4:$AJ$4,0)))))</f>
        <v>555</v>
      </c>
      <c r="R9" s="3">
        <f>SUM(N9:Q9)</f>
        <v>1104</v>
      </c>
      <c r="S9" s="6">
        <f>IF(ISNA(MATCH(S$2,Inputs!$K$4:$AJ$4,0)),NA(),IF(SUMPRODUCT((Inputs!$A$5:$A$140=$B9)*ISNUMBER(INDEX(Inputs!$K$5:$AJ$140,0,MATCH(S$2,Inputs!$K$4:$AJ$4,0))))+SUMPRODUCT((Inputs!$C$5:$C$140=$B9)*ISNUMBER(INDEX(Inputs!$K$5:$AJ$140,0,MATCH(S$2,Inputs!$K$4:$AJ$4,0))))+SUMPRODUCT((Inputs!$E$5:$E$140=$B9)*ISNUMBER(INDEX(Inputs!$K$5:$AJ$140,0,MATCH(S$2,Inputs!$K$4:$AJ$4,0))))=0,NA(),SUMPRODUCT((Inputs!$A$5:$A$140=$B9)*Inputs!$B$5:$B$140*(((Inputs!$G$5:$G$140="moeda")+(Inputs!$G$5:$G$140="acoes"))*Inputs!$B$1+((Inputs!$G$5:$G$140&lt;&gt;"moeda")*(Inputs!$G$5:$G$140&lt;&gt;"acoes")))*INDEX(Inputs!$K$5:$AJ$140,0,MATCH(S$2,Inputs!$K$4:$AJ$4,0)))+SUMPRODUCT((Inputs!$C$5:$C$140=$B9)*Inputs!$D$5:$D$140*(((Inputs!$G$5:$G$140="moeda")+(Inputs!$G$5:$G$140="acoes"))*Inputs!$B$1+((Inputs!$G$5:$G$140&lt;&gt;"moeda")*(Inputs!$G$5:$G$140&lt;&gt;"acoes")))*INDEX(Inputs!$K$5:$AJ$140,0,MATCH(S$2,Inputs!$K$4:$AJ$4,0)))+SUMPRODUCT((Inputs!$E$5:$E$140=$B9)*Inputs!$F$5:$F$140*(((Inputs!$G$5:$G$140="moeda")+(Inputs!$G$5:$G$140="acoes"))*Inputs!$B$1+((Inputs!$G$5:$G$140&lt;&gt;"moeda")*(Inputs!$G$5:$G$140&lt;&gt;"acoes")))*INDEX(Inputs!$K$5:$AJ$140,0,MATCH(S$2,Inputs!$K$4:$AJ$4,0)))))</f>
        <v>434</v>
      </c>
      <c r="T9" s="6">
        <f>IF(ISNA(MATCH(T$2,Inputs!$K$4:$AJ$4,0)),NA(),IF(SUMPRODUCT((Inputs!$A$5:$A$140=$B9)*ISNUMBER(INDEX(Inputs!$K$5:$AJ$140,0,MATCH(T$2,Inputs!$K$4:$AJ$4,0))))+SUMPRODUCT((Inputs!$C$5:$C$140=$B9)*ISNUMBER(INDEX(Inputs!$K$5:$AJ$140,0,MATCH(T$2,Inputs!$K$4:$AJ$4,0))))+SUMPRODUCT((Inputs!$E$5:$E$140=$B9)*ISNUMBER(INDEX(Inputs!$K$5:$AJ$140,0,MATCH(T$2,Inputs!$K$4:$AJ$4,0))))=0,NA(),SUMPRODUCT((Inputs!$A$5:$A$140=$B9)*Inputs!$B$5:$B$140*(((Inputs!$G$5:$G$140="moeda")+(Inputs!$G$5:$G$140="acoes"))*Inputs!$B$1+((Inputs!$G$5:$G$140&lt;&gt;"moeda")*(Inputs!$G$5:$G$140&lt;&gt;"acoes")))*INDEX(Inputs!$K$5:$AJ$140,0,MATCH(T$2,Inputs!$K$4:$AJ$4,0)))+SUMPRODUCT((Inputs!$C$5:$C$140=$B9)*Inputs!$D$5:$D$140*(((Inputs!$G$5:$G$140="moeda")+(Inputs!$G$5:$G$140="acoes"))*Inputs!$B$1+((Inputs!$G$5:$G$140&lt;&gt;"moeda")*(Inputs!$G$5:$G$140&lt;&gt;"acoes")))*INDEX(Inputs!$K$5:$AJ$140,0,MATCH(T$2,Inputs!$K$4:$AJ$4,0)))+SUMPRODUCT((Inputs!$E$5:$E$140=$B9)*Inputs!$F$5:$F$140*(((Inputs!$G$5:$G$140="moeda")+(Inputs!$G$5:$G$140="acoes"))*Inputs!$B$1+((Inputs!$G$5:$G$140&lt;&gt;"moeda")*(Inputs!$G$5:$G$140&lt;&gt;"acoes")))*INDEX(Inputs!$K$5:$AJ$140,0,MATCH(T$2,Inputs!$K$4:$AJ$4,0)))))</f>
        <v>633</v>
      </c>
      <c r="U9" s="6">
        <f>IF(ISNA(MATCH(U$2,Inputs!$K$4:$AJ$4,0)),NA(),IF(SUMPRODUCT((Inputs!$A$5:$A$140=$B9)*ISNUMBER(INDEX(Inputs!$K$5:$AJ$140,0,MATCH(U$2,Inputs!$K$4:$AJ$4,0))))+SUMPRODUCT((Inputs!$C$5:$C$140=$B9)*ISNUMBER(INDEX(Inputs!$K$5:$AJ$140,0,MATCH(U$2,Inputs!$K$4:$AJ$4,0))))+SUMPRODUCT((Inputs!$E$5:$E$140=$B9)*ISNUMBER(INDEX(Inputs!$K$5:$AJ$140,0,MATCH(U$2,Inputs!$K$4:$AJ$4,0))))=0,NA(),SUMPRODUCT((Inputs!$A$5:$A$140=$B9)*Inputs!$B$5:$B$140*(((Inputs!$G$5:$G$140="moeda")+(Inputs!$G$5:$G$140="acoes"))*Inputs!$B$1+((Inputs!$G$5:$G$140&lt;&gt;"moeda")*(Inputs!$G$5:$G$140&lt;&gt;"acoes")))*INDEX(Inputs!$K$5:$AJ$140,0,MATCH(U$2,Inputs!$K$4:$AJ$4,0)))+SUMPRODUCT((Inputs!$C$5:$C$140=$B9)*Inputs!$D$5:$D$140*(((Inputs!$G$5:$G$140="moeda")+(Inputs!$G$5:$G$140="acoes"))*Inputs!$B$1+((Inputs!$G$5:$G$140&lt;&gt;"moeda")*(Inputs!$G$5:$G$140&lt;&gt;"acoes")))*INDEX(Inputs!$K$5:$AJ$140,0,MATCH(U$2,Inputs!$K$4:$AJ$4,0)))+SUMPRODUCT((Inputs!$E$5:$E$140=$B9)*Inputs!$F$5:$F$140*(((Inputs!$G$5:$G$140="moeda")+(Inputs!$G$5:$G$140="acoes"))*Inputs!$B$1+((Inputs!$G$5:$G$140&lt;&gt;"moeda")*(Inputs!$G$5:$G$140&lt;&gt;"acoes")))*INDEX(Inputs!$K$5:$AJ$140,0,MATCH(U$2,Inputs!$K$4:$AJ$4,0)))))</f>
        <v>508</v>
      </c>
      <c r="V9" s="6">
        <f>IF(ISNA(MATCH(V$2,Inputs!$K$4:$AJ$4,0)),NA(),IF(SUMPRODUCT((Inputs!$A$5:$A$140=$B9)*ISNUMBER(INDEX(Inputs!$K$5:$AJ$140,0,MATCH(V$2,Inputs!$K$4:$AJ$4,0))))+SUMPRODUCT((Inputs!$C$5:$C$140=$B9)*ISNUMBER(INDEX(Inputs!$K$5:$AJ$140,0,MATCH(V$2,Inputs!$K$4:$AJ$4,0))))+SUMPRODUCT((Inputs!$E$5:$E$140=$B9)*ISNUMBER(INDEX(Inputs!$K$5:$AJ$140,0,MATCH(V$2,Inputs!$K$4:$AJ$4,0))))=0,NA(),SUMPRODUCT((Inputs!$A$5:$A$140=$B9)*Inputs!$B$5:$B$140*(((Inputs!$G$5:$G$140="moeda")+(Inputs!$G$5:$G$140="acoes"))*Inputs!$B$1+((Inputs!$G$5:$G$140&lt;&gt;"moeda")*(Inputs!$G$5:$G$140&lt;&gt;"acoes")))*INDEX(Inputs!$K$5:$AJ$140,0,MATCH(V$2,Inputs!$K$4:$AJ$4,0)))+SUMPRODUCT((Inputs!$C$5:$C$140=$B9)*Inputs!$D$5:$D$140*(((Inputs!$G$5:$G$140="moeda")+(Inputs!$G$5:$G$140="acoes"))*Inputs!$B$1+((Inputs!$G$5:$G$140&lt;&gt;"moeda")*(Inputs!$G$5:$G$140&lt;&gt;"acoes")))*INDEX(Inputs!$K$5:$AJ$140,0,MATCH(V$2,Inputs!$K$4:$AJ$4,0)))+SUMPRODUCT((Inputs!$E$5:$E$140=$B9)*Inputs!$F$5:$F$140*(((Inputs!$G$5:$G$140="moeda")+(Inputs!$G$5:$G$140="acoes"))*Inputs!$B$1+((Inputs!$G$5:$G$140&lt;&gt;"moeda")*(Inputs!$G$5:$G$140&lt;&gt;"acoes")))*INDEX(Inputs!$K$5:$AJ$140,0,MATCH(V$2,Inputs!$K$4:$AJ$4,0)))))</f>
        <v>1244</v>
      </c>
      <c r="W9" s="3">
        <f>SUM(S9:V9)</f>
        <v>2819</v>
      </c>
      <c r="X9" s="6">
        <f>IF(ISNA(MATCH(X$2,Inputs!$K$4:$AJ$4,0)),NA(),IF(SUMPRODUCT((Inputs!$A$5:$A$140=$B9)*ISNUMBER(INDEX(Inputs!$K$5:$AJ$140,0,MATCH(X$2,Inputs!$K$4:$AJ$4,0))))+SUMPRODUCT((Inputs!$C$5:$C$140=$B9)*ISNUMBER(INDEX(Inputs!$K$5:$AJ$140,0,MATCH(X$2,Inputs!$K$4:$AJ$4,0))))+SUMPRODUCT((Inputs!$E$5:$E$140=$B9)*ISNUMBER(INDEX(Inputs!$K$5:$AJ$140,0,MATCH(X$2,Inputs!$K$4:$AJ$4,0))))=0,NA(),SUMPRODUCT((Inputs!$A$5:$A$140=$B9)*Inputs!$B$5:$B$140*(((Inputs!$G$5:$G$140="moeda")+(Inputs!$G$5:$G$140="acoes"))*Inputs!$B$1+((Inputs!$G$5:$G$140&lt;&gt;"moeda")*(Inputs!$G$5:$G$140&lt;&gt;"acoes")))*INDEX(Inputs!$K$5:$AJ$140,0,MATCH(X$2,Inputs!$K$4:$AJ$4,0)))+SUMPRODUCT((Inputs!$C$5:$C$140=$B9)*Inputs!$D$5:$D$140*(((Inputs!$G$5:$G$140="moeda")+(Inputs!$G$5:$G$140="acoes"))*Inputs!$B$1+((Inputs!$G$5:$G$140&lt;&gt;"moeda")*(Inputs!$G$5:$G$140&lt;&gt;"acoes")))*INDEX(Inputs!$K$5:$AJ$140,0,MATCH(X$2,Inputs!$K$4:$AJ$4,0)))+SUMPRODUCT((Inputs!$E$5:$E$140=$B9)*Inputs!$F$5:$F$140*(((Inputs!$G$5:$G$140="moeda")+(Inputs!$G$5:$G$140="acoes"))*Inputs!$B$1+((Inputs!$G$5:$G$140&lt;&gt;"moeda")*(Inputs!$G$5:$G$140&lt;&gt;"acoes")))*INDEX(Inputs!$K$5:$AJ$140,0,MATCH(X$2,Inputs!$K$4:$AJ$4,0)))))</f>
        <v>335</v>
      </c>
      <c r="Y9" s="6">
        <f>IF(ISNA(MATCH(Y$2,Inputs!$K$4:$AJ$4,0)),NA(),IF(SUMPRODUCT((Inputs!$A$5:$A$140=$B9)*ISNUMBER(INDEX(Inputs!$K$5:$AJ$140,0,MATCH(Y$2,Inputs!$K$4:$AJ$4,0))))+SUMPRODUCT((Inputs!$C$5:$C$140=$B9)*ISNUMBER(INDEX(Inputs!$K$5:$AJ$140,0,MATCH(Y$2,Inputs!$K$4:$AJ$4,0))))+SUMPRODUCT((Inputs!$E$5:$E$140=$B9)*ISNUMBER(INDEX(Inputs!$K$5:$AJ$140,0,MATCH(Y$2,Inputs!$K$4:$AJ$4,0))))=0,NA(),SUMPRODUCT((Inputs!$A$5:$A$140=$B9)*Inputs!$B$5:$B$140*(((Inputs!$G$5:$G$140="moeda")+(Inputs!$G$5:$G$140="acoes"))*Inputs!$B$1+((Inputs!$G$5:$G$140&lt;&gt;"moeda")*(Inputs!$G$5:$G$140&lt;&gt;"acoes")))*INDEX(Inputs!$K$5:$AJ$140,0,MATCH(Y$2,Inputs!$K$4:$AJ$4,0)))+SUMPRODUCT((Inputs!$C$5:$C$140=$B9)*Inputs!$D$5:$D$140*(((Inputs!$G$5:$G$140="moeda")+(Inputs!$G$5:$G$140="acoes"))*Inputs!$B$1+((Inputs!$G$5:$G$140&lt;&gt;"moeda")*(Inputs!$G$5:$G$140&lt;&gt;"acoes")))*INDEX(Inputs!$K$5:$AJ$140,0,MATCH(Y$2,Inputs!$K$4:$AJ$4,0)))+SUMPRODUCT((Inputs!$E$5:$E$140=$B9)*Inputs!$F$5:$F$140*(((Inputs!$G$5:$G$140="moeda")+(Inputs!$G$5:$G$140="acoes"))*Inputs!$B$1+((Inputs!$G$5:$G$140&lt;&gt;"moeda")*(Inputs!$G$5:$G$140&lt;&gt;"acoes")))*INDEX(Inputs!$K$5:$AJ$140,0,MATCH(Y$2,Inputs!$K$4:$AJ$4,0)))))</f>
        <v>2828</v>
      </c>
      <c r="Z9" s="6">
        <f>IF(ISNA(MATCH(Z$2,Inputs!$K$4:$AJ$4,0)),NA(),IF(SUMPRODUCT((Inputs!$A$5:$A$140=$B9)*ISNUMBER(INDEX(Inputs!$K$5:$AJ$140,0,MATCH(Z$2,Inputs!$K$4:$AJ$4,0))))+SUMPRODUCT((Inputs!$C$5:$C$140=$B9)*ISNUMBER(INDEX(Inputs!$K$5:$AJ$140,0,MATCH(Z$2,Inputs!$K$4:$AJ$4,0))))+SUMPRODUCT((Inputs!$E$5:$E$140=$B9)*ISNUMBER(INDEX(Inputs!$K$5:$AJ$140,0,MATCH(Z$2,Inputs!$K$4:$AJ$4,0))))=0,NA(),SUMPRODUCT((Inputs!$A$5:$A$140=$B9)*Inputs!$B$5:$B$140*(((Inputs!$G$5:$G$140="moeda")+(Inputs!$G$5:$G$140="acoes"))*Inputs!$B$1+((Inputs!$G$5:$G$140&lt;&gt;"moeda")*(Inputs!$G$5:$G$140&lt;&gt;"acoes")))*INDEX(Inputs!$K$5:$AJ$140,0,MATCH(Z$2,Inputs!$K$4:$AJ$4,0)))+SUMPRODUCT((Inputs!$C$5:$C$140=$B9)*Inputs!$D$5:$D$140*(((Inputs!$G$5:$G$140="moeda")+(Inputs!$G$5:$G$140="acoes"))*Inputs!$B$1+((Inputs!$G$5:$G$140&lt;&gt;"moeda")*(Inputs!$G$5:$G$140&lt;&gt;"acoes")))*INDEX(Inputs!$K$5:$AJ$140,0,MATCH(Z$2,Inputs!$K$4:$AJ$4,0)))+SUMPRODUCT((Inputs!$E$5:$E$140=$B9)*Inputs!$F$5:$F$140*(((Inputs!$G$5:$G$140="moeda")+(Inputs!$G$5:$G$140="acoes"))*Inputs!$B$1+((Inputs!$G$5:$G$140&lt;&gt;"moeda")*(Inputs!$G$5:$G$140&lt;&gt;"acoes")))*INDEX(Inputs!$K$5:$AJ$140,0,MATCH(Z$2,Inputs!$K$4:$AJ$4,0)))))</f>
        <v>1987</v>
      </c>
      <c r="AA9" s="6">
        <f>IF(ISNA(MATCH(AA$2,Inputs!$K$4:$AJ$4,0)),NA(),IF(SUMPRODUCT((Inputs!$A$5:$A$140=$B9)*ISNUMBER(INDEX(Inputs!$K$5:$AJ$140,0,MATCH(AA$2,Inputs!$K$4:$AJ$4,0))))+SUMPRODUCT((Inputs!$C$5:$C$140=$B9)*ISNUMBER(INDEX(Inputs!$K$5:$AJ$140,0,MATCH(AA$2,Inputs!$K$4:$AJ$4,0))))+SUMPRODUCT((Inputs!$E$5:$E$140=$B9)*ISNUMBER(INDEX(Inputs!$K$5:$AJ$140,0,MATCH(AA$2,Inputs!$K$4:$AJ$4,0))))=0,NA(),SUMPRODUCT((Inputs!$A$5:$A$140=$B9)*Inputs!$B$5:$B$140*(((Inputs!$G$5:$G$140="moeda")+(Inputs!$G$5:$G$140="acoes"))*Inputs!$B$1+((Inputs!$G$5:$G$140&lt;&gt;"moeda")*(Inputs!$G$5:$G$140&lt;&gt;"acoes")))*INDEX(Inputs!$K$5:$AJ$140,0,MATCH(AA$2,Inputs!$K$4:$AJ$4,0)))+SUMPRODUCT((Inputs!$C$5:$C$140=$B9)*Inputs!$D$5:$D$140*(((Inputs!$G$5:$G$140="moeda")+(Inputs!$G$5:$G$140="acoes"))*Inputs!$B$1+((Inputs!$G$5:$G$140&lt;&gt;"moeda")*(Inputs!$G$5:$G$140&lt;&gt;"acoes")))*INDEX(Inputs!$K$5:$AJ$140,0,MATCH(AA$2,Inputs!$K$4:$AJ$4,0)))+SUMPRODUCT((Inputs!$E$5:$E$140=$B9)*Inputs!$F$5:$F$140*(((Inputs!$G$5:$G$140="moeda")+(Inputs!$G$5:$G$140="acoes"))*Inputs!$B$1+((Inputs!$G$5:$G$140&lt;&gt;"moeda")*(Inputs!$G$5:$G$140&lt;&gt;"acoes")))*INDEX(Inputs!$K$5:$AJ$140,0,MATCH(AA$2,Inputs!$K$4:$AJ$4,0)))))</f>
        <v>6172</v>
      </c>
      <c r="AB9" s="3">
        <f>SUM(X9:AA9)</f>
        <v>11322</v>
      </c>
      <c r="AC9" s="6">
        <f>IF(ISNA(MATCH(AC$2,Inputs!$K$4:$AJ$4,0)),NA(),IF(SUMPRODUCT((Inputs!$A$5:$A$140=$B9)*ISNUMBER(INDEX(Inputs!$K$5:$AJ$140,0,MATCH(AC$2,Inputs!$K$4:$AJ$4,0))))+SUMPRODUCT((Inputs!$C$5:$C$140=$B9)*ISNUMBER(INDEX(Inputs!$K$5:$AJ$140,0,MATCH(AC$2,Inputs!$K$4:$AJ$4,0))))+SUMPRODUCT((Inputs!$E$5:$E$140=$B9)*ISNUMBER(INDEX(Inputs!$K$5:$AJ$140,0,MATCH(AC$2,Inputs!$K$4:$AJ$4,0))))=0,NA(),SUMPRODUCT((Inputs!$A$5:$A$140=$B9)*Inputs!$B$5:$B$140*(((Inputs!$G$5:$G$140="moeda")+(Inputs!$G$5:$G$140="acoes"))*Inputs!$B$1+((Inputs!$G$5:$G$140&lt;&gt;"moeda")*(Inputs!$G$5:$G$140&lt;&gt;"acoes")))*INDEX(Inputs!$K$5:$AJ$140,0,MATCH(AC$2,Inputs!$K$4:$AJ$4,0)))+SUMPRODUCT((Inputs!$C$5:$C$140=$B9)*Inputs!$D$5:$D$140*(((Inputs!$G$5:$G$140="moeda")+(Inputs!$G$5:$G$140="acoes"))*Inputs!$B$1+((Inputs!$G$5:$G$140&lt;&gt;"moeda")*(Inputs!$G$5:$G$140&lt;&gt;"acoes")))*INDEX(Inputs!$K$5:$AJ$140,0,MATCH(AC$2,Inputs!$K$4:$AJ$4,0)))+SUMPRODUCT((Inputs!$E$5:$E$140=$B9)*Inputs!$F$5:$F$140*(((Inputs!$G$5:$G$140="moeda")+(Inputs!$G$5:$G$140="acoes"))*Inputs!$B$1+((Inputs!$G$5:$G$140&lt;&gt;"moeda")*(Inputs!$G$5:$G$140&lt;&gt;"acoes")))*INDEX(Inputs!$K$5:$AJ$140,0,MATCH(AC$2,Inputs!$K$4:$AJ$4,0)))))</f>
        <v>16469</v>
      </c>
      <c r="AD9" s="6">
        <f>IF(ISNA(MATCH(AD$2,Inputs!$K$4:$AJ$4,0)),NA(),IF(SUMPRODUCT((Inputs!$A$5:$A$140=$B9)*ISNUMBER(INDEX(Inputs!$K$5:$AJ$140,0,MATCH(AD$2,Inputs!$K$4:$AJ$4,0))))+SUMPRODUCT((Inputs!$C$5:$C$140=$B9)*ISNUMBER(INDEX(Inputs!$K$5:$AJ$140,0,MATCH(AD$2,Inputs!$K$4:$AJ$4,0))))+SUMPRODUCT((Inputs!$E$5:$E$140=$B9)*ISNUMBER(INDEX(Inputs!$K$5:$AJ$140,0,MATCH(AD$2,Inputs!$K$4:$AJ$4,0))))=0,NA(),SUMPRODUCT((Inputs!$A$5:$A$140=$B9)*Inputs!$B$5:$B$140*(((Inputs!$G$5:$G$140="moeda")+(Inputs!$G$5:$G$140="acoes"))*Inputs!$B$1+((Inputs!$G$5:$G$140&lt;&gt;"moeda")*(Inputs!$G$5:$G$140&lt;&gt;"acoes")))*INDEX(Inputs!$K$5:$AJ$140,0,MATCH(AD$2,Inputs!$K$4:$AJ$4,0)))+SUMPRODUCT((Inputs!$C$5:$C$140=$B9)*Inputs!$D$5:$D$140*(((Inputs!$G$5:$G$140="moeda")+(Inputs!$G$5:$G$140="acoes"))*Inputs!$B$1+((Inputs!$G$5:$G$140&lt;&gt;"moeda")*(Inputs!$G$5:$G$140&lt;&gt;"acoes")))*INDEX(Inputs!$K$5:$AJ$140,0,MATCH(AD$2,Inputs!$K$4:$AJ$4,0)))+SUMPRODUCT((Inputs!$E$5:$E$140=$B9)*Inputs!$F$5:$F$140*(((Inputs!$G$5:$G$140="moeda")+(Inputs!$G$5:$G$140="acoes"))*Inputs!$B$1+((Inputs!$G$5:$G$140&lt;&gt;"moeda")*(Inputs!$G$5:$G$140&lt;&gt;"acoes")))*INDEX(Inputs!$K$5:$AJ$140,0,MATCH(AD$2,Inputs!$K$4:$AJ$4,0)))))</f>
        <v>8000</v>
      </c>
      <c r="AE9" s="6" t="e">
        <f>IF(ISNA(MATCH(AE$2,Inputs!$K$4:$AJ$4,0)),NA(),IF(SUMPRODUCT((Inputs!$A$5:$A$140=$B9)*ISNUMBER(INDEX(Inputs!$K$5:$AJ$140,0,MATCH(AE$2,Inputs!$K$4:$AJ$4,0))))+SUMPRODUCT((Inputs!$C$5:$C$140=$B9)*ISNUMBER(INDEX(Inputs!$K$5:$AJ$140,0,MATCH(AE$2,Inputs!$K$4:$AJ$4,0))))+SUMPRODUCT((Inputs!$E$5:$E$140=$B9)*ISNUMBER(INDEX(Inputs!$K$5:$AJ$140,0,MATCH(AE$2,Inputs!$K$4:$AJ$4,0))))=0,NA(),SUMPRODUCT((Inputs!$A$5:$A$140=$B9)*Inputs!$B$5:$B$140*(((Inputs!$G$5:$G$140="moeda")+(Inputs!$G$5:$G$140="acoes"))*Inputs!$B$1+((Inputs!$G$5:$G$140&lt;&gt;"moeda")*(Inputs!$G$5:$G$140&lt;&gt;"acoes")))*INDEX(Inputs!$K$5:$AJ$140,0,MATCH(AE$2,Inputs!$K$4:$AJ$4,0)))+SUMPRODUCT((Inputs!$C$5:$C$140=$B9)*Inputs!$D$5:$D$140*(((Inputs!$G$5:$G$140="moeda")+(Inputs!$G$5:$G$140="acoes"))*Inputs!$B$1+((Inputs!$G$5:$G$140&lt;&gt;"moeda")*(Inputs!$G$5:$G$140&lt;&gt;"acoes")))*INDEX(Inputs!$K$5:$AJ$140,0,MATCH(AE$2,Inputs!$K$4:$AJ$4,0)))+SUMPRODUCT((Inputs!$E$5:$E$140=$B9)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9" s="6" t="e">
        <f>IF(ISNA(MATCH(AF$2,Inputs!$K$4:$AJ$4,0)),NA(),IF(SUMPRODUCT((Inputs!$A$5:$A$140=$B9)*ISNUMBER(INDEX(Inputs!$K$5:$AJ$140,0,MATCH(AF$2,Inputs!$K$4:$AJ$4,0))))+SUMPRODUCT((Inputs!$C$5:$C$140=$B9)*ISNUMBER(INDEX(Inputs!$K$5:$AJ$140,0,MATCH(AF$2,Inputs!$K$4:$AJ$4,0))))+SUMPRODUCT((Inputs!$E$5:$E$140=$B9)*ISNUMBER(INDEX(Inputs!$K$5:$AJ$140,0,MATCH(AF$2,Inputs!$K$4:$AJ$4,0))))=0,NA(),SUMPRODUCT((Inputs!$A$5:$A$140=$B9)*Inputs!$B$5:$B$140*(((Inputs!$G$5:$G$140="moeda")+(Inputs!$G$5:$G$140="acoes"))*Inputs!$B$1+((Inputs!$G$5:$G$140&lt;&gt;"moeda")*(Inputs!$G$5:$G$140&lt;&gt;"acoes")))*INDEX(Inputs!$K$5:$AJ$140,0,MATCH(AF$2,Inputs!$K$4:$AJ$4,0)))+SUMPRODUCT((Inputs!$C$5:$C$140=$B9)*Inputs!$D$5:$D$140*(((Inputs!$G$5:$G$140="moeda")+(Inputs!$G$5:$G$140="acoes"))*Inputs!$B$1+((Inputs!$G$5:$G$140&lt;&gt;"moeda")*(Inputs!$G$5:$G$140&lt;&gt;"acoes")))*INDEX(Inputs!$K$5:$AJ$140,0,MATCH(AF$2,Inputs!$K$4:$AJ$4,0)))+SUMPRODUCT((Inputs!$E$5:$E$140=$B9)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9" s="3" t="e">
        <f>SUM(AC9:AF9)</f>
        <v>#N/A</v>
      </c>
      <c r="AH9" s="6">
        <f>IF(ISNA(MATCH(AH$2,Inputs!$K$4:$AJ$4,0)),NA(),IF(SUMPRODUCT((Inputs!$A$5:$A$140=$B9)*ISNUMBER(INDEX(Inputs!$K$5:$AJ$140,0,MATCH(AH$2,Inputs!$K$4:$AJ$4,0))))+SUMPRODUCT((Inputs!$C$5:$C$140=$B9)*ISNUMBER(INDEX(Inputs!$K$5:$AJ$140,0,MATCH(AH$2,Inputs!$K$4:$AJ$4,0))))+SUMPRODUCT((Inputs!$E$5:$E$140=$B9)*ISNUMBER(INDEX(Inputs!$K$5:$AJ$140,0,MATCH(AH$2,Inputs!$K$4:$AJ$4,0))))=0,NA(),SUMPRODUCT((Inputs!$A$5:$A$140=$B9)*Inputs!$B$5:$B$140*(((Inputs!$G$5:$G$140="moeda")+(Inputs!$G$5:$G$140="acoes"))*Inputs!$B$1+((Inputs!$G$5:$G$140&lt;&gt;"moeda")*(Inputs!$G$5:$G$140&lt;&gt;"acoes")))*INDEX(Inputs!$K$5:$AJ$140,0,MATCH(AH$2,Inputs!$K$4:$AJ$4,0)))+SUMPRODUCT((Inputs!$C$5:$C$140=$B9)*Inputs!$D$5:$D$140*(((Inputs!$G$5:$G$140="moeda")+(Inputs!$G$5:$G$140="acoes"))*Inputs!$B$1+((Inputs!$G$5:$G$140&lt;&gt;"moeda")*(Inputs!$G$5:$G$140&lt;&gt;"acoes")))*INDEX(Inputs!$K$5:$AJ$140,0,MATCH(AH$2,Inputs!$K$4:$AJ$4,0)))+SUMPRODUCT((Inputs!$E$5:$E$140=$B9)*Inputs!$F$5:$F$140*(((Inputs!$G$5:$G$140="moeda")+(Inputs!$G$5:$G$140="acoes"))*Inputs!$B$1+((Inputs!$G$5:$G$140&lt;&gt;"moeda")*(Inputs!$G$5:$G$140&lt;&gt;"acoes")))*INDEX(Inputs!$K$5:$AJ$140,0,MATCH(AH$2,Inputs!$K$4:$AJ$4,0)))))</f>
        <v>30</v>
      </c>
      <c r="AI9" s="6">
        <f>IF(ISNA(MATCH(AI$2,Inputs!$K$4:$AJ$4,0)),NA(),IF(SUMPRODUCT((Inputs!$A$5:$A$140=$B9)*ISNUMBER(INDEX(Inputs!$K$5:$AJ$140,0,MATCH(AI$2,Inputs!$K$4:$AJ$4,0))))+SUMPRODUCT((Inputs!$C$5:$C$140=$B9)*ISNUMBER(INDEX(Inputs!$K$5:$AJ$140,0,MATCH(AI$2,Inputs!$K$4:$AJ$4,0))))+SUMPRODUCT((Inputs!$E$5:$E$140=$B9)*ISNUMBER(INDEX(Inputs!$K$5:$AJ$140,0,MATCH(AI$2,Inputs!$K$4:$AJ$4,0))))=0,NA(),SUMPRODUCT((Inputs!$A$5:$A$140=$B9)*Inputs!$B$5:$B$140*(((Inputs!$G$5:$G$140="moeda")+(Inputs!$G$5:$G$140="acoes"))*Inputs!$B$1+((Inputs!$G$5:$G$140&lt;&gt;"moeda")*(Inputs!$G$5:$G$140&lt;&gt;"acoes")))*INDEX(Inputs!$K$5:$AJ$140,0,MATCH(AI$2,Inputs!$K$4:$AJ$4,0)))+SUMPRODUCT((Inputs!$C$5:$C$140=$B9)*Inputs!$D$5:$D$140*(((Inputs!$G$5:$G$140="moeda")+(Inputs!$G$5:$G$140="acoes"))*Inputs!$B$1+((Inputs!$G$5:$G$140&lt;&gt;"moeda")*(Inputs!$G$5:$G$140&lt;&gt;"acoes")))*INDEX(Inputs!$K$5:$AJ$140,0,MATCH(AI$2,Inputs!$K$4:$AJ$4,0)))+SUMPRODUCT((Inputs!$E$5:$E$140=$B9)*Inputs!$F$5:$F$140*(((Inputs!$G$5:$G$140="moeda")+(Inputs!$G$5:$G$140="acoes"))*Inputs!$B$1+((Inputs!$G$5:$G$140&lt;&gt;"moeda")*(Inputs!$G$5:$G$140&lt;&gt;"acoes")))*INDEX(Inputs!$K$5:$AJ$140,0,MATCH(AI$2,Inputs!$K$4:$AJ$4,0)))))</f>
        <v>12</v>
      </c>
      <c r="AJ9" s="6">
        <f>IF(ISNA(MATCH(AJ$2,Inputs!$K$4:$AJ$4,0)),NA(),IF(SUMPRODUCT((Inputs!$A$5:$A$140=$B9)*ISNUMBER(INDEX(Inputs!$K$5:$AJ$140,0,MATCH(AJ$2,Inputs!$K$4:$AJ$4,0))))+SUMPRODUCT((Inputs!$C$5:$C$140=$B9)*ISNUMBER(INDEX(Inputs!$K$5:$AJ$140,0,MATCH(AJ$2,Inputs!$K$4:$AJ$4,0))))+SUMPRODUCT((Inputs!$E$5:$E$140=$B9)*ISNUMBER(INDEX(Inputs!$K$5:$AJ$140,0,MATCH(AJ$2,Inputs!$K$4:$AJ$4,0))))=0,NA(),SUMPRODUCT((Inputs!$A$5:$A$140=$B9)*Inputs!$B$5:$B$140*(((Inputs!$G$5:$G$140="moeda")+(Inputs!$G$5:$G$140="acoes"))*Inputs!$B$1+((Inputs!$G$5:$G$140&lt;&gt;"moeda")*(Inputs!$G$5:$G$140&lt;&gt;"acoes")))*INDEX(Inputs!$K$5:$AJ$140,0,MATCH(AJ$2,Inputs!$K$4:$AJ$4,0)))+SUMPRODUCT((Inputs!$C$5:$C$140=$B9)*Inputs!$D$5:$D$140*(((Inputs!$G$5:$G$140="moeda")+(Inputs!$G$5:$G$140="acoes"))*Inputs!$B$1+((Inputs!$G$5:$G$140&lt;&gt;"moeda")*(Inputs!$G$5:$G$140&lt;&gt;"acoes")))*INDEX(Inputs!$K$5:$AJ$140,0,MATCH(AJ$2,Inputs!$K$4:$AJ$4,0)))+SUMPRODUCT((Inputs!$E$5:$E$140=$B9)*Inputs!$F$5:$F$140*(((Inputs!$G$5:$G$140="moeda")+(Inputs!$G$5:$G$140="acoes"))*Inputs!$B$1+((Inputs!$G$5:$G$140&lt;&gt;"moeda")*(Inputs!$G$5:$G$140&lt;&gt;"acoes")))*INDEX(Inputs!$K$5:$AJ$140,0,MATCH(AJ$2,Inputs!$K$4:$AJ$4,0)))))</f>
        <v>3</v>
      </c>
      <c r="AK9" s="6">
        <f>IF(ISNA(MATCH(AK$2,Inputs!$K$4:$AJ$4,0)),NA(),IF(SUMPRODUCT((Inputs!$A$5:$A$140=$B9)*ISNUMBER(INDEX(Inputs!$K$5:$AJ$140,0,MATCH(AK$2,Inputs!$K$4:$AJ$4,0))))+SUMPRODUCT((Inputs!$C$5:$C$140=$B9)*ISNUMBER(INDEX(Inputs!$K$5:$AJ$140,0,MATCH(AK$2,Inputs!$K$4:$AJ$4,0))))+SUMPRODUCT((Inputs!$E$5:$E$140=$B9)*ISNUMBER(INDEX(Inputs!$K$5:$AJ$140,0,MATCH(AK$2,Inputs!$K$4:$AJ$4,0))))=0,NA(),SUMPRODUCT((Inputs!$A$5:$A$140=$B9)*Inputs!$B$5:$B$140*(((Inputs!$G$5:$G$140="moeda")+(Inputs!$G$5:$G$140="acoes"))*Inputs!$B$1+((Inputs!$G$5:$G$140&lt;&gt;"moeda")*(Inputs!$G$5:$G$140&lt;&gt;"acoes")))*INDEX(Inputs!$K$5:$AJ$140,0,MATCH(AK$2,Inputs!$K$4:$AJ$4,0)))+SUMPRODUCT((Inputs!$C$5:$C$140=$B9)*Inputs!$D$5:$D$140*(((Inputs!$G$5:$G$140="moeda")+(Inputs!$G$5:$G$140="acoes"))*Inputs!$B$1+((Inputs!$G$5:$G$140&lt;&gt;"moeda")*(Inputs!$G$5:$G$140&lt;&gt;"acoes")))*INDEX(Inputs!$K$5:$AJ$140,0,MATCH(AK$2,Inputs!$K$4:$AJ$4,0)))+SUMPRODUCT((Inputs!$E$5:$E$140=$B9)*Inputs!$F$5:$F$140*(((Inputs!$G$5:$G$140="moeda")+(Inputs!$G$5:$G$140="acoes"))*Inputs!$B$1+((Inputs!$G$5:$G$140&lt;&gt;"moeda")*(Inputs!$G$5:$G$140&lt;&gt;"acoes")))*INDEX(Inputs!$K$5:$AJ$140,0,MATCH(AK$2,Inputs!$K$4:$AJ$4,0)))))</f>
        <v>16</v>
      </c>
      <c r="AL9" s="3">
        <f>SUM(AH9:AK9)</f>
        <v>61</v>
      </c>
    </row>
    <row r="10">
      <c r="B10" s="46" t="n">
        <v>7</v>
      </c>
      <c r="C10" s="26" t="inlineStr">
        <is>
          <t>Taxes</t>
        </is>
      </c>
      <c r="D10" s="6">
        <f>IF(ISNA(MATCH(D$2,Inputs!$K$4:$AJ$4,0)),NA(),IF(SUMPRODUCT((Inputs!$A$5:$A$140=$B10)*ISNUMBER(INDEX(Inputs!$K$5:$AJ$140,0,MATCH(D$2,Inputs!$K$4:$AJ$4,0))))+SUMPRODUCT((Inputs!$C$5:$C$140=$B10)*ISNUMBER(INDEX(Inputs!$K$5:$AJ$140,0,MATCH(D$2,Inputs!$K$4:$AJ$4,0))))+SUMPRODUCT((Inputs!$E$5:$E$140=$B10)*ISNUMBER(INDEX(Inputs!$K$5:$AJ$140,0,MATCH(D$2,Inputs!$K$4:$AJ$4,0))))=0,NA(),SUMPRODUCT((Inputs!$A$5:$A$140=$B10)*Inputs!$B$5:$B$140*(((Inputs!$G$5:$G$140="moeda")+(Inputs!$G$5:$G$140="acoes"))*Inputs!$B$1+((Inputs!$G$5:$G$140&lt;&gt;"moeda")*(Inputs!$G$5:$G$140&lt;&gt;"acoes")))*INDEX(Inputs!$K$5:$AJ$140,0,MATCH(D$2,Inputs!$K$4:$AJ$4,0)))+SUMPRODUCT((Inputs!$C$5:$C$140=$B10)*Inputs!$D$5:$D$140*(((Inputs!$G$5:$G$140="moeda")+(Inputs!$G$5:$G$140="acoes"))*Inputs!$B$1+((Inputs!$G$5:$G$140&lt;&gt;"moeda")*(Inputs!$G$5:$G$140&lt;&gt;"acoes")))*INDEX(Inputs!$K$5:$AJ$140,0,MATCH(D$2,Inputs!$K$4:$AJ$4,0)))+SUMPRODUCT((Inputs!$E$5:$E$140=$B10)*Inputs!$F$5:$F$140*(((Inputs!$G$5:$G$140="moeda")+(Inputs!$G$5:$G$140="acoes"))*Inputs!$B$1+((Inputs!$G$5:$G$140&lt;&gt;"moeda")*(Inputs!$G$5:$G$140&lt;&gt;"acoes")))*INDEX(Inputs!$K$5:$AJ$140,0,MATCH(D$2,Inputs!$K$4:$AJ$4,0)))))</f>
        <v>-132</v>
      </c>
      <c r="E10" s="6">
        <f>IF(ISNA(MATCH(E$2,Inputs!$K$4:$AJ$4,0)),NA(),IF(SUMPRODUCT((Inputs!$A$5:$A$140=$B10)*ISNUMBER(INDEX(Inputs!$K$5:$AJ$140,0,MATCH(E$2,Inputs!$K$4:$AJ$4,0))))+SUMPRODUCT((Inputs!$C$5:$C$140=$B10)*ISNUMBER(INDEX(Inputs!$K$5:$AJ$140,0,MATCH(E$2,Inputs!$K$4:$AJ$4,0))))+SUMPRODUCT((Inputs!$E$5:$E$140=$B10)*ISNUMBER(INDEX(Inputs!$K$5:$AJ$140,0,MATCH(E$2,Inputs!$K$4:$AJ$4,0))))=0,NA(),SUMPRODUCT((Inputs!$A$5:$A$140=$B10)*Inputs!$B$5:$B$140*(((Inputs!$G$5:$G$140="moeda")+(Inputs!$G$5:$G$140="acoes"))*Inputs!$B$1+((Inputs!$G$5:$G$140&lt;&gt;"moeda")*(Inputs!$G$5:$G$140&lt;&gt;"acoes")))*INDEX(Inputs!$K$5:$AJ$140,0,MATCH(E$2,Inputs!$K$4:$AJ$4,0)))+SUMPRODUCT((Inputs!$C$5:$C$140=$B10)*Inputs!$D$5:$D$140*(((Inputs!$G$5:$G$140="moeda")+(Inputs!$G$5:$G$140="acoes"))*Inputs!$B$1+((Inputs!$G$5:$G$140&lt;&gt;"moeda")*(Inputs!$G$5:$G$140&lt;&gt;"acoes")))*INDEX(Inputs!$K$5:$AJ$140,0,MATCH(E$2,Inputs!$K$4:$AJ$4,0)))+SUMPRODUCT((Inputs!$E$5:$E$140=$B10)*Inputs!$F$5:$F$140*(((Inputs!$G$5:$G$140="moeda")+(Inputs!$G$5:$G$140="acoes"))*Inputs!$B$1+((Inputs!$G$5:$G$140&lt;&gt;"moeda")*(Inputs!$G$5:$G$140&lt;&gt;"acoes")))*INDEX(Inputs!$K$5:$AJ$140,0,MATCH(E$2,Inputs!$K$4:$AJ$4,0)))))</f>
        <v>-20</v>
      </c>
      <c r="F10" s="6">
        <f>IF(ISNA(MATCH(F$2,Inputs!$K$4:$AJ$4,0)),NA(),IF(SUMPRODUCT((Inputs!$A$5:$A$140=$B10)*ISNUMBER(INDEX(Inputs!$K$5:$AJ$140,0,MATCH(F$2,Inputs!$K$4:$AJ$4,0))))+SUMPRODUCT((Inputs!$C$5:$C$140=$B10)*ISNUMBER(INDEX(Inputs!$K$5:$AJ$140,0,MATCH(F$2,Inputs!$K$4:$AJ$4,0))))+SUMPRODUCT((Inputs!$E$5:$E$140=$B10)*ISNUMBER(INDEX(Inputs!$K$5:$AJ$140,0,MATCH(F$2,Inputs!$K$4:$AJ$4,0))))=0,NA(),SUMPRODUCT((Inputs!$A$5:$A$140=$B10)*Inputs!$B$5:$B$140*(((Inputs!$G$5:$G$140="moeda")+(Inputs!$G$5:$G$140="acoes"))*Inputs!$B$1+((Inputs!$G$5:$G$140&lt;&gt;"moeda")*(Inputs!$G$5:$G$140&lt;&gt;"acoes")))*INDEX(Inputs!$K$5:$AJ$140,0,MATCH(F$2,Inputs!$K$4:$AJ$4,0)))+SUMPRODUCT((Inputs!$C$5:$C$140=$B10)*Inputs!$D$5:$D$140*(((Inputs!$G$5:$G$140="moeda")+(Inputs!$G$5:$G$140="acoes"))*Inputs!$B$1+((Inputs!$G$5:$G$140&lt;&gt;"moeda")*(Inputs!$G$5:$G$140&lt;&gt;"acoes")))*INDEX(Inputs!$K$5:$AJ$140,0,MATCH(F$2,Inputs!$K$4:$AJ$4,0)))+SUMPRODUCT((Inputs!$E$5:$E$140=$B10)*Inputs!$F$5:$F$140*(((Inputs!$G$5:$G$140="moeda")+(Inputs!$G$5:$G$140="acoes"))*Inputs!$B$1+((Inputs!$G$5:$G$140&lt;&gt;"moeda")*(Inputs!$G$5:$G$140&lt;&gt;"acoes")))*INDEX(Inputs!$K$5:$AJ$140,0,MATCH(F$2,Inputs!$K$4:$AJ$4,0)))))</f>
        <v>-174</v>
      </c>
      <c r="G10" s="6">
        <f>IF(ISNA(MATCH(G$2,Inputs!$K$4:$AJ$4,0)),NA(),IF(SUMPRODUCT((Inputs!$A$5:$A$140=$B10)*ISNUMBER(INDEX(Inputs!$K$5:$AJ$140,0,MATCH(G$2,Inputs!$K$4:$AJ$4,0))))+SUMPRODUCT((Inputs!$C$5:$C$140=$B10)*ISNUMBER(INDEX(Inputs!$K$5:$AJ$140,0,MATCH(G$2,Inputs!$K$4:$AJ$4,0))))+SUMPRODUCT((Inputs!$E$5:$E$140=$B10)*ISNUMBER(INDEX(Inputs!$K$5:$AJ$140,0,MATCH(G$2,Inputs!$K$4:$AJ$4,0))))=0,NA(),SUMPRODUCT((Inputs!$A$5:$A$140=$B10)*Inputs!$B$5:$B$140*(((Inputs!$G$5:$G$140="moeda")+(Inputs!$G$5:$G$140="acoes"))*Inputs!$B$1+((Inputs!$G$5:$G$140&lt;&gt;"moeda")*(Inputs!$G$5:$G$140&lt;&gt;"acoes")))*INDEX(Inputs!$K$5:$AJ$140,0,MATCH(G$2,Inputs!$K$4:$AJ$4,0)))+SUMPRODUCT((Inputs!$C$5:$C$140=$B10)*Inputs!$D$5:$D$140*(((Inputs!$G$5:$G$140="moeda")+(Inputs!$G$5:$G$140="acoes"))*Inputs!$B$1+((Inputs!$G$5:$G$140&lt;&gt;"moeda")*(Inputs!$G$5:$G$140&lt;&gt;"acoes")))*INDEX(Inputs!$K$5:$AJ$140,0,MATCH(G$2,Inputs!$K$4:$AJ$4,0)))+SUMPRODUCT((Inputs!$E$5:$E$140=$B10)*Inputs!$F$5:$F$140*(((Inputs!$G$5:$G$140="moeda")+(Inputs!$G$5:$G$140="acoes"))*Inputs!$B$1+((Inputs!$G$5:$G$140&lt;&gt;"moeda")*(Inputs!$G$5:$G$140&lt;&gt;"acoes")))*INDEX(Inputs!$K$5:$AJ$140,0,MATCH(G$2,Inputs!$K$4:$AJ$4,0)))))</f>
        <v>138</v>
      </c>
      <c r="H10" s="3">
        <f>SUM(D10:G10)</f>
        <v>-188</v>
      </c>
      <c r="I10" s="6">
        <f>IF(ISNA(MATCH(I$2,Inputs!$K$4:$AJ$4,0)),NA(),IF(SUMPRODUCT((Inputs!$A$5:$A$140=$B10)*ISNUMBER(INDEX(Inputs!$K$5:$AJ$140,0,MATCH(I$2,Inputs!$K$4:$AJ$4,0))))+SUMPRODUCT((Inputs!$C$5:$C$140=$B10)*ISNUMBER(INDEX(Inputs!$K$5:$AJ$140,0,MATCH(I$2,Inputs!$K$4:$AJ$4,0))))+SUMPRODUCT((Inputs!$E$5:$E$140=$B10)*ISNUMBER(INDEX(Inputs!$K$5:$AJ$140,0,MATCH(I$2,Inputs!$K$4:$AJ$4,0))))=0,NA(),SUMPRODUCT((Inputs!$A$5:$A$140=$B10)*Inputs!$B$5:$B$140*(((Inputs!$G$5:$G$140="moeda")+(Inputs!$G$5:$G$140="acoes"))*Inputs!$B$1+((Inputs!$G$5:$G$140&lt;&gt;"moeda")*(Inputs!$G$5:$G$140&lt;&gt;"acoes")))*INDEX(Inputs!$K$5:$AJ$140,0,MATCH(I$2,Inputs!$K$4:$AJ$4,0)))+SUMPRODUCT((Inputs!$C$5:$C$140=$B10)*Inputs!$D$5:$D$140*(((Inputs!$G$5:$G$140="moeda")+(Inputs!$G$5:$G$140="acoes"))*Inputs!$B$1+((Inputs!$G$5:$G$140&lt;&gt;"moeda")*(Inputs!$G$5:$G$140&lt;&gt;"acoes")))*INDEX(Inputs!$K$5:$AJ$140,0,MATCH(I$2,Inputs!$K$4:$AJ$4,0)))+SUMPRODUCT((Inputs!$E$5:$E$140=$B10)*Inputs!$F$5:$F$140*(((Inputs!$G$5:$G$140="moeda")+(Inputs!$G$5:$G$140="acoes"))*Inputs!$B$1+((Inputs!$G$5:$G$140&lt;&gt;"moeda")*(Inputs!$G$5:$G$140&lt;&gt;"acoes")))*INDEX(Inputs!$K$5:$AJ$140,0,MATCH(I$2,Inputs!$K$4:$AJ$4,0)))))</f>
        <v>-187</v>
      </c>
      <c r="J10" s="6">
        <f>IF(ISNA(MATCH(J$2,Inputs!$K$4:$AJ$4,0)),NA(),IF(SUMPRODUCT((Inputs!$A$5:$A$140=$B10)*ISNUMBER(INDEX(Inputs!$K$5:$AJ$140,0,MATCH(J$2,Inputs!$K$4:$AJ$4,0))))+SUMPRODUCT((Inputs!$C$5:$C$140=$B10)*ISNUMBER(INDEX(Inputs!$K$5:$AJ$140,0,MATCH(J$2,Inputs!$K$4:$AJ$4,0))))+SUMPRODUCT((Inputs!$E$5:$E$140=$B10)*ISNUMBER(INDEX(Inputs!$K$5:$AJ$140,0,MATCH(J$2,Inputs!$K$4:$AJ$4,0))))=0,NA(),SUMPRODUCT((Inputs!$A$5:$A$140=$B10)*Inputs!$B$5:$B$140*(((Inputs!$G$5:$G$140="moeda")+(Inputs!$G$5:$G$140="acoes"))*Inputs!$B$1+((Inputs!$G$5:$G$140&lt;&gt;"moeda")*(Inputs!$G$5:$G$140&lt;&gt;"acoes")))*INDEX(Inputs!$K$5:$AJ$140,0,MATCH(J$2,Inputs!$K$4:$AJ$4,0)))+SUMPRODUCT((Inputs!$C$5:$C$140=$B10)*Inputs!$D$5:$D$140*(((Inputs!$G$5:$G$140="moeda")+(Inputs!$G$5:$G$140="acoes"))*Inputs!$B$1+((Inputs!$G$5:$G$140&lt;&gt;"moeda")*(Inputs!$G$5:$G$140&lt;&gt;"acoes")))*INDEX(Inputs!$K$5:$AJ$140,0,MATCH(J$2,Inputs!$K$4:$AJ$4,0)))+SUMPRODUCT((Inputs!$E$5:$E$140=$B10)*Inputs!$F$5:$F$140*(((Inputs!$G$5:$G$140="moeda")+(Inputs!$G$5:$G$140="acoes"))*Inputs!$B$1+((Inputs!$G$5:$G$140&lt;&gt;"moeda")*(Inputs!$G$5:$G$140&lt;&gt;"acoes")))*INDEX(Inputs!$K$5:$AJ$140,0,MATCH(J$2,Inputs!$K$4:$AJ$4,0)))))</f>
        <v>181</v>
      </c>
      <c r="K10" s="6">
        <f>IF(ISNA(MATCH(K$2,Inputs!$K$4:$AJ$4,0)),NA(),IF(SUMPRODUCT((Inputs!$A$5:$A$140=$B10)*ISNUMBER(INDEX(Inputs!$K$5:$AJ$140,0,MATCH(K$2,Inputs!$K$4:$AJ$4,0))))+SUMPRODUCT((Inputs!$C$5:$C$140=$B10)*ISNUMBER(INDEX(Inputs!$K$5:$AJ$140,0,MATCH(K$2,Inputs!$K$4:$AJ$4,0))))+SUMPRODUCT((Inputs!$E$5:$E$140=$B10)*ISNUMBER(INDEX(Inputs!$K$5:$AJ$140,0,MATCH(K$2,Inputs!$K$4:$AJ$4,0))))=0,NA(),SUMPRODUCT((Inputs!$A$5:$A$140=$B10)*Inputs!$B$5:$B$140*(((Inputs!$G$5:$G$140="moeda")+(Inputs!$G$5:$G$140="acoes"))*Inputs!$B$1+((Inputs!$G$5:$G$140&lt;&gt;"moeda")*(Inputs!$G$5:$G$140&lt;&gt;"acoes")))*INDEX(Inputs!$K$5:$AJ$140,0,MATCH(K$2,Inputs!$K$4:$AJ$4,0)))+SUMPRODUCT((Inputs!$C$5:$C$140=$B10)*Inputs!$D$5:$D$140*(((Inputs!$G$5:$G$140="moeda")+(Inputs!$G$5:$G$140="acoes"))*Inputs!$B$1+((Inputs!$G$5:$G$140&lt;&gt;"moeda")*(Inputs!$G$5:$G$140&lt;&gt;"acoes")))*INDEX(Inputs!$K$5:$AJ$140,0,MATCH(K$2,Inputs!$K$4:$AJ$4,0)))+SUMPRODUCT((Inputs!$E$5:$E$140=$B10)*Inputs!$F$5:$F$140*(((Inputs!$G$5:$G$140="moeda")+(Inputs!$G$5:$G$140="acoes"))*Inputs!$B$1+((Inputs!$G$5:$G$140&lt;&gt;"moeda")*(Inputs!$G$5:$G$140&lt;&gt;"acoes")))*INDEX(Inputs!$K$5:$AJ$140,0,MATCH(K$2,Inputs!$K$4:$AJ$4,0)))))</f>
        <v>67</v>
      </c>
      <c r="L10" s="6">
        <f>IF(ISNA(MATCH(L$2,Inputs!$K$4:$AJ$4,0)),NA(),IF(SUMPRODUCT((Inputs!$A$5:$A$140=$B10)*ISNUMBER(INDEX(Inputs!$K$5:$AJ$140,0,MATCH(L$2,Inputs!$K$4:$AJ$4,0))))+SUMPRODUCT((Inputs!$C$5:$C$140=$B10)*ISNUMBER(INDEX(Inputs!$K$5:$AJ$140,0,MATCH(L$2,Inputs!$K$4:$AJ$4,0))))+SUMPRODUCT((Inputs!$E$5:$E$140=$B10)*ISNUMBER(INDEX(Inputs!$K$5:$AJ$140,0,MATCH(L$2,Inputs!$K$4:$AJ$4,0))))=0,NA(),SUMPRODUCT((Inputs!$A$5:$A$140=$B10)*Inputs!$B$5:$B$140*(((Inputs!$G$5:$G$140="moeda")+(Inputs!$G$5:$G$140="acoes"))*Inputs!$B$1+((Inputs!$G$5:$G$140&lt;&gt;"moeda")*(Inputs!$G$5:$G$140&lt;&gt;"acoes")))*INDEX(Inputs!$K$5:$AJ$140,0,MATCH(L$2,Inputs!$K$4:$AJ$4,0)))+SUMPRODUCT((Inputs!$C$5:$C$140=$B10)*Inputs!$D$5:$D$140*(((Inputs!$G$5:$G$140="moeda")+(Inputs!$G$5:$G$140="acoes"))*Inputs!$B$1+((Inputs!$G$5:$G$140&lt;&gt;"moeda")*(Inputs!$G$5:$G$140&lt;&gt;"acoes")))*INDEX(Inputs!$K$5:$AJ$140,0,MATCH(L$2,Inputs!$K$4:$AJ$4,0)))+SUMPRODUCT((Inputs!$E$5:$E$140=$B10)*Inputs!$F$5:$F$140*(((Inputs!$G$5:$G$140="moeda")+(Inputs!$G$5:$G$140="acoes"))*Inputs!$B$1+((Inputs!$G$5:$G$140&lt;&gt;"moeda")*(Inputs!$G$5:$G$140&lt;&gt;"acoes")))*INDEX(Inputs!$K$5:$AJ$140,0,MATCH(L$2,Inputs!$K$4:$AJ$4,0)))))</f>
        <v>126</v>
      </c>
      <c r="M10" s="3">
        <f>SUM(I10:L10)</f>
        <v>187</v>
      </c>
      <c r="N10" s="6">
        <f>IF(ISNA(MATCH(N$2,Inputs!$K$4:$AJ$4,0)),NA(),IF(SUMPRODUCT((Inputs!$A$5:$A$140=$B10)*ISNUMBER(INDEX(Inputs!$K$5:$AJ$140,0,MATCH(N$2,Inputs!$K$4:$AJ$4,0))))+SUMPRODUCT((Inputs!$C$5:$C$140=$B10)*ISNUMBER(INDEX(Inputs!$K$5:$AJ$140,0,MATCH(N$2,Inputs!$K$4:$AJ$4,0))))+SUMPRODUCT((Inputs!$E$5:$E$140=$B10)*ISNUMBER(INDEX(Inputs!$K$5:$AJ$140,0,MATCH(N$2,Inputs!$K$4:$AJ$4,0))))=0,NA(),SUMPRODUCT((Inputs!$A$5:$A$140=$B10)*Inputs!$B$5:$B$140*(((Inputs!$G$5:$G$140="moeda")+(Inputs!$G$5:$G$140="acoes"))*Inputs!$B$1+((Inputs!$G$5:$G$140&lt;&gt;"moeda")*(Inputs!$G$5:$G$140&lt;&gt;"acoes")))*INDEX(Inputs!$K$5:$AJ$140,0,MATCH(N$2,Inputs!$K$4:$AJ$4,0)))+SUMPRODUCT((Inputs!$C$5:$C$140=$B10)*Inputs!$D$5:$D$140*(((Inputs!$G$5:$G$140="moeda")+(Inputs!$G$5:$G$140="acoes"))*Inputs!$B$1+((Inputs!$G$5:$G$140&lt;&gt;"moeda")*(Inputs!$G$5:$G$140&lt;&gt;"acoes")))*INDEX(Inputs!$K$5:$AJ$140,0,MATCH(N$2,Inputs!$K$4:$AJ$4,0)))+SUMPRODUCT((Inputs!$E$5:$E$140=$B10)*Inputs!$F$5:$F$140*(((Inputs!$G$5:$G$140="moeda")+(Inputs!$G$5:$G$140="acoes"))*Inputs!$B$1+((Inputs!$G$5:$G$140&lt;&gt;"moeda")*(Inputs!$G$5:$G$140&lt;&gt;"acoes")))*INDEX(Inputs!$K$5:$AJ$140,0,MATCH(N$2,Inputs!$K$4:$AJ$4,0)))))</f>
        <v>-166</v>
      </c>
      <c r="O10" s="6">
        <f>IF(ISNA(MATCH(O$2,Inputs!$K$4:$AJ$4,0)),NA(),IF(SUMPRODUCT((Inputs!$A$5:$A$140=$B10)*ISNUMBER(INDEX(Inputs!$K$5:$AJ$140,0,MATCH(O$2,Inputs!$K$4:$AJ$4,0))))+SUMPRODUCT((Inputs!$C$5:$C$140=$B10)*ISNUMBER(INDEX(Inputs!$K$5:$AJ$140,0,MATCH(O$2,Inputs!$K$4:$AJ$4,0))))+SUMPRODUCT((Inputs!$E$5:$E$140=$B10)*ISNUMBER(INDEX(Inputs!$K$5:$AJ$140,0,MATCH(O$2,Inputs!$K$4:$AJ$4,0))))=0,NA(),SUMPRODUCT((Inputs!$A$5:$A$140=$B10)*Inputs!$B$5:$B$140*(((Inputs!$G$5:$G$140="moeda")+(Inputs!$G$5:$G$140="acoes"))*Inputs!$B$1+((Inputs!$G$5:$G$140&lt;&gt;"moeda")*(Inputs!$G$5:$G$140&lt;&gt;"acoes")))*INDEX(Inputs!$K$5:$AJ$140,0,MATCH(O$2,Inputs!$K$4:$AJ$4,0)))+SUMPRODUCT((Inputs!$C$5:$C$140=$B10)*Inputs!$D$5:$D$140*(((Inputs!$G$5:$G$140="moeda")+(Inputs!$G$5:$G$140="acoes"))*Inputs!$B$1+((Inputs!$G$5:$G$140&lt;&gt;"moeda")*(Inputs!$G$5:$G$140&lt;&gt;"acoes")))*INDEX(Inputs!$K$5:$AJ$140,0,MATCH(O$2,Inputs!$K$4:$AJ$4,0)))+SUMPRODUCT((Inputs!$E$5:$E$140=$B10)*Inputs!$F$5:$F$140*(((Inputs!$G$5:$G$140="moeda")+(Inputs!$G$5:$G$140="acoes"))*Inputs!$B$1+((Inputs!$G$5:$G$140&lt;&gt;"moeda")*(Inputs!$G$5:$G$140&lt;&gt;"acoes")))*INDEX(Inputs!$K$5:$AJ$140,0,MATCH(O$2,Inputs!$K$4:$AJ$4,0)))))</f>
        <v>-793</v>
      </c>
      <c r="P10" s="6">
        <f>IF(ISNA(MATCH(P$2,Inputs!$K$4:$AJ$4,0)),NA(),IF(SUMPRODUCT((Inputs!$A$5:$A$140=$B10)*ISNUMBER(INDEX(Inputs!$K$5:$AJ$140,0,MATCH(P$2,Inputs!$K$4:$AJ$4,0))))+SUMPRODUCT((Inputs!$C$5:$C$140=$B10)*ISNUMBER(INDEX(Inputs!$K$5:$AJ$140,0,MATCH(P$2,Inputs!$K$4:$AJ$4,0))))+SUMPRODUCT((Inputs!$E$5:$E$140=$B10)*ISNUMBER(INDEX(Inputs!$K$5:$AJ$140,0,MATCH(P$2,Inputs!$K$4:$AJ$4,0))))=0,NA(),SUMPRODUCT((Inputs!$A$5:$A$140=$B10)*Inputs!$B$5:$B$140*(((Inputs!$G$5:$G$140="moeda")+(Inputs!$G$5:$G$140="acoes"))*Inputs!$B$1+((Inputs!$G$5:$G$140&lt;&gt;"moeda")*(Inputs!$G$5:$G$140&lt;&gt;"acoes")))*INDEX(Inputs!$K$5:$AJ$140,0,MATCH(P$2,Inputs!$K$4:$AJ$4,0)))+SUMPRODUCT((Inputs!$C$5:$C$140=$B10)*Inputs!$D$5:$D$140*(((Inputs!$G$5:$G$140="moeda")+(Inputs!$G$5:$G$140="acoes"))*Inputs!$B$1+((Inputs!$G$5:$G$140&lt;&gt;"moeda")*(Inputs!$G$5:$G$140&lt;&gt;"acoes")))*INDEX(Inputs!$K$5:$AJ$140,0,MATCH(P$2,Inputs!$K$4:$AJ$4,0)))+SUMPRODUCT((Inputs!$E$5:$E$140=$B10)*Inputs!$F$5:$F$140*(((Inputs!$G$5:$G$140="moeda")+(Inputs!$G$5:$G$140="acoes"))*Inputs!$B$1+((Inputs!$G$5:$G$140&lt;&gt;"moeda")*(Inputs!$G$5:$G$140&lt;&gt;"acoes")))*INDEX(Inputs!$K$5:$AJ$140,0,MATCH(P$2,Inputs!$K$4:$AJ$4,0)))))</f>
        <v>-1279</v>
      </c>
      <c r="Q10" s="6">
        <f>IF(ISNA(MATCH(Q$2,Inputs!$K$4:$AJ$4,0)),NA(),IF(SUMPRODUCT((Inputs!$A$5:$A$140=$B10)*ISNUMBER(INDEX(Inputs!$K$5:$AJ$140,0,MATCH(Q$2,Inputs!$K$4:$AJ$4,0))))+SUMPRODUCT((Inputs!$C$5:$C$140=$B10)*ISNUMBER(INDEX(Inputs!$K$5:$AJ$140,0,MATCH(Q$2,Inputs!$K$4:$AJ$4,0))))+SUMPRODUCT((Inputs!$E$5:$E$140=$B10)*ISNUMBER(INDEX(Inputs!$K$5:$AJ$140,0,MATCH(Q$2,Inputs!$K$4:$AJ$4,0))))=0,NA(),SUMPRODUCT((Inputs!$A$5:$A$140=$B10)*Inputs!$B$5:$B$140*(((Inputs!$G$5:$G$140="moeda")+(Inputs!$G$5:$G$140="acoes"))*Inputs!$B$1+((Inputs!$G$5:$G$140&lt;&gt;"moeda")*(Inputs!$G$5:$G$140&lt;&gt;"acoes")))*INDEX(Inputs!$K$5:$AJ$140,0,MATCH(Q$2,Inputs!$K$4:$AJ$4,0)))+SUMPRODUCT((Inputs!$C$5:$C$140=$B10)*Inputs!$D$5:$D$140*(((Inputs!$G$5:$G$140="moeda")+(Inputs!$G$5:$G$140="acoes"))*Inputs!$B$1+((Inputs!$G$5:$G$140&lt;&gt;"moeda")*(Inputs!$G$5:$G$140&lt;&gt;"acoes")))*INDEX(Inputs!$K$5:$AJ$140,0,MATCH(Q$2,Inputs!$K$4:$AJ$4,0)))+SUMPRODUCT((Inputs!$E$5:$E$140=$B10)*Inputs!$F$5:$F$140*(((Inputs!$G$5:$G$140="moeda")+(Inputs!$G$5:$G$140="acoes"))*Inputs!$B$1+((Inputs!$G$5:$G$140&lt;&gt;"moeda")*(Inputs!$G$5:$G$140&lt;&gt;"acoes")))*INDEX(Inputs!$K$5:$AJ$140,0,MATCH(Q$2,Inputs!$K$4:$AJ$4,0)))))</f>
        <v>-1821</v>
      </c>
      <c r="R10" s="3">
        <f>SUM(N10:Q10)</f>
        <v>-4059</v>
      </c>
      <c r="S10" s="6">
        <f>IF(ISNA(MATCH(S$2,Inputs!$K$4:$AJ$4,0)),NA(),IF(SUMPRODUCT((Inputs!$A$5:$A$140=$B10)*ISNUMBER(INDEX(Inputs!$K$5:$AJ$140,0,MATCH(S$2,Inputs!$K$4:$AJ$4,0))))+SUMPRODUCT((Inputs!$C$5:$C$140=$B10)*ISNUMBER(INDEX(Inputs!$K$5:$AJ$140,0,MATCH(S$2,Inputs!$K$4:$AJ$4,0))))+SUMPRODUCT((Inputs!$E$5:$E$140=$B10)*ISNUMBER(INDEX(Inputs!$K$5:$AJ$140,0,MATCH(S$2,Inputs!$K$4:$AJ$4,0))))=0,NA(),SUMPRODUCT((Inputs!$A$5:$A$140=$B10)*Inputs!$B$5:$B$140*(((Inputs!$G$5:$G$140="moeda")+(Inputs!$G$5:$G$140="acoes"))*Inputs!$B$1+((Inputs!$G$5:$G$140&lt;&gt;"moeda")*(Inputs!$G$5:$G$140&lt;&gt;"acoes")))*INDEX(Inputs!$K$5:$AJ$140,0,MATCH(S$2,Inputs!$K$4:$AJ$4,0)))+SUMPRODUCT((Inputs!$C$5:$C$140=$B10)*Inputs!$D$5:$D$140*(((Inputs!$G$5:$G$140="moeda")+(Inputs!$G$5:$G$140="acoes"))*Inputs!$B$1+((Inputs!$G$5:$G$140&lt;&gt;"moeda")*(Inputs!$G$5:$G$140&lt;&gt;"acoes")))*INDEX(Inputs!$K$5:$AJ$140,0,MATCH(S$2,Inputs!$K$4:$AJ$4,0)))+SUMPRODUCT((Inputs!$E$5:$E$140=$B10)*Inputs!$F$5:$F$140*(((Inputs!$G$5:$G$140="moeda")+(Inputs!$G$5:$G$140="acoes"))*Inputs!$B$1+((Inputs!$G$5:$G$140&lt;&gt;"moeda")*(Inputs!$G$5:$G$140&lt;&gt;"acoes")))*INDEX(Inputs!$K$5:$AJ$140,0,MATCH(S$2,Inputs!$K$4:$AJ$4,0)))))</f>
        <v>-2398</v>
      </c>
      <c r="T10" s="6">
        <f>IF(ISNA(MATCH(T$2,Inputs!$K$4:$AJ$4,0)),NA(),IF(SUMPRODUCT((Inputs!$A$5:$A$140=$B10)*ISNUMBER(INDEX(Inputs!$K$5:$AJ$140,0,MATCH(T$2,Inputs!$K$4:$AJ$4,0))))+SUMPRODUCT((Inputs!$C$5:$C$140=$B10)*ISNUMBER(INDEX(Inputs!$K$5:$AJ$140,0,MATCH(T$2,Inputs!$K$4:$AJ$4,0))))+SUMPRODUCT((Inputs!$E$5:$E$140=$B10)*ISNUMBER(INDEX(Inputs!$K$5:$AJ$140,0,MATCH(T$2,Inputs!$K$4:$AJ$4,0))))=0,NA(),SUMPRODUCT((Inputs!$A$5:$A$140=$B10)*Inputs!$B$5:$B$140*(((Inputs!$G$5:$G$140="moeda")+(Inputs!$G$5:$G$140="acoes"))*Inputs!$B$1+((Inputs!$G$5:$G$140&lt;&gt;"moeda")*(Inputs!$G$5:$G$140&lt;&gt;"acoes")))*INDEX(Inputs!$K$5:$AJ$140,0,MATCH(T$2,Inputs!$K$4:$AJ$4,0)))+SUMPRODUCT((Inputs!$C$5:$C$140=$B10)*Inputs!$D$5:$D$140*(((Inputs!$G$5:$G$140="moeda")+(Inputs!$G$5:$G$140="acoes"))*Inputs!$B$1+((Inputs!$G$5:$G$140&lt;&gt;"moeda")*(Inputs!$G$5:$G$140&lt;&gt;"acoes")))*INDEX(Inputs!$K$5:$AJ$140,0,MATCH(T$2,Inputs!$K$4:$AJ$4,0)))+SUMPRODUCT((Inputs!$E$5:$E$140=$B10)*Inputs!$F$5:$F$140*(((Inputs!$G$5:$G$140="moeda")+(Inputs!$G$5:$G$140="acoes"))*Inputs!$B$1+((Inputs!$G$5:$G$140&lt;&gt;"moeda")*(Inputs!$G$5:$G$140&lt;&gt;"acoes")))*INDEX(Inputs!$K$5:$AJ$140,0,MATCH(T$2,Inputs!$K$4:$AJ$4,0)))))</f>
        <v>-2615</v>
      </c>
      <c r="U10" s="6">
        <f>IF(ISNA(MATCH(U$2,Inputs!$K$4:$AJ$4,0)),NA(),IF(SUMPRODUCT((Inputs!$A$5:$A$140=$B10)*ISNUMBER(INDEX(Inputs!$K$5:$AJ$140,0,MATCH(U$2,Inputs!$K$4:$AJ$4,0))))+SUMPRODUCT((Inputs!$C$5:$C$140=$B10)*ISNUMBER(INDEX(Inputs!$K$5:$AJ$140,0,MATCH(U$2,Inputs!$K$4:$AJ$4,0))))+SUMPRODUCT((Inputs!$E$5:$E$140=$B10)*ISNUMBER(INDEX(Inputs!$K$5:$AJ$140,0,MATCH(U$2,Inputs!$K$4:$AJ$4,0))))=0,NA(),SUMPRODUCT((Inputs!$A$5:$A$140=$B10)*Inputs!$B$5:$B$140*(((Inputs!$G$5:$G$140="moeda")+(Inputs!$G$5:$G$140="acoes"))*Inputs!$B$1+((Inputs!$G$5:$G$140&lt;&gt;"moeda")*(Inputs!$G$5:$G$140&lt;&gt;"acoes")))*INDEX(Inputs!$K$5:$AJ$140,0,MATCH(U$2,Inputs!$K$4:$AJ$4,0)))+SUMPRODUCT((Inputs!$C$5:$C$140=$B10)*Inputs!$D$5:$D$140*(((Inputs!$G$5:$G$140="moeda")+(Inputs!$G$5:$G$140="acoes"))*Inputs!$B$1+((Inputs!$G$5:$G$140&lt;&gt;"moeda")*(Inputs!$G$5:$G$140&lt;&gt;"acoes")))*INDEX(Inputs!$K$5:$AJ$140,0,MATCH(U$2,Inputs!$K$4:$AJ$4,0)))+SUMPRODUCT((Inputs!$E$5:$E$140=$B10)*Inputs!$F$5:$F$140*(((Inputs!$G$5:$G$140="moeda")+(Inputs!$G$5:$G$140="acoes"))*Inputs!$B$1+((Inputs!$G$5:$G$140&lt;&gt;"moeda")*(Inputs!$G$5:$G$140&lt;&gt;"acoes")))*INDEX(Inputs!$K$5:$AJ$140,0,MATCH(U$2,Inputs!$K$4:$AJ$4,0)))))</f>
        <v>-3007</v>
      </c>
      <c r="V10" s="6">
        <f>IF(ISNA(MATCH(V$2,Inputs!$K$4:$AJ$4,0)),NA(),IF(SUMPRODUCT((Inputs!$A$5:$A$140=$B10)*ISNUMBER(INDEX(Inputs!$K$5:$AJ$140,0,MATCH(V$2,Inputs!$K$4:$AJ$4,0))))+SUMPRODUCT((Inputs!$C$5:$C$140=$B10)*ISNUMBER(INDEX(Inputs!$K$5:$AJ$140,0,MATCH(V$2,Inputs!$K$4:$AJ$4,0))))+SUMPRODUCT((Inputs!$E$5:$E$140=$B10)*ISNUMBER(INDEX(Inputs!$K$5:$AJ$140,0,MATCH(V$2,Inputs!$K$4:$AJ$4,0))))=0,NA(),SUMPRODUCT((Inputs!$A$5:$A$140=$B10)*Inputs!$B$5:$B$140*(((Inputs!$G$5:$G$140="moeda")+(Inputs!$G$5:$G$140="acoes"))*Inputs!$B$1+((Inputs!$G$5:$G$140&lt;&gt;"moeda")*(Inputs!$G$5:$G$140&lt;&gt;"acoes")))*INDEX(Inputs!$K$5:$AJ$140,0,MATCH(V$2,Inputs!$K$4:$AJ$4,0)))+SUMPRODUCT((Inputs!$C$5:$C$140=$B10)*Inputs!$D$5:$D$140*(((Inputs!$G$5:$G$140="moeda")+(Inputs!$G$5:$G$140="acoes"))*Inputs!$B$1+((Inputs!$G$5:$G$140&lt;&gt;"moeda")*(Inputs!$G$5:$G$140&lt;&gt;"acoes")))*INDEX(Inputs!$K$5:$AJ$140,0,MATCH(V$2,Inputs!$K$4:$AJ$4,0)))+SUMPRODUCT((Inputs!$E$5:$E$140=$B10)*Inputs!$F$5:$F$140*(((Inputs!$G$5:$G$140="moeda")+(Inputs!$G$5:$G$140="acoes"))*Inputs!$B$1+((Inputs!$G$5:$G$140&lt;&gt;"moeda")*(Inputs!$G$5:$G$140&lt;&gt;"acoes")))*INDEX(Inputs!$K$5:$AJ$140,0,MATCH(V$2,Inputs!$K$4:$AJ$4,0)))))</f>
        <v>-3126</v>
      </c>
      <c r="W10" s="3">
        <f>SUM(S10:V10)</f>
        <v>-11146</v>
      </c>
      <c r="X10" s="6">
        <f>IF(ISNA(MATCH(X$2,Inputs!$K$4:$AJ$4,0)),NA(),IF(SUMPRODUCT((Inputs!$A$5:$A$140=$B10)*ISNUMBER(INDEX(Inputs!$K$5:$AJ$140,0,MATCH(X$2,Inputs!$K$4:$AJ$4,0))))+SUMPRODUCT((Inputs!$C$5:$C$140=$B10)*ISNUMBER(INDEX(Inputs!$K$5:$AJ$140,0,MATCH(X$2,Inputs!$K$4:$AJ$4,0))))+SUMPRODUCT((Inputs!$E$5:$E$140=$B10)*ISNUMBER(INDEX(Inputs!$K$5:$AJ$140,0,MATCH(X$2,Inputs!$K$4:$AJ$4,0))))=0,NA(),SUMPRODUCT((Inputs!$A$5:$A$140=$B10)*Inputs!$B$5:$B$140*(((Inputs!$G$5:$G$140="moeda")+(Inputs!$G$5:$G$140="acoes"))*Inputs!$B$1+((Inputs!$G$5:$G$140&lt;&gt;"moeda")*(Inputs!$G$5:$G$140&lt;&gt;"acoes")))*INDEX(Inputs!$K$5:$AJ$140,0,MATCH(X$2,Inputs!$K$4:$AJ$4,0)))+SUMPRODUCT((Inputs!$C$5:$C$140=$B10)*Inputs!$D$5:$D$140*(((Inputs!$G$5:$G$140="moeda")+(Inputs!$G$5:$G$140="acoes"))*Inputs!$B$1+((Inputs!$G$5:$G$140&lt;&gt;"moeda")*(Inputs!$G$5:$G$140&lt;&gt;"acoes")))*INDEX(Inputs!$K$5:$AJ$140,0,MATCH(X$2,Inputs!$K$4:$AJ$4,0)))+SUMPRODUCT((Inputs!$E$5:$E$140=$B10)*Inputs!$F$5:$F$140*(((Inputs!$G$5:$G$140="moeda")+(Inputs!$G$5:$G$140="acoes"))*Inputs!$B$1+((Inputs!$G$5:$G$140&lt;&gt;"moeda")*(Inputs!$G$5:$G$140&lt;&gt;"acoes")))*INDEX(Inputs!$K$5:$AJ$140,0,MATCH(X$2,Inputs!$K$4:$AJ$4,0)))))</f>
        <v>-3135</v>
      </c>
      <c r="Y10" s="6">
        <f>IF(ISNA(MATCH(Y$2,Inputs!$K$4:$AJ$4,0)),NA(),IF(SUMPRODUCT((Inputs!$A$5:$A$140=$B10)*ISNUMBER(INDEX(Inputs!$K$5:$AJ$140,0,MATCH(Y$2,Inputs!$K$4:$AJ$4,0))))+SUMPRODUCT((Inputs!$C$5:$C$140=$B10)*ISNUMBER(INDEX(Inputs!$K$5:$AJ$140,0,MATCH(Y$2,Inputs!$K$4:$AJ$4,0))))+SUMPRODUCT((Inputs!$E$5:$E$140=$B10)*ISNUMBER(INDEX(Inputs!$K$5:$AJ$140,0,MATCH(Y$2,Inputs!$K$4:$AJ$4,0))))=0,NA(),SUMPRODUCT((Inputs!$A$5:$A$140=$B10)*Inputs!$B$5:$B$140*(((Inputs!$G$5:$G$140="moeda")+(Inputs!$G$5:$G$140="acoes"))*Inputs!$B$1+((Inputs!$G$5:$G$140&lt;&gt;"moeda")*(Inputs!$G$5:$G$140&lt;&gt;"acoes")))*INDEX(Inputs!$K$5:$AJ$140,0,MATCH(Y$2,Inputs!$K$4:$AJ$4,0)))+SUMPRODUCT((Inputs!$C$5:$C$140=$B10)*Inputs!$D$5:$D$140*(((Inputs!$G$5:$G$140="moeda")+(Inputs!$G$5:$G$140="acoes"))*Inputs!$B$1+((Inputs!$G$5:$G$140&lt;&gt;"moeda")*(Inputs!$G$5:$G$140&lt;&gt;"acoes")))*INDEX(Inputs!$K$5:$AJ$140,0,MATCH(Y$2,Inputs!$K$4:$AJ$4,0)))+SUMPRODUCT((Inputs!$E$5:$E$140=$B10)*Inputs!$F$5:$F$140*(((Inputs!$G$5:$G$140="moeda")+(Inputs!$G$5:$G$140="acoes"))*Inputs!$B$1+((Inputs!$G$5:$G$140&lt;&gt;"moeda")*(Inputs!$G$5:$G$140&lt;&gt;"acoes")))*INDEX(Inputs!$K$5:$AJ$140,0,MATCH(Y$2,Inputs!$K$4:$AJ$4,0)))))</f>
        <v>-4784</v>
      </c>
      <c r="Z10" s="6">
        <f>IF(ISNA(MATCH(Z$2,Inputs!$K$4:$AJ$4,0)),NA(),IF(SUMPRODUCT((Inputs!$A$5:$A$140=$B10)*ISNUMBER(INDEX(Inputs!$K$5:$AJ$140,0,MATCH(Z$2,Inputs!$K$4:$AJ$4,0))))+SUMPRODUCT((Inputs!$C$5:$C$140=$B10)*ISNUMBER(INDEX(Inputs!$K$5:$AJ$140,0,MATCH(Z$2,Inputs!$K$4:$AJ$4,0))))+SUMPRODUCT((Inputs!$E$5:$E$140=$B10)*ISNUMBER(INDEX(Inputs!$K$5:$AJ$140,0,MATCH(Z$2,Inputs!$K$4:$AJ$4,0))))=0,NA(),SUMPRODUCT((Inputs!$A$5:$A$140=$B10)*Inputs!$B$5:$B$140*(((Inputs!$G$5:$G$140="moeda")+(Inputs!$G$5:$G$140="acoes"))*Inputs!$B$1+((Inputs!$G$5:$G$140&lt;&gt;"moeda")*(Inputs!$G$5:$G$140&lt;&gt;"acoes")))*INDEX(Inputs!$K$5:$AJ$140,0,MATCH(Z$2,Inputs!$K$4:$AJ$4,0)))+SUMPRODUCT((Inputs!$C$5:$C$140=$B10)*Inputs!$D$5:$D$140*(((Inputs!$G$5:$G$140="moeda")+(Inputs!$G$5:$G$140="acoes"))*Inputs!$B$1+((Inputs!$G$5:$G$140&lt;&gt;"moeda")*(Inputs!$G$5:$G$140&lt;&gt;"acoes")))*INDEX(Inputs!$K$5:$AJ$140,0,MATCH(Z$2,Inputs!$K$4:$AJ$4,0)))+SUMPRODUCT((Inputs!$E$5:$E$140=$B10)*Inputs!$F$5:$F$140*(((Inputs!$G$5:$G$140="moeda")+(Inputs!$G$5:$G$140="acoes"))*Inputs!$B$1+((Inputs!$G$5:$G$140&lt;&gt;"moeda")*(Inputs!$G$5:$G$140&lt;&gt;"acoes")))*INDEX(Inputs!$K$5:$AJ$140,0,MATCH(Z$2,Inputs!$K$4:$AJ$4,0)))))</f>
        <v>-6026</v>
      </c>
      <c r="AA10" s="6">
        <f>IF(ISNA(MATCH(AA$2,Inputs!$K$4:$AJ$4,0)),NA(),IF(SUMPRODUCT((Inputs!$A$5:$A$140=$B10)*ISNUMBER(INDEX(Inputs!$K$5:$AJ$140,0,MATCH(AA$2,Inputs!$K$4:$AJ$4,0))))+SUMPRODUCT((Inputs!$C$5:$C$140=$B10)*ISNUMBER(INDEX(Inputs!$K$5:$AJ$140,0,MATCH(AA$2,Inputs!$K$4:$AJ$4,0))))+SUMPRODUCT((Inputs!$E$5:$E$140=$B10)*ISNUMBER(INDEX(Inputs!$K$5:$AJ$140,0,MATCH(AA$2,Inputs!$K$4:$AJ$4,0))))=0,NA(),SUMPRODUCT((Inputs!$A$5:$A$140=$B10)*Inputs!$B$5:$B$140*(((Inputs!$G$5:$G$140="moeda")+(Inputs!$G$5:$G$140="acoes"))*Inputs!$B$1+((Inputs!$G$5:$G$140&lt;&gt;"moeda")*(Inputs!$G$5:$G$140&lt;&gt;"acoes")))*INDEX(Inputs!$K$5:$AJ$140,0,MATCH(AA$2,Inputs!$K$4:$AJ$4,0)))+SUMPRODUCT((Inputs!$C$5:$C$140=$B10)*Inputs!$D$5:$D$140*(((Inputs!$G$5:$G$140="moeda")+(Inputs!$G$5:$G$140="acoes"))*Inputs!$B$1+((Inputs!$G$5:$G$140&lt;&gt;"moeda")*(Inputs!$G$5:$G$140&lt;&gt;"acoes")))*INDEX(Inputs!$K$5:$AJ$140,0,MATCH(AA$2,Inputs!$K$4:$AJ$4,0)))+SUMPRODUCT((Inputs!$E$5:$E$140=$B10)*Inputs!$F$5:$F$140*(((Inputs!$G$5:$G$140="moeda")+(Inputs!$G$5:$G$140="acoes"))*Inputs!$B$1+((Inputs!$G$5:$G$140&lt;&gt;"moeda")*(Inputs!$G$5:$G$140&lt;&gt;"acoes")))*INDEX(Inputs!$K$5:$AJ$140,0,MATCH(AA$2,Inputs!$K$4:$AJ$4,0)))))</f>
        <v>-7438</v>
      </c>
      <c r="AB10" s="3">
        <f>SUM(X10:AA10)</f>
        <v>-21383</v>
      </c>
      <c r="AC10" s="6">
        <f>IF(ISNA(MATCH(AC$2,Inputs!$K$4:$AJ$4,0)),NA(),IF(SUMPRODUCT((Inputs!$A$5:$A$140=$B10)*ISNUMBER(INDEX(Inputs!$K$5:$AJ$140,0,MATCH(AC$2,Inputs!$K$4:$AJ$4,0))))+SUMPRODUCT((Inputs!$C$5:$C$140=$B10)*ISNUMBER(INDEX(Inputs!$K$5:$AJ$140,0,MATCH(AC$2,Inputs!$K$4:$AJ$4,0))))+SUMPRODUCT((Inputs!$E$5:$E$140=$B10)*ISNUMBER(INDEX(Inputs!$K$5:$AJ$140,0,MATCH(AC$2,Inputs!$K$4:$AJ$4,0))))=0,NA(),SUMPRODUCT((Inputs!$A$5:$A$140=$B10)*Inputs!$B$5:$B$140*(((Inputs!$G$5:$G$140="moeda")+(Inputs!$G$5:$G$140="acoes"))*Inputs!$B$1+((Inputs!$G$5:$G$140&lt;&gt;"moeda")*(Inputs!$G$5:$G$140&lt;&gt;"acoes")))*INDEX(Inputs!$K$5:$AJ$140,0,MATCH(AC$2,Inputs!$K$4:$AJ$4,0)))+SUMPRODUCT((Inputs!$C$5:$C$140=$B10)*Inputs!$D$5:$D$140*(((Inputs!$G$5:$G$140="moeda")+(Inputs!$G$5:$G$140="acoes"))*Inputs!$B$1+((Inputs!$G$5:$G$140&lt;&gt;"moeda")*(Inputs!$G$5:$G$140&lt;&gt;"acoes")))*INDEX(Inputs!$K$5:$AJ$140,0,MATCH(AC$2,Inputs!$K$4:$AJ$4,0)))+SUMPRODUCT((Inputs!$E$5:$E$140=$B10)*Inputs!$F$5:$F$140*(((Inputs!$G$5:$G$140="moeda")+(Inputs!$G$5:$G$140="acoes"))*Inputs!$B$1+((Inputs!$G$5:$G$140&lt;&gt;"moeda")*(Inputs!$G$5:$G$140&lt;&gt;"acoes")))*INDEX(Inputs!$K$5:$AJ$140,0,MATCH(AC$2,Inputs!$K$4:$AJ$4,0)))))</f>
        <v>-11582</v>
      </c>
      <c r="AD10" s="6">
        <f>IF(ISNA(MATCH(AD$2,Inputs!$K$4:$AJ$4,0)),NA(),IF(SUMPRODUCT((Inputs!$A$5:$A$140=$B10)*ISNUMBER(INDEX(Inputs!$K$5:$AJ$140,0,MATCH(AD$2,Inputs!$K$4:$AJ$4,0))))+SUMPRODUCT((Inputs!$C$5:$C$140=$B10)*ISNUMBER(INDEX(Inputs!$K$5:$AJ$140,0,MATCH(AD$2,Inputs!$K$4:$AJ$4,0))))+SUMPRODUCT((Inputs!$E$5:$E$140=$B10)*ISNUMBER(INDEX(Inputs!$K$5:$AJ$140,0,MATCH(AD$2,Inputs!$K$4:$AJ$4,0))))=0,NA(),SUMPRODUCT((Inputs!$A$5:$A$140=$B10)*Inputs!$B$5:$B$140*(((Inputs!$G$5:$G$140="moeda")+(Inputs!$G$5:$G$140="acoes"))*Inputs!$B$1+((Inputs!$G$5:$G$140&lt;&gt;"moeda")*(Inputs!$G$5:$G$140&lt;&gt;"acoes")))*INDEX(Inputs!$K$5:$AJ$140,0,MATCH(AD$2,Inputs!$K$4:$AJ$4,0)))+SUMPRODUCT((Inputs!$C$5:$C$140=$B10)*Inputs!$D$5:$D$140*(((Inputs!$G$5:$G$140="moeda")+(Inputs!$G$5:$G$140="acoes"))*Inputs!$B$1+((Inputs!$G$5:$G$140&lt;&gt;"moeda")*(Inputs!$G$5:$G$140&lt;&gt;"acoes")))*INDEX(Inputs!$K$5:$AJ$140,0,MATCH(AD$2,Inputs!$K$4:$AJ$4,0)))+SUMPRODUCT((Inputs!$E$5:$E$140=$B10)*Inputs!$F$5:$F$140*(((Inputs!$G$5:$G$140="moeda")+(Inputs!$G$5:$G$140="acoes"))*Inputs!$B$1+((Inputs!$G$5:$G$140&lt;&gt;"moeda")*(Inputs!$G$5:$G$140&lt;&gt;"acoes")))*INDEX(Inputs!$K$5:$AJ$140,0,MATCH(AD$2,Inputs!$K$4:$AJ$4,0)))))</f>
        <v>-11819</v>
      </c>
      <c r="AE10" s="6" t="e">
        <f>IF(ISNA(MATCH(AE$2,Inputs!$K$4:$AJ$4,0)),NA(),IF(SUMPRODUCT((Inputs!$A$5:$A$140=$B10)*ISNUMBER(INDEX(Inputs!$K$5:$AJ$140,0,MATCH(AE$2,Inputs!$K$4:$AJ$4,0))))+SUMPRODUCT((Inputs!$C$5:$C$140=$B10)*ISNUMBER(INDEX(Inputs!$K$5:$AJ$140,0,MATCH(AE$2,Inputs!$K$4:$AJ$4,0))))+SUMPRODUCT((Inputs!$E$5:$E$140=$B10)*ISNUMBER(INDEX(Inputs!$K$5:$AJ$140,0,MATCH(AE$2,Inputs!$K$4:$AJ$4,0))))=0,NA(),SUMPRODUCT((Inputs!$A$5:$A$140=$B10)*Inputs!$B$5:$B$140*(((Inputs!$G$5:$G$140="moeda")+(Inputs!$G$5:$G$140="acoes"))*Inputs!$B$1+((Inputs!$G$5:$G$140&lt;&gt;"moeda")*(Inputs!$G$5:$G$140&lt;&gt;"acoes")))*INDEX(Inputs!$K$5:$AJ$140,0,MATCH(AE$2,Inputs!$K$4:$AJ$4,0)))+SUMPRODUCT((Inputs!$C$5:$C$140=$B10)*Inputs!$D$5:$D$140*(((Inputs!$G$5:$G$140="moeda")+(Inputs!$G$5:$G$140="acoes"))*Inputs!$B$1+((Inputs!$G$5:$G$140&lt;&gt;"moeda")*(Inputs!$G$5:$G$140&lt;&gt;"acoes")))*INDEX(Inputs!$K$5:$AJ$140,0,MATCH(AE$2,Inputs!$K$4:$AJ$4,0)))+SUMPRODUCT((Inputs!$E$5:$E$140=$B10)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10" s="6" t="e">
        <f>IF(ISNA(MATCH(AF$2,Inputs!$K$4:$AJ$4,0)),NA(),IF(SUMPRODUCT((Inputs!$A$5:$A$140=$B10)*ISNUMBER(INDEX(Inputs!$K$5:$AJ$140,0,MATCH(AF$2,Inputs!$K$4:$AJ$4,0))))+SUMPRODUCT((Inputs!$C$5:$C$140=$B10)*ISNUMBER(INDEX(Inputs!$K$5:$AJ$140,0,MATCH(AF$2,Inputs!$K$4:$AJ$4,0))))+SUMPRODUCT((Inputs!$E$5:$E$140=$B10)*ISNUMBER(INDEX(Inputs!$K$5:$AJ$140,0,MATCH(AF$2,Inputs!$K$4:$AJ$4,0))))=0,NA(),SUMPRODUCT((Inputs!$A$5:$A$140=$B10)*Inputs!$B$5:$B$140*(((Inputs!$G$5:$G$140="moeda")+(Inputs!$G$5:$G$140="acoes"))*Inputs!$B$1+((Inputs!$G$5:$G$140&lt;&gt;"moeda")*(Inputs!$G$5:$G$140&lt;&gt;"acoes")))*INDEX(Inputs!$K$5:$AJ$140,0,MATCH(AF$2,Inputs!$K$4:$AJ$4,0)))+SUMPRODUCT((Inputs!$C$5:$C$140=$B10)*Inputs!$D$5:$D$140*(((Inputs!$G$5:$G$140="moeda")+(Inputs!$G$5:$G$140="acoes"))*Inputs!$B$1+((Inputs!$G$5:$G$140&lt;&gt;"moeda")*(Inputs!$G$5:$G$140&lt;&gt;"acoes")))*INDEX(Inputs!$K$5:$AJ$140,0,MATCH(AF$2,Inputs!$K$4:$AJ$4,0)))+SUMPRODUCT((Inputs!$E$5:$E$140=$B10)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10" s="3" t="e">
        <f>SUM(AC10:AF10)</f>
        <v>#N/A</v>
      </c>
      <c r="AH10" s="6">
        <f>IF(ISNA(MATCH(AH$2,Inputs!$K$4:$AJ$4,0)),NA(),IF(SUMPRODUCT((Inputs!$A$5:$A$140=$B10)*ISNUMBER(INDEX(Inputs!$K$5:$AJ$140,0,MATCH(AH$2,Inputs!$K$4:$AJ$4,0))))+SUMPRODUCT((Inputs!$C$5:$C$140=$B10)*ISNUMBER(INDEX(Inputs!$K$5:$AJ$140,0,MATCH(AH$2,Inputs!$K$4:$AJ$4,0))))+SUMPRODUCT((Inputs!$E$5:$E$140=$B10)*ISNUMBER(INDEX(Inputs!$K$5:$AJ$140,0,MATCH(AH$2,Inputs!$K$4:$AJ$4,0))))=0,NA(),SUMPRODUCT((Inputs!$A$5:$A$140=$B10)*Inputs!$B$5:$B$140*(((Inputs!$G$5:$G$140="moeda")+(Inputs!$G$5:$G$140="acoes"))*Inputs!$B$1+((Inputs!$G$5:$G$140&lt;&gt;"moeda")*(Inputs!$G$5:$G$140&lt;&gt;"acoes")))*INDEX(Inputs!$K$5:$AJ$140,0,MATCH(AH$2,Inputs!$K$4:$AJ$4,0)))+SUMPRODUCT((Inputs!$C$5:$C$140=$B10)*Inputs!$D$5:$D$140*(((Inputs!$G$5:$G$140="moeda")+(Inputs!$G$5:$G$140="acoes"))*Inputs!$B$1+((Inputs!$G$5:$G$140&lt;&gt;"moeda")*(Inputs!$G$5:$G$140&lt;&gt;"acoes")))*INDEX(Inputs!$K$5:$AJ$140,0,MATCH(AH$2,Inputs!$K$4:$AJ$4,0)))+SUMPRODUCT((Inputs!$E$5:$E$140=$B10)*Inputs!$F$5:$F$140*(((Inputs!$G$5:$G$140="moeda")+(Inputs!$G$5:$G$140="acoes"))*Inputs!$B$1+((Inputs!$G$5:$G$140&lt;&gt;"moeda")*(Inputs!$G$5:$G$140&lt;&gt;"acoes")))*INDEX(Inputs!$K$5:$AJ$140,0,MATCH(AH$2,Inputs!$K$4:$AJ$4,0)))))</f>
        <v>-64</v>
      </c>
      <c r="AI10" s="6">
        <f>IF(ISNA(MATCH(AI$2,Inputs!$K$4:$AJ$4,0)),NA(),IF(SUMPRODUCT((Inputs!$A$5:$A$140=$B10)*ISNUMBER(INDEX(Inputs!$K$5:$AJ$140,0,MATCH(AI$2,Inputs!$K$4:$AJ$4,0))))+SUMPRODUCT((Inputs!$C$5:$C$140=$B10)*ISNUMBER(INDEX(Inputs!$K$5:$AJ$140,0,MATCH(AI$2,Inputs!$K$4:$AJ$4,0))))+SUMPRODUCT((Inputs!$E$5:$E$140=$B10)*ISNUMBER(INDEX(Inputs!$K$5:$AJ$140,0,MATCH(AI$2,Inputs!$K$4:$AJ$4,0))))=0,NA(),SUMPRODUCT((Inputs!$A$5:$A$140=$B10)*Inputs!$B$5:$B$140*(((Inputs!$G$5:$G$140="moeda")+(Inputs!$G$5:$G$140="acoes"))*Inputs!$B$1+((Inputs!$G$5:$G$140&lt;&gt;"moeda")*(Inputs!$G$5:$G$140&lt;&gt;"acoes")))*INDEX(Inputs!$K$5:$AJ$140,0,MATCH(AI$2,Inputs!$K$4:$AJ$4,0)))+SUMPRODUCT((Inputs!$C$5:$C$140=$B10)*Inputs!$D$5:$D$140*(((Inputs!$G$5:$G$140="moeda")+(Inputs!$G$5:$G$140="acoes"))*Inputs!$B$1+((Inputs!$G$5:$G$140&lt;&gt;"moeda")*(Inputs!$G$5:$G$140&lt;&gt;"acoes")))*INDEX(Inputs!$K$5:$AJ$140,0,MATCH(AI$2,Inputs!$K$4:$AJ$4,0)))+SUMPRODUCT((Inputs!$E$5:$E$140=$B10)*Inputs!$F$5:$F$140*(((Inputs!$G$5:$G$140="moeda")+(Inputs!$G$5:$G$140="acoes"))*Inputs!$B$1+((Inputs!$G$5:$G$140&lt;&gt;"moeda")*(Inputs!$G$5:$G$140&lt;&gt;"acoes")))*INDEX(Inputs!$K$5:$AJ$140,0,MATCH(AI$2,Inputs!$K$4:$AJ$4,0)))))</f>
        <v>13</v>
      </c>
      <c r="AJ10" s="6">
        <f>IF(ISNA(MATCH(AJ$2,Inputs!$K$4:$AJ$4,0)),NA(),IF(SUMPRODUCT((Inputs!$A$5:$A$140=$B10)*ISNUMBER(INDEX(Inputs!$K$5:$AJ$140,0,MATCH(AJ$2,Inputs!$K$4:$AJ$4,0))))+SUMPRODUCT((Inputs!$C$5:$C$140=$B10)*ISNUMBER(INDEX(Inputs!$K$5:$AJ$140,0,MATCH(AJ$2,Inputs!$K$4:$AJ$4,0))))+SUMPRODUCT((Inputs!$E$5:$E$140=$B10)*ISNUMBER(INDEX(Inputs!$K$5:$AJ$140,0,MATCH(AJ$2,Inputs!$K$4:$AJ$4,0))))=0,NA(),SUMPRODUCT((Inputs!$A$5:$A$140=$B10)*Inputs!$B$5:$B$140*(((Inputs!$G$5:$G$140="moeda")+(Inputs!$G$5:$G$140="acoes"))*Inputs!$B$1+((Inputs!$G$5:$G$140&lt;&gt;"moeda")*(Inputs!$G$5:$G$140&lt;&gt;"acoes")))*INDEX(Inputs!$K$5:$AJ$140,0,MATCH(AJ$2,Inputs!$K$4:$AJ$4,0)))+SUMPRODUCT((Inputs!$C$5:$C$140=$B10)*Inputs!$D$5:$D$140*(((Inputs!$G$5:$G$140="moeda")+(Inputs!$G$5:$G$140="acoes"))*Inputs!$B$1+((Inputs!$G$5:$G$140&lt;&gt;"moeda")*(Inputs!$G$5:$G$140&lt;&gt;"acoes")))*INDEX(Inputs!$K$5:$AJ$140,0,MATCH(AJ$2,Inputs!$K$4:$AJ$4,0)))+SUMPRODUCT((Inputs!$E$5:$E$140=$B10)*Inputs!$F$5:$F$140*(((Inputs!$G$5:$G$140="moeda")+(Inputs!$G$5:$G$140="acoes"))*Inputs!$B$1+((Inputs!$G$5:$G$140&lt;&gt;"moeda")*(Inputs!$G$5:$G$140&lt;&gt;"acoes")))*INDEX(Inputs!$K$5:$AJ$140,0,MATCH(AJ$2,Inputs!$K$4:$AJ$4,0)))))</f>
        <v>-12</v>
      </c>
      <c r="AK10" s="6">
        <f>IF(ISNA(MATCH(AK$2,Inputs!$K$4:$AJ$4,0)),NA(),IF(SUMPRODUCT((Inputs!$A$5:$A$140=$B10)*ISNUMBER(INDEX(Inputs!$K$5:$AJ$140,0,MATCH(AK$2,Inputs!$K$4:$AJ$4,0))))+SUMPRODUCT((Inputs!$C$5:$C$140=$B10)*ISNUMBER(INDEX(Inputs!$K$5:$AJ$140,0,MATCH(AK$2,Inputs!$K$4:$AJ$4,0))))+SUMPRODUCT((Inputs!$E$5:$E$140=$B10)*ISNUMBER(INDEX(Inputs!$K$5:$AJ$140,0,MATCH(AK$2,Inputs!$K$4:$AJ$4,0))))=0,NA(),SUMPRODUCT((Inputs!$A$5:$A$140=$B10)*Inputs!$B$5:$B$140*(((Inputs!$G$5:$G$140="moeda")+(Inputs!$G$5:$G$140="acoes"))*Inputs!$B$1+((Inputs!$G$5:$G$140&lt;&gt;"moeda")*(Inputs!$G$5:$G$140&lt;&gt;"acoes")))*INDEX(Inputs!$K$5:$AJ$140,0,MATCH(AK$2,Inputs!$K$4:$AJ$4,0)))+SUMPRODUCT((Inputs!$C$5:$C$140=$B10)*Inputs!$D$5:$D$140*(((Inputs!$G$5:$G$140="moeda")+(Inputs!$G$5:$G$140="acoes"))*Inputs!$B$1+((Inputs!$G$5:$G$140&lt;&gt;"moeda")*(Inputs!$G$5:$G$140&lt;&gt;"acoes")))*INDEX(Inputs!$K$5:$AJ$140,0,MATCH(AK$2,Inputs!$K$4:$AJ$4,0)))+SUMPRODUCT((Inputs!$E$5:$E$140=$B10)*Inputs!$F$5:$F$140*(((Inputs!$G$5:$G$140="moeda")+(Inputs!$G$5:$G$140="acoes"))*Inputs!$B$1+((Inputs!$G$5:$G$140&lt;&gt;"moeda")*(Inputs!$G$5:$G$140&lt;&gt;"acoes")))*INDEX(Inputs!$K$5:$AJ$140,0,MATCH(AK$2,Inputs!$K$4:$AJ$4,0)))))</f>
        <v>-13</v>
      </c>
      <c r="AL10" s="3">
        <f>SUM(AH10:AK10)</f>
        <v>-76</v>
      </c>
    </row>
    <row r="11">
      <c r="B11" s="46" t="n">
        <v>8</v>
      </c>
      <c r="C11" s="26" t="inlineStr">
        <is>
          <t>Equity in Income of Affiliates, after tax (enter as +)</t>
        </is>
      </c>
      <c r="D11" s="6" t="e">
        <f>IF(ISNA(MATCH(D$2,Inputs!$K$4:$AJ$4,0)),NA(),IF(SUMPRODUCT((Inputs!$A$5:$A$140=$B11)*ISNUMBER(INDEX(Inputs!$K$5:$AJ$140,0,MATCH(D$2,Inputs!$K$4:$AJ$4,0))))+SUMPRODUCT((Inputs!$C$5:$C$140=$B11)*ISNUMBER(INDEX(Inputs!$K$5:$AJ$140,0,MATCH(D$2,Inputs!$K$4:$AJ$4,0))))+SUMPRODUCT((Inputs!$E$5:$E$140=$B11)*ISNUMBER(INDEX(Inputs!$K$5:$AJ$140,0,MATCH(D$2,Inputs!$K$4:$AJ$4,0))))=0,NA(),SUMPRODUCT((Inputs!$A$5:$A$140=$B11)*Inputs!$B$5:$B$140*(((Inputs!$G$5:$G$140="moeda")+(Inputs!$G$5:$G$140="acoes"))*Inputs!$B$1+((Inputs!$G$5:$G$140&lt;&gt;"moeda")*(Inputs!$G$5:$G$140&lt;&gt;"acoes")))*INDEX(Inputs!$K$5:$AJ$140,0,MATCH(D$2,Inputs!$K$4:$AJ$4,0)))+SUMPRODUCT((Inputs!$C$5:$C$140=$B11)*Inputs!$D$5:$D$140*(((Inputs!$G$5:$G$140="moeda")+(Inputs!$G$5:$G$140="acoes"))*Inputs!$B$1+((Inputs!$G$5:$G$140&lt;&gt;"moeda")*(Inputs!$G$5:$G$140&lt;&gt;"acoes")))*INDEX(Inputs!$K$5:$AJ$140,0,MATCH(D$2,Inputs!$K$4:$AJ$4,0)))+SUMPRODUCT((Inputs!$E$5:$E$140=$B11)*Inputs!$F$5:$F$140*(((Inputs!$G$5:$G$140="moeda")+(Inputs!$G$5:$G$140="acoes"))*Inputs!$B$1+((Inputs!$G$5:$G$140&lt;&gt;"moeda")*(Inputs!$G$5:$G$140&lt;&gt;"acoes")))*INDEX(Inputs!$K$5:$AJ$140,0,MATCH(D$2,Inputs!$K$4:$AJ$4,0)))))</f>
        <v>#N/A</v>
      </c>
      <c r="E11" s="6" t="e">
        <f>IF(ISNA(MATCH(E$2,Inputs!$K$4:$AJ$4,0)),NA(),IF(SUMPRODUCT((Inputs!$A$5:$A$140=$B11)*ISNUMBER(INDEX(Inputs!$K$5:$AJ$140,0,MATCH(E$2,Inputs!$K$4:$AJ$4,0))))+SUMPRODUCT((Inputs!$C$5:$C$140=$B11)*ISNUMBER(INDEX(Inputs!$K$5:$AJ$140,0,MATCH(E$2,Inputs!$K$4:$AJ$4,0))))+SUMPRODUCT((Inputs!$E$5:$E$140=$B11)*ISNUMBER(INDEX(Inputs!$K$5:$AJ$140,0,MATCH(E$2,Inputs!$K$4:$AJ$4,0))))=0,NA(),SUMPRODUCT((Inputs!$A$5:$A$140=$B11)*Inputs!$B$5:$B$140*(((Inputs!$G$5:$G$140="moeda")+(Inputs!$G$5:$G$140="acoes"))*Inputs!$B$1+((Inputs!$G$5:$G$140&lt;&gt;"moeda")*(Inputs!$G$5:$G$140&lt;&gt;"acoes")))*INDEX(Inputs!$K$5:$AJ$140,0,MATCH(E$2,Inputs!$K$4:$AJ$4,0)))+SUMPRODUCT((Inputs!$C$5:$C$140=$B11)*Inputs!$D$5:$D$140*(((Inputs!$G$5:$G$140="moeda")+(Inputs!$G$5:$G$140="acoes"))*Inputs!$B$1+((Inputs!$G$5:$G$140&lt;&gt;"moeda")*(Inputs!$G$5:$G$140&lt;&gt;"acoes")))*INDEX(Inputs!$K$5:$AJ$140,0,MATCH(E$2,Inputs!$K$4:$AJ$4,0)))+SUMPRODUCT((Inputs!$E$5:$E$140=$B11)*Inputs!$F$5:$F$140*(((Inputs!$G$5:$G$140="moeda")+(Inputs!$G$5:$G$140="acoes"))*Inputs!$B$1+((Inputs!$G$5:$G$140&lt;&gt;"moeda")*(Inputs!$G$5:$G$140&lt;&gt;"acoes")))*INDEX(Inputs!$K$5:$AJ$140,0,MATCH(E$2,Inputs!$K$4:$AJ$4,0)))))</f>
        <v>#N/A</v>
      </c>
      <c r="F11" s="6" t="e">
        <f>IF(ISNA(MATCH(F$2,Inputs!$K$4:$AJ$4,0)),NA(),IF(SUMPRODUCT((Inputs!$A$5:$A$140=$B11)*ISNUMBER(INDEX(Inputs!$K$5:$AJ$140,0,MATCH(F$2,Inputs!$K$4:$AJ$4,0))))+SUMPRODUCT((Inputs!$C$5:$C$140=$B11)*ISNUMBER(INDEX(Inputs!$K$5:$AJ$140,0,MATCH(F$2,Inputs!$K$4:$AJ$4,0))))+SUMPRODUCT((Inputs!$E$5:$E$140=$B11)*ISNUMBER(INDEX(Inputs!$K$5:$AJ$140,0,MATCH(F$2,Inputs!$K$4:$AJ$4,0))))=0,NA(),SUMPRODUCT((Inputs!$A$5:$A$140=$B11)*Inputs!$B$5:$B$140*(((Inputs!$G$5:$G$140="moeda")+(Inputs!$G$5:$G$140="acoes"))*Inputs!$B$1+((Inputs!$G$5:$G$140&lt;&gt;"moeda")*(Inputs!$G$5:$G$140&lt;&gt;"acoes")))*INDEX(Inputs!$K$5:$AJ$140,0,MATCH(F$2,Inputs!$K$4:$AJ$4,0)))+SUMPRODUCT((Inputs!$C$5:$C$140=$B11)*Inputs!$D$5:$D$140*(((Inputs!$G$5:$G$140="moeda")+(Inputs!$G$5:$G$140="acoes"))*Inputs!$B$1+((Inputs!$G$5:$G$140&lt;&gt;"moeda")*(Inputs!$G$5:$G$140&lt;&gt;"acoes")))*INDEX(Inputs!$K$5:$AJ$140,0,MATCH(F$2,Inputs!$K$4:$AJ$4,0)))+SUMPRODUCT((Inputs!$E$5:$E$140=$B11)*Inputs!$F$5:$F$140*(((Inputs!$G$5:$G$140="moeda")+(Inputs!$G$5:$G$140="acoes"))*Inputs!$B$1+((Inputs!$G$5:$G$140&lt;&gt;"moeda")*(Inputs!$G$5:$G$140&lt;&gt;"acoes")))*INDEX(Inputs!$K$5:$AJ$140,0,MATCH(F$2,Inputs!$K$4:$AJ$4,0)))))</f>
        <v>#N/A</v>
      </c>
      <c r="G11" s="6" t="e">
        <f>IF(ISNA(MATCH(G$2,Inputs!$K$4:$AJ$4,0)),NA(),IF(SUMPRODUCT((Inputs!$A$5:$A$140=$B11)*ISNUMBER(INDEX(Inputs!$K$5:$AJ$140,0,MATCH(G$2,Inputs!$K$4:$AJ$4,0))))+SUMPRODUCT((Inputs!$C$5:$C$140=$B11)*ISNUMBER(INDEX(Inputs!$K$5:$AJ$140,0,MATCH(G$2,Inputs!$K$4:$AJ$4,0))))+SUMPRODUCT((Inputs!$E$5:$E$140=$B11)*ISNUMBER(INDEX(Inputs!$K$5:$AJ$140,0,MATCH(G$2,Inputs!$K$4:$AJ$4,0))))=0,NA(),SUMPRODUCT((Inputs!$A$5:$A$140=$B11)*Inputs!$B$5:$B$140*(((Inputs!$G$5:$G$140="moeda")+(Inputs!$G$5:$G$140="acoes"))*Inputs!$B$1+((Inputs!$G$5:$G$140&lt;&gt;"moeda")*(Inputs!$G$5:$G$140&lt;&gt;"acoes")))*INDEX(Inputs!$K$5:$AJ$140,0,MATCH(G$2,Inputs!$K$4:$AJ$4,0)))+SUMPRODUCT((Inputs!$C$5:$C$140=$B11)*Inputs!$D$5:$D$140*(((Inputs!$G$5:$G$140="moeda")+(Inputs!$G$5:$G$140="acoes"))*Inputs!$B$1+((Inputs!$G$5:$G$140&lt;&gt;"moeda")*(Inputs!$G$5:$G$140&lt;&gt;"acoes")))*INDEX(Inputs!$K$5:$AJ$140,0,MATCH(G$2,Inputs!$K$4:$AJ$4,0)))+SUMPRODUCT((Inputs!$E$5:$E$140=$B11)*Inputs!$F$5:$F$140*(((Inputs!$G$5:$G$140="moeda")+(Inputs!$G$5:$G$140="acoes"))*Inputs!$B$1+((Inputs!$G$5:$G$140&lt;&gt;"moeda")*(Inputs!$G$5:$G$140&lt;&gt;"acoes")))*INDEX(Inputs!$K$5:$AJ$140,0,MATCH(G$2,Inputs!$K$4:$AJ$4,0)))))</f>
        <v>#N/A</v>
      </c>
      <c r="H11" s="3" t="e">
        <f>SUM(D11:G11)</f>
        <v>#N/A</v>
      </c>
      <c r="I11" s="6" t="e">
        <f>IF(ISNA(MATCH(I$2,Inputs!$K$4:$AJ$4,0)),NA(),IF(SUMPRODUCT((Inputs!$A$5:$A$140=$B11)*ISNUMBER(INDEX(Inputs!$K$5:$AJ$140,0,MATCH(I$2,Inputs!$K$4:$AJ$4,0))))+SUMPRODUCT((Inputs!$C$5:$C$140=$B11)*ISNUMBER(INDEX(Inputs!$K$5:$AJ$140,0,MATCH(I$2,Inputs!$K$4:$AJ$4,0))))+SUMPRODUCT((Inputs!$E$5:$E$140=$B11)*ISNUMBER(INDEX(Inputs!$K$5:$AJ$140,0,MATCH(I$2,Inputs!$K$4:$AJ$4,0))))=0,NA(),SUMPRODUCT((Inputs!$A$5:$A$140=$B11)*Inputs!$B$5:$B$140*(((Inputs!$G$5:$G$140="moeda")+(Inputs!$G$5:$G$140="acoes"))*Inputs!$B$1+((Inputs!$G$5:$G$140&lt;&gt;"moeda")*(Inputs!$G$5:$G$140&lt;&gt;"acoes")))*INDEX(Inputs!$K$5:$AJ$140,0,MATCH(I$2,Inputs!$K$4:$AJ$4,0)))+SUMPRODUCT((Inputs!$C$5:$C$140=$B11)*Inputs!$D$5:$D$140*(((Inputs!$G$5:$G$140="moeda")+(Inputs!$G$5:$G$140="acoes"))*Inputs!$B$1+((Inputs!$G$5:$G$140&lt;&gt;"moeda")*(Inputs!$G$5:$G$140&lt;&gt;"acoes")))*INDEX(Inputs!$K$5:$AJ$140,0,MATCH(I$2,Inputs!$K$4:$AJ$4,0)))+SUMPRODUCT((Inputs!$E$5:$E$140=$B11)*Inputs!$F$5:$F$140*(((Inputs!$G$5:$G$140="moeda")+(Inputs!$G$5:$G$140="acoes"))*Inputs!$B$1+((Inputs!$G$5:$G$140&lt;&gt;"moeda")*(Inputs!$G$5:$G$140&lt;&gt;"acoes")))*INDEX(Inputs!$K$5:$AJ$140,0,MATCH(I$2,Inputs!$K$4:$AJ$4,0)))))</f>
        <v>#N/A</v>
      </c>
      <c r="J11" s="6" t="e">
        <f>IF(ISNA(MATCH(J$2,Inputs!$K$4:$AJ$4,0)),NA(),IF(SUMPRODUCT((Inputs!$A$5:$A$140=$B11)*ISNUMBER(INDEX(Inputs!$K$5:$AJ$140,0,MATCH(J$2,Inputs!$K$4:$AJ$4,0))))+SUMPRODUCT((Inputs!$C$5:$C$140=$B11)*ISNUMBER(INDEX(Inputs!$K$5:$AJ$140,0,MATCH(J$2,Inputs!$K$4:$AJ$4,0))))+SUMPRODUCT((Inputs!$E$5:$E$140=$B11)*ISNUMBER(INDEX(Inputs!$K$5:$AJ$140,0,MATCH(J$2,Inputs!$K$4:$AJ$4,0))))=0,NA(),SUMPRODUCT((Inputs!$A$5:$A$140=$B11)*Inputs!$B$5:$B$140*(((Inputs!$G$5:$G$140="moeda")+(Inputs!$G$5:$G$140="acoes"))*Inputs!$B$1+((Inputs!$G$5:$G$140&lt;&gt;"moeda")*(Inputs!$G$5:$G$140&lt;&gt;"acoes")))*INDEX(Inputs!$K$5:$AJ$140,0,MATCH(J$2,Inputs!$K$4:$AJ$4,0)))+SUMPRODUCT((Inputs!$C$5:$C$140=$B11)*Inputs!$D$5:$D$140*(((Inputs!$G$5:$G$140="moeda")+(Inputs!$G$5:$G$140="acoes"))*Inputs!$B$1+((Inputs!$G$5:$G$140&lt;&gt;"moeda")*(Inputs!$G$5:$G$140&lt;&gt;"acoes")))*INDEX(Inputs!$K$5:$AJ$140,0,MATCH(J$2,Inputs!$K$4:$AJ$4,0)))+SUMPRODUCT((Inputs!$E$5:$E$140=$B11)*Inputs!$F$5:$F$140*(((Inputs!$G$5:$G$140="moeda")+(Inputs!$G$5:$G$140="acoes"))*Inputs!$B$1+((Inputs!$G$5:$G$140&lt;&gt;"moeda")*(Inputs!$G$5:$G$140&lt;&gt;"acoes")))*INDEX(Inputs!$K$5:$AJ$140,0,MATCH(J$2,Inputs!$K$4:$AJ$4,0)))))</f>
        <v>#N/A</v>
      </c>
      <c r="K11" s="6" t="e">
        <f>IF(ISNA(MATCH(K$2,Inputs!$K$4:$AJ$4,0)),NA(),IF(SUMPRODUCT((Inputs!$A$5:$A$140=$B11)*ISNUMBER(INDEX(Inputs!$K$5:$AJ$140,0,MATCH(K$2,Inputs!$K$4:$AJ$4,0))))+SUMPRODUCT((Inputs!$C$5:$C$140=$B11)*ISNUMBER(INDEX(Inputs!$K$5:$AJ$140,0,MATCH(K$2,Inputs!$K$4:$AJ$4,0))))+SUMPRODUCT((Inputs!$E$5:$E$140=$B11)*ISNUMBER(INDEX(Inputs!$K$5:$AJ$140,0,MATCH(K$2,Inputs!$K$4:$AJ$4,0))))=0,NA(),SUMPRODUCT((Inputs!$A$5:$A$140=$B11)*Inputs!$B$5:$B$140*(((Inputs!$G$5:$G$140="moeda")+(Inputs!$G$5:$G$140="acoes"))*Inputs!$B$1+((Inputs!$G$5:$G$140&lt;&gt;"moeda")*(Inputs!$G$5:$G$140&lt;&gt;"acoes")))*INDEX(Inputs!$K$5:$AJ$140,0,MATCH(K$2,Inputs!$K$4:$AJ$4,0)))+SUMPRODUCT((Inputs!$C$5:$C$140=$B11)*Inputs!$D$5:$D$140*(((Inputs!$G$5:$G$140="moeda")+(Inputs!$G$5:$G$140="acoes"))*Inputs!$B$1+((Inputs!$G$5:$G$140&lt;&gt;"moeda")*(Inputs!$G$5:$G$140&lt;&gt;"acoes")))*INDEX(Inputs!$K$5:$AJ$140,0,MATCH(K$2,Inputs!$K$4:$AJ$4,0)))+SUMPRODUCT((Inputs!$E$5:$E$140=$B11)*Inputs!$F$5:$F$140*(((Inputs!$G$5:$G$140="moeda")+(Inputs!$G$5:$G$140="acoes"))*Inputs!$B$1+((Inputs!$G$5:$G$140&lt;&gt;"moeda")*(Inputs!$G$5:$G$140&lt;&gt;"acoes")))*INDEX(Inputs!$K$5:$AJ$140,0,MATCH(K$2,Inputs!$K$4:$AJ$4,0)))))</f>
        <v>#N/A</v>
      </c>
      <c r="L11" s="6" t="e">
        <f>IF(ISNA(MATCH(L$2,Inputs!$K$4:$AJ$4,0)),NA(),IF(SUMPRODUCT((Inputs!$A$5:$A$140=$B11)*ISNUMBER(INDEX(Inputs!$K$5:$AJ$140,0,MATCH(L$2,Inputs!$K$4:$AJ$4,0))))+SUMPRODUCT((Inputs!$C$5:$C$140=$B11)*ISNUMBER(INDEX(Inputs!$K$5:$AJ$140,0,MATCH(L$2,Inputs!$K$4:$AJ$4,0))))+SUMPRODUCT((Inputs!$E$5:$E$140=$B11)*ISNUMBER(INDEX(Inputs!$K$5:$AJ$140,0,MATCH(L$2,Inputs!$K$4:$AJ$4,0))))=0,NA(),SUMPRODUCT((Inputs!$A$5:$A$140=$B11)*Inputs!$B$5:$B$140*(((Inputs!$G$5:$G$140="moeda")+(Inputs!$G$5:$G$140="acoes"))*Inputs!$B$1+((Inputs!$G$5:$G$140&lt;&gt;"moeda")*(Inputs!$G$5:$G$140&lt;&gt;"acoes")))*INDEX(Inputs!$K$5:$AJ$140,0,MATCH(L$2,Inputs!$K$4:$AJ$4,0)))+SUMPRODUCT((Inputs!$C$5:$C$140=$B11)*Inputs!$D$5:$D$140*(((Inputs!$G$5:$G$140="moeda")+(Inputs!$G$5:$G$140="acoes"))*Inputs!$B$1+((Inputs!$G$5:$G$140&lt;&gt;"moeda")*(Inputs!$G$5:$G$140&lt;&gt;"acoes")))*INDEX(Inputs!$K$5:$AJ$140,0,MATCH(L$2,Inputs!$K$4:$AJ$4,0)))+SUMPRODUCT((Inputs!$E$5:$E$140=$B11)*Inputs!$F$5:$F$140*(((Inputs!$G$5:$G$140="moeda")+(Inputs!$G$5:$G$140="acoes"))*Inputs!$B$1+((Inputs!$G$5:$G$140&lt;&gt;"moeda")*(Inputs!$G$5:$G$140&lt;&gt;"acoes")))*INDEX(Inputs!$K$5:$AJ$140,0,MATCH(L$2,Inputs!$K$4:$AJ$4,0)))))</f>
        <v>#N/A</v>
      </c>
      <c r="M11" s="3" t="e">
        <f>SUM(I11:L11)</f>
        <v>#N/A</v>
      </c>
      <c r="N11" s="6" t="e">
        <f>IF(ISNA(MATCH(N$2,Inputs!$K$4:$AJ$4,0)),NA(),IF(SUMPRODUCT((Inputs!$A$5:$A$140=$B11)*ISNUMBER(INDEX(Inputs!$K$5:$AJ$140,0,MATCH(N$2,Inputs!$K$4:$AJ$4,0))))+SUMPRODUCT((Inputs!$C$5:$C$140=$B11)*ISNUMBER(INDEX(Inputs!$K$5:$AJ$140,0,MATCH(N$2,Inputs!$K$4:$AJ$4,0))))+SUMPRODUCT((Inputs!$E$5:$E$140=$B11)*ISNUMBER(INDEX(Inputs!$K$5:$AJ$140,0,MATCH(N$2,Inputs!$K$4:$AJ$4,0))))=0,NA(),SUMPRODUCT((Inputs!$A$5:$A$140=$B11)*Inputs!$B$5:$B$140*(((Inputs!$G$5:$G$140="moeda")+(Inputs!$G$5:$G$140="acoes"))*Inputs!$B$1+((Inputs!$G$5:$G$140&lt;&gt;"moeda")*(Inputs!$G$5:$G$140&lt;&gt;"acoes")))*INDEX(Inputs!$K$5:$AJ$140,0,MATCH(N$2,Inputs!$K$4:$AJ$4,0)))+SUMPRODUCT((Inputs!$C$5:$C$140=$B11)*Inputs!$D$5:$D$140*(((Inputs!$G$5:$G$140="moeda")+(Inputs!$G$5:$G$140="acoes"))*Inputs!$B$1+((Inputs!$G$5:$G$140&lt;&gt;"moeda")*(Inputs!$G$5:$G$140&lt;&gt;"acoes")))*INDEX(Inputs!$K$5:$AJ$140,0,MATCH(N$2,Inputs!$K$4:$AJ$4,0)))+SUMPRODUCT((Inputs!$E$5:$E$140=$B11)*Inputs!$F$5:$F$140*(((Inputs!$G$5:$G$140="moeda")+(Inputs!$G$5:$G$140="acoes"))*Inputs!$B$1+((Inputs!$G$5:$G$140&lt;&gt;"moeda")*(Inputs!$G$5:$G$140&lt;&gt;"acoes")))*INDEX(Inputs!$K$5:$AJ$140,0,MATCH(N$2,Inputs!$K$4:$AJ$4,0)))))</f>
        <v>#N/A</v>
      </c>
      <c r="O11" s="6" t="e">
        <f>IF(ISNA(MATCH(O$2,Inputs!$K$4:$AJ$4,0)),NA(),IF(SUMPRODUCT((Inputs!$A$5:$A$140=$B11)*ISNUMBER(INDEX(Inputs!$K$5:$AJ$140,0,MATCH(O$2,Inputs!$K$4:$AJ$4,0))))+SUMPRODUCT((Inputs!$C$5:$C$140=$B11)*ISNUMBER(INDEX(Inputs!$K$5:$AJ$140,0,MATCH(O$2,Inputs!$K$4:$AJ$4,0))))+SUMPRODUCT((Inputs!$E$5:$E$140=$B11)*ISNUMBER(INDEX(Inputs!$K$5:$AJ$140,0,MATCH(O$2,Inputs!$K$4:$AJ$4,0))))=0,NA(),SUMPRODUCT((Inputs!$A$5:$A$140=$B11)*Inputs!$B$5:$B$140*(((Inputs!$G$5:$G$140="moeda")+(Inputs!$G$5:$G$140="acoes"))*Inputs!$B$1+((Inputs!$G$5:$G$140&lt;&gt;"moeda")*(Inputs!$G$5:$G$140&lt;&gt;"acoes")))*INDEX(Inputs!$K$5:$AJ$140,0,MATCH(O$2,Inputs!$K$4:$AJ$4,0)))+SUMPRODUCT((Inputs!$C$5:$C$140=$B11)*Inputs!$D$5:$D$140*(((Inputs!$G$5:$G$140="moeda")+(Inputs!$G$5:$G$140="acoes"))*Inputs!$B$1+((Inputs!$G$5:$G$140&lt;&gt;"moeda")*(Inputs!$G$5:$G$140&lt;&gt;"acoes")))*INDEX(Inputs!$K$5:$AJ$140,0,MATCH(O$2,Inputs!$K$4:$AJ$4,0)))+SUMPRODUCT((Inputs!$E$5:$E$140=$B11)*Inputs!$F$5:$F$140*(((Inputs!$G$5:$G$140="moeda")+(Inputs!$G$5:$G$140="acoes"))*Inputs!$B$1+((Inputs!$G$5:$G$140&lt;&gt;"moeda")*(Inputs!$G$5:$G$140&lt;&gt;"acoes")))*INDEX(Inputs!$K$5:$AJ$140,0,MATCH(O$2,Inputs!$K$4:$AJ$4,0)))))</f>
        <v>#N/A</v>
      </c>
      <c r="P11" s="6" t="e">
        <f>IF(ISNA(MATCH(P$2,Inputs!$K$4:$AJ$4,0)),NA(),IF(SUMPRODUCT((Inputs!$A$5:$A$140=$B11)*ISNUMBER(INDEX(Inputs!$K$5:$AJ$140,0,MATCH(P$2,Inputs!$K$4:$AJ$4,0))))+SUMPRODUCT((Inputs!$C$5:$C$140=$B11)*ISNUMBER(INDEX(Inputs!$K$5:$AJ$140,0,MATCH(P$2,Inputs!$K$4:$AJ$4,0))))+SUMPRODUCT((Inputs!$E$5:$E$140=$B11)*ISNUMBER(INDEX(Inputs!$K$5:$AJ$140,0,MATCH(P$2,Inputs!$K$4:$AJ$4,0))))=0,NA(),SUMPRODUCT((Inputs!$A$5:$A$140=$B11)*Inputs!$B$5:$B$140*(((Inputs!$G$5:$G$140="moeda")+(Inputs!$G$5:$G$140="acoes"))*Inputs!$B$1+((Inputs!$G$5:$G$140&lt;&gt;"moeda")*(Inputs!$G$5:$G$140&lt;&gt;"acoes")))*INDEX(Inputs!$K$5:$AJ$140,0,MATCH(P$2,Inputs!$K$4:$AJ$4,0)))+SUMPRODUCT((Inputs!$C$5:$C$140=$B11)*Inputs!$D$5:$D$140*(((Inputs!$G$5:$G$140="moeda")+(Inputs!$G$5:$G$140="acoes"))*Inputs!$B$1+((Inputs!$G$5:$G$140&lt;&gt;"moeda")*(Inputs!$G$5:$G$140&lt;&gt;"acoes")))*INDEX(Inputs!$K$5:$AJ$140,0,MATCH(P$2,Inputs!$K$4:$AJ$4,0)))+SUMPRODUCT((Inputs!$E$5:$E$140=$B11)*Inputs!$F$5:$F$140*(((Inputs!$G$5:$G$140="moeda")+(Inputs!$G$5:$G$140="acoes"))*Inputs!$B$1+((Inputs!$G$5:$G$140&lt;&gt;"moeda")*(Inputs!$G$5:$G$140&lt;&gt;"acoes")))*INDEX(Inputs!$K$5:$AJ$140,0,MATCH(P$2,Inputs!$K$4:$AJ$4,0)))))</f>
        <v>#N/A</v>
      </c>
      <c r="Q11" s="6" t="e">
        <f>IF(ISNA(MATCH(Q$2,Inputs!$K$4:$AJ$4,0)),NA(),IF(SUMPRODUCT((Inputs!$A$5:$A$140=$B11)*ISNUMBER(INDEX(Inputs!$K$5:$AJ$140,0,MATCH(Q$2,Inputs!$K$4:$AJ$4,0))))+SUMPRODUCT((Inputs!$C$5:$C$140=$B11)*ISNUMBER(INDEX(Inputs!$K$5:$AJ$140,0,MATCH(Q$2,Inputs!$K$4:$AJ$4,0))))+SUMPRODUCT((Inputs!$E$5:$E$140=$B11)*ISNUMBER(INDEX(Inputs!$K$5:$AJ$140,0,MATCH(Q$2,Inputs!$K$4:$AJ$4,0))))=0,NA(),SUMPRODUCT((Inputs!$A$5:$A$140=$B11)*Inputs!$B$5:$B$140*(((Inputs!$G$5:$G$140="moeda")+(Inputs!$G$5:$G$140="acoes"))*Inputs!$B$1+((Inputs!$G$5:$G$140&lt;&gt;"moeda")*(Inputs!$G$5:$G$140&lt;&gt;"acoes")))*INDEX(Inputs!$K$5:$AJ$140,0,MATCH(Q$2,Inputs!$K$4:$AJ$4,0)))+SUMPRODUCT((Inputs!$C$5:$C$140=$B11)*Inputs!$D$5:$D$140*(((Inputs!$G$5:$G$140="moeda")+(Inputs!$G$5:$G$140="acoes"))*Inputs!$B$1+((Inputs!$G$5:$G$140&lt;&gt;"moeda")*(Inputs!$G$5:$G$140&lt;&gt;"acoes")))*INDEX(Inputs!$K$5:$AJ$140,0,MATCH(Q$2,Inputs!$K$4:$AJ$4,0)))+SUMPRODUCT((Inputs!$E$5:$E$140=$B11)*Inputs!$F$5:$F$140*(((Inputs!$G$5:$G$140="moeda")+(Inputs!$G$5:$G$140="acoes"))*Inputs!$B$1+((Inputs!$G$5:$G$140&lt;&gt;"moeda")*(Inputs!$G$5:$G$140&lt;&gt;"acoes")))*INDEX(Inputs!$K$5:$AJ$140,0,MATCH(Q$2,Inputs!$K$4:$AJ$4,0)))))</f>
        <v>#N/A</v>
      </c>
      <c r="R11" s="3" t="e">
        <f>SUM(N11:Q11)</f>
        <v>#N/A</v>
      </c>
      <c r="S11" s="6" t="e">
        <f>IF(ISNA(MATCH(S$2,Inputs!$K$4:$AJ$4,0)),NA(),IF(SUMPRODUCT((Inputs!$A$5:$A$140=$B11)*ISNUMBER(INDEX(Inputs!$K$5:$AJ$140,0,MATCH(S$2,Inputs!$K$4:$AJ$4,0))))+SUMPRODUCT((Inputs!$C$5:$C$140=$B11)*ISNUMBER(INDEX(Inputs!$K$5:$AJ$140,0,MATCH(S$2,Inputs!$K$4:$AJ$4,0))))+SUMPRODUCT((Inputs!$E$5:$E$140=$B11)*ISNUMBER(INDEX(Inputs!$K$5:$AJ$140,0,MATCH(S$2,Inputs!$K$4:$AJ$4,0))))=0,NA(),SUMPRODUCT((Inputs!$A$5:$A$140=$B11)*Inputs!$B$5:$B$140*(((Inputs!$G$5:$G$140="moeda")+(Inputs!$G$5:$G$140="acoes"))*Inputs!$B$1+((Inputs!$G$5:$G$140&lt;&gt;"moeda")*(Inputs!$G$5:$G$140&lt;&gt;"acoes")))*INDEX(Inputs!$K$5:$AJ$140,0,MATCH(S$2,Inputs!$K$4:$AJ$4,0)))+SUMPRODUCT((Inputs!$C$5:$C$140=$B11)*Inputs!$D$5:$D$140*(((Inputs!$G$5:$G$140="moeda")+(Inputs!$G$5:$G$140="acoes"))*Inputs!$B$1+((Inputs!$G$5:$G$140&lt;&gt;"moeda")*(Inputs!$G$5:$G$140&lt;&gt;"acoes")))*INDEX(Inputs!$K$5:$AJ$140,0,MATCH(S$2,Inputs!$K$4:$AJ$4,0)))+SUMPRODUCT((Inputs!$E$5:$E$140=$B11)*Inputs!$F$5:$F$140*(((Inputs!$G$5:$G$140="moeda")+(Inputs!$G$5:$G$140="acoes"))*Inputs!$B$1+((Inputs!$G$5:$G$140&lt;&gt;"moeda")*(Inputs!$G$5:$G$140&lt;&gt;"acoes")))*INDEX(Inputs!$K$5:$AJ$140,0,MATCH(S$2,Inputs!$K$4:$AJ$4,0)))))</f>
        <v>#N/A</v>
      </c>
      <c r="T11" s="6" t="e">
        <f>IF(ISNA(MATCH(T$2,Inputs!$K$4:$AJ$4,0)),NA(),IF(SUMPRODUCT((Inputs!$A$5:$A$140=$B11)*ISNUMBER(INDEX(Inputs!$K$5:$AJ$140,0,MATCH(T$2,Inputs!$K$4:$AJ$4,0))))+SUMPRODUCT((Inputs!$C$5:$C$140=$B11)*ISNUMBER(INDEX(Inputs!$K$5:$AJ$140,0,MATCH(T$2,Inputs!$K$4:$AJ$4,0))))+SUMPRODUCT((Inputs!$E$5:$E$140=$B11)*ISNUMBER(INDEX(Inputs!$K$5:$AJ$140,0,MATCH(T$2,Inputs!$K$4:$AJ$4,0))))=0,NA(),SUMPRODUCT((Inputs!$A$5:$A$140=$B11)*Inputs!$B$5:$B$140*(((Inputs!$G$5:$G$140="moeda")+(Inputs!$G$5:$G$140="acoes"))*Inputs!$B$1+((Inputs!$G$5:$G$140&lt;&gt;"moeda")*(Inputs!$G$5:$G$140&lt;&gt;"acoes")))*INDEX(Inputs!$K$5:$AJ$140,0,MATCH(T$2,Inputs!$K$4:$AJ$4,0)))+SUMPRODUCT((Inputs!$C$5:$C$140=$B11)*Inputs!$D$5:$D$140*(((Inputs!$G$5:$G$140="moeda")+(Inputs!$G$5:$G$140="acoes"))*Inputs!$B$1+((Inputs!$G$5:$G$140&lt;&gt;"moeda")*(Inputs!$G$5:$G$140&lt;&gt;"acoes")))*INDEX(Inputs!$K$5:$AJ$140,0,MATCH(T$2,Inputs!$K$4:$AJ$4,0)))+SUMPRODUCT((Inputs!$E$5:$E$140=$B11)*Inputs!$F$5:$F$140*(((Inputs!$G$5:$G$140="moeda")+(Inputs!$G$5:$G$140="acoes"))*Inputs!$B$1+((Inputs!$G$5:$G$140&lt;&gt;"moeda")*(Inputs!$G$5:$G$140&lt;&gt;"acoes")))*INDEX(Inputs!$K$5:$AJ$140,0,MATCH(T$2,Inputs!$K$4:$AJ$4,0)))))</f>
        <v>#N/A</v>
      </c>
      <c r="U11" s="6" t="e">
        <f>IF(ISNA(MATCH(U$2,Inputs!$K$4:$AJ$4,0)),NA(),IF(SUMPRODUCT((Inputs!$A$5:$A$140=$B11)*ISNUMBER(INDEX(Inputs!$K$5:$AJ$140,0,MATCH(U$2,Inputs!$K$4:$AJ$4,0))))+SUMPRODUCT((Inputs!$C$5:$C$140=$B11)*ISNUMBER(INDEX(Inputs!$K$5:$AJ$140,0,MATCH(U$2,Inputs!$K$4:$AJ$4,0))))+SUMPRODUCT((Inputs!$E$5:$E$140=$B11)*ISNUMBER(INDEX(Inputs!$K$5:$AJ$140,0,MATCH(U$2,Inputs!$K$4:$AJ$4,0))))=0,NA(),SUMPRODUCT((Inputs!$A$5:$A$140=$B11)*Inputs!$B$5:$B$140*(((Inputs!$G$5:$G$140="moeda")+(Inputs!$G$5:$G$140="acoes"))*Inputs!$B$1+((Inputs!$G$5:$G$140&lt;&gt;"moeda")*(Inputs!$G$5:$G$140&lt;&gt;"acoes")))*INDEX(Inputs!$K$5:$AJ$140,0,MATCH(U$2,Inputs!$K$4:$AJ$4,0)))+SUMPRODUCT((Inputs!$C$5:$C$140=$B11)*Inputs!$D$5:$D$140*(((Inputs!$G$5:$G$140="moeda")+(Inputs!$G$5:$G$140="acoes"))*Inputs!$B$1+((Inputs!$G$5:$G$140&lt;&gt;"moeda")*(Inputs!$G$5:$G$140&lt;&gt;"acoes")))*INDEX(Inputs!$K$5:$AJ$140,0,MATCH(U$2,Inputs!$K$4:$AJ$4,0)))+SUMPRODUCT((Inputs!$E$5:$E$140=$B11)*Inputs!$F$5:$F$140*(((Inputs!$G$5:$G$140="moeda")+(Inputs!$G$5:$G$140="acoes"))*Inputs!$B$1+((Inputs!$G$5:$G$140&lt;&gt;"moeda")*(Inputs!$G$5:$G$140&lt;&gt;"acoes")))*INDEX(Inputs!$K$5:$AJ$140,0,MATCH(U$2,Inputs!$K$4:$AJ$4,0)))))</f>
        <v>#N/A</v>
      </c>
      <c r="V11" s="6" t="e">
        <f>IF(ISNA(MATCH(V$2,Inputs!$K$4:$AJ$4,0)),NA(),IF(SUMPRODUCT((Inputs!$A$5:$A$140=$B11)*ISNUMBER(INDEX(Inputs!$K$5:$AJ$140,0,MATCH(V$2,Inputs!$K$4:$AJ$4,0))))+SUMPRODUCT((Inputs!$C$5:$C$140=$B11)*ISNUMBER(INDEX(Inputs!$K$5:$AJ$140,0,MATCH(V$2,Inputs!$K$4:$AJ$4,0))))+SUMPRODUCT((Inputs!$E$5:$E$140=$B11)*ISNUMBER(INDEX(Inputs!$K$5:$AJ$140,0,MATCH(V$2,Inputs!$K$4:$AJ$4,0))))=0,NA(),SUMPRODUCT((Inputs!$A$5:$A$140=$B11)*Inputs!$B$5:$B$140*(((Inputs!$G$5:$G$140="moeda")+(Inputs!$G$5:$G$140="acoes"))*Inputs!$B$1+((Inputs!$G$5:$G$140&lt;&gt;"moeda")*(Inputs!$G$5:$G$140&lt;&gt;"acoes")))*INDEX(Inputs!$K$5:$AJ$140,0,MATCH(V$2,Inputs!$K$4:$AJ$4,0)))+SUMPRODUCT((Inputs!$C$5:$C$140=$B11)*Inputs!$D$5:$D$140*(((Inputs!$G$5:$G$140="moeda")+(Inputs!$G$5:$G$140="acoes"))*Inputs!$B$1+((Inputs!$G$5:$G$140&lt;&gt;"moeda")*(Inputs!$G$5:$G$140&lt;&gt;"acoes")))*INDEX(Inputs!$K$5:$AJ$140,0,MATCH(V$2,Inputs!$K$4:$AJ$4,0)))+SUMPRODUCT((Inputs!$E$5:$E$140=$B11)*Inputs!$F$5:$F$140*(((Inputs!$G$5:$G$140="moeda")+(Inputs!$G$5:$G$140="acoes"))*Inputs!$B$1+((Inputs!$G$5:$G$140&lt;&gt;"moeda")*(Inputs!$G$5:$G$140&lt;&gt;"acoes")))*INDEX(Inputs!$K$5:$AJ$140,0,MATCH(V$2,Inputs!$K$4:$AJ$4,0)))))</f>
        <v>#N/A</v>
      </c>
      <c r="W11" s="3" t="e">
        <f>SUM(S11:V11)</f>
        <v>#N/A</v>
      </c>
      <c r="X11" s="6" t="e">
        <f>IF(ISNA(MATCH(X$2,Inputs!$K$4:$AJ$4,0)),NA(),IF(SUMPRODUCT((Inputs!$A$5:$A$140=$B11)*ISNUMBER(INDEX(Inputs!$K$5:$AJ$140,0,MATCH(X$2,Inputs!$K$4:$AJ$4,0))))+SUMPRODUCT((Inputs!$C$5:$C$140=$B11)*ISNUMBER(INDEX(Inputs!$K$5:$AJ$140,0,MATCH(X$2,Inputs!$K$4:$AJ$4,0))))+SUMPRODUCT((Inputs!$E$5:$E$140=$B11)*ISNUMBER(INDEX(Inputs!$K$5:$AJ$140,0,MATCH(X$2,Inputs!$K$4:$AJ$4,0))))=0,NA(),SUMPRODUCT((Inputs!$A$5:$A$140=$B11)*Inputs!$B$5:$B$140*(((Inputs!$G$5:$G$140="moeda")+(Inputs!$G$5:$G$140="acoes"))*Inputs!$B$1+((Inputs!$G$5:$G$140&lt;&gt;"moeda")*(Inputs!$G$5:$G$140&lt;&gt;"acoes")))*INDEX(Inputs!$K$5:$AJ$140,0,MATCH(X$2,Inputs!$K$4:$AJ$4,0)))+SUMPRODUCT((Inputs!$C$5:$C$140=$B11)*Inputs!$D$5:$D$140*(((Inputs!$G$5:$G$140="moeda")+(Inputs!$G$5:$G$140="acoes"))*Inputs!$B$1+((Inputs!$G$5:$G$140&lt;&gt;"moeda")*(Inputs!$G$5:$G$140&lt;&gt;"acoes")))*INDEX(Inputs!$K$5:$AJ$140,0,MATCH(X$2,Inputs!$K$4:$AJ$4,0)))+SUMPRODUCT((Inputs!$E$5:$E$140=$B11)*Inputs!$F$5:$F$140*(((Inputs!$G$5:$G$140="moeda")+(Inputs!$G$5:$G$140="acoes"))*Inputs!$B$1+((Inputs!$G$5:$G$140&lt;&gt;"moeda")*(Inputs!$G$5:$G$140&lt;&gt;"acoes")))*INDEX(Inputs!$K$5:$AJ$140,0,MATCH(X$2,Inputs!$K$4:$AJ$4,0)))))</f>
        <v>#N/A</v>
      </c>
      <c r="Y11" s="6" t="e">
        <f>IF(ISNA(MATCH(Y$2,Inputs!$K$4:$AJ$4,0)),NA(),IF(SUMPRODUCT((Inputs!$A$5:$A$140=$B11)*ISNUMBER(INDEX(Inputs!$K$5:$AJ$140,0,MATCH(Y$2,Inputs!$K$4:$AJ$4,0))))+SUMPRODUCT((Inputs!$C$5:$C$140=$B11)*ISNUMBER(INDEX(Inputs!$K$5:$AJ$140,0,MATCH(Y$2,Inputs!$K$4:$AJ$4,0))))+SUMPRODUCT((Inputs!$E$5:$E$140=$B11)*ISNUMBER(INDEX(Inputs!$K$5:$AJ$140,0,MATCH(Y$2,Inputs!$K$4:$AJ$4,0))))=0,NA(),SUMPRODUCT((Inputs!$A$5:$A$140=$B11)*Inputs!$B$5:$B$140*(((Inputs!$G$5:$G$140="moeda")+(Inputs!$G$5:$G$140="acoes"))*Inputs!$B$1+((Inputs!$G$5:$G$140&lt;&gt;"moeda")*(Inputs!$G$5:$G$140&lt;&gt;"acoes")))*INDEX(Inputs!$K$5:$AJ$140,0,MATCH(Y$2,Inputs!$K$4:$AJ$4,0)))+SUMPRODUCT((Inputs!$C$5:$C$140=$B11)*Inputs!$D$5:$D$140*(((Inputs!$G$5:$G$140="moeda")+(Inputs!$G$5:$G$140="acoes"))*Inputs!$B$1+((Inputs!$G$5:$G$140&lt;&gt;"moeda")*(Inputs!$G$5:$G$140&lt;&gt;"acoes")))*INDEX(Inputs!$K$5:$AJ$140,0,MATCH(Y$2,Inputs!$K$4:$AJ$4,0)))+SUMPRODUCT((Inputs!$E$5:$E$140=$B11)*Inputs!$F$5:$F$140*(((Inputs!$G$5:$G$140="moeda")+(Inputs!$G$5:$G$140="acoes"))*Inputs!$B$1+((Inputs!$G$5:$G$140&lt;&gt;"moeda")*(Inputs!$G$5:$G$140&lt;&gt;"acoes")))*INDEX(Inputs!$K$5:$AJ$140,0,MATCH(Y$2,Inputs!$K$4:$AJ$4,0)))))</f>
        <v>#N/A</v>
      </c>
      <c r="Z11" s="6" t="e">
        <f>IF(ISNA(MATCH(Z$2,Inputs!$K$4:$AJ$4,0)),NA(),IF(SUMPRODUCT((Inputs!$A$5:$A$140=$B11)*ISNUMBER(INDEX(Inputs!$K$5:$AJ$140,0,MATCH(Z$2,Inputs!$K$4:$AJ$4,0))))+SUMPRODUCT((Inputs!$C$5:$C$140=$B11)*ISNUMBER(INDEX(Inputs!$K$5:$AJ$140,0,MATCH(Z$2,Inputs!$K$4:$AJ$4,0))))+SUMPRODUCT((Inputs!$E$5:$E$140=$B11)*ISNUMBER(INDEX(Inputs!$K$5:$AJ$140,0,MATCH(Z$2,Inputs!$K$4:$AJ$4,0))))=0,NA(),SUMPRODUCT((Inputs!$A$5:$A$140=$B11)*Inputs!$B$5:$B$140*(((Inputs!$G$5:$G$140="moeda")+(Inputs!$G$5:$G$140="acoes"))*Inputs!$B$1+((Inputs!$G$5:$G$140&lt;&gt;"moeda")*(Inputs!$G$5:$G$140&lt;&gt;"acoes")))*INDEX(Inputs!$K$5:$AJ$140,0,MATCH(Z$2,Inputs!$K$4:$AJ$4,0)))+SUMPRODUCT((Inputs!$C$5:$C$140=$B11)*Inputs!$D$5:$D$140*(((Inputs!$G$5:$G$140="moeda")+(Inputs!$G$5:$G$140="acoes"))*Inputs!$B$1+((Inputs!$G$5:$G$140&lt;&gt;"moeda")*(Inputs!$G$5:$G$140&lt;&gt;"acoes")))*INDEX(Inputs!$K$5:$AJ$140,0,MATCH(Z$2,Inputs!$K$4:$AJ$4,0)))+SUMPRODUCT((Inputs!$E$5:$E$140=$B11)*Inputs!$F$5:$F$140*(((Inputs!$G$5:$G$140="moeda")+(Inputs!$G$5:$G$140="acoes"))*Inputs!$B$1+((Inputs!$G$5:$G$140&lt;&gt;"moeda")*(Inputs!$G$5:$G$140&lt;&gt;"acoes")))*INDEX(Inputs!$K$5:$AJ$140,0,MATCH(Z$2,Inputs!$K$4:$AJ$4,0)))))</f>
        <v>#N/A</v>
      </c>
      <c r="AA11" s="6" t="e">
        <f>IF(ISNA(MATCH(AA$2,Inputs!$K$4:$AJ$4,0)),NA(),IF(SUMPRODUCT((Inputs!$A$5:$A$140=$B11)*ISNUMBER(INDEX(Inputs!$K$5:$AJ$140,0,MATCH(AA$2,Inputs!$K$4:$AJ$4,0))))+SUMPRODUCT((Inputs!$C$5:$C$140=$B11)*ISNUMBER(INDEX(Inputs!$K$5:$AJ$140,0,MATCH(AA$2,Inputs!$K$4:$AJ$4,0))))+SUMPRODUCT((Inputs!$E$5:$E$140=$B11)*ISNUMBER(INDEX(Inputs!$K$5:$AJ$140,0,MATCH(AA$2,Inputs!$K$4:$AJ$4,0))))=0,NA(),SUMPRODUCT((Inputs!$A$5:$A$140=$B11)*Inputs!$B$5:$B$140*(((Inputs!$G$5:$G$140="moeda")+(Inputs!$G$5:$G$140="acoes"))*Inputs!$B$1+((Inputs!$G$5:$G$140&lt;&gt;"moeda")*(Inputs!$G$5:$G$140&lt;&gt;"acoes")))*INDEX(Inputs!$K$5:$AJ$140,0,MATCH(AA$2,Inputs!$K$4:$AJ$4,0)))+SUMPRODUCT((Inputs!$C$5:$C$140=$B11)*Inputs!$D$5:$D$140*(((Inputs!$G$5:$G$140="moeda")+(Inputs!$G$5:$G$140="acoes"))*Inputs!$B$1+((Inputs!$G$5:$G$140&lt;&gt;"moeda")*(Inputs!$G$5:$G$140&lt;&gt;"acoes")))*INDEX(Inputs!$K$5:$AJ$140,0,MATCH(AA$2,Inputs!$K$4:$AJ$4,0)))+SUMPRODUCT((Inputs!$E$5:$E$140=$B11)*Inputs!$F$5:$F$140*(((Inputs!$G$5:$G$140="moeda")+(Inputs!$G$5:$G$140="acoes"))*Inputs!$B$1+((Inputs!$G$5:$G$140&lt;&gt;"moeda")*(Inputs!$G$5:$G$140&lt;&gt;"acoes")))*INDEX(Inputs!$K$5:$AJ$140,0,MATCH(AA$2,Inputs!$K$4:$AJ$4,0)))))</f>
        <v>#N/A</v>
      </c>
      <c r="AB11" s="3" t="e">
        <f>SUM(X11:AA11)</f>
        <v>#N/A</v>
      </c>
      <c r="AC11" s="6" t="e">
        <f>IF(ISNA(MATCH(AC$2,Inputs!$K$4:$AJ$4,0)),NA(),IF(SUMPRODUCT((Inputs!$A$5:$A$140=$B11)*ISNUMBER(INDEX(Inputs!$K$5:$AJ$140,0,MATCH(AC$2,Inputs!$K$4:$AJ$4,0))))+SUMPRODUCT((Inputs!$C$5:$C$140=$B11)*ISNUMBER(INDEX(Inputs!$K$5:$AJ$140,0,MATCH(AC$2,Inputs!$K$4:$AJ$4,0))))+SUMPRODUCT((Inputs!$E$5:$E$140=$B11)*ISNUMBER(INDEX(Inputs!$K$5:$AJ$140,0,MATCH(AC$2,Inputs!$K$4:$AJ$4,0))))=0,NA(),SUMPRODUCT((Inputs!$A$5:$A$140=$B11)*Inputs!$B$5:$B$140*(((Inputs!$G$5:$G$140="moeda")+(Inputs!$G$5:$G$140="acoes"))*Inputs!$B$1+((Inputs!$G$5:$G$140&lt;&gt;"moeda")*(Inputs!$G$5:$G$140&lt;&gt;"acoes")))*INDEX(Inputs!$K$5:$AJ$140,0,MATCH(AC$2,Inputs!$K$4:$AJ$4,0)))+SUMPRODUCT((Inputs!$C$5:$C$140=$B11)*Inputs!$D$5:$D$140*(((Inputs!$G$5:$G$140="moeda")+(Inputs!$G$5:$G$140="acoes"))*Inputs!$B$1+((Inputs!$G$5:$G$140&lt;&gt;"moeda")*(Inputs!$G$5:$G$140&lt;&gt;"acoes")))*INDEX(Inputs!$K$5:$AJ$140,0,MATCH(AC$2,Inputs!$K$4:$AJ$4,0)))+SUMPRODUCT((Inputs!$E$5:$E$140=$B11)*Inputs!$F$5:$F$140*(((Inputs!$G$5:$G$140="moeda")+(Inputs!$G$5:$G$140="acoes"))*Inputs!$B$1+((Inputs!$G$5:$G$140&lt;&gt;"moeda")*(Inputs!$G$5:$G$140&lt;&gt;"acoes")))*INDEX(Inputs!$K$5:$AJ$140,0,MATCH(AC$2,Inputs!$K$4:$AJ$4,0)))))</f>
        <v>#N/A</v>
      </c>
      <c r="AD11" s="6" t="e">
        <f>IF(ISNA(MATCH(AD$2,Inputs!$K$4:$AJ$4,0)),NA(),IF(SUMPRODUCT((Inputs!$A$5:$A$140=$B11)*ISNUMBER(INDEX(Inputs!$K$5:$AJ$140,0,MATCH(AD$2,Inputs!$K$4:$AJ$4,0))))+SUMPRODUCT((Inputs!$C$5:$C$140=$B11)*ISNUMBER(INDEX(Inputs!$K$5:$AJ$140,0,MATCH(AD$2,Inputs!$K$4:$AJ$4,0))))+SUMPRODUCT((Inputs!$E$5:$E$140=$B11)*ISNUMBER(INDEX(Inputs!$K$5:$AJ$140,0,MATCH(AD$2,Inputs!$K$4:$AJ$4,0))))=0,NA(),SUMPRODUCT((Inputs!$A$5:$A$140=$B11)*Inputs!$B$5:$B$140*(((Inputs!$G$5:$G$140="moeda")+(Inputs!$G$5:$G$140="acoes"))*Inputs!$B$1+((Inputs!$G$5:$G$140&lt;&gt;"moeda")*(Inputs!$G$5:$G$140&lt;&gt;"acoes")))*INDEX(Inputs!$K$5:$AJ$140,0,MATCH(AD$2,Inputs!$K$4:$AJ$4,0)))+SUMPRODUCT((Inputs!$C$5:$C$140=$B11)*Inputs!$D$5:$D$140*(((Inputs!$G$5:$G$140="moeda")+(Inputs!$G$5:$G$140="acoes"))*Inputs!$B$1+((Inputs!$G$5:$G$140&lt;&gt;"moeda")*(Inputs!$G$5:$G$140&lt;&gt;"acoes")))*INDEX(Inputs!$K$5:$AJ$140,0,MATCH(AD$2,Inputs!$K$4:$AJ$4,0)))+SUMPRODUCT((Inputs!$E$5:$E$140=$B11)*Inputs!$F$5:$F$140*(((Inputs!$G$5:$G$140="moeda")+(Inputs!$G$5:$G$140="acoes"))*Inputs!$B$1+((Inputs!$G$5:$G$140&lt;&gt;"moeda")*(Inputs!$G$5:$G$140&lt;&gt;"acoes")))*INDEX(Inputs!$K$5:$AJ$140,0,MATCH(AD$2,Inputs!$K$4:$AJ$4,0)))))</f>
        <v>#N/A</v>
      </c>
      <c r="AE11" s="6" t="e">
        <f>IF(ISNA(MATCH(AE$2,Inputs!$K$4:$AJ$4,0)),NA(),IF(SUMPRODUCT((Inputs!$A$5:$A$140=$B11)*ISNUMBER(INDEX(Inputs!$K$5:$AJ$140,0,MATCH(AE$2,Inputs!$K$4:$AJ$4,0))))+SUMPRODUCT((Inputs!$C$5:$C$140=$B11)*ISNUMBER(INDEX(Inputs!$K$5:$AJ$140,0,MATCH(AE$2,Inputs!$K$4:$AJ$4,0))))+SUMPRODUCT((Inputs!$E$5:$E$140=$B11)*ISNUMBER(INDEX(Inputs!$K$5:$AJ$140,0,MATCH(AE$2,Inputs!$K$4:$AJ$4,0))))=0,NA(),SUMPRODUCT((Inputs!$A$5:$A$140=$B11)*Inputs!$B$5:$B$140*(((Inputs!$G$5:$G$140="moeda")+(Inputs!$G$5:$G$140="acoes"))*Inputs!$B$1+((Inputs!$G$5:$G$140&lt;&gt;"moeda")*(Inputs!$G$5:$G$140&lt;&gt;"acoes")))*INDEX(Inputs!$K$5:$AJ$140,0,MATCH(AE$2,Inputs!$K$4:$AJ$4,0)))+SUMPRODUCT((Inputs!$C$5:$C$140=$B11)*Inputs!$D$5:$D$140*(((Inputs!$G$5:$G$140="moeda")+(Inputs!$G$5:$G$140="acoes"))*Inputs!$B$1+((Inputs!$G$5:$G$140&lt;&gt;"moeda")*(Inputs!$G$5:$G$140&lt;&gt;"acoes")))*INDEX(Inputs!$K$5:$AJ$140,0,MATCH(AE$2,Inputs!$K$4:$AJ$4,0)))+SUMPRODUCT((Inputs!$E$5:$E$140=$B11)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11" s="6" t="e">
        <f>IF(ISNA(MATCH(AF$2,Inputs!$K$4:$AJ$4,0)),NA(),IF(SUMPRODUCT((Inputs!$A$5:$A$140=$B11)*ISNUMBER(INDEX(Inputs!$K$5:$AJ$140,0,MATCH(AF$2,Inputs!$K$4:$AJ$4,0))))+SUMPRODUCT((Inputs!$C$5:$C$140=$B11)*ISNUMBER(INDEX(Inputs!$K$5:$AJ$140,0,MATCH(AF$2,Inputs!$K$4:$AJ$4,0))))+SUMPRODUCT((Inputs!$E$5:$E$140=$B11)*ISNUMBER(INDEX(Inputs!$K$5:$AJ$140,0,MATCH(AF$2,Inputs!$K$4:$AJ$4,0))))=0,NA(),SUMPRODUCT((Inputs!$A$5:$A$140=$B11)*Inputs!$B$5:$B$140*(((Inputs!$G$5:$G$140="moeda")+(Inputs!$G$5:$G$140="acoes"))*Inputs!$B$1+((Inputs!$G$5:$G$140&lt;&gt;"moeda")*(Inputs!$G$5:$G$140&lt;&gt;"acoes")))*INDEX(Inputs!$K$5:$AJ$140,0,MATCH(AF$2,Inputs!$K$4:$AJ$4,0)))+SUMPRODUCT((Inputs!$C$5:$C$140=$B11)*Inputs!$D$5:$D$140*(((Inputs!$G$5:$G$140="moeda")+(Inputs!$G$5:$G$140="acoes"))*Inputs!$B$1+((Inputs!$G$5:$G$140&lt;&gt;"moeda")*(Inputs!$G$5:$G$140&lt;&gt;"acoes")))*INDEX(Inputs!$K$5:$AJ$140,0,MATCH(AF$2,Inputs!$K$4:$AJ$4,0)))+SUMPRODUCT((Inputs!$E$5:$E$140=$B11)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11" s="3" t="e">
        <f>SUM(AC11:AF11)</f>
        <v>#N/A</v>
      </c>
      <c r="AH11" s="6" t="e">
        <f>IF(ISNA(MATCH(AH$2,Inputs!$K$4:$AJ$4,0)),NA(),IF(SUMPRODUCT((Inputs!$A$5:$A$140=$B11)*ISNUMBER(INDEX(Inputs!$K$5:$AJ$140,0,MATCH(AH$2,Inputs!$K$4:$AJ$4,0))))+SUMPRODUCT((Inputs!$C$5:$C$140=$B11)*ISNUMBER(INDEX(Inputs!$K$5:$AJ$140,0,MATCH(AH$2,Inputs!$K$4:$AJ$4,0))))+SUMPRODUCT((Inputs!$E$5:$E$140=$B11)*ISNUMBER(INDEX(Inputs!$K$5:$AJ$140,0,MATCH(AH$2,Inputs!$K$4:$AJ$4,0))))=0,NA(),SUMPRODUCT((Inputs!$A$5:$A$140=$B11)*Inputs!$B$5:$B$140*(((Inputs!$G$5:$G$140="moeda")+(Inputs!$G$5:$G$140="acoes"))*Inputs!$B$1+((Inputs!$G$5:$G$140&lt;&gt;"moeda")*(Inputs!$G$5:$G$140&lt;&gt;"acoes")))*INDEX(Inputs!$K$5:$AJ$140,0,MATCH(AH$2,Inputs!$K$4:$AJ$4,0)))+SUMPRODUCT((Inputs!$C$5:$C$140=$B11)*Inputs!$D$5:$D$140*(((Inputs!$G$5:$G$140="moeda")+(Inputs!$G$5:$G$140="acoes"))*Inputs!$B$1+((Inputs!$G$5:$G$140&lt;&gt;"moeda")*(Inputs!$G$5:$G$140&lt;&gt;"acoes")))*INDEX(Inputs!$K$5:$AJ$140,0,MATCH(AH$2,Inputs!$K$4:$AJ$4,0)))+SUMPRODUCT((Inputs!$E$5:$E$140=$B11)*Inputs!$F$5:$F$140*(((Inputs!$G$5:$G$140="moeda")+(Inputs!$G$5:$G$140="acoes"))*Inputs!$B$1+((Inputs!$G$5:$G$140&lt;&gt;"moeda")*(Inputs!$G$5:$G$140&lt;&gt;"acoes")))*INDEX(Inputs!$K$5:$AJ$140,0,MATCH(AH$2,Inputs!$K$4:$AJ$4,0)))))</f>
        <v>#N/A</v>
      </c>
      <c r="AI11" s="6" t="e">
        <f>IF(ISNA(MATCH(AI$2,Inputs!$K$4:$AJ$4,0)),NA(),IF(SUMPRODUCT((Inputs!$A$5:$A$140=$B11)*ISNUMBER(INDEX(Inputs!$K$5:$AJ$140,0,MATCH(AI$2,Inputs!$K$4:$AJ$4,0))))+SUMPRODUCT((Inputs!$C$5:$C$140=$B11)*ISNUMBER(INDEX(Inputs!$K$5:$AJ$140,0,MATCH(AI$2,Inputs!$K$4:$AJ$4,0))))+SUMPRODUCT((Inputs!$E$5:$E$140=$B11)*ISNUMBER(INDEX(Inputs!$K$5:$AJ$140,0,MATCH(AI$2,Inputs!$K$4:$AJ$4,0))))=0,NA(),SUMPRODUCT((Inputs!$A$5:$A$140=$B11)*Inputs!$B$5:$B$140*(((Inputs!$G$5:$G$140="moeda")+(Inputs!$G$5:$G$140="acoes"))*Inputs!$B$1+((Inputs!$G$5:$G$140&lt;&gt;"moeda")*(Inputs!$G$5:$G$140&lt;&gt;"acoes")))*INDEX(Inputs!$K$5:$AJ$140,0,MATCH(AI$2,Inputs!$K$4:$AJ$4,0)))+SUMPRODUCT((Inputs!$C$5:$C$140=$B11)*Inputs!$D$5:$D$140*(((Inputs!$G$5:$G$140="moeda")+(Inputs!$G$5:$G$140="acoes"))*Inputs!$B$1+((Inputs!$G$5:$G$140&lt;&gt;"moeda")*(Inputs!$G$5:$G$140&lt;&gt;"acoes")))*INDEX(Inputs!$K$5:$AJ$140,0,MATCH(AI$2,Inputs!$K$4:$AJ$4,0)))+SUMPRODUCT((Inputs!$E$5:$E$140=$B11)*Inputs!$F$5:$F$140*(((Inputs!$G$5:$G$140="moeda")+(Inputs!$G$5:$G$140="acoes"))*Inputs!$B$1+((Inputs!$G$5:$G$140&lt;&gt;"moeda")*(Inputs!$G$5:$G$140&lt;&gt;"acoes")))*INDEX(Inputs!$K$5:$AJ$140,0,MATCH(AI$2,Inputs!$K$4:$AJ$4,0)))))</f>
        <v>#N/A</v>
      </c>
      <c r="AJ11" s="6" t="e">
        <f>IF(ISNA(MATCH(AJ$2,Inputs!$K$4:$AJ$4,0)),NA(),IF(SUMPRODUCT((Inputs!$A$5:$A$140=$B11)*ISNUMBER(INDEX(Inputs!$K$5:$AJ$140,0,MATCH(AJ$2,Inputs!$K$4:$AJ$4,0))))+SUMPRODUCT((Inputs!$C$5:$C$140=$B11)*ISNUMBER(INDEX(Inputs!$K$5:$AJ$140,0,MATCH(AJ$2,Inputs!$K$4:$AJ$4,0))))+SUMPRODUCT((Inputs!$E$5:$E$140=$B11)*ISNUMBER(INDEX(Inputs!$K$5:$AJ$140,0,MATCH(AJ$2,Inputs!$K$4:$AJ$4,0))))=0,NA(),SUMPRODUCT((Inputs!$A$5:$A$140=$B11)*Inputs!$B$5:$B$140*(((Inputs!$G$5:$G$140="moeda")+(Inputs!$G$5:$G$140="acoes"))*Inputs!$B$1+((Inputs!$G$5:$G$140&lt;&gt;"moeda")*(Inputs!$G$5:$G$140&lt;&gt;"acoes")))*INDEX(Inputs!$K$5:$AJ$140,0,MATCH(AJ$2,Inputs!$K$4:$AJ$4,0)))+SUMPRODUCT((Inputs!$C$5:$C$140=$B11)*Inputs!$D$5:$D$140*(((Inputs!$G$5:$G$140="moeda")+(Inputs!$G$5:$G$140="acoes"))*Inputs!$B$1+((Inputs!$G$5:$G$140&lt;&gt;"moeda")*(Inputs!$G$5:$G$140&lt;&gt;"acoes")))*INDEX(Inputs!$K$5:$AJ$140,0,MATCH(AJ$2,Inputs!$K$4:$AJ$4,0)))+SUMPRODUCT((Inputs!$E$5:$E$140=$B11)*Inputs!$F$5:$F$140*(((Inputs!$G$5:$G$140="moeda")+(Inputs!$G$5:$G$140="acoes"))*Inputs!$B$1+((Inputs!$G$5:$G$140&lt;&gt;"moeda")*(Inputs!$G$5:$G$140&lt;&gt;"acoes")))*INDEX(Inputs!$K$5:$AJ$140,0,MATCH(AJ$2,Inputs!$K$4:$AJ$4,0)))))</f>
        <v>#N/A</v>
      </c>
      <c r="AK11" s="6" t="e">
        <f>IF(ISNA(MATCH(AK$2,Inputs!$K$4:$AJ$4,0)),NA(),IF(SUMPRODUCT((Inputs!$A$5:$A$140=$B11)*ISNUMBER(INDEX(Inputs!$K$5:$AJ$140,0,MATCH(AK$2,Inputs!$K$4:$AJ$4,0))))+SUMPRODUCT((Inputs!$C$5:$C$140=$B11)*ISNUMBER(INDEX(Inputs!$K$5:$AJ$140,0,MATCH(AK$2,Inputs!$K$4:$AJ$4,0))))+SUMPRODUCT((Inputs!$E$5:$E$140=$B11)*ISNUMBER(INDEX(Inputs!$K$5:$AJ$140,0,MATCH(AK$2,Inputs!$K$4:$AJ$4,0))))=0,NA(),SUMPRODUCT((Inputs!$A$5:$A$140=$B11)*Inputs!$B$5:$B$140*(((Inputs!$G$5:$G$140="moeda")+(Inputs!$G$5:$G$140="acoes"))*Inputs!$B$1+((Inputs!$G$5:$G$140&lt;&gt;"moeda")*(Inputs!$G$5:$G$140&lt;&gt;"acoes")))*INDEX(Inputs!$K$5:$AJ$140,0,MATCH(AK$2,Inputs!$K$4:$AJ$4,0)))+SUMPRODUCT((Inputs!$C$5:$C$140=$B11)*Inputs!$D$5:$D$140*(((Inputs!$G$5:$G$140="moeda")+(Inputs!$G$5:$G$140="acoes"))*Inputs!$B$1+((Inputs!$G$5:$G$140&lt;&gt;"moeda")*(Inputs!$G$5:$G$140&lt;&gt;"acoes")))*INDEX(Inputs!$K$5:$AJ$140,0,MATCH(AK$2,Inputs!$K$4:$AJ$4,0)))+SUMPRODUCT((Inputs!$E$5:$E$140=$B11)*Inputs!$F$5:$F$140*(((Inputs!$G$5:$G$140="moeda")+(Inputs!$G$5:$G$140="acoes"))*Inputs!$B$1+((Inputs!$G$5:$G$140&lt;&gt;"moeda")*(Inputs!$G$5:$G$140&lt;&gt;"acoes")))*INDEX(Inputs!$K$5:$AJ$140,0,MATCH(AK$2,Inputs!$K$4:$AJ$4,0)))))</f>
        <v>#N/A</v>
      </c>
      <c r="AL11" s="3" t="e">
        <f>SUM(AH11:AK11)</f>
        <v>#N/A</v>
      </c>
    </row>
    <row r="12">
      <c r="B12" s="46" t="n">
        <v>9</v>
      </c>
      <c r="C12" s="26" t="inlineStr">
        <is>
          <t>Minority Interest Expense, after tax (enter as - )</t>
        </is>
      </c>
      <c r="D12" s="6" t="e">
        <f>IF(ISNA(MATCH(D$2,Inputs!$K$4:$AJ$4,0)),NA(),IF(SUMPRODUCT((Inputs!$A$5:$A$140=$B12)*ISNUMBER(INDEX(Inputs!$K$5:$AJ$140,0,MATCH(D$2,Inputs!$K$4:$AJ$4,0))))+SUMPRODUCT((Inputs!$C$5:$C$140=$B12)*ISNUMBER(INDEX(Inputs!$K$5:$AJ$140,0,MATCH(D$2,Inputs!$K$4:$AJ$4,0))))+SUMPRODUCT((Inputs!$E$5:$E$140=$B12)*ISNUMBER(INDEX(Inputs!$K$5:$AJ$140,0,MATCH(D$2,Inputs!$K$4:$AJ$4,0))))=0,NA(),SUMPRODUCT((Inputs!$A$5:$A$140=$B12)*Inputs!$B$5:$B$140*(((Inputs!$G$5:$G$140="moeda")+(Inputs!$G$5:$G$140="acoes"))*Inputs!$B$1+((Inputs!$G$5:$G$140&lt;&gt;"moeda")*(Inputs!$G$5:$G$140&lt;&gt;"acoes")))*INDEX(Inputs!$K$5:$AJ$140,0,MATCH(D$2,Inputs!$K$4:$AJ$4,0)))+SUMPRODUCT((Inputs!$C$5:$C$140=$B12)*Inputs!$D$5:$D$140*(((Inputs!$G$5:$G$140="moeda")+(Inputs!$G$5:$G$140="acoes"))*Inputs!$B$1+((Inputs!$G$5:$G$140&lt;&gt;"moeda")*(Inputs!$G$5:$G$140&lt;&gt;"acoes")))*INDEX(Inputs!$K$5:$AJ$140,0,MATCH(D$2,Inputs!$K$4:$AJ$4,0)))+SUMPRODUCT((Inputs!$E$5:$E$140=$B12)*Inputs!$F$5:$F$140*(((Inputs!$G$5:$G$140="moeda")+(Inputs!$G$5:$G$140="acoes"))*Inputs!$B$1+((Inputs!$G$5:$G$140&lt;&gt;"moeda")*(Inputs!$G$5:$G$140&lt;&gt;"acoes")))*INDEX(Inputs!$K$5:$AJ$140,0,MATCH(D$2,Inputs!$K$4:$AJ$4,0)))))</f>
        <v>#N/A</v>
      </c>
      <c r="E12" s="6" t="e">
        <f>IF(ISNA(MATCH(E$2,Inputs!$K$4:$AJ$4,0)),NA(),IF(SUMPRODUCT((Inputs!$A$5:$A$140=$B12)*ISNUMBER(INDEX(Inputs!$K$5:$AJ$140,0,MATCH(E$2,Inputs!$K$4:$AJ$4,0))))+SUMPRODUCT((Inputs!$C$5:$C$140=$B12)*ISNUMBER(INDEX(Inputs!$K$5:$AJ$140,0,MATCH(E$2,Inputs!$K$4:$AJ$4,0))))+SUMPRODUCT((Inputs!$E$5:$E$140=$B12)*ISNUMBER(INDEX(Inputs!$K$5:$AJ$140,0,MATCH(E$2,Inputs!$K$4:$AJ$4,0))))=0,NA(),SUMPRODUCT((Inputs!$A$5:$A$140=$B12)*Inputs!$B$5:$B$140*(((Inputs!$G$5:$G$140="moeda")+(Inputs!$G$5:$G$140="acoes"))*Inputs!$B$1+((Inputs!$G$5:$G$140&lt;&gt;"moeda")*(Inputs!$G$5:$G$140&lt;&gt;"acoes")))*INDEX(Inputs!$K$5:$AJ$140,0,MATCH(E$2,Inputs!$K$4:$AJ$4,0)))+SUMPRODUCT((Inputs!$C$5:$C$140=$B12)*Inputs!$D$5:$D$140*(((Inputs!$G$5:$G$140="moeda")+(Inputs!$G$5:$G$140="acoes"))*Inputs!$B$1+((Inputs!$G$5:$G$140&lt;&gt;"moeda")*(Inputs!$G$5:$G$140&lt;&gt;"acoes")))*INDEX(Inputs!$K$5:$AJ$140,0,MATCH(E$2,Inputs!$K$4:$AJ$4,0)))+SUMPRODUCT((Inputs!$E$5:$E$140=$B12)*Inputs!$F$5:$F$140*(((Inputs!$G$5:$G$140="moeda")+(Inputs!$G$5:$G$140="acoes"))*Inputs!$B$1+((Inputs!$G$5:$G$140&lt;&gt;"moeda")*(Inputs!$G$5:$G$140&lt;&gt;"acoes")))*INDEX(Inputs!$K$5:$AJ$140,0,MATCH(E$2,Inputs!$K$4:$AJ$4,0)))))</f>
        <v>#N/A</v>
      </c>
      <c r="F12" s="6" t="e">
        <f>IF(ISNA(MATCH(F$2,Inputs!$K$4:$AJ$4,0)),NA(),IF(SUMPRODUCT((Inputs!$A$5:$A$140=$B12)*ISNUMBER(INDEX(Inputs!$K$5:$AJ$140,0,MATCH(F$2,Inputs!$K$4:$AJ$4,0))))+SUMPRODUCT((Inputs!$C$5:$C$140=$B12)*ISNUMBER(INDEX(Inputs!$K$5:$AJ$140,0,MATCH(F$2,Inputs!$K$4:$AJ$4,0))))+SUMPRODUCT((Inputs!$E$5:$E$140=$B12)*ISNUMBER(INDEX(Inputs!$K$5:$AJ$140,0,MATCH(F$2,Inputs!$K$4:$AJ$4,0))))=0,NA(),SUMPRODUCT((Inputs!$A$5:$A$140=$B12)*Inputs!$B$5:$B$140*(((Inputs!$G$5:$G$140="moeda")+(Inputs!$G$5:$G$140="acoes"))*Inputs!$B$1+((Inputs!$G$5:$G$140&lt;&gt;"moeda")*(Inputs!$G$5:$G$140&lt;&gt;"acoes")))*INDEX(Inputs!$K$5:$AJ$140,0,MATCH(F$2,Inputs!$K$4:$AJ$4,0)))+SUMPRODUCT((Inputs!$C$5:$C$140=$B12)*Inputs!$D$5:$D$140*(((Inputs!$G$5:$G$140="moeda")+(Inputs!$G$5:$G$140="acoes"))*Inputs!$B$1+((Inputs!$G$5:$G$140&lt;&gt;"moeda")*(Inputs!$G$5:$G$140&lt;&gt;"acoes")))*INDEX(Inputs!$K$5:$AJ$140,0,MATCH(F$2,Inputs!$K$4:$AJ$4,0)))+SUMPRODUCT((Inputs!$E$5:$E$140=$B12)*Inputs!$F$5:$F$140*(((Inputs!$G$5:$G$140="moeda")+(Inputs!$G$5:$G$140="acoes"))*Inputs!$B$1+((Inputs!$G$5:$G$140&lt;&gt;"moeda")*(Inputs!$G$5:$G$140&lt;&gt;"acoes")))*INDEX(Inputs!$K$5:$AJ$140,0,MATCH(F$2,Inputs!$K$4:$AJ$4,0)))))</f>
        <v>#N/A</v>
      </c>
      <c r="G12" s="6" t="e">
        <f>IF(ISNA(MATCH(G$2,Inputs!$K$4:$AJ$4,0)),NA(),IF(SUMPRODUCT((Inputs!$A$5:$A$140=$B12)*ISNUMBER(INDEX(Inputs!$K$5:$AJ$140,0,MATCH(G$2,Inputs!$K$4:$AJ$4,0))))+SUMPRODUCT((Inputs!$C$5:$C$140=$B12)*ISNUMBER(INDEX(Inputs!$K$5:$AJ$140,0,MATCH(G$2,Inputs!$K$4:$AJ$4,0))))+SUMPRODUCT((Inputs!$E$5:$E$140=$B12)*ISNUMBER(INDEX(Inputs!$K$5:$AJ$140,0,MATCH(G$2,Inputs!$K$4:$AJ$4,0))))=0,NA(),SUMPRODUCT((Inputs!$A$5:$A$140=$B12)*Inputs!$B$5:$B$140*(((Inputs!$G$5:$G$140="moeda")+(Inputs!$G$5:$G$140="acoes"))*Inputs!$B$1+((Inputs!$G$5:$G$140&lt;&gt;"moeda")*(Inputs!$G$5:$G$140&lt;&gt;"acoes")))*INDEX(Inputs!$K$5:$AJ$140,0,MATCH(G$2,Inputs!$K$4:$AJ$4,0)))+SUMPRODUCT((Inputs!$C$5:$C$140=$B12)*Inputs!$D$5:$D$140*(((Inputs!$G$5:$G$140="moeda")+(Inputs!$G$5:$G$140="acoes"))*Inputs!$B$1+((Inputs!$G$5:$G$140&lt;&gt;"moeda")*(Inputs!$G$5:$G$140&lt;&gt;"acoes")))*INDEX(Inputs!$K$5:$AJ$140,0,MATCH(G$2,Inputs!$K$4:$AJ$4,0)))+SUMPRODUCT((Inputs!$E$5:$E$140=$B12)*Inputs!$F$5:$F$140*(((Inputs!$G$5:$G$140="moeda")+(Inputs!$G$5:$G$140="acoes"))*Inputs!$B$1+((Inputs!$G$5:$G$140&lt;&gt;"moeda")*(Inputs!$G$5:$G$140&lt;&gt;"acoes")))*INDEX(Inputs!$K$5:$AJ$140,0,MATCH(G$2,Inputs!$K$4:$AJ$4,0)))))</f>
        <v>#N/A</v>
      </c>
      <c r="H12" s="3" t="e">
        <f>SUM(D12:G12)</f>
        <v>#N/A</v>
      </c>
      <c r="I12" s="6" t="e">
        <f>IF(ISNA(MATCH(I$2,Inputs!$K$4:$AJ$4,0)),NA(),IF(SUMPRODUCT((Inputs!$A$5:$A$140=$B12)*ISNUMBER(INDEX(Inputs!$K$5:$AJ$140,0,MATCH(I$2,Inputs!$K$4:$AJ$4,0))))+SUMPRODUCT((Inputs!$C$5:$C$140=$B12)*ISNUMBER(INDEX(Inputs!$K$5:$AJ$140,0,MATCH(I$2,Inputs!$K$4:$AJ$4,0))))+SUMPRODUCT((Inputs!$E$5:$E$140=$B12)*ISNUMBER(INDEX(Inputs!$K$5:$AJ$140,0,MATCH(I$2,Inputs!$K$4:$AJ$4,0))))=0,NA(),SUMPRODUCT((Inputs!$A$5:$A$140=$B12)*Inputs!$B$5:$B$140*(((Inputs!$G$5:$G$140="moeda")+(Inputs!$G$5:$G$140="acoes"))*Inputs!$B$1+((Inputs!$G$5:$G$140&lt;&gt;"moeda")*(Inputs!$G$5:$G$140&lt;&gt;"acoes")))*INDEX(Inputs!$K$5:$AJ$140,0,MATCH(I$2,Inputs!$K$4:$AJ$4,0)))+SUMPRODUCT((Inputs!$C$5:$C$140=$B12)*Inputs!$D$5:$D$140*(((Inputs!$G$5:$G$140="moeda")+(Inputs!$G$5:$G$140="acoes"))*Inputs!$B$1+((Inputs!$G$5:$G$140&lt;&gt;"moeda")*(Inputs!$G$5:$G$140&lt;&gt;"acoes")))*INDEX(Inputs!$K$5:$AJ$140,0,MATCH(I$2,Inputs!$K$4:$AJ$4,0)))+SUMPRODUCT((Inputs!$E$5:$E$140=$B12)*Inputs!$F$5:$F$140*(((Inputs!$G$5:$G$140="moeda")+(Inputs!$G$5:$G$140="acoes"))*Inputs!$B$1+((Inputs!$G$5:$G$140&lt;&gt;"moeda")*(Inputs!$G$5:$G$140&lt;&gt;"acoes")))*INDEX(Inputs!$K$5:$AJ$140,0,MATCH(I$2,Inputs!$K$4:$AJ$4,0)))))</f>
        <v>#N/A</v>
      </c>
      <c r="J12" s="6" t="e">
        <f>IF(ISNA(MATCH(J$2,Inputs!$K$4:$AJ$4,0)),NA(),IF(SUMPRODUCT((Inputs!$A$5:$A$140=$B12)*ISNUMBER(INDEX(Inputs!$K$5:$AJ$140,0,MATCH(J$2,Inputs!$K$4:$AJ$4,0))))+SUMPRODUCT((Inputs!$C$5:$C$140=$B12)*ISNUMBER(INDEX(Inputs!$K$5:$AJ$140,0,MATCH(J$2,Inputs!$K$4:$AJ$4,0))))+SUMPRODUCT((Inputs!$E$5:$E$140=$B12)*ISNUMBER(INDEX(Inputs!$K$5:$AJ$140,0,MATCH(J$2,Inputs!$K$4:$AJ$4,0))))=0,NA(),SUMPRODUCT((Inputs!$A$5:$A$140=$B12)*Inputs!$B$5:$B$140*(((Inputs!$G$5:$G$140="moeda")+(Inputs!$G$5:$G$140="acoes"))*Inputs!$B$1+((Inputs!$G$5:$G$140&lt;&gt;"moeda")*(Inputs!$G$5:$G$140&lt;&gt;"acoes")))*INDEX(Inputs!$K$5:$AJ$140,0,MATCH(J$2,Inputs!$K$4:$AJ$4,0)))+SUMPRODUCT((Inputs!$C$5:$C$140=$B12)*Inputs!$D$5:$D$140*(((Inputs!$G$5:$G$140="moeda")+(Inputs!$G$5:$G$140="acoes"))*Inputs!$B$1+((Inputs!$G$5:$G$140&lt;&gt;"moeda")*(Inputs!$G$5:$G$140&lt;&gt;"acoes")))*INDEX(Inputs!$K$5:$AJ$140,0,MATCH(J$2,Inputs!$K$4:$AJ$4,0)))+SUMPRODUCT((Inputs!$E$5:$E$140=$B12)*Inputs!$F$5:$F$140*(((Inputs!$G$5:$G$140="moeda")+(Inputs!$G$5:$G$140="acoes"))*Inputs!$B$1+((Inputs!$G$5:$G$140&lt;&gt;"moeda")*(Inputs!$G$5:$G$140&lt;&gt;"acoes")))*INDEX(Inputs!$K$5:$AJ$140,0,MATCH(J$2,Inputs!$K$4:$AJ$4,0)))))</f>
        <v>#N/A</v>
      </c>
      <c r="K12" s="6" t="e">
        <f>IF(ISNA(MATCH(K$2,Inputs!$K$4:$AJ$4,0)),NA(),IF(SUMPRODUCT((Inputs!$A$5:$A$140=$B12)*ISNUMBER(INDEX(Inputs!$K$5:$AJ$140,0,MATCH(K$2,Inputs!$K$4:$AJ$4,0))))+SUMPRODUCT((Inputs!$C$5:$C$140=$B12)*ISNUMBER(INDEX(Inputs!$K$5:$AJ$140,0,MATCH(K$2,Inputs!$K$4:$AJ$4,0))))+SUMPRODUCT((Inputs!$E$5:$E$140=$B12)*ISNUMBER(INDEX(Inputs!$K$5:$AJ$140,0,MATCH(K$2,Inputs!$K$4:$AJ$4,0))))=0,NA(),SUMPRODUCT((Inputs!$A$5:$A$140=$B12)*Inputs!$B$5:$B$140*(((Inputs!$G$5:$G$140="moeda")+(Inputs!$G$5:$G$140="acoes"))*Inputs!$B$1+((Inputs!$G$5:$G$140&lt;&gt;"moeda")*(Inputs!$G$5:$G$140&lt;&gt;"acoes")))*INDEX(Inputs!$K$5:$AJ$140,0,MATCH(K$2,Inputs!$K$4:$AJ$4,0)))+SUMPRODUCT((Inputs!$C$5:$C$140=$B12)*Inputs!$D$5:$D$140*(((Inputs!$G$5:$G$140="moeda")+(Inputs!$G$5:$G$140="acoes"))*Inputs!$B$1+((Inputs!$G$5:$G$140&lt;&gt;"moeda")*(Inputs!$G$5:$G$140&lt;&gt;"acoes")))*INDEX(Inputs!$K$5:$AJ$140,0,MATCH(K$2,Inputs!$K$4:$AJ$4,0)))+SUMPRODUCT((Inputs!$E$5:$E$140=$B12)*Inputs!$F$5:$F$140*(((Inputs!$G$5:$G$140="moeda")+(Inputs!$G$5:$G$140="acoes"))*Inputs!$B$1+((Inputs!$G$5:$G$140&lt;&gt;"moeda")*(Inputs!$G$5:$G$140&lt;&gt;"acoes")))*INDEX(Inputs!$K$5:$AJ$140,0,MATCH(K$2,Inputs!$K$4:$AJ$4,0)))))</f>
        <v>#N/A</v>
      </c>
      <c r="L12" s="6" t="e">
        <f>IF(ISNA(MATCH(L$2,Inputs!$K$4:$AJ$4,0)),NA(),IF(SUMPRODUCT((Inputs!$A$5:$A$140=$B12)*ISNUMBER(INDEX(Inputs!$K$5:$AJ$140,0,MATCH(L$2,Inputs!$K$4:$AJ$4,0))))+SUMPRODUCT((Inputs!$C$5:$C$140=$B12)*ISNUMBER(INDEX(Inputs!$K$5:$AJ$140,0,MATCH(L$2,Inputs!$K$4:$AJ$4,0))))+SUMPRODUCT((Inputs!$E$5:$E$140=$B12)*ISNUMBER(INDEX(Inputs!$K$5:$AJ$140,0,MATCH(L$2,Inputs!$K$4:$AJ$4,0))))=0,NA(),SUMPRODUCT((Inputs!$A$5:$A$140=$B12)*Inputs!$B$5:$B$140*(((Inputs!$G$5:$G$140="moeda")+(Inputs!$G$5:$G$140="acoes"))*Inputs!$B$1+((Inputs!$G$5:$G$140&lt;&gt;"moeda")*(Inputs!$G$5:$G$140&lt;&gt;"acoes")))*INDEX(Inputs!$K$5:$AJ$140,0,MATCH(L$2,Inputs!$K$4:$AJ$4,0)))+SUMPRODUCT((Inputs!$C$5:$C$140=$B12)*Inputs!$D$5:$D$140*(((Inputs!$G$5:$G$140="moeda")+(Inputs!$G$5:$G$140="acoes"))*Inputs!$B$1+((Inputs!$G$5:$G$140&lt;&gt;"moeda")*(Inputs!$G$5:$G$140&lt;&gt;"acoes")))*INDEX(Inputs!$K$5:$AJ$140,0,MATCH(L$2,Inputs!$K$4:$AJ$4,0)))+SUMPRODUCT((Inputs!$E$5:$E$140=$B12)*Inputs!$F$5:$F$140*(((Inputs!$G$5:$G$140="moeda")+(Inputs!$G$5:$G$140="acoes"))*Inputs!$B$1+((Inputs!$G$5:$G$140&lt;&gt;"moeda")*(Inputs!$G$5:$G$140&lt;&gt;"acoes")))*INDEX(Inputs!$K$5:$AJ$140,0,MATCH(L$2,Inputs!$K$4:$AJ$4,0)))))</f>
        <v>#N/A</v>
      </c>
      <c r="M12" s="3" t="e">
        <f>SUM(I12:L12)</f>
        <v>#N/A</v>
      </c>
      <c r="N12" s="6" t="e">
        <f>IF(ISNA(MATCH(N$2,Inputs!$K$4:$AJ$4,0)),NA(),IF(SUMPRODUCT((Inputs!$A$5:$A$140=$B12)*ISNUMBER(INDEX(Inputs!$K$5:$AJ$140,0,MATCH(N$2,Inputs!$K$4:$AJ$4,0))))+SUMPRODUCT((Inputs!$C$5:$C$140=$B12)*ISNUMBER(INDEX(Inputs!$K$5:$AJ$140,0,MATCH(N$2,Inputs!$K$4:$AJ$4,0))))+SUMPRODUCT((Inputs!$E$5:$E$140=$B12)*ISNUMBER(INDEX(Inputs!$K$5:$AJ$140,0,MATCH(N$2,Inputs!$K$4:$AJ$4,0))))=0,NA(),SUMPRODUCT((Inputs!$A$5:$A$140=$B12)*Inputs!$B$5:$B$140*(((Inputs!$G$5:$G$140="moeda")+(Inputs!$G$5:$G$140="acoes"))*Inputs!$B$1+((Inputs!$G$5:$G$140&lt;&gt;"moeda")*(Inputs!$G$5:$G$140&lt;&gt;"acoes")))*INDEX(Inputs!$K$5:$AJ$140,0,MATCH(N$2,Inputs!$K$4:$AJ$4,0)))+SUMPRODUCT((Inputs!$C$5:$C$140=$B12)*Inputs!$D$5:$D$140*(((Inputs!$G$5:$G$140="moeda")+(Inputs!$G$5:$G$140="acoes"))*Inputs!$B$1+((Inputs!$G$5:$G$140&lt;&gt;"moeda")*(Inputs!$G$5:$G$140&lt;&gt;"acoes")))*INDEX(Inputs!$K$5:$AJ$140,0,MATCH(N$2,Inputs!$K$4:$AJ$4,0)))+SUMPRODUCT((Inputs!$E$5:$E$140=$B12)*Inputs!$F$5:$F$140*(((Inputs!$G$5:$G$140="moeda")+(Inputs!$G$5:$G$140="acoes"))*Inputs!$B$1+((Inputs!$G$5:$G$140&lt;&gt;"moeda")*(Inputs!$G$5:$G$140&lt;&gt;"acoes")))*INDEX(Inputs!$K$5:$AJ$140,0,MATCH(N$2,Inputs!$K$4:$AJ$4,0)))))</f>
        <v>#N/A</v>
      </c>
      <c r="O12" s="6" t="e">
        <f>IF(ISNA(MATCH(O$2,Inputs!$K$4:$AJ$4,0)),NA(),IF(SUMPRODUCT((Inputs!$A$5:$A$140=$B12)*ISNUMBER(INDEX(Inputs!$K$5:$AJ$140,0,MATCH(O$2,Inputs!$K$4:$AJ$4,0))))+SUMPRODUCT((Inputs!$C$5:$C$140=$B12)*ISNUMBER(INDEX(Inputs!$K$5:$AJ$140,0,MATCH(O$2,Inputs!$K$4:$AJ$4,0))))+SUMPRODUCT((Inputs!$E$5:$E$140=$B12)*ISNUMBER(INDEX(Inputs!$K$5:$AJ$140,0,MATCH(O$2,Inputs!$K$4:$AJ$4,0))))=0,NA(),SUMPRODUCT((Inputs!$A$5:$A$140=$B12)*Inputs!$B$5:$B$140*(((Inputs!$G$5:$G$140="moeda")+(Inputs!$G$5:$G$140="acoes"))*Inputs!$B$1+((Inputs!$G$5:$G$140&lt;&gt;"moeda")*(Inputs!$G$5:$G$140&lt;&gt;"acoes")))*INDEX(Inputs!$K$5:$AJ$140,0,MATCH(O$2,Inputs!$K$4:$AJ$4,0)))+SUMPRODUCT((Inputs!$C$5:$C$140=$B12)*Inputs!$D$5:$D$140*(((Inputs!$G$5:$G$140="moeda")+(Inputs!$G$5:$G$140="acoes"))*Inputs!$B$1+((Inputs!$G$5:$G$140&lt;&gt;"moeda")*(Inputs!$G$5:$G$140&lt;&gt;"acoes")))*INDEX(Inputs!$K$5:$AJ$140,0,MATCH(O$2,Inputs!$K$4:$AJ$4,0)))+SUMPRODUCT((Inputs!$E$5:$E$140=$B12)*Inputs!$F$5:$F$140*(((Inputs!$G$5:$G$140="moeda")+(Inputs!$G$5:$G$140="acoes"))*Inputs!$B$1+((Inputs!$G$5:$G$140&lt;&gt;"moeda")*(Inputs!$G$5:$G$140&lt;&gt;"acoes")))*INDEX(Inputs!$K$5:$AJ$140,0,MATCH(O$2,Inputs!$K$4:$AJ$4,0)))))</f>
        <v>#N/A</v>
      </c>
      <c r="P12" s="6" t="e">
        <f>IF(ISNA(MATCH(P$2,Inputs!$K$4:$AJ$4,0)),NA(),IF(SUMPRODUCT((Inputs!$A$5:$A$140=$B12)*ISNUMBER(INDEX(Inputs!$K$5:$AJ$140,0,MATCH(P$2,Inputs!$K$4:$AJ$4,0))))+SUMPRODUCT((Inputs!$C$5:$C$140=$B12)*ISNUMBER(INDEX(Inputs!$K$5:$AJ$140,0,MATCH(P$2,Inputs!$K$4:$AJ$4,0))))+SUMPRODUCT((Inputs!$E$5:$E$140=$B12)*ISNUMBER(INDEX(Inputs!$K$5:$AJ$140,0,MATCH(P$2,Inputs!$K$4:$AJ$4,0))))=0,NA(),SUMPRODUCT((Inputs!$A$5:$A$140=$B12)*Inputs!$B$5:$B$140*(((Inputs!$G$5:$G$140="moeda")+(Inputs!$G$5:$G$140="acoes"))*Inputs!$B$1+((Inputs!$G$5:$G$140&lt;&gt;"moeda")*(Inputs!$G$5:$G$140&lt;&gt;"acoes")))*INDEX(Inputs!$K$5:$AJ$140,0,MATCH(P$2,Inputs!$K$4:$AJ$4,0)))+SUMPRODUCT((Inputs!$C$5:$C$140=$B12)*Inputs!$D$5:$D$140*(((Inputs!$G$5:$G$140="moeda")+(Inputs!$G$5:$G$140="acoes"))*Inputs!$B$1+((Inputs!$G$5:$G$140&lt;&gt;"moeda")*(Inputs!$G$5:$G$140&lt;&gt;"acoes")))*INDEX(Inputs!$K$5:$AJ$140,0,MATCH(P$2,Inputs!$K$4:$AJ$4,0)))+SUMPRODUCT((Inputs!$E$5:$E$140=$B12)*Inputs!$F$5:$F$140*(((Inputs!$G$5:$G$140="moeda")+(Inputs!$G$5:$G$140="acoes"))*Inputs!$B$1+((Inputs!$G$5:$G$140&lt;&gt;"moeda")*(Inputs!$G$5:$G$140&lt;&gt;"acoes")))*INDEX(Inputs!$K$5:$AJ$140,0,MATCH(P$2,Inputs!$K$4:$AJ$4,0)))))</f>
        <v>#N/A</v>
      </c>
      <c r="Q12" s="6" t="e">
        <f>IF(ISNA(MATCH(Q$2,Inputs!$K$4:$AJ$4,0)),NA(),IF(SUMPRODUCT((Inputs!$A$5:$A$140=$B12)*ISNUMBER(INDEX(Inputs!$K$5:$AJ$140,0,MATCH(Q$2,Inputs!$K$4:$AJ$4,0))))+SUMPRODUCT((Inputs!$C$5:$C$140=$B12)*ISNUMBER(INDEX(Inputs!$K$5:$AJ$140,0,MATCH(Q$2,Inputs!$K$4:$AJ$4,0))))+SUMPRODUCT((Inputs!$E$5:$E$140=$B12)*ISNUMBER(INDEX(Inputs!$K$5:$AJ$140,0,MATCH(Q$2,Inputs!$K$4:$AJ$4,0))))=0,NA(),SUMPRODUCT((Inputs!$A$5:$A$140=$B12)*Inputs!$B$5:$B$140*(((Inputs!$G$5:$G$140="moeda")+(Inputs!$G$5:$G$140="acoes"))*Inputs!$B$1+((Inputs!$G$5:$G$140&lt;&gt;"moeda")*(Inputs!$G$5:$G$140&lt;&gt;"acoes")))*INDEX(Inputs!$K$5:$AJ$140,0,MATCH(Q$2,Inputs!$K$4:$AJ$4,0)))+SUMPRODUCT((Inputs!$C$5:$C$140=$B12)*Inputs!$D$5:$D$140*(((Inputs!$G$5:$G$140="moeda")+(Inputs!$G$5:$G$140="acoes"))*Inputs!$B$1+((Inputs!$G$5:$G$140&lt;&gt;"moeda")*(Inputs!$G$5:$G$140&lt;&gt;"acoes")))*INDEX(Inputs!$K$5:$AJ$140,0,MATCH(Q$2,Inputs!$K$4:$AJ$4,0)))+SUMPRODUCT((Inputs!$E$5:$E$140=$B12)*Inputs!$F$5:$F$140*(((Inputs!$G$5:$G$140="moeda")+(Inputs!$G$5:$G$140="acoes"))*Inputs!$B$1+((Inputs!$G$5:$G$140&lt;&gt;"moeda")*(Inputs!$G$5:$G$140&lt;&gt;"acoes")))*INDEX(Inputs!$K$5:$AJ$140,0,MATCH(Q$2,Inputs!$K$4:$AJ$4,0)))))</f>
        <v>#N/A</v>
      </c>
      <c r="R12" s="3" t="e">
        <f>SUM(N12:Q12)</f>
        <v>#N/A</v>
      </c>
      <c r="S12" s="6" t="e">
        <f>IF(ISNA(MATCH(S$2,Inputs!$K$4:$AJ$4,0)),NA(),IF(SUMPRODUCT((Inputs!$A$5:$A$140=$B12)*ISNUMBER(INDEX(Inputs!$K$5:$AJ$140,0,MATCH(S$2,Inputs!$K$4:$AJ$4,0))))+SUMPRODUCT((Inputs!$C$5:$C$140=$B12)*ISNUMBER(INDEX(Inputs!$K$5:$AJ$140,0,MATCH(S$2,Inputs!$K$4:$AJ$4,0))))+SUMPRODUCT((Inputs!$E$5:$E$140=$B12)*ISNUMBER(INDEX(Inputs!$K$5:$AJ$140,0,MATCH(S$2,Inputs!$K$4:$AJ$4,0))))=0,NA(),SUMPRODUCT((Inputs!$A$5:$A$140=$B12)*Inputs!$B$5:$B$140*(((Inputs!$G$5:$G$140="moeda")+(Inputs!$G$5:$G$140="acoes"))*Inputs!$B$1+((Inputs!$G$5:$G$140&lt;&gt;"moeda")*(Inputs!$G$5:$G$140&lt;&gt;"acoes")))*INDEX(Inputs!$K$5:$AJ$140,0,MATCH(S$2,Inputs!$K$4:$AJ$4,0)))+SUMPRODUCT((Inputs!$C$5:$C$140=$B12)*Inputs!$D$5:$D$140*(((Inputs!$G$5:$G$140="moeda")+(Inputs!$G$5:$G$140="acoes"))*Inputs!$B$1+((Inputs!$G$5:$G$140&lt;&gt;"moeda")*(Inputs!$G$5:$G$140&lt;&gt;"acoes")))*INDEX(Inputs!$K$5:$AJ$140,0,MATCH(S$2,Inputs!$K$4:$AJ$4,0)))+SUMPRODUCT((Inputs!$E$5:$E$140=$B12)*Inputs!$F$5:$F$140*(((Inputs!$G$5:$G$140="moeda")+(Inputs!$G$5:$G$140="acoes"))*Inputs!$B$1+((Inputs!$G$5:$G$140&lt;&gt;"moeda")*(Inputs!$G$5:$G$140&lt;&gt;"acoes")))*INDEX(Inputs!$K$5:$AJ$140,0,MATCH(S$2,Inputs!$K$4:$AJ$4,0)))))</f>
        <v>#N/A</v>
      </c>
      <c r="T12" s="6" t="e">
        <f>IF(ISNA(MATCH(T$2,Inputs!$K$4:$AJ$4,0)),NA(),IF(SUMPRODUCT((Inputs!$A$5:$A$140=$B12)*ISNUMBER(INDEX(Inputs!$K$5:$AJ$140,0,MATCH(T$2,Inputs!$K$4:$AJ$4,0))))+SUMPRODUCT((Inputs!$C$5:$C$140=$B12)*ISNUMBER(INDEX(Inputs!$K$5:$AJ$140,0,MATCH(T$2,Inputs!$K$4:$AJ$4,0))))+SUMPRODUCT((Inputs!$E$5:$E$140=$B12)*ISNUMBER(INDEX(Inputs!$K$5:$AJ$140,0,MATCH(T$2,Inputs!$K$4:$AJ$4,0))))=0,NA(),SUMPRODUCT((Inputs!$A$5:$A$140=$B12)*Inputs!$B$5:$B$140*(((Inputs!$G$5:$G$140="moeda")+(Inputs!$G$5:$G$140="acoes"))*Inputs!$B$1+((Inputs!$G$5:$G$140&lt;&gt;"moeda")*(Inputs!$G$5:$G$140&lt;&gt;"acoes")))*INDEX(Inputs!$K$5:$AJ$140,0,MATCH(T$2,Inputs!$K$4:$AJ$4,0)))+SUMPRODUCT((Inputs!$C$5:$C$140=$B12)*Inputs!$D$5:$D$140*(((Inputs!$G$5:$G$140="moeda")+(Inputs!$G$5:$G$140="acoes"))*Inputs!$B$1+((Inputs!$G$5:$G$140&lt;&gt;"moeda")*(Inputs!$G$5:$G$140&lt;&gt;"acoes")))*INDEX(Inputs!$K$5:$AJ$140,0,MATCH(T$2,Inputs!$K$4:$AJ$4,0)))+SUMPRODUCT((Inputs!$E$5:$E$140=$B12)*Inputs!$F$5:$F$140*(((Inputs!$G$5:$G$140="moeda")+(Inputs!$G$5:$G$140="acoes"))*Inputs!$B$1+((Inputs!$G$5:$G$140&lt;&gt;"moeda")*(Inputs!$G$5:$G$140&lt;&gt;"acoes")))*INDEX(Inputs!$K$5:$AJ$140,0,MATCH(T$2,Inputs!$K$4:$AJ$4,0)))))</f>
        <v>#N/A</v>
      </c>
      <c r="U12" s="6" t="e">
        <f>IF(ISNA(MATCH(U$2,Inputs!$K$4:$AJ$4,0)),NA(),IF(SUMPRODUCT((Inputs!$A$5:$A$140=$B12)*ISNUMBER(INDEX(Inputs!$K$5:$AJ$140,0,MATCH(U$2,Inputs!$K$4:$AJ$4,0))))+SUMPRODUCT((Inputs!$C$5:$C$140=$B12)*ISNUMBER(INDEX(Inputs!$K$5:$AJ$140,0,MATCH(U$2,Inputs!$K$4:$AJ$4,0))))+SUMPRODUCT((Inputs!$E$5:$E$140=$B12)*ISNUMBER(INDEX(Inputs!$K$5:$AJ$140,0,MATCH(U$2,Inputs!$K$4:$AJ$4,0))))=0,NA(),SUMPRODUCT((Inputs!$A$5:$A$140=$B12)*Inputs!$B$5:$B$140*(((Inputs!$G$5:$G$140="moeda")+(Inputs!$G$5:$G$140="acoes"))*Inputs!$B$1+((Inputs!$G$5:$G$140&lt;&gt;"moeda")*(Inputs!$G$5:$G$140&lt;&gt;"acoes")))*INDEX(Inputs!$K$5:$AJ$140,0,MATCH(U$2,Inputs!$K$4:$AJ$4,0)))+SUMPRODUCT((Inputs!$C$5:$C$140=$B12)*Inputs!$D$5:$D$140*(((Inputs!$G$5:$G$140="moeda")+(Inputs!$G$5:$G$140="acoes"))*Inputs!$B$1+((Inputs!$G$5:$G$140&lt;&gt;"moeda")*(Inputs!$G$5:$G$140&lt;&gt;"acoes")))*INDEX(Inputs!$K$5:$AJ$140,0,MATCH(U$2,Inputs!$K$4:$AJ$4,0)))+SUMPRODUCT((Inputs!$E$5:$E$140=$B12)*Inputs!$F$5:$F$140*(((Inputs!$G$5:$G$140="moeda")+(Inputs!$G$5:$G$140="acoes"))*Inputs!$B$1+((Inputs!$G$5:$G$140&lt;&gt;"moeda")*(Inputs!$G$5:$G$140&lt;&gt;"acoes")))*INDEX(Inputs!$K$5:$AJ$140,0,MATCH(U$2,Inputs!$K$4:$AJ$4,0)))))</f>
        <v>#N/A</v>
      </c>
      <c r="V12" s="6" t="e">
        <f>IF(ISNA(MATCH(V$2,Inputs!$K$4:$AJ$4,0)),NA(),IF(SUMPRODUCT((Inputs!$A$5:$A$140=$B12)*ISNUMBER(INDEX(Inputs!$K$5:$AJ$140,0,MATCH(V$2,Inputs!$K$4:$AJ$4,0))))+SUMPRODUCT((Inputs!$C$5:$C$140=$B12)*ISNUMBER(INDEX(Inputs!$K$5:$AJ$140,0,MATCH(V$2,Inputs!$K$4:$AJ$4,0))))+SUMPRODUCT((Inputs!$E$5:$E$140=$B12)*ISNUMBER(INDEX(Inputs!$K$5:$AJ$140,0,MATCH(V$2,Inputs!$K$4:$AJ$4,0))))=0,NA(),SUMPRODUCT((Inputs!$A$5:$A$140=$B12)*Inputs!$B$5:$B$140*(((Inputs!$G$5:$G$140="moeda")+(Inputs!$G$5:$G$140="acoes"))*Inputs!$B$1+((Inputs!$G$5:$G$140&lt;&gt;"moeda")*(Inputs!$G$5:$G$140&lt;&gt;"acoes")))*INDEX(Inputs!$K$5:$AJ$140,0,MATCH(V$2,Inputs!$K$4:$AJ$4,0)))+SUMPRODUCT((Inputs!$C$5:$C$140=$B12)*Inputs!$D$5:$D$140*(((Inputs!$G$5:$G$140="moeda")+(Inputs!$G$5:$G$140="acoes"))*Inputs!$B$1+((Inputs!$G$5:$G$140&lt;&gt;"moeda")*(Inputs!$G$5:$G$140&lt;&gt;"acoes")))*INDEX(Inputs!$K$5:$AJ$140,0,MATCH(V$2,Inputs!$K$4:$AJ$4,0)))+SUMPRODUCT((Inputs!$E$5:$E$140=$B12)*Inputs!$F$5:$F$140*(((Inputs!$G$5:$G$140="moeda")+(Inputs!$G$5:$G$140="acoes"))*Inputs!$B$1+((Inputs!$G$5:$G$140&lt;&gt;"moeda")*(Inputs!$G$5:$G$140&lt;&gt;"acoes")))*INDEX(Inputs!$K$5:$AJ$140,0,MATCH(V$2,Inputs!$K$4:$AJ$4,0)))))</f>
        <v>#N/A</v>
      </c>
      <c r="W12" s="3" t="e">
        <f>SUM(S12:V12)</f>
        <v>#N/A</v>
      </c>
      <c r="X12" s="6" t="e">
        <f>IF(ISNA(MATCH(X$2,Inputs!$K$4:$AJ$4,0)),NA(),IF(SUMPRODUCT((Inputs!$A$5:$A$140=$B12)*ISNUMBER(INDEX(Inputs!$K$5:$AJ$140,0,MATCH(X$2,Inputs!$K$4:$AJ$4,0))))+SUMPRODUCT((Inputs!$C$5:$C$140=$B12)*ISNUMBER(INDEX(Inputs!$K$5:$AJ$140,0,MATCH(X$2,Inputs!$K$4:$AJ$4,0))))+SUMPRODUCT((Inputs!$E$5:$E$140=$B12)*ISNUMBER(INDEX(Inputs!$K$5:$AJ$140,0,MATCH(X$2,Inputs!$K$4:$AJ$4,0))))=0,NA(),SUMPRODUCT((Inputs!$A$5:$A$140=$B12)*Inputs!$B$5:$B$140*(((Inputs!$G$5:$G$140="moeda")+(Inputs!$G$5:$G$140="acoes"))*Inputs!$B$1+((Inputs!$G$5:$G$140&lt;&gt;"moeda")*(Inputs!$G$5:$G$140&lt;&gt;"acoes")))*INDEX(Inputs!$K$5:$AJ$140,0,MATCH(X$2,Inputs!$K$4:$AJ$4,0)))+SUMPRODUCT((Inputs!$C$5:$C$140=$B12)*Inputs!$D$5:$D$140*(((Inputs!$G$5:$G$140="moeda")+(Inputs!$G$5:$G$140="acoes"))*Inputs!$B$1+((Inputs!$G$5:$G$140&lt;&gt;"moeda")*(Inputs!$G$5:$G$140&lt;&gt;"acoes")))*INDEX(Inputs!$K$5:$AJ$140,0,MATCH(X$2,Inputs!$K$4:$AJ$4,0)))+SUMPRODUCT((Inputs!$E$5:$E$140=$B12)*Inputs!$F$5:$F$140*(((Inputs!$G$5:$G$140="moeda")+(Inputs!$G$5:$G$140="acoes"))*Inputs!$B$1+((Inputs!$G$5:$G$140&lt;&gt;"moeda")*(Inputs!$G$5:$G$140&lt;&gt;"acoes")))*INDEX(Inputs!$K$5:$AJ$140,0,MATCH(X$2,Inputs!$K$4:$AJ$4,0)))))</f>
        <v>#N/A</v>
      </c>
      <c r="Y12" s="6" t="e">
        <f>IF(ISNA(MATCH(Y$2,Inputs!$K$4:$AJ$4,0)),NA(),IF(SUMPRODUCT((Inputs!$A$5:$A$140=$B12)*ISNUMBER(INDEX(Inputs!$K$5:$AJ$140,0,MATCH(Y$2,Inputs!$K$4:$AJ$4,0))))+SUMPRODUCT((Inputs!$C$5:$C$140=$B12)*ISNUMBER(INDEX(Inputs!$K$5:$AJ$140,0,MATCH(Y$2,Inputs!$K$4:$AJ$4,0))))+SUMPRODUCT((Inputs!$E$5:$E$140=$B12)*ISNUMBER(INDEX(Inputs!$K$5:$AJ$140,0,MATCH(Y$2,Inputs!$K$4:$AJ$4,0))))=0,NA(),SUMPRODUCT((Inputs!$A$5:$A$140=$B12)*Inputs!$B$5:$B$140*(((Inputs!$G$5:$G$140="moeda")+(Inputs!$G$5:$G$140="acoes"))*Inputs!$B$1+((Inputs!$G$5:$G$140&lt;&gt;"moeda")*(Inputs!$G$5:$G$140&lt;&gt;"acoes")))*INDEX(Inputs!$K$5:$AJ$140,0,MATCH(Y$2,Inputs!$K$4:$AJ$4,0)))+SUMPRODUCT((Inputs!$C$5:$C$140=$B12)*Inputs!$D$5:$D$140*(((Inputs!$G$5:$G$140="moeda")+(Inputs!$G$5:$G$140="acoes"))*Inputs!$B$1+((Inputs!$G$5:$G$140&lt;&gt;"moeda")*(Inputs!$G$5:$G$140&lt;&gt;"acoes")))*INDEX(Inputs!$K$5:$AJ$140,0,MATCH(Y$2,Inputs!$K$4:$AJ$4,0)))+SUMPRODUCT((Inputs!$E$5:$E$140=$B12)*Inputs!$F$5:$F$140*(((Inputs!$G$5:$G$140="moeda")+(Inputs!$G$5:$G$140="acoes"))*Inputs!$B$1+((Inputs!$G$5:$G$140&lt;&gt;"moeda")*(Inputs!$G$5:$G$140&lt;&gt;"acoes")))*INDEX(Inputs!$K$5:$AJ$140,0,MATCH(Y$2,Inputs!$K$4:$AJ$4,0)))))</f>
        <v>#N/A</v>
      </c>
      <c r="Z12" s="6" t="e">
        <f>IF(ISNA(MATCH(Z$2,Inputs!$K$4:$AJ$4,0)),NA(),IF(SUMPRODUCT((Inputs!$A$5:$A$140=$B12)*ISNUMBER(INDEX(Inputs!$K$5:$AJ$140,0,MATCH(Z$2,Inputs!$K$4:$AJ$4,0))))+SUMPRODUCT((Inputs!$C$5:$C$140=$B12)*ISNUMBER(INDEX(Inputs!$K$5:$AJ$140,0,MATCH(Z$2,Inputs!$K$4:$AJ$4,0))))+SUMPRODUCT((Inputs!$E$5:$E$140=$B12)*ISNUMBER(INDEX(Inputs!$K$5:$AJ$140,0,MATCH(Z$2,Inputs!$K$4:$AJ$4,0))))=0,NA(),SUMPRODUCT((Inputs!$A$5:$A$140=$B12)*Inputs!$B$5:$B$140*(((Inputs!$G$5:$G$140="moeda")+(Inputs!$G$5:$G$140="acoes"))*Inputs!$B$1+((Inputs!$G$5:$G$140&lt;&gt;"moeda")*(Inputs!$G$5:$G$140&lt;&gt;"acoes")))*INDEX(Inputs!$K$5:$AJ$140,0,MATCH(Z$2,Inputs!$K$4:$AJ$4,0)))+SUMPRODUCT((Inputs!$C$5:$C$140=$B12)*Inputs!$D$5:$D$140*(((Inputs!$G$5:$G$140="moeda")+(Inputs!$G$5:$G$140="acoes"))*Inputs!$B$1+((Inputs!$G$5:$G$140&lt;&gt;"moeda")*(Inputs!$G$5:$G$140&lt;&gt;"acoes")))*INDEX(Inputs!$K$5:$AJ$140,0,MATCH(Z$2,Inputs!$K$4:$AJ$4,0)))+SUMPRODUCT((Inputs!$E$5:$E$140=$B12)*Inputs!$F$5:$F$140*(((Inputs!$G$5:$G$140="moeda")+(Inputs!$G$5:$G$140="acoes"))*Inputs!$B$1+((Inputs!$G$5:$G$140&lt;&gt;"moeda")*(Inputs!$G$5:$G$140&lt;&gt;"acoes")))*INDEX(Inputs!$K$5:$AJ$140,0,MATCH(Z$2,Inputs!$K$4:$AJ$4,0)))))</f>
        <v>#N/A</v>
      </c>
      <c r="AA12" s="6" t="e">
        <f>IF(ISNA(MATCH(AA$2,Inputs!$K$4:$AJ$4,0)),NA(),IF(SUMPRODUCT((Inputs!$A$5:$A$140=$B12)*ISNUMBER(INDEX(Inputs!$K$5:$AJ$140,0,MATCH(AA$2,Inputs!$K$4:$AJ$4,0))))+SUMPRODUCT((Inputs!$C$5:$C$140=$B12)*ISNUMBER(INDEX(Inputs!$K$5:$AJ$140,0,MATCH(AA$2,Inputs!$K$4:$AJ$4,0))))+SUMPRODUCT((Inputs!$E$5:$E$140=$B12)*ISNUMBER(INDEX(Inputs!$K$5:$AJ$140,0,MATCH(AA$2,Inputs!$K$4:$AJ$4,0))))=0,NA(),SUMPRODUCT((Inputs!$A$5:$A$140=$B12)*Inputs!$B$5:$B$140*(((Inputs!$G$5:$G$140="moeda")+(Inputs!$G$5:$G$140="acoes"))*Inputs!$B$1+((Inputs!$G$5:$G$140&lt;&gt;"moeda")*(Inputs!$G$5:$G$140&lt;&gt;"acoes")))*INDEX(Inputs!$K$5:$AJ$140,0,MATCH(AA$2,Inputs!$K$4:$AJ$4,0)))+SUMPRODUCT((Inputs!$C$5:$C$140=$B12)*Inputs!$D$5:$D$140*(((Inputs!$G$5:$G$140="moeda")+(Inputs!$G$5:$G$140="acoes"))*Inputs!$B$1+((Inputs!$G$5:$G$140&lt;&gt;"moeda")*(Inputs!$G$5:$G$140&lt;&gt;"acoes")))*INDEX(Inputs!$K$5:$AJ$140,0,MATCH(AA$2,Inputs!$K$4:$AJ$4,0)))+SUMPRODUCT((Inputs!$E$5:$E$140=$B12)*Inputs!$F$5:$F$140*(((Inputs!$G$5:$G$140="moeda")+(Inputs!$G$5:$G$140="acoes"))*Inputs!$B$1+((Inputs!$G$5:$G$140&lt;&gt;"moeda")*(Inputs!$G$5:$G$140&lt;&gt;"acoes")))*INDEX(Inputs!$K$5:$AJ$140,0,MATCH(AA$2,Inputs!$K$4:$AJ$4,0)))))</f>
        <v>#N/A</v>
      </c>
      <c r="AB12" s="3" t="e">
        <f>SUM(X12:AA12)</f>
        <v>#N/A</v>
      </c>
      <c r="AC12" s="6" t="e">
        <f>IF(ISNA(MATCH(AC$2,Inputs!$K$4:$AJ$4,0)),NA(),IF(SUMPRODUCT((Inputs!$A$5:$A$140=$B12)*ISNUMBER(INDEX(Inputs!$K$5:$AJ$140,0,MATCH(AC$2,Inputs!$K$4:$AJ$4,0))))+SUMPRODUCT((Inputs!$C$5:$C$140=$B12)*ISNUMBER(INDEX(Inputs!$K$5:$AJ$140,0,MATCH(AC$2,Inputs!$K$4:$AJ$4,0))))+SUMPRODUCT((Inputs!$E$5:$E$140=$B12)*ISNUMBER(INDEX(Inputs!$K$5:$AJ$140,0,MATCH(AC$2,Inputs!$K$4:$AJ$4,0))))=0,NA(),SUMPRODUCT((Inputs!$A$5:$A$140=$B12)*Inputs!$B$5:$B$140*(((Inputs!$G$5:$G$140="moeda")+(Inputs!$G$5:$G$140="acoes"))*Inputs!$B$1+((Inputs!$G$5:$G$140&lt;&gt;"moeda")*(Inputs!$G$5:$G$140&lt;&gt;"acoes")))*INDEX(Inputs!$K$5:$AJ$140,0,MATCH(AC$2,Inputs!$K$4:$AJ$4,0)))+SUMPRODUCT((Inputs!$C$5:$C$140=$B12)*Inputs!$D$5:$D$140*(((Inputs!$G$5:$G$140="moeda")+(Inputs!$G$5:$G$140="acoes"))*Inputs!$B$1+((Inputs!$G$5:$G$140&lt;&gt;"moeda")*(Inputs!$G$5:$G$140&lt;&gt;"acoes")))*INDEX(Inputs!$K$5:$AJ$140,0,MATCH(AC$2,Inputs!$K$4:$AJ$4,0)))+SUMPRODUCT((Inputs!$E$5:$E$140=$B12)*Inputs!$F$5:$F$140*(((Inputs!$G$5:$G$140="moeda")+(Inputs!$G$5:$G$140="acoes"))*Inputs!$B$1+((Inputs!$G$5:$G$140&lt;&gt;"moeda")*(Inputs!$G$5:$G$140&lt;&gt;"acoes")))*INDEX(Inputs!$K$5:$AJ$140,0,MATCH(AC$2,Inputs!$K$4:$AJ$4,0)))))</f>
        <v>#N/A</v>
      </c>
      <c r="AD12" s="6" t="e">
        <f>IF(ISNA(MATCH(AD$2,Inputs!$K$4:$AJ$4,0)),NA(),IF(SUMPRODUCT((Inputs!$A$5:$A$140=$B12)*ISNUMBER(INDEX(Inputs!$K$5:$AJ$140,0,MATCH(AD$2,Inputs!$K$4:$AJ$4,0))))+SUMPRODUCT((Inputs!$C$5:$C$140=$B12)*ISNUMBER(INDEX(Inputs!$K$5:$AJ$140,0,MATCH(AD$2,Inputs!$K$4:$AJ$4,0))))+SUMPRODUCT((Inputs!$E$5:$E$140=$B12)*ISNUMBER(INDEX(Inputs!$K$5:$AJ$140,0,MATCH(AD$2,Inputs!$K$4:$AJ$4,0))))=0,NA(),SUMPRODUCT((Inputs!$A$5:$A$140=$B12)*Inputs!$B$5:$B$140*(((Inputs!$G$5:$G$140="moeda")+(Inputs!$G$5:$G$140="acoes"))*Inputs!$B$1+((Inputs!$G$5:$G$140&lt;&gt;"moeda")*(Inputs!$G$5:$G$140&lt;&gt;"acoes")))*INDEX(Inputs!$K$5:$AJ$140,0,MATCH(AD$2,Inputs!$K$4:$AJ$4,0)))+SUMPRODUCT((Inputs!$C$5:$C$140=$B12)*Inputs!$D$5:$D$140*(((Inputs!$G$5:$G$140="moeda")+(Inputs!$G$5:$G$140="acoes"))*Inputs!$B$1+((Inputs!$G$5:$G$140&lt;&gt;"moeda")*(Inputs!$G$5:$G$140&lt;&gt;"acoes")))*INDEX(Inputs!$K$5:$AJ$140,0,MATCH(AD$2,Inputs!$K$4:$AJ$4,0)))+SUMPRODUCT((Inputs!$E$5:$E$140=$B12)*Inputs!$F$5:$F$140*(((Inputs!$G$5:$G$140="moeda")+(Inputs!$G$5:$G$140="acoes"))*Inputs!$B$1+((Inputs!$G$5:$G$140&lt;&gt;"moeda")*(Inputs!$G$5:$G$140&lt;&gt;"acoes")))*INDEX(Inputs!$K$5:$AJ$140,0,MATCH(AD$2,Inputs!$K$4:$AJ$4,0)))))</f>
        <v>#N/A</v>
      </c>
      <c r="AE12" s="6" t="e">
        <f>IF(ISNA(MATCH(AE$2,Inputs!$K$4:$AJ$4,0)),NA(),IF(SUMPRODUCT((Inputs!$A$5:$A$140=$B12)*ISNUMBER(INDEX(Inputs!$K$5:$AJ$140,0,MATCH(AE$2,Inputs!$K$4:$AJ$4,0))))+SUMPRODUCT((Inputs!$C$5:$C$140=$B12)*ISNUMBER(INDEX(Inputs!$K$5:$AJ$140,0,MATCH(AE$2,Inputs!$K$4:$AJ$4,0))))+SUMPRODUCT((Inputs!$E$5:$E$140=$B12)*ISNUMBER(INDEX(Inputs!$K$5:$AJ$140,0,MATCH(AE$2,Inputs!$K$4:$AJ$4,0))))=0,NA(),SUMPRODUCT((Inputs!$A$5:$A$140=$B12)*Inputs!$B$5:$B$140*(((Inputs!$G$5:$G$140="moeda")+(Inputs!$G$5:$G$140="acoes"))*Inputs!$B$1+((Inputs!$G$5:$G$140&lt;&gt;"moeda")*(Inputs!$G$5:$G$140&lt;&gt;"acoes")))*INDEX(Inputs!$K$5:$AJ$140,0,MATCH(AE$2,Inputs!$K$4:$AJ$4,0)))+SUMPRODUCT((Inputs!$C$5:$C$140=$B12)*Inputs!$D$5:$D$140*(((Inputs!$G$5:$G$140="moeda")+(Inputs!$G$5:$G$140="acoes"))*Inputs!$B$1+((Inputs!$G$5:$G$140&lt;&gt;"moeda")*(Inputs!$G$5:$G$140&lt;&gt;"acoes")))*INDEX(Inputs!$K$5:$AJ$140,0,MATCH(AE$2,Inputs!$K$4:$AJ$4,0)))+SUMPRODUCT((Inputs!$E$5:$E$140=$B12)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12" s="6" t="e">
        <f>IF(ISNA(MATCH(AF$2,Inputs!$K$4:$AJ$4,0)),NA(),IF(SUMPRODUCT((Inputs!$A$5:$A$140=$B12)*ISNUMBER(INDEX(Inputs!$K$5:$AJ$140,0,MATCH(AF$2,Inputs!$K$4:$AJ$4,0))))+SUMPRODUCT((Inputs!$C$5:$C$140=$B12)*ISNUMBER(INDEX(Inputs!$K$5:$AJ$140,0,MATCH(AF$2,Inputs!$K$4:$AJ$4,0))))+SUMPRODUCT((Inputs!$E$5:$E$140=$B12)*ISNUMBER(INDEX(Inputs!$K$5:$AJ$140,0,MATCH(AF$2,Inputs!$K$4:$AJ$4,0))))=0,NA(),SUMPRODUCT((Inputs!$A$5:$A$140=$B12)*Inputs!$B$5:$B$140*(((Inputs!$G$5:$G$140="moeda")+(Inputs!$G$5:$G$140="acoes"))*Inputs!$B$1+((Inputs!$G$5:$G$140&lt;&gt;"moeda")*(Inputs!$G$5:$G$140&lt;&gt;"acoes")))*INDEX(Inputs!$K$5:$AJ$140,0,MATCH(AF$2,Inputs!$K$4:$AJ$4,0)))+SUMPRODUCT((Inputs!$C$5:$C$140=$B12)*Inputs!$D$5:$D$140*(((Inputs!$G$5:$G$140="moeda")+(Inputs!$G$5:$G$140="acoes"))*Inputs!$B$1+((Inputs!$G$5:$G$140&lt;&gt;"moeda")*(Inputs!$G$5:$G$140&lt;&gt;"acoes")))*INDEX(Inputs!$K$5:$AJ$140,0,MATCH(AF$2,Inputs!$K$4:$AJ$4,0)))+SUMPRODUCT((Inputs!$E$5:$E$140=$B12)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12" s="3" t="e">
        <f>SUM(AC12:AF12)</f>
        <v>#N/A</v>
      </c>
      <c r="AH12" s="6" t="e">
        <f>IF(ISNA(MATCH(AH$2,Inputs!$K$4:$AJ$4,0)),NA(),IF(SUMPRODUCT((Inputs!$A$5:$A$140=$B12)*ISNUMBER(INDEX(Inputs!$K$5:$AJ$140,0,MATCH(AH$2,Inputs!$K$4:$AJ$4,0))))+SUMPRODUCT((Inputs!$C$5:$C$140=$B12)*ISNUMBER(INDEX(Inputs!$K$5:$AJ$140,0,MATCH(AH$2,Inputs!$K$4:$AJ$4,0))))+SUMPRODUCT((Inputs!$E$5:$E$140=$B12)*ISNUMBER(INDEX(Inputs!$K$5:$AJ$140,0,MATCH(AH$2,Inputs!$K$4:$AJ$4,0))))=0,NA(),SUMPRODUCT((Inputs!$A$5:$A$140=$B12)*Inputs!$B$5:$B$140*(((Inputs!$G$5:$G$140="moeda")+(Inputs!$G$5:$G$140="acoes"))*Inputs!$B$1+((Inputs!$G$5:$G$140&lt;&gt;"moeda")*(Inputs!$G$5:$G$140&lt;&gt;"acoes")))*INDEX(Inputs!$K$5:$AJ$140,0,MATCH(AH$2,Inputs!$K$4:$AJ$4,0)))+SUMPRODUCT((Inputs!$C$5:$C$140=$B12)*Inputs!$D$5:$D$140*(((Inputs!$G$5:$G$140="moeda")+(Inputs!$G$5:$G$140="acoes"))*Inputs!$B$1+((Inputs!$G$5:$G$140&lt;&gt;"moeda")*(Inputs!$G$5:$G$140&lt;&gt;"acoes")))*INDEX(Inputs!$K$5:$AJ$140,0,MATCH(AH$2,Inputs!$K$4:$AJ$4,0)))+SUMPRODUCT((Inputs!$E$5:$E$140=$B12)*Inputs!$F$5:$F$140*(((Inputs!$G$5:$G$140="moeda")+(Inputs!$G$5:$G$140="acoes"))*Inputs!$B$1+((Inputs!$G$5:$G$140&lt;&gt;"moeda")*(Inputs!$G$5:$G$140&lt;&gt;"acoes")))*INDEX(Inputs!$K$5:$AJ$140,0,MATCH(AH$2,Inputs!$K$4:$AJ$4,0)))))</f>
        <v>#N/A</v>
      </c>
      <c r="AI12" s="6" t="e">
        <f>IF(ISNA(MATCH(AI$2,Inputs!$K$4:$AJ$4,0)),NA(),IF(SUMPRODUCT((Inputs!$A$5:$A$140=$B12)*ISNUMBER(INDEX(Inputs!$K$5:$AJ$140,0,MATCH(AI$2,Inputs!$K$4:$AJ$4,0))))+SUMPRODUCT((Inputs!$C$5:$C$140=$B12)*ISNUMBER(INDEX(Inputs!$K$5:$AJ$140,0,MATCH(AI$2,Inputs!$K$4:$AJ$4,0))))+SUMPRODUCT((Inputs!$E$5:$E$140=$B12)*ISNUMBER(INDEX(Inputs!$K$5:$AJ$140,0,MATCH(AI$2,Inputs!$K$4:$AJ$4,0))))=0,NA(),SUMPRODUCT((Inputs!$A$5:$A$140=$B12)*Inputs!$B$5:$B$140*(((Inputs!$G$5:$G$140="moeda")+(Inputs!$G$5:$G$140="acoes"))*Inputs!$B$1+((Inputs!$G$5:$G$140&lt;&gt;"moeda")*(Inputs!$G$5:$G$140&lt;&gt;"acoes")))*INDEX(Inputs!$K$5:$AJ$140,0,MATCH(AI$2,Inputs!$K$4:$AJ$4,0)))+SUMPRODUCT((Inputs!$C$5:$C$140=$B12)*Inputs!$D$5:$D$140*(((Inputs!$G$5:$G$140="moeda")+(Inputs!$G$5:$G$140="acoes"))*Inputs!$B$1+((Inputs!$G$5:$G$140&lt;&gt;"moeda")*(Inputs!$G$5:$G$140&lt;&gt;"acoes")))*INDEX(Inputs!$K$5:$AJ$140,0,MATCH(AI$2,Inputs!$K$4:$AJ$4,0)))+SUMPRODUCT((Inputs!$E$5:$E$140=$B12)*Inputs!$F$5:$F$140*(((Inputs!$G$5:$G$140="moeda")+(Inputs!$G$5:$G$140="acoes"))*Inputs!$B$1+((Inputs!$G$5:$G$140&lt;&gt;"moeda")*(Inputs!$G$5:$G$140&lt;&gt;"acoes")))*INDEX(Inputs!$K$5:$AJ$140,0,MATCH(AI$2,Inputs!$K$4:$AJ$4,0)))))</f>
        <v>#N/A</v>
      </c>
      <c r="AJ12" s="6" t="e">
        <f>IF(ISNA(MATCH(AJ$2,Inputs!$K$4:$AJ$4,0)),NA(),IF(SUMPRODUCT((Inputs!$A$5:$A$140=$B12)*ISNUMBER(INDEX(Inputs!$K$5:$AJ$140,0,MATCH(AJ$2,Inputs!$K$4:$AJ$4,0))))+SUMPRODUCT((Inputs!$C$5:$C$140=$B12)*ISNUMBER(INDEX(Inputs!$K$5:$AJ$140,0,MATCH(AJ$2,Inputs!$K$4:$AJ$4,0))))+SUMPRODUCT((Inputs!$E$5:$E$140=$B12)*ISNUMBER(INDEX(Inputs!$K$5:$AJ$140,0,MATCH(AJ$2,Inputs!$K$4:$AJ$4,0))))=0,NA(),SUMPRODUCT((Inputs!$A$5:$A$140=$B12)*Inputs!$B$5:$B$140*(((Inputs!$G$5:$G$140="moeda")+(Inputs!$G$5:$G$140="acoes"))*Inputs!$B$1+((Inputs!$G$5:$G$140&lt;&gt;"moeda")*(Inputs!$G$5:$G$140&lt;&gt;"acoes")))*INDEX(Inputs!$K$5:$AJ$140,0,MATCH(AJ$2,Inputs!$K$4:$AJ$4,0)))+SUMPRODUCT((Inputs!$C$5:$C$140=$B12)*Inputs!$D$5:$D$140*(((Inputs!$G$5:$G$140="moeda")+(Inputs!$G$5:$G$140="acoes"))*Inputs!$B$1+((Inputs!$G$5:$G$140&lt;&gt;"moeda")*(Inputs!$G$5:$G$140&lt;&gt;"acoes")))*INDEX(Inputs!$K$5:$AJ$140,0,MATCH(AJ$2,Inputs!$K$4:$AJ$4,0)))+SUMPRODUCT((Inputs!$E$5:$E$140=$B12)*Inputs!$F$5:$F$140*(((Inputs!$G$5:$G$140="moeda")+(Inputs!$G$5:$G$140="acoes"))*Inputs!$B$1+((Inputs!$G$5:$G$140&lt;&gt;"moeda")*(Inputs!$G$5:$G$140&lt;&gt;"acoes")))*INDEX(Inputs!$K$5:$AJ$140,0,MATCH(AJ$2,Inputs!$K$4:$AJ$4,0)))))</f>
        <v>#N/A</v>
      </c>
      <c r="AK12" s="6" t="e">
        <f>IF(ISNA(MATCH(AK$2,Inputs!$K$4:$AJ$4,0)),NA(),IF(SUMPRODUCT((Inputs!$A$5:$A$140=$B12)*ISNUMBER(INDEX(Inputs!$K$5:$AJ$140,0,MATCH(AK$2,Inputs!$K$4:$AJ$4,0))))+SUMPRODUCT((Inputs!$C$5:$C$140=$B12)*ISNUMBER(INDEX(Inputs!$K$5:$AJ$140,0,MATCH(AK$2,Inputs!$K$4:$AJ$4,0))))+SUMPRODUCT((Inputs!$E$5:$E$140=$B12)*ISNUMBER(INDEX(Inputs!$K$5:$AJ$140,0,MATCH(AK$2,Inputs!$K$4:$AJ$4,0))))=0,NA(),SUMPRODUCT((Inputs!$A$5:$A$140=$B12)*Inputs!$B$5:$B$140*(((Inputs!$G$5:$G$140="moeda")+(Inputs!$G$5:$G$140="acoes"))*Inputs!$B$1+((Inputs!$G$5:$G$140&lt;&gt;"moeda")*(Inputs!$G$5:$G$140&lt;&gt;"acoes")))*INDEX(Inputs!$K$5:$AJ$140,0,MATCH(AK$2,Inputs!$K$4:$AJ$4,0)))+SUMPRODUCT((Inputs!$C$5:$C$140=$B12)*Inputs!$D$5:$D$140*(((Inputs!$G$5:$G$140="moeda")+(Inputs!$G$5:$G$140="acoes"))*Inputs!$B$1+((Inputs!$G$5:$G$140&lt;&gt;"moeda")*(Inputs!$G$5:$G$140&lt;&gt;"acoes")))*INDEX(Inputs!$K$5:$AJ$140,0,MATCH(AK$2,Inputs!$K$4:$AJ$4,0)))+SUMPRODUCT((Inputs!$E$5:$E$140=$B12)*Inputs!$F$5:$F$140*(((Inputs!$G$5:$G$140="moeda")+(Inputs!$G$5:$G$140="acoes"))*Inputs!$B$1+((Inputs!$G$5:$G$140&lt;&gt;"moeda")*(Inputs!$G$5:$G$140&lt;&gt;"acoes")))*INDEX(Inputs!$K$5:$AJ$140,0,MATCH(AK$2,Inputs!$K$4:$AJ$4,0)))))</f>
        <v>#N/A</v>
      </c>
      <c r="AL12" s="3" t="e">
        <f>SUM(AH12:AK12)</f>
        <v>#N/A</v>
      </c>
    </row>
    <row r="13">
      <c r="B13" s="46" t="n">
        <v>10</v>
      </c>
      <c r="C13" s="24" t="inlineStr">
        <is>
          <t>Common Dividends</t>
        </is>
      </c>
      <c r="D13" s="6">
        <f>IF(ISNA(MATCH(D$2,Inputs!$K$4:$AJ$4,0)),NA(),IF(SUMPRODUCT((Inputs!$A$5:$A$140=$B13)*ISNUMBER(INDEX(Inputs!$K$5:$AJ$140,0,MATCH(D$2,Inputs!$K$4:$AJ$4,0))))+SUMPRODUCT((Inputs!$C$5:$C$140=$B13)*ISNUMBER(INDEX(Inputs!$K$5:$AJ$140,0,MATCH(D$2,Inputs!$K$4:$AJ$4,0))))+SUMPRODUCT((Inputs!$E$5:$E$140=$B13)*ISNUMBER(INDEX(Inputs!$K$5:$AJ$140,0,MATCH(D$2,Inputs!$K$4:$AJ$4,0))))=0,NA(),SUMPRODUCT((Inputs!$A$5:$A$140=$B13)*Inputs!$B$5:$B$140*(((Inputs!$G$5:$G$140="moeda")+(Inputs!$G$5:$G$140="acoes"))*Inputs!$B$1+((Inputs!$G$5:$G$140&lt;&gt;"moeda")*(Inputs!$G$5:$G$140&lt;&gt;"acoes")))*INDEX(Inputs!$K$5:$AJ$140,0,MATCH(D$2,Inputs!$K$4:$AJ$4,0)))+SUMPRODUCT((Inputs!$C$5:$C$140=$B13)*Inputs!$D$5:$D$140*(((Inputs!$G$5:$G$140="moeda")+(Inputs!$G$5:$G$140="acoes"))*Inputs!$B$1+((Inputs!$G$5:$G$140&lt;&gt;"moeda")*(Inputs!$G$5:$G$140&lt;&gt;"acoes")))*INDEX(Inputs!$K$5:$AJ$140,0,MATCH(D$2,Inputs!$K$4:$AJ$4,0)))+SUMPRODUCT((Inputs!$E$5:$E$140=$B13)*Inputs!$F$5:$F$140*(((Inputs!$G$5:$G$140="moeda")+(Inputs!$G$5:$G$140="acoes"))*Inputs!$B$1+((Inputs!$G$5:$G$140&lt;&gt;"moeda")*(Inputs!$G$5:$G$140&lt;&gt;"acoes")))*INDEX(Inputs!$K$5:$AJ$140,0,MATCH(D$2,Inputs!$K$4:$AJ$4,0)))))</f>
        <v>-99</v>
      </c>
      <c r="E13" s="6">
        <f>IF(ISNA(MATCH(E$2,Inputs!$K$4:$AJ$4,0)),NA(),IF(SUMPRODUCT((Inputs!$A$5:$A$140=$B13)*ISNUMBER(INDEX(Inputs!$K$5:$AJ$140,0,MATCH(E$2,Inputs!$K$4:$AJ$4,0))))+SUMPRODUCT((Inputs!$C$5:$C$140=$B13)*ISNUMBER(INDEX(Inputs!$K$5:$AJ$140,0,MATCH(E$2,Inputs!$K$4:$AJ$4,0))))+SUMPRODUCT((Inputs!$E$5:$E$140=$B13)*ISNUMBER(INDEX(Inputs!$K$5:$AJ$140,0,MATCH(E$2,Inputs!$K$4:$AJ$4,0))))=0,NA(),SUMPRODUCT((Inputs!$A$5:$A$140=$B13)*Inputs!$B$5:$B$140*(((Inputs!$G$5:$G$140="moeda")+(Inputs!$G$5:$G$140="acoes"))*Inputs!$B$1+((Inputs!$G$5:$G$140&lt;&gt;"moeda")*(Inputs!$G$5:$G$140&lt;&gt;"acoes")))*INDEX(Inputs!$K$5:$AJ$140,0,MATCH(E$2,Inputs!$K$4:$AJ$4,0)))+SUMPRODUCT((Inputs!$C$5:$C$140=$B13)*Inputs!$D$5:$D$140*(((Inputs!$G$5:$G$140="moeda")+(Inputs!$G$5:$G$140="acoes"))*Inputs!$B$1+((Inputs!$G$5:$G$140&lt;&gt;"moeda")*(Inputs!$G$5:$G$140&lt;&gt;"acoes")))*INDEX(Inputs!$K$5:$AJ$140,0,MATCH(E$2,Inputs!$K$4:$AJ$4,0)))+SUMPRODUCT((Inputs!$E$5:$E$140=$B13)*Inputs!$F$5:$F$140*(((Inputs!$G$5:$G$140="moeda")+(Inputs!$G$5:$G$140="acoes"))*Inputs!$B$1+((Inputs!$G$5:$G$140&lt;&gt;"moeda")*(Inputs!$G$5:$G$140&lt;&gt;"acoes")))*INDEX(Inputs!$K$5:$AJ$140,0,MATCH(E$2,Inputs!$K$4:$AJ$4,0)))))</f>
        <v>-99</v>
      </c>
      <c r="F13" s="6">
        <f>IF(ISNA(MATCH(F$2,Inputs!$K$4:$AJ$4,0)),NA(),IF(SUMPRODUCT((Inputs!$A$5:$A$140=$B13)*ISNUMBER(INDEX(Inputs!$K$5:$AJ$140,0,MATCH(F$2,Inputs!$K$4:$AJ$4,0))))+SUMPRODUCT((Inputs!$C$5:$C$140=$B13)*ISNUMBER(INDEX(Inputs!$K$5:$AJ$140,0,MATCH(F$2,Inputs!$K$4:$AJ$4,0))))+SUMPRODUCT((Inputs!$E$5:$E$140=$B13)*ISNUMBER(INDEX(Inputs!$K$5:$AJ$140,0,MATCH(F$2,Inputs!$K$4:$AJ$4,0))))=0,NA(),SUMPRODUCT((Inputs!$A$5:$A$140=$B13)*Inputs!$B$5:$B$140*(((Inputs!$G$5:$G$140="moeda")+(Inputs!$G$5:$G$140="acoes"))*Inputs!$B$1+((Inputs!$G$5:$G$140&lt;&gt;"moeda")*(Inputs!$G$5:$G$140&lt;&gt;"acoes")))*INDEX(Inputs!$K$5:$AJ$140,0,MATCH(F$2,Inputs!$K$4:$AJ$4,0)))+SUMPRODUCT((Inputs!$C$5:$C$140=$B13)*Inputs!$D$5:$D$140*(((Inputs!$G$5:$G$140="moeda")+(Inputs!$G$5:$G$140="acoes"))*Inputs!$B$1+((Inputs!$G$5:$G$140&lt;&gt;"moeda")*(Inputs!$G$5:$G$140&lt;&gt;"acoes")))*INDEX(Inputs!$K$5:$AJ$140,0,MATCH(F$2,Inputs!$K$4:$AJ$4,0)))+SUMPRODUCT((Inputs!$E$5:$E$140=$B13)*Inputs!$F$5:$F$140*(((Inputs!$G$5:$G$140="moeda")+(Inputs!$G$5:$G$140="acoes"))*Inputs!$B$1+((Inputs!$G$5:$G$140&lt;&gt;"moeda")*(Inputs!$G$5:$G$140&lt;&gt;"acoes")))*INDEX(Inputs!$K$5:$AJ$140,0,MATCH(F$2,Inputs!$K$4:$AJ$4,0)))))</f>
        <v>-100</v>
      </c>
      <c r="G13" s="6">
        <f>IF(ISNA(MATCH(G$2,Inputs!$K$4:$AJ$4,0)),NA(),IF(SUMPRODUCT((Inputs!$A$5:$A$140=$B13)*ISNUMBER(INDEX(Inputs!$K$5:$AJ$140,0,MATCH(G$2,Inputs!$K$4:$AJ$4,0))))+SUMPRODUCT((Inputs!$C$5:$C$140=$B13)*ISNUMBER(INDEX(Inputs!$K$5:$AJ$140,0,MATCH(G$2,Inputs!$K$4:$AJ$4,0))))+SUMPRODUCT((Inputs!$E$5:$E$140=$B13)*ISNUMBER(INDEX(Inputs!$K$5:$AJ$140,0,MATCH(G$2,Inputs!$K$4:$AJ$4,0))))=0,NA(),SUMPRODUCT((Inputs!$A$5:$A$140=$B13)*Inputs!$B$5:$B$140*(((Inputs!$G$5:$G$140="moeda")+(Inputs!$G$5:$G$140="acoes"))*Inputs!$B$1+((Inputs!$G$5:$G$140&lt;&gt;"moeda")*(Inputs!$G$5:$G$140&lt;&gt;"acoes")))*INDEX(Inputs!$K$5:$AJ$140,0,MATCH(G$2,Inputs!$K$4:$AJ$4,0)))+SUMPRODUCT((Inputs!$C$5:$C$140=$B13)*Inputs!$D$5:$D$140*(((Inputs!$G$5:$G$140="moeda")+(Inputs!$G$5:$G$140="acoes"))*Inputs!$B$1+((Inputs!$G$5:$G$140&lt;&gt;"moeda")*(Inputs!$G$5:$G$140&lt;&gt;"acoes")))*INDEX(Inputs!$K$5:$AJ$140,0,MATCH(G$2,Inputs!$K$4:$AJ$4,0)))+SUMPRODUCT((Inputs!$E$5:$E$140=$B13)*Inputs!$F$5:$F$140*(((Inputs!$G$5:$G$140="moeda")+(Inputs!$G$5:$G$140="acoes"))*Inputs!$B$1+((Inputs!$G$5:$G$140&lt;&gt;"moeda")*(Inputs!$G$5:$G$140&lt;&gt;"acoes")))*INDEX(Inputs!$K$5:$AJ$140,0,MATCH(G$2,Inputs!$K$4:$AJ$4,0)))))</f>
        <v>-101</v>
      </c>
      <c r="H13" s="3">
        <f>SUM(D13:G13)</f>
        <v>-399</v>
      </c>
      <c r="I13" s="6">
        <f>IF(ISNA(MATCH(I$2,Inputs!$K$4:$AJ$4,0)),NA(),IF(SUMPRODUCT((Inputs!$A$5:$A$140=$B13)*ISNUMBER(INDEX(Inputs!$K$5:$AJ$140,0,MATCH(I$2,Inputs!$K$4:$AJ$4,0))))+SUMPRODUCT((Inputs!$C$5:$C$140=$B13)*ISNUMBER(INDEX(Inputs!$K$5:$AJ$140,0,MATCH(I$2,Inputs!$K$4:$AJ$4,0))))+SUMPRODUCT((Inputs!$E$5:$E$140=$B13)*ISNUMBER(INDEX(Inputs!$K$5:$AJ$140,0,MATCH(I$2,Inputs!$K$4:$AJ$4,0))))=0,NA(),SUMPRODUCT((Inputs!$A$5:$A$140=$B13)*Inputs!$B$5:$B$140*(((Inputs!$G$5:$G$140="moeda")+(Inputs!$G$5:$G$140="acoes"))*Inputs!$B$1+((Inputs!$G$5:$G$140&lt;&gt;"moeda")*(Inputs!$G$5:$G$140&lt;&gt;"acoes")))*INDEX(Inputs!$K$5:$AJ$140,0,MATCH(I$2,Inputs!$K$4:$AJ$4,0)))+SUMPRODUCT((Inputs!$C$5:$C$140=$B13)*Inputs!$D$5:$D$140*(((Inputs!$G$5:$G$140="moeda")+(Inputs!$G$5:$G$140="acoes"))*Inputs!$B$1+((Inputs!$G$5:$G$140&lt;&gt;"moeda")*(Inputs!$G$5:$G$140&lt;&gt;"acoes")))*INDEX(Inputs!$K$5:$AJ$140,0,MATCH(I$2,Inputs!$K$4:$AJ$4,0)))+SUMPRODUCT((Inputs!$E$5:$E$140=$B13)*Inputs!$F$5:$F$140*(((Inputs!$G$5:$G$140="moeda")+(Inputs!$G$5:$G$140="acoes"))*Inputs!$B$1+((Inputs!$G$5:$G$140&lt;&gt;"moeda")*(Inputs!$G$5:$G$140&lt;&gt;"acoes")))*INDEX(Inputs!$K$5:$AJ$140,0,MATCH(I$2,Inputs!$K$4:$AJ$4,0)))))</f>
        <v>-100</v>
      </c>
      <c r="J13" s="6">
        <f>IF(ISNA(MATCH(J$2,Inputs!$K$4:$AJ$4,0)),NA(),IF(SUMPRODUCT((Inputs!$A$5:$A$140=$B13)*ISNUMBER(INDEX(Inputs!$K$5:$AJ$140,0,MATCH(J$2,Inputs!$K$4:$AJ$4,0))))+SUMPRODUCT((Inputs!$C$5:$C$140=$B13)*ISNUMBER(INDEX(Inputs!$K$5:$AJ$140,0,MATCH(J$2,Inputs!$K$4:$AJ$4,0))))+SUMPRODUCT((Inputs!$E$5:$E$140=$B13)*ISNUMBER(INDEX(Inputs!$K$5:$AJ$140,0,MATCH(J$2,Inputs!$K$4:$AJ$4,0))))=0,NA(),SUMPRODUCT((Inputs!$A$5:$A$140=$B13)*Inputs!$B$5:$B$140*(((Inputs!$G$5:$G$140="moeda")+(Inputs!$G$5:$G$140="acoes"))*Inputs!$B$1+((Inputs!$G$5:$G$140&lt;&gt;"moeda")*(Inputs!$G$5:$G$140&lt;&gt;"acoes")))*INDEX(Inputs!$K$5:$AJ$140,0,MATCH(J$2,Inputs!$K$4:$AJ$4,0)))+SUMPRODUCT((Inputs!$C$5:$C$140=$B13)*Inputs!$D$5:$D$140*(((Inputs!$G$5:$G$140="moeda")+(Inputs!$G$5:$G$140="acoes"))*Inputs!$B$1+((Inputs!$G$5:$G$140&lt;&gt;"moeda")*(Inputs!$G$5:$G$140&lt;&gt;"acoes")))*INDEX(Inputs!$K$5:$AJ$140,0,MATCH(J$2,Inputs!$K$4:$AJ$4,0)))+SUMPRODUCT((Inputs!$E$5:$E$140=$B13)*Inputs!$F$5:$F$140*(((Inputs!$G$5:$G$140="moeda")+(Inputs!$G$5:$G$140="acoes"))*Inputs!$B$1+((Inputs!$G$5:$G$140&lt;&gt;"moeda")*(Inputs!$G$5:$G$140&lt;&gt;"acoes")))*INDEX(Inputs!$K$5:$AJ$140,0,MATCH(J$2,Inputs!$K$4:$AJ$4,0)))))</f>
        <v>-100</v>
      </c>
      <c r="K13" s="6">
        <f>IF(ISNA(MATCH(K$2,Inputs!$K$4:$AJ$4,0)),NA(),IF(SUMPRODUCT((Inputs!$A$5:$A$140=$B13)*ISNUMBER(INDEX(Inputs!$K$5:$AJ$140,0,MATCH(K$2,Inputs!$K$4:$AJ$4,0))))+SUMPRODUCT((Inputs!$C$5:$C$140=$B13)*ISNUMBER(INDEX(Inputs!$K$5:$AJ$140,0,MATCH(K$2,Inputs!$K$4:$AJ$4,0))))+SUMPRODUCT((Inputs!$E$5:$E$140=$B13)*ISNUMBER(INDEX(Inputs!$K$5:$AJ$140,0,MATCH(K$2,Inputs!$K$4:$AJ$4,0))))=0,NA(),SUMPRODUCT((Inputs!$A$5:$A$140=$B13)*Inputs!$B$5:$B$140*(((Inputs!$G$5:$G$140="moeda")+(Inputs!$G$5:$G$140="acoes"))*Inputs!$B$1+((Inputs!$G$5:$G$140&lt;&gt;"moeda")*(Inputs!$G$5:$G$140&lt;&gt;"acoes")))*INDEX(Inputs!$K$5:$AJ$140,0,MATCH(K$2,Inputs!$K$4:$AJ$4,0)))+SUMPRODUCT((Inputs!$C$5:$C$140=$B13)*Inputs!$D$5:$D$140*(((Inputs!$G$5:$G$140="moeda")+(Inputs!$G$5:$G$140="acoes"))*Inputs!$B$1+((Inputs!$G$5:$G$140&lt;&gt;"moeda")*(Inputs!$G$5:$G$140&lt;&gt;"acoes")))*INDEX(Inputs!$K$5:$AJ$140,0,MATCH(K$2,Inputs!$K$4:$AJ$4,0)))+SUMPRODUCT((Inputs!$E$5:$E$140=$B13)*Inputs!$F$5:$F$140*(((Inputs!$G$5:$G$140="moeda")+(Inputs!$G$5:$G$140="acoes"))*Inputs!$B$1+((Inputs!$G$5:$G$140&lt;&gt;"moeda")*(Inputs!$G$5:$G$140&lt;&gt;"acoes")))*INDEX(Inputs!$K$5:$AJ$140,0,MATCH(K$2,Inputs!$K$4:$AJ$4,0)))))</f>
        <v>-100</v>
      </c>
      <c r="L13" s="6">
        <f>IF(ISNA(MATCH(L$2,Inputs!$K$4:$AJ$4,0)),NA(),IF(SUMPRODUCT((Inputs!$A$5:$A$140=$B13)*ISNUMBER(INDEX(Inputs!$K$5:$AJ$140,0,MATCH(L$2,Inputs!$K$4:$AJ$4,0))))+SUMPRODUCT((Inputs!$C$5:$C$140=$B13)*ISNUMBER(INDEX(Inputs!$K$5:$AJ$140,0,MATCH(L$2,Inputs!$K$4:$AJ$4,0))))+SUMPRODUCT((Inputs!$E$5:$E$140=$B13)*ISNUMBER(INDEX(Inputs!$K$5:$AJ$140,0,MATCH(L$2,Inputs!$K$4:$AJ$4,0))))=0,NA(),SUMPRODUCT((Inputs!$A$5:$A$140=$B13)*Inputs!$B$5:$B$140*(((Inputs!$G$5:$G$140="moeda")+(Inputs!$G$5:$G$140="acoes"))*Inputs!$B$1+((Inputs!$G$5:$G$140&lt;&gt;"moeda")*(Inputs!$G$5:$G$140&lt;&gt;"acoes")))*INDEX(Inputs!$K$5:$AJ$140,0,MATCH(L$2,Inputs!$K$4:$AJ$4,0)))+SUMPRODUCT((Inputs!$C$5:$C$140=$B13)*Inputs!$D$5:$D$140*(((Inputs!$G$5:$G$140="moeda")+(Inputs!$G$5:$G$140="acoes"))*Inputs!$B$1+((Inputs!$G$5:$G$140&lt;&gt;"moeda")*(Inputs!$G$5:$G$140&lt;&gt;"acoes")))*INDEX(Inputs!$K$5:$AJ$140,0,MATCH(L$2,Inputs!$K$4:$AJ$4,0)))+SUMPRODUCT((Inputs!$E$5:$E$140=$B13)*Inputs!$F$5:$F$140*(((Inputs!$G$5:$G$140="moeda")+(Inputs!$G$5:$G$140="acoes"))*Inputs!$B$1+((Inputs!$G$5:$G$140&lt;&gt;"moeda")*(Inputs!$G$5:$G$140&lt;&gt;"acoes")))*INDEX(Inputs!$K$5:$AJ$140,0,MATCH(L$2,Inputs!$K$4:$AJ$4,0)))))</f>
        <v>-98</v>
      </c>
      <c r="M13" s="3">
        <f>SUM(I13:L13)</f>
        <v>-398</v>
      </c>
      <c r="N13" s="6">
        <f>IF(ISNA(MATCH(N$2,Inputs!$K$4:$AJ$4,0)),NA(),IF(SUMPRODUCT((Inputs!$A$5:$A$140=$B13)*ISNUMBER(INDEX(Inputs!$K$5:$AJ$140,0,MATCH(N$2,Inputs!$K$4:$AJ$4,0))))+SUMPRODUCT((Inputs!$C$5:$C$140=$B13)*ISNUMBER(INDEX(Inputs!$K$5:$AJ$140,0,MATCH(N$2,Inputs!$K$4:$AJ$4,0))))+SUMPRODUCT((Inputs!$E$5:$E$140=$B13)*ISNUMBER(INDEX(Inputs!$K$5:$AJ$140,0,MATCH(N$2,Inputs!$K$4:$AJ$4,0))))=0,NA(),SUMPRODUCT((Inputs!$A$5:$A$140=$B13)*Inputs!$B$5:$B$140*(((Inputs!$G$5:$G$140="moeda")+(Inputs!$G$5:$G$140="acoes"))*Inputs!$B$1+((Inputs!$G$5:$G$140&lt;&gt;"moeda")*(Inputs!$G$5:$G$140&lt;&gt;"acoes")))*INDEX(Inputs!$K$5:$AJ$140,0,MATCH(N$2,Inputs!$K$4:$AJ$4,0)))+SUMPRODUCT((Inputs!$C$5:$C$140=$B13)*Inputs!$D$5:$D$140*(((Inputs!$G$5:$G$140="moeda")+(Inputs!$G$5:$G$140="acoes"))*Inputs!$B$1+((Inputs!$G$5:$G$140&lt;&gt;"moeda")*(Inputs!$G$5:$G$140&lt;&gt;"acoes")))*INDEX(Inputs!$K$5:$AJ$140,0,MATCH(N$2,Inputs!$K$4:$AJ$4,0)))+SUMPRODUCT((Inputs!$E$5:$E$140=$B13)*Inputs!$F$5:$F$140*(((Inputs!$G$5:$G$140="moeda")+(Inputs!$G$5:$G$140="acoes"))*Inputs!$B$1+((Inputs!$G$5:$G$140&lt;&gt;"moeda")*(Inputs!$G$5:$G$140&lt;&gt;"acoes")))*INDEX(Inputs!$K$5:$AJ$140,0,MATCH(N$2,Inputs!$K$4:$AJ$4,0)))))</f>
        <v>-99</v>
      </c>
      <c r="O13" s="6">
        <f>IF(ISNA(MATCH(O$2,Inputs!$K$4:$AJ$4,0)),NA(),IF(SUMPRODUCT((Inputs!$A$5:$A$140=$B13)*ISNUMBER(INDEX(Inputs!$K$5:$AJ$140,0,MATCH(O$2,Inputs!$K$4:$AJ$4,0))))+SUMPRODUCT((Inputs!$C$5:$C$140=$B13)*ISNUMBER(INDEX(Inputs!$K$5:$AJ$140,0,MATCH(O$2,Inputs!$K$4:$AJ$4,0))))+SUMPRODUCT((Inputs!$E$5:$E$140=$B13)*ISNUMBER(INDEX(Inputs!$K$5:$AJ$140,0,MATCH(O$2,Inputs!$K$4:$AJ$4,0))))=0,NA(),SUMPRODUCT((Inputs!$A$5:$A$140=$B13)*Inputs!$B$5:$B$140*(((Inputs!$G$5:$G$140="moeda")+(Inputs!$G$5:$G$140="acoes"))*Inputs!$B$1+((Inputs!$G$5:$G$140&lt;&gt;"moeda")*(Inputs!$G$5:$G$140&lt;&gt;"acoes")))*INDEX(Inputs!$K$5:$AJ$140,0,MATCH(O$2,Inputs!$K$4:$AJ$4,0)))+SUMPRODUCT((Inputs!$C$5:$C$140=$B13)*Inputs!$D$5:$D$140*(((Inputs!$G$5:$G$140="moeda")+(Inputs!$G$5:$G$140="acoes"))*Inputs!$B$1+((Inputs!$G$5:$G$140&lt;&gt;"moeda")*(Inputs!$G$5:$G$140&lt;&gt;"acoes")))*INDEX(Inputs!$K$5:$AJ$140,0,MATCH(O$2,Inputs!$K$4:$AJ$4,0)))+SUMPRODUCT((Inputs!$E$5:$E$140=$B13)*Inputs!$F$5:$F$140*(((Inputs!$G$5:$G$140="moeda")+(Inputs!$G$5:$G$140="acoes"))*Inputs!$B$1+((Inputs!$G$5:$G$140&lt;&gt;"moeda")*(Inputs!$G$5:$G$140&lt;&gt;"acoes")))*INDEX(Inputs!$K$5:$AJ$140,0,MATCH(O$2,Inputs!$K$4:$AJ$4,0)))))</f>
        <v>-100</v>
      </c>
      <c r="P13" s="6">
        <f>IF(ISNA(MATCH(P$2,Inputs!$K$4:$AJ$4,0)),NA(),IF(SUMPRODUCT((Inputs!$A$5:$A$140=$B13)*ISNUMBER(INDEX(Inputs!$K$5:$AJ$140,0,MATCH(P$2,Inputs!$K$4:$AJ$4,0))))+SUMPRODUCT((Inputs!$C$5:$C$140=$B13)*ISNUMBER(INDEX(Inputs!$K$5:$AJ$140,0,MATCH(P$2,Inputs!$K$4:$AJ$4,0))))+SUMPRODUCT((Inputs!$E$5:$E$140=$B13)*ISNUMBER(INDEX(Inputs!$K$5:$AJ$140,0,MATCH(P$2,Inputs!$K$4:$AJ$4,0))))=0,NA(),SUMPRODUCT((Inputs!$A$5:$A$140=$B13)*Inputs!$B$5:$B$140*(((Inputs!$G$5:$G$140="moeda")+(Inputs!$G$5:$G$140="acoes"))*Inputs!$B$1+((Inputs!$G$5:$G$140&lt;&gt;"moeda")*(Inputs!$G$5:$G$140&lt;&gt;"acoes")))*INDEX(Inputs!$K$5:$AJ$140,0,MATCH(P$2,Inputs!$K$4:$AJ$4,0)))+SUMPRODUCT((Inputs!$C$5:$C$140=$B13)*Inputs!$D$5:$D$140*(((Inputs!$G$5:$G$140="moeda")+(Inputs!$G$5:$G$140="acoes"))*Inputs!$B$1+((Inputs!$G$5:$G$140&lt;&gt;"moeda")*(Inputs!$G$5:$G$140&lt;&gt;"acoes")))*INDEX(Inputs!$K$5:$AJ$140,0,MATCH(P$2,Inputs!$K$4:$AJ$4,0)))+SUMPRODUCT((Inputs!$E$5:$E$140=$B13)*Inputs!$F$5:$F$140*(((Inputs!$G$5:$G$140="moeda")+(Inputs!$G$5:$G$140="acoes"))*Inputs!$B$1+((Inputs!$G$5:$G$140&lt;&gt;"moeda")*(Inputs!$G$5:$G$140&lt;&gt;"acoes")))*INDEX(Inputs!$K$5:$AJ$140,0,MATCH(P$2,Inputs!$K$4:$AJ$4,0)))))</f>
        <v>-97</v>
      </c>
      <c r="Q13" s="6">
        <f>IF(ISNA(MATCH(Q$2,Inputs!$K$4:$AJ$4,0)),NA(),IF(SUMPRODUCT((Inputs!$A$5:$A$140=$B13)*ISNUMBER(INDEX(Inputs!$K$5:$AJ$140,0,MATCH(Q$2,Inputs!$K$4:$AJ$4,0))))+SUMPRODUCT((Inputs!$C$5:$C$140=$B13)*ISNUMBER(INDEX(Inputs!$K$5:$AJ$140,0,MATCH(Q$2,Inputs!$K$4:$AJ$4,0))))+SUMPRODUCT((Inputs!$E$5:$E$140=$B13)*ISNUMBER(INDEX(Inputs!$K$5:$AJ$140,0,MATCH(Q$2,Inputs!$K$4:$AJ$4,0))))=0,NA(),SUMPRODUCT((Inputs!$A$5:$A$140=$B13)*Inputs!$B$5:$B$140*(((Inputs!$G$5:$G$140="moeda")+(Inputs!$G$5:$G$140="acoes"))*Inputs!$B$1+((Inputs!$G$5:$G$140&lt;&gt;"moeda")*(Inputs!$G$5:$G$140&lt;&gt;"acoes")))*INDEX(Inputs!$K$5:$AJ$140,0,MATCH(Q$2,Inputs!$K$4:$AJ$4,0)))+SUMPRODUCT((Inputs!$C$5:$C$140=$B13)*Inputs!$D$5:$D$140*(((Inputs!$G$5:$G$140="moeda")+(Inputs!$G$5:$G$140="acoes"))*Inputs!$B$1+((Inputs!$G$5:$G$140&lt;&gt;"moeda")*(Inputs!$G$5:$G$140&lt;&gt;"acoes")))*INDEX(Inputs!$K$5:$AJ$140,0,MATCH(Q$2,Inputs!$K$4:$AJ$4,0)))+SUMPRODUCT((Inputs!$E$5:$E$140=$B13)*Inputs!$F$5:$F$140*(((Inputs!$G$5:$G$140="moeda")+(Inputs!$G$5:$G$140="acoes"))*Inputs!$B$1+((Inputs!$G$5:$G$140&lt;&gt;"moeda")*(Inputs!$G$5:$G$140&lt;&gt;"acoes")))*INDEX(Inputs!$K$5:$AJ$140,0,MATCH(Q$2,Inputs!$K$4:$AJ$4,0)))))</f>
        <v>-99</v>
      </c>
      <c r="R13" s="3">
        <f>SUM(N13:Q13)</f>
        <v>-395</v>
      </c>
      <c r="S13" s="6">
        <f>IF(ISNA(MATCH(S$2,Inputs!$K$4:$AJ$4,0)),NA(),IF(SUMPRODUCT((Inputs!$A$5:$A$140=$B13)*ISNUMBER(INDEX(Inputs!$K$5:$AJ$140,0,MATCH(S$2,Inputs!$K$4:$AJ$4,0))))+SUMPRODUCT((Inputs!$C$5:$C$140=$B13)*ISNUMBER(INDEX(Inputs!$K$5:$AJ$140,0,MATCH(S$2,Inputs!$K$4:$AJ$4,0))))+SUMPRODUCT((Inputs!$E$5:$E$140=$B13)*ISNUMBER(INDEX(Inputs!$K$5:$AJ$140,0,MATCH(S$2,Inputs!$K$4:$AJ$4,0))))=0,NA(),SUMPRODUCT((Inputs!$A$5:$A$140=$B13)*Inputs!$B$5:$B$140*(((Inputs!$G$5:$G$140="moeda")+(Inputs!$G$5:$G$140="acoes"))*Inputs!$B$1+((Inputs!$G$5:$G$140&lt;&gt;"moeda")*(Inputs!$G$5:$G$140&lt;&gt;"acoes")))*INDEX(Inputs!$K$5:$AJ$140,0,MATCH(S$2,Inputs!$K$4:$AJ$4,0)))+SUMPRODUCT((Inputs!$C$5:$C$140=$B13)*Inputs!$D$5:$D$140*(((Inputs!$G$5:$G$140="moeda")+(Inputs!$G$5:$G$140="acoes"))*Inputs!$B$1+((Inputs!$G$5:$G$140&lt;&gt;"moeda")*(Inputs!$G$5:$G$140&lt;&gt;"acoes")))*INDEX(Inputs!$K$5:$AJ$140,0,MATCH(S$2,Inputs!$K$4:$AJ$4,0)))+SUMPRODUCT((Inputs!$E$5:$E$140=$B13)*Inputs!$F$5:$F$140*(((Inputs!$G$5:$G$140="moeda")+(Inputs!$G$5:$G$140="acoes"))*Inputs!$B$1+((Inputs!$G$5:$G$140&lt;&gt;"moeda")*(Inputs!$G$5:$G$140&lt;&gt;"acoes")))*INDEX(Inputs!$K$5:$AJ$140,0,MATCH(S$2,Inputs!$K$4:$AJ$4,0)))))</f>
        <v>-98</v>
      </c>
      <c r="T13" s="6">
        <f>IF(ISNA(MATCH(T$2,Inputs!$K$4:$AJ$4,0)),NA(),IF(SUMPRODUCT((Inputs!$A$5:$A$140=$B13)*ISNUMBER(INDEX(Inputs!$K$5:$AJ$140,0,MATCH(T$2,Inputs!$K$4:$AJ$4,0))))+SUMPRODUCT((Inputs!$C$5:$C$140=$B13)*ISNUMBER(INDEX(Inputs!$K$5:$AJ$140,0,MATCH(T$2,Inputs!$K$4:$AJ$4,0))))+SUMPRODUCT((Inputs!$E$5:$E$140=$B13)*ISNUMBER(INDEX(Inputs!$K$5:$AJ$140,0,MATCH(T$2,Inputs!$K$4:$AJ$4,0))))=0,NA(),SUMPRODUCT((Inputs!$A$5:$A$140=$B13)*Inputs!$B$5:$B$140*(((Inputs!$G$5:$G$140="moeda")+(Inputs!$G$5:$G$140="acoes"))*Inputs!$B$1+((Inputs!$G$5:$G$140&lt;&gt;"moeda")*(Inputs!$G$5:$G$140&lt;&gt;"acoes")))*INDEX(Inputs!$K$5:$AJ$140,0,MATCH(T$2,Inputs!$K$4:$AJ$4,0)))+SUMPRODUCT((Inputs!$C$5:$C$140=$B13)*Inputs!$D$5:$D$140*(((Inputs!$G$5:$G$140="moeda")+(Inputs!$G$5:$G$140="acoes"))*Inputs!$B$1+((Inputs!$G$5:$G$140&lt;&gt;"moeda")*(Inputs!$G$5:$G$140&lt;&gt;"acoes")))*INDEX(Inputs!$K$5:$AJ$140,0,MATCH(T$2,Inputs!$K$4:$AJ$4,0)))+SUMPRODUCT((Inputs!$E$5:$E$140=$B13)*Inputs!$F$5:$F$140*(((Inputs!$G$5:$G$140="moeda")+(Inputs!$G$5:$G$140="acoes"))*Inputs!$B$1+((Inputs!$G$5:$G$140&lt;&gt;"moeda")*(Inputs!$G$5:$G$140&lt;&gt;"acoes")))*INDEX(Inputs!$K$5:$AJ$140,0,MATCH(T$2,Inputs!$K$4:$AJ$4,0)))))</f>
        <v>-246</v>
      </c>
      <c r="U13" s="6">
        <f>IF(ISNA(MATCH(U$2,Inputs!$K$4:$AJ$4,0)),NA(),IF(SUMPRODUCT((Inputs!$A$5:$A$140=$B13)*ISNUMBER(INDEX(Inputs!$K$5:$AJ$140,0,MATCH(U$2,Inputs!$K$4:$AJ$4,0))))+SUMPRODUCT((Inputs!$C$5:$C$140=$B13)*ISNUMBER(INDEX(Inputs!$K$5:$AJ$140,0,MATCH(U$2,Inputs!$K$4:$AJ$4,0))))+SUMPRODUCT((Inputs!$E$5:$E$140=$B13)*ISNUMBER(INDEX(Inputs!$K$5:$AJ$140,0,MATCH(U$2,Inputs!$K$4:$AJ$4,0))))=0,NA(),SUMPRODUCT((Inputs!$A$5:$A$140=$B13)*Inputs!$B$5:$B$140*(((Inputs!$G$5:$G$140="moeda")+(Inputs!$G$5:$G$140="acoes"))*Inputs!$B$1+((Inputs!$G$5:$G$140&lt;&gt;"moeda")*(Inputs!$G$5:$G$140&lt;&gt;"acoes")))*INDEX(Inputs!$K$5:$AJ$140,0,MATCH(U$2,Inputs!$K$4:$AJ$4,0)))+SUMPRODUCT((Inputs!$C$5:$C$140=$B13)*Inputs!$D$5:$D$140*(((Inputs!$G$5:$G$140="moeda")+(Inputs!$G$5:$G$140="acoes"))*Inputs!$B$1+((Inputs!$G$5:$G$140&lt;&gt;"moeda")*(Inputs!$G$5:$G$140&lt;&gt;"acoes")))*INDEX(Inputs!$K$5:$AJ$140,0,MATCH(U$2,Inputs!$K$4:$AJ$4,0)))+SUMPRODUCT((Inputs!$E$5:$E$140=$B13)*Inputs!$F$5:$F$140*(((Inputs!$G$5:$G$140="moeda")+(Inputs!$G$5:$G$140="acoes"))*Inputs!$B$1+((Inputs!$G$5:$G$140&lt;&gt;"moeda")*(Inputs!$G$5:$G$140&lt;&gt;"acoes")))*INDEX(Inputs!$K$5:$AJ$140,0,MATCH(U$2,Inputs!$K$4:$AJ$4,0)))))</f>
        <v>-245</v>
      </c>
      <c r="V13" s="6">
        <f>IF(ISNA(MATCH(V$2,Inputs!$K$4:$AJ$4,0)),NA(),IF(SUMPRODUCT((Inputs!$A$5:$A$140=$B13)*ISNUMBER(INDEX(Inputs!$K$5:$AJ$140,0,MATCH(V$2,Inputs!$K$4:$AJ$4,0))))+SUMPRODUCT((Inputs!$C$5:$C$140=$B13)*ISNUMBER(INDEX(Inputs!$K$5:$AJ$140,0,MATCH(V$2,Inputs!$K$4:$AJ$4,0))))+SUMPRODUCT((Inputs!$E$5:$E$140=$B13)*ISNUMBER(INDEX(Inputs!$K$5:$AJ$140,0,MATCH(V$2,Inputs!$K$4:$AJ$4,0))))=0,NA(),SUMPRODUCT((Inputs!$A$5:$A$140=$B13)*Inputs!$B$5:$B$140*(((Inputs!$G$5:$G$140="moeda")+(Inputs!$G$5:$G$140="acoes"))*Inputs!$B$1+((Inputs!$G$5:$G$140&lt;&gt;"moeda")*(Inputs!$G$5:$G$140&lt;&gt;"acoes")))*INDEX(Inputs!$K$5:$AJ$140,0,MATCH(V$2,Inputs!$K$4:$AJ$4,0)))+SUMPRODUCT((Inputs!$C$5:$C$140=$B13)*Inputs!$D$5:$D$140*(((Inputs!$G$5:$G$140="moeda")+(Inputs!$G$5:$G$140="acoes"))*Inputs!$B$1+((Inputs!$G$5:$G$140&lt;&gt;"moeda")*(Inputs!$G$5:$G$140&lt;&gt;"acoes")))*INDEX(Inputs!$K$5:$AJ$140,0,MATCH(V$2,Inputs!$K$4:$AJ$4,0)))+SUMPRODUCT((Inputs!$E$5:$E$140=$B13)*Inputs!$F$5:$F$140*(((Inputs!$G$5:$G$140="moeda")+(Inputs!$G$5:$G$140="acoes"))*Inputs!$B$1+((Inputs!$G$5:$G$140&lt;&gt;"moeda")*(Inputs!$G$5:$G$140&lt;&gt;"acoes")))*INDEX(Inputs!$K$5:$AJ$140,0,MATCH(V$2,Inputs!$K$4:$AJ$4,0)))))</f>
        <v>-245</v>
      </c>
      <c r="W13" s="3">
        <f>SUM(S13:V13)</f>
        <v>-834</v>
      </c>
      <c r="X13" s="6">
        <f>IF(ISNA(MATCH(X$2,Inputs!$K$4:$AJ$4,0)),NA(),IF(SUMPRODUCT((Inputs!$A$5:$A$140=$B13)*ISNUMBER(INDEX(Inputs!$K$5:$AJ$140,0,MATCH(X$2,Inputs!$K$4:$AJ$4,0))))+SUMPRODUCT((Inputs!$C$5:$C$140=$B13)*ISNUMBER(INDEX(Inputs!$K$5:$AJ$140,0,MATCH(X$2,Inputs!$K$4:$AJ$4,0))))+SUMPRODUCT((Inputs!$E$5:$E$140=$B13)*ISNUMBER(INDEX(Inputs!$K$5:$AJ$140,0,MATCH(X$2,Inputs!$K$4:$AJ$4,0))))=0,NA(),SUMPRODUCT((Inputs!$A$5:$A$140=$B13)*Inputs!$B$5:$B$140*(((Inputs!$G$5:$G$140="moeda")+(Inputs!$G$5:$G$140="acoes"))*Inputs!$B$1+((Inputs!$G$5:$G$140&lt;&gt;"moeda")*(Inputs!$G$5:$G$140&lt;&gt;"acoes")))*INDEX(Inputs!$K$5:$AJ$140,0,MATCH(X$2,Inputs!$K$4:$AJ$4,0)))+SUMPRODUCT((Inputs!$C$5:$C$140=$B13)*Inputs!$D$5:$D$140*(((Inputs!$G$5:$G$140="moeda")+(Inputs!$G$5:$G$140="acoes"))*Inputs!$B$1+((Inputs!$G$5:$G$140&lt;&gt;"moeda")*(Inputs!$G$5:$G$140&lt;&gt;"acoes")))*INDEX(Inputs!$K$5:$AJ$140,0,MATCH(X$2,Inputs!$K$4:$AJ$4,0)))+SUMPRODUCT((Inputs!$E$5:$E$140=$B13)*Inputs!$F$5:$F$140*(((Inputs!$G$5:$G$140="moeda")+(Inputs!$G$5:$G$140="acoes"))*Inputs!$B$1+((Inputs!$G$5:$G$140&lt;&gt;"moeda")*(Inputs!$G$5:$G$140&lt;&gt;"acoes")))*INDEX(Inputs!$K$5:$AJ$140,0,MATCH(X$2,Inputs!$K$4:$AJ$4,0)))))</f>
        <v>-244</v>
      </c>
      <c r="Y13" s="6">
        <f>IF(ISNA(MATCH(Y$2,Inputs!$K$4:$AJ$4,0)),NA(),IF(SUMPRODUCT((Inputs!$A$5:$A$140=$B13)*ISNUMBER(INDEX(Inputs!$K$5:$AJ$140,0,MATCH(Y$2,Inputs!$K$4:$AJ$4,0))))+SUMPRODUCT((Inputs!$C$5:$C$140=$B13)*ISNUMBER(INDEX(Inputs!$K$5:$AJ$140,0,MATCH(Y$2,Inputs!$K$4:$AJ$4,0))))+SUMPRODUCT((Inputs!$E$5:$E$140=$B13)*ISNUMBER(INDEX(Inputs!$K$5:$AJ$140,0,MATCH(Y$2,Inputs!$K$4:$AJ$4,0))))=0,NA(),SUMPRODUCT((Inputs!$A$5:$A$140=$B13)*Inputs!$B$5:$B$140*(((Inputs!$G$5:$G$140="moeda")+(Inputs!$G$5:$G$140="acoes"))*Inputs!$B$1+((Inputs!$G$5:$G$140&lt;&gt;"moeda")*(Inputs!$G$5:$G$140&lt;&gt;"acoes")))*INDEX(Inputs!$K$5:$AJ$140,0,MATCH(Y$2,Inputs!$K$4:$AJ$4,0)))+SUMPRODUCT((Inputs!$C$5:$C$140=$B13)*Inputs!$D$5:$D$140*(((Inputs!$G$5:$G$140="moeda")+(Inputs!$G$5:$G$140="acoes"))*Inputs!$B$1+((Inputs!$G$5:$G$140&lt;&gt;"moeda")*(Inputs!$G$5:$G$140&lt;&gt;"acoes")))*INDEX(Inputs!$K$5:$AJ$140,0,MATCH(Y$2,Inputs!$K$4:$AJ$4,0)))+SUMPRODUCT((Inputs!$E$5:$E$140=$B13)*Inputs!$F$5:$F$140*(((Inputs!$G$5:$G$140="moeda")+(Inputs!$G$5:$G$140="acoes"))*Inputs!$B$1+((Inputs!$G$5:$G$140&lt;&gt;"moeda")*(Inputs!$G$5:$G$140&lt;&gt;"acoes")))*INDEX(Inputs!$K$5:$AJ$140,0,MATCH(Y$2,Inputs!$K$4:$AJ$4,0)))))</f>
        <v>-244</v>
      </c>
      <c r="Z13" s="6">
        <f>IF(ISNA(MATCH(Z$2,Inputs!$K$4:$AJ$4,0)),NA(),IF(SUMPRODUCT((Inputs!$A$5:$A$140=$B13)*ISNUMBER(INDEX(Inputs!$K$5:$AJ$140,0,MATCH(Z$2,Inputs!$K$4:$AJ$4,0))))+SUMPRODUCT((Inputs!$C$5:$C$140=$B13)*ISNUMBER(INDEX(Inputs!$K$5:$AJ$140,0,MATCH(Z$2,Inputs!$K$4:$AJ$4,0))))+SUMPRODUCT((Inputs!$E$5:$E$140=$B13)*ISNUMBER(INDEX(Inputs!$K$5:$AJ$140,0,MATCH(Z$2,Inputs!$K$4:$AJ$4,0))))=0,NA(),SUMPRODUCT((Inputs!$A$5:$A$140=$B13)*Inputs!$B$5:$B$140*(((Inputs!$G$5:$G$140="moeda")+(Inputs!$G$5:$G$140="acoes"))*Inputs!$B$1+((Inputs!$G$5:$G$140&lt;&gt;"moeda")*(Inputs!$G$5:$G$140&lt;&gt;"acoes")))*INDEX(Inputs!$K$5:$AJ$140,0,MATCH(Z$2,Inputs!$K$4:$AJ$4,0)))+SUMPRODUCT((Inputs!$C$5:$C$140=$B13)*Inputs!$D$5:$D$140*(((Inputs!$G$5:$G$140="moeda")+(Inputs!$G$5:$G$140="acoes"))*Inputs!$B$1+((Inputs!$G$5:$G$140&lt;&gt;"moeda")*(Inputs!$G$5:$G$140&lt;&gt;"acoes")))*INDEX(Inputs!$K$5:$AJ$140,0,MATCH(Z$2,Inputs!$K$4:$AJ$4,0)))+SUMPRODUCT((Inputs!$E$5:$E$140=$B13)*Inputs!$F$5:$F$140*(((Inputs!$G$5:$G$140="moeda")+(Inputs!$G$5:$G$140="acoes"))*Inputs!$B$1+((Inputs!$G$5:$G$140&lt;&gt;"moeda")*(Inputs!$G$5:$G$140&lt;&gt;"acoes")))*INDEX(Inputs!$K$5:$AJ$140,0,MATCH(Z$2,Inputs!$K$4:$AJ$4,0)))))</f>
        <v>-244</v>
      </c>
      <c r="AA13" s="6">
        <f>IF(ISNA(MATCH(AA$2,Inputs!$K$4:$AJ$4,0)),NA(),IF(SUMPRODUCT((Inputs!$A$5:$A$140=$B13)*ISNUMBER(INDEX(Inputs!$K$5:$AJ$140,0,MATCH(AA$2,Inputs!$K$4:$AJ$4,0))))+SUMPRODUCT((Inputs!$C$5:$C$140=$B13)*ISNUMBER(INDEX(Inputs!$K$5:$AJ$140,0,MATCH(AA$2,Inputs!$K$4:$AJ$4,0))))+SUMPRODUCT((Inputs!$E$5:$E$140=$B13)*ISNUMBER(INDEX(Inputs!$K$5:$AJ$140,0,MATCH(AA$2,Inputs!$K$4:$AJ$4,0))))=0,NA(),SUMPRODUCT((Inputs!$A$5:$A$140=$B13)*Inputs!$B$5:$B$140*(((Inputs!$G$5:$G$140="moeda")+(Inputs!$G$5:$G$140="acoes"))*Inputs!$B$1+((Inputs!$G$5:$G$140&lt;&gt;"moeda")*(Inputs!$G$5:$G$140&lt;&gt;"acoes")))*INDEX(Inputs!$K$5:$AJ$140,0,MATCH(AA$2,Inputs!$K$4:$AJ$4,0)))+SUMPRODUCT((Inputs!$C$5:$C$140=$B13)*Inputs!$D$5:$D$140*(((Inputs!$G$5:$G$140="moeda")+(Inputs!$G$5:$G$140="acoes"))*Inputs!$B$1+((Inputs!$G$5:$G$140&lt;&gt;"moeda")*(Inputs!$G$5:$G$140&lt;&gt;"acoes")))*INDEX(Inputs!$K$5:$AJ$140,0,MATCH(AA$2,Inputs!$K$4:$AJ$4,0)))+SUMPRODUCT((Inputs!$E$5:$E$140=$B13)*Inputs!$F$5:$F$140*(((Inputs!$G$5:$G$140="moeda")+(Inputs!$G$5:$G$140="acoes"))*Inputs!$B$1+((Inputs!$G$5:$G$140&lt;&gt;"moeda")*(Inputs!$G$5:$G$140&lt;&gt;"acoes")))*INDEX(Inputs!$K$5:$AJ$140,0,MATCH(AA$2,Inputs!$K$4:$AJ$4,0)))))</f>
        <v>-242</v>
      </c>
      <c r="AB13" s="3">
        <f>SUM(X13:AA13)</f>
        <v>-974</v>
      </c>
      <c r="AC13" s="6">
        <f>IF(ISNA(MATCH(AC$2,Inputs!$K$4:$AJ$4,0)),NA(),IF(SUMPRODUCT((Inputs!$A$5:$A$140=$B13)*ISNUMBER(INDEX(Inputs!$K$5:$AJ$140,0,MATCH(AC$2,Inputs!$K$4:$AJ$4,0))))+SUMPRODUCT((Inputs!$C$5:$C$140=$B13)*ISNUMBER(INDEX(Inputs!$K$5:$AJ$140,0,MATCH(AC$2,Inputs!$K$4:$AJ$4,0))))+SUMPRODUCT((Inputs!$E$5:$E$140=$B13)*ISNUMBER(INDEX(Inputs!$K$5:$AJ$140,0,MATCH(AC$2,Inputs!$K$4:$AJ$4,0))))=0,NA(),SUMPRODUCT((Inputs!$A$5:$A$140=$B13)*Inputs!$B$5:$B$140*(((Inputs!$G$5:$G$140="moeda")+(Inputs!$G$5:$G$140="acoes"))*Inputs!$B$1+((Inputs!$G$5:$G$140&lt;&gt;"moeda")*(Inputs!$G$5:$G$140&lt;&gt;"acoes")))*INDEX(Inputs!$K$5:$AJ$140,0,MATCH(AC$2,Inputs!$K$4:$AJ$4,0)))+SUMPRODUCT((Inputs!$C$5:$C$140=$B13)*Inputs!$D$5:$D$140*(((Inputs!$G$5:$G$140="moeda")+(Inputs!$G$5:$G$140="acoes"))*Inputs!$B$1+((Inputs!$G$5:$G$140&lt;&gt;"moeda")*(Inputs!$G$5:$G$140&lt;&gt;"acoes")))*INDEX(Inputs!$K$5:$AJ$140,0,MATCH(AC$2,Inputs!$K$4:$AJ$4,0)))+SUMPRODUCT((Inputs!$E$5:$E$140=$B13)*Inputs!$F$5:$F$140*(((Inputs!$G$5:$G$140="moeda")+(Inputs!$G$5:$G$140="acoes"))*Inputs!$B$1+((Inputs!$G$5:$G$140&lt;&gt;"moeda")*(Inputs!$G$5:$G$140&lt;&gt;"acoes")))*INDEX(Inputs!$K$5:$AJ$140,0,MATCH(AC$2,Inputs!$K$4:$AJ$4,0)))))</f>
        <v>-243</v>
      </c>
      <c r="AD13" s="6">
        <f>IF(ISNA(MATCH(AD$2,Inputs!$K$4:$AJ$4,0)),NA(),IF(SUMPRODUCT((Inputs!$A$5:$A$140=$B13)*ISNUMBER(INDEX(Inputs!$K$5:$AJ$140,0,MATCH(AD$2,Inputs!$K$4:$AJ$4,0))))+SUMPRODUCT((Inputs!$C$5:$C$140=$B13)*ISNUMBER(INDEX(Inputs!$K$5:$AJ$140,0,MATCH(AD$2,Inputs!$K$4:$AJ$4,0))))+SUMPRODUCT((Inputs!$E$5:$E$140=$B13)*ISNUMBER(INDEX(Inputs!$K$5:$AJ$140,0,MATCH(AD$2,Inputs!$K$4:$AJ$4,0))))=0,NA(),SUMPRODUCT((Inputs!$A$5:$A$140=$B13)*Inputs!$B$5:$B$140*(((Inputs!$G$5:$G$140="moeda")+(Inputs!$G$5:$G$140="acoes"))*Inputs!$B$1+((Inputs!$G$5:$G$140&lt;&gt;"moeda")*(Inputs!$G$5:$G$140&lt;&gt;"acoes")))*INDEX(Inputs!$K$5:$AJ$140,0,MATCH(AD$2,Inputs!$K$4:$AJ$4,0)))+SUMPRODUCT((Inputs!$C$5:$C$140=$B13)*Inputs!$D$5:$D$140*(((Inputs!$G$5:$G$140="moeda")+(Inputs!$G$5:$G$140="acoes"))*Inputs!$B$1+((Inputs!$G$5:$G$140&lt;&gt;"moeda")*(Inputs!$G$5:$G$140&lt;&gt;"acoes")))*INDEX(Inputs!$K$5:$AJ$140,0,MATCH(AD$2,Inputs!$K$4:$AJ$4,0)))+SUMPRODUCT((Inputs!$E$5:$E$140=$B13)*Inputs!$F$5:$F$140*(((Inputs!$G$5:$G$140="moeda")+(Inputs!$G$5:$G$140="acoes"))*Inputs!$B$1+((Inputs!$G$5:$G$140&lt;&gt;"moeda")*(Inputs!$G$5:$G$140&lt;&gt;"acoes")))*INDEX(Inputs!$K$5:$AJ$140,0,MATCH(AD$2,Inputs!$K$4:$AJ$4,0)))))</f>
        <v>-6047</v>
      </c>
      <c r="AE13" s="6" t="e">
        <f>IF(ISNA(MATCH(AE$2,Inputs!$K$4:$AJ$4,0)),NA(),IF(SUMPRODUCT((Inputs!$A$5:$A$140=$B13)*ISNUMBER(INDEX(Inputs!$K$5:$AJ$140,0,MATCH(AE$2,Inputs!$K$4:$AJ$4,0))))+SUMPRODUCT((Inputs!$C$5:$C$140=$B13)*ISNUMBER(INDEX(Inputs!$K$5:$AJ$140,0,MATCH(AE$2,Inputs!$K$4:$AJ$4,0))))+SUMPRODUCT((Inputs!$E$5:$E$140=$B13)*ISNUMBER(INDEX(Inputs!$K$5:$AJ$140,0,MATCH(AE$2,Inputs!$K$4:$AJ$4,0))))=0,NA(),SUMPRODUCT((Inputs!$A$5:$A$140=$B13)*Inputs!$B$5:$B$140*(((Inputs!$G$5:$G$140="moeda")+(Inputs!$G$5:$G$140="acoes"))*Inputs!$B$1+((Inputs!$G$5:$G$140&lt;&gt;"moeda")*(Inputs!$G$5:$G$140&lt;&gt;"acoes")))*INDEX(Inputs!$K$5:$AJ$140,0,MATCH(AE$2,Inputs!$K$4:$AJ$4,0)))+SUMPRODUCT((Inputs!$C$5:$C$140=$B13)*Inputs!$D$5:$D$140*(((Inputs!$G$5:$G$140="moeda")+(Inputs!$G$5:$G$140="acoes"))*Inputs!$B$1+((Inputs!$G$5:$G$140&lt;&gt;"moeda")*(Inputs!$G$5:$G$140&lt;&gt;"acoes")))*INDEX(Inputs!$K$5:$AJ$140,0,MATCH(AE$2,Inputs!$K$4:$AJ$4,0)))+SUMPRODUCT((Inputs!$E$5:$E$140=$B13)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13" s="6" t="e">
        <f>IF(ISNA(MATCH(AF$2,Inputs!$K$4:$AJ$4,0)),NA(),IF(SUMPRODUCT((Inputs!$A$5:$A$140=$B13)*ISNUMBER(INDEX(Inputs!$K$5:$AJ$140,0,MATCH(AF$2,Inputs!$K$4:$AJ$4,0))))+SUMPRODUCT((Inputs!$C$5:$C$140=$B13)*ISNUMBER(INDEX(Inputs!$K$5:$AJ$140,0,MATCH(AF$2,Inputs!$K$4:$AJ$4,0))))+SUMPRODUCT((Inputs!$E$5:$E$140=$B13)*ISNUMBER(INDEX(Inputs!$K$5:$AJ$140,0,MATCH(AF$2,Inputs!$K$4:$AJ$4,0))))=0,NA(),SUMPRODUCT((Inputs!$A$5:$A$140=$B13)*Inputs!$B$5:$B$140*(((Inputs!$G$5:$G$140="moeda")+(Inputs!$G$5:$G$140="acoes"))*Inputs!$B$1+((Inputs!$G$5:$G$140&lt;&gt;"moeda")*(Inputs!$G$5:$G$140&lt;&gt;"acoes")))*INDEX(Inputs!$K$5:$AJ$140,0,MATCH(AF$2,Inputs!$K$4:$AJ$4,0)))+SUMPRODUCT((Inputs!$C$5:$C$140=$B13)*Inputs!$D$5:$D$140*(((Inputs!$G$5:$G$140="moeda")+(Inputs!$G$5:$G$140="acoes"))*Inputs!$B$1+((Inputs!$G$5:$G$140&lt;&gt;"moeda")*(Inputs!$G$5:$G$140&lt;&gt;"acoes")))*INDEX(Inputs!$K$5:$AJ$140,0,MATCH(AF$2,Inputs!$K$4:$AJ$4,0)))+SUMPRODUCT((Inputs!$E$5:$E$140=$B13)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13" s="3" t="e">
        <f>SUM(AC13:AF13)</f>
        <v>#N/A</v>
      </c>
      <c r="AH13" s="6">
        <f>IF(ISNA(MATCH(AH$2,Inputs!$K$4:$AJ$4,0)),NA(),IF(SUMPRODUCT((Inputs!$A$5:$A$140=$B13)*ISNUMBER(INDEX(Inputs!$K$5:$AJ$140,0,MATCH(AH$2,Inputs!$K$4:$AJ$4,0))))+SUMPRODUCT((Inputs!$C$5:$C$140=$B13)*ISNUMBER(INDEX(Inputs!$K$5:$AJ$140,0,MATCH(AH$2,Inputs!$K$4:$AJ$4,0))))+SUMPRODUCT((Inputs!$E$5:$E$140=$B13)*ISNUMBER(INDEX(Inputs!$K$5:$AJ$140,0,MATCH(AH$2,Inputs!$K$4:$AJ$4,0))))=0,NA(),SUMPRODUCT((Inputs!$A$5:$A$140=$B13)*Inputs!$B$5:$B$140*(((Inputs!$G$5:$G$140="moeda")+(Inputs!$G$5:$G$140="acoes"))*Inputs!$B$1+((Inputs!$G$5:$G$140&lt;&gt;"moeda")*(Inputs!$G$5:$G$140&lt;&gt;"acoes")))*INDEX(Inputs!$K$5:$AJ$140,0,MATCH(AH$2,Inputs!$K$4:$AJ$4,0)))+SUMPRODUCT((Inputs!$C$5:$C$140=$B13)*Inputs!$D$5:$D$140*(((Inputs!$G$5:$G$140="moeda")+(Inputs!$G$5:$G$140="acoes"))*Inputs!$B$1+((Inputs!$G$5:$G$140&lt;&gt;"moeda")*(Inputs!$G$5:$G$140&lt;&gt;"acoes")))*INDEX(Inputs!$K$5:$AJ$140,0,MATCH(AH$2,Inputs!$K$4:$AJ$4,0)))+SUMPRODUCT((Inputs!$E$5:$E$140=$B13)*Inputs!$F$5:$F$140*(((Inputs!$G$5:$G$140="moeda")+(Inputs!$G$5:$G$140="acoes"))*Inputs!$B$1+((Inputs!$G$5:$G$140&lt;&gt;"moeda")*(Inputs!$G$5:$G$140&lt;&gt;"acoes")))*INDEX(Inputs!$K$5:$AJ$140,0,MATCH(AH$2,Inputs!$K$4:$AJ$4,0)))))</f>
        <v>-98</v>
      </c>
      <c r="AI13" s="6">
        <f>IF(ISNA(MATCH(AI$2,Inputs!$K$4:$AJ$4,0)),NA(),IF(SUMPRODUCT((Inputs!$A$5:$A$140=$B13)*ISNUMBER(INDEX(Inputs!$K$5:$AJ$140,0,MATCH(AI$2,Inputs!$K$4:$AJ$4,0))))+SUMPRODUCT((Inputs!$C$5:$C$140=$B13)*ISNUMBER(INDEX(Inputs!$K$5:$AJ$140,0,MATCH(AI$2,Inputs!$K$4:$AJ$4,0))))+SUMPRODUCT((Inputs!$E$5:$E$140=$B13)*ISNUMBER(INDEX(Inputs!$K$5:$AJ$140,0,MATCH(AI$2,Inputs!$K$4:$AJ$4,0))))=0,NA(),SUMPRODUCT((Inputs!$A$5:$A$140=$B13)*Inputs!$B$5:$B$140*(((Inputs!$G$5:$G$140="moeda")+(Inputs!$G$5:$G$140="acoes"))*Inputs!$B$1+((Inputs!$G$5:$G$140&lt;&gt;"moeda")*(Inputs!$G$5:$G$140&lt;&gt;"acoes")))*INDEX(Inputs!$K$5:$AJ$140,0,MATCH(AI$2,Inputs!$K$4:$AJ$4,0)))+SUMPRODUCT((Inputs!$C$5:$C$140=$B13)*Inputs!$D$5:$D$140*(((Inputs!$G$5:$G$140="moeda")+(Inputs!$G$5:$G$140="acoes"))*Inputs!$B$1+((Inputs!$G$5:$G$140&lt;&gt;"moeda")*(Inputs!$G$5:$G$140&lt;&gt;"acoes")))*INDEX(Inputs!$K$5:$AJ$140,0,MATCH(AI$2,Inputs!$K$4:$AJ$4,0)))+SUMPRODUCT((Inputs!$E$5:$E$140=$B13)*Inputs!$F$5:$F$140*(((Inputs!$G$5:$G$140="moeda")+(Inputs!$G$5:$G$140="acoes"))*Inputs!$B$1+((Inputs!$G$5:$G$140&lt;&gt;"moeda")*(Inputs!$G$5:$G$140&lt;&gt;"acoes")))*INDEX(Inputs!$K$5:$AJ$140,0,MATCH(AI$2,Inputs!$K$4:$AJ$4,0)))))</f>
        <v>-99</v>
      </c>
      <c r="AJ13" s="6">
        <f>IF(ISNA(MATCH(AJ$2,Inputs!$K$4:$AJ$4,0)),NA(),IF(SUMPRODUCT((Inputs!$A$5:$A$140=$B13)*ISNUMBER(INDEX(Inputs!$K$5:$AJ$140,0,MATCH(AJ$2,Inputs!$K$4:$AJ$4,0))))+SUMPRODUCT((Inputs!$C$5:$C$140=$B13)*ISNUMBER(INDEX(Inputs!$K$5:$AJ$140,0,MATCH(AJ$2,Inputs!$K$4:$AJ$4,0))))+SUMPRODUCT((Inputs!$E$5:$E$140=$B13)*ISNUMBER(INDEX(Inputs!$K$5:$AJ$140,0,MATCH(AJ$2,Inputs!$K$4:$AJ$4,0))))=0,NA(),SUMPRODUCT((Inputs!$A$5:$A$140=$B13)*Inputs!$B$5:$B$140*(((Inputs!$G$5:$G$140="moeda")+(Inputs!$G$5:$G$140="acoes"))*Inputs!$B$1+((Inputs!$G$5:$G$140&lt;&gt;"moeda")*(Inputs!$G$5:$G$140&lt;&gt;"acoes")))*INDEX(Inputs!$K$5:$AJ$140,0,MATCH(AJ$2,Inputs!$K$4:$AJ$4,0)))+SUMPRODUCT((Inputs!$C$5:$C$140=$B13)*Inputs!$D$5:$D$140*(((Inputs!$G$5:$G$140="moeda")+(Inputs!$G$5:$G$140="acoes"))*Inputs!$B$1+((Inputs!$G$5:$G$140&lt;&gt;"moeda")*(Inputs!$G$5:$G$140&lt;&gt;"acoes")))*INDEX(Inputs!$K$5:$AJ$140,0,MATCH(AJ$2,Inputs!$K$4:$AJ$4,0)))+SUMPRODUCT((Inputs!$E$5:$E$140=$B13)*Inputs!$F$5:$F$140*(((Inputs!$G$5:$G$140="moeda")+(Inputs!$G$5:$G$140="acoes"))*Inputs!$B$1+((Inputs!$G$5:$G$140&lt;&gt;"moeda")*(Inputs!$G$5:$G$140&lt;&gt;"acoes")))*INDEX(Inputs!$K$5:$AJ$140,0,MATCH(AJ$2,Inputs!$K$4:$AJ$4,0)))))</f>
        <v>-99</v>
      </c>
      <c r="AK13" s="6">
        <f>IF(ISNA(MATCH(AK$2,Inputs!$K$4:$AJ$4,0)),NA(),IF(SUMPRODUCT((Inputs!$A$5:$A$140=$B13)*ISNUMBER(INDEX(Inputs!$K$5:$AJ$140,0,MATCH(AK$2,Inputs!$K$4:$AJ$4,0))))+SUMPRODUCT((Inputs!$C$5:$C$140=$B13)*ISNUMBER(INDEX(Inputs!$K$5:$AJ$140,0,MATCH(AK$2,Inputs!$K$4:$AJ$4,0))))+SUMPRODUCT((Inputs!$E$5:$E$140=$B13)*ISNUMBER(INDEX(Inputs!$K$5:$AJ$140,0,MATCH(AK$2,Inputs!$K$4:$AJ$4,0))))=0,NA(),SUMPRODUCT((Inputs!$A$5:$A$140=$B13)*Inputs!$B$5:$B$140*(((Inputs!$G$5:$G$140="moeda")+(Inputs!$G$5:$G$140="acoes"))*Inputs!$B$1+((Inputs!$G$5:$G$140&lt;&gt;"moeda")*(Inputs!$G$5:$G$140&lt;&gt;"acoes")))*INDEX(Inputs!$K$5:$AJ$140,0,MATCH(AK$2,Inputs!$K$4:$AJ$4,0)))+SUMPRODUCT((Inputs!$C$5:$C$140=$B13)*Inputs!$D$5:$D$140*(((Inputs!$G$5:$G$140="moeda")+(Inputs!$G$5:$G$140="acoes"))*Inputs!$B$1+((Inputs!$G$5:$G$140&lt;&gt;"moeda")*(Inputs!$G$5:$G$140&lt;&gt;"acoes")))*INDEX(Inputs!$K$5:$AJ$140,0,MATCH(AK$2,Inputs!$K$4:$AJ$4,0)))+SUMPRODUCT((Inputs!$E$5:$E$140=$B13)*Inputs!$F$5:$F$140*(((Inputs!$G$5:$G$140="moeda")+(Inputs!$G$5:$G$140="acoes"))*Inputs!$B$1+((Inputs!$G$5:$G$140&lt;&gt;"moeda")*(Inputs!$G$5:$G$140&lt;&gt;"acoes")))*INDEX(Inputs!$K$5:$AJ$140,0,MATCH(AK$2,Inputs!$K$4:$AJ$4,0)))))</f>
        <v>-99</v>
      </c>
      <c r="AL13" s="3">
        <f>SUM(AH13:AK13)</f>
        <v>-395</v>
      </c>
    </row>
    <row r="14">
      <c r="D14" s="3" t="n"/>
    </row>
    <row r="15">
      <c r="B15" s="46" t="n">
        <v>11</v>
      </c>
      <c r="C15" s="24" t="inlineStr">
        <is>
          <t>Cash and equivalents (inc. investment securities)</t>
        </is>
      </c>
      <c r="D15" s="6">
        <f>IF(ISNA(MATCH(D$2,Inputs!$K$4:$AJ$4,0)),NA(),IF(SUMPRODUCT((Inputs!$A$5:$A$140=$B15)*ISNUMBER(INDEX(Inputs!$K$5:$AJ$140,0,MATCH(D$2,Inputs!$K$4:$AJ$4,0))))+SUMPRODUCT((Inputs!$C$5:$C$140=$B15)*ISNUMBER(INDEX(Inputs!$K$5:$AJ$140,0,MATCH(D$2,Inputs!$K$4:$AJ$4,0))))+SUMPRODUCT((Inputs!$E$5:$E$140=$B15)*ISNUMBER(INDEX(Inputs!$K$5:$AJ$140,0,MATCH(D$2,Inputs!$K$4:$AJ$4,0))))=0,NA(),SUMPRODUCT((Inputs!$A$5:$A$140=$B15)*Inputs!$B$5:$B$140*(((Inputs!$G$5:$G$140="moeda")+(Inputs!$G$5:$G$140="acoes"))*Inputs!$B$1+((Inputs!$G$5:$G$140&lt;&gt;"moeda")*(Inputs!$G$5:$G$140&lt;&gt;"acoes")))*INDEX(Inputs!$K$5:$AJ$140,0,MATCH(D$2,Inputs!$K$4:$AJ$4,0)))+SUMPRODUCT((Inputs!$C$5:$C$140=$B15)*Inputs!$D$5:$D$140*(((Inputs!$G$5:$G$140="moeda")+(Inputs!$G$5:$G$140="acoes"))*Inputs!$B$1+((Inputs!$G$5:$G$140&lt;&gt;"moeda")*(Inputs!$G$5:$G$140&lt;&gt;"acoes")))*INDEX(Inputs!$K$5:$AJ$140,0,MATCH(D$2,Inputs!$K$4:$AJ$4,0)))+SUMPRODUCT((Inputs!$E$5:$E$140=$B15)*Inputs!$F$5:$F$140*(((Inputs!$G$5:$G$140="moeda")+(Inputs!$G$5:$G$140="acoes"))*Inputs!$B$1+((Inputs!$G$5:$G$140&lt;&gt;"moeda")*(Inputs!$G$5:$G$140&lt;&gt;"acoes")))*INDEX(Inputs!$K$5:$AJ$140,0,MATCH(D$2,Inputs!$K$4:$AJ$4,0)))))</f>
        <v>12667</v>
      </c>
      <c r="E15" s="6">
        <f>IF(ISNA(MATCH(E$2,Inputs!$K$4:$AJ$4,0)),NA(),IF(SUMPRODUCT((Inputs!$A$5:$A$140=$B15)*ISNUMBER(INDEX(Inputs!$K$5:$AJ$140,0,MATCH(E$2,Inputs!$K$4:$AJ$4,0))))+SUMPRODUCT((Inputs!$C$5:$C$140=$B15)*ISNUMBER(INDEX(Inputs!$K$5:$AJ$140,0,MATCH(E$2,Inputs!$K$4:$AJ$4,0))))+SUMPRODUCT((Inputs!$E$5:$E$140=$B15)*ISNUMBER(INDEX(Inputs!$K$5:$AJ$140,0,MATCH(E$2,Inputs!$K$4:$AJ$4,0))))=0,NA(),SUMPRODUCT((Inputs!$A$5:$A$140=$B15)*Inputs!$B$5:$B$140*(((Inputs!$G$5:$G$140="moeda")+(Inputs!$G$5:$G$140="acoes"))*Inputs!$B$1+((Inputs!$G$5:$G$140&lt;&gt;"moeda")*(Inputs!$G$5:$G$140&lt;&gt;"acoes")))*INDEX(Inputs!$K$5:$AJ$140,0,MATCH(E$2,Inputs!$K$4:$AJ$4,0)))+SUMPRODUCT((Inputs!$C$5:$C$140=$B15)*Inputs!$D$5:$D$140*(((Inputs!$G$5:$G$140="moeda")+(Inputs!$G$5:$G$140="acoes"))*Inputs!$B$1+((Inputs!$G$5:$G$140&lt;&gt;"moeda")*(Inputs!$G$5:$G$140&lt;&gt;"acoes")))*INDEX(Inputs!$K$5:$AJ$140,0,MATCH(E$2,Inputs!$K$4:$AJ$4,0)))+SUMPRODUCT((Inputs!$E$5:$E$140=$B15)*Inputs!$F$5:$F$140*(((Inputs!$G$5:$G$140="moeda")+(Inputs!$G$5:$G$140="acoes"))*Inputs!$B$1+((Inputs!$G$5:$G$140&lt;&gt;"moeda")*(Inputs!$G$5:$G$140&lt;&gt;"acoes")))*INDEX(Inputs!$K$5:$AJ$140,0,MATCH(E$2,Inputs!$K$4:$AJ$4,0)))))</f>
        <v>19654</v>
      </c>
      <c r="F15" s="6">
        <f>IF(ISNA(MATCH(F$2,Inputs!$K$4:$AJ$4,0)),NA(),IF(SUMPRODUCT((Inputs!$A$5:$A$140=$B15)*ISNUMBER(INDEX(Inputs!$K$5:$AJ$140,0,MATCH(F$2,Inputs!$K$4:$AJ$4,0))))+SUMPRODUCT((Inputs!$C$5:$C$140=$B15)*ISNUMBER(INDEX(Inputs!$K$5:$AJ$140,0,MATCH(F$2,Inputs!$K$4:$AJ$4,0))))+SUMPRODUCT((Inputs!$E$5:$E$140=$B15)*ISNUMBER(INDEX(Inputs!$K$5:$AJ$140,0,MATCH(F$2,Inputs!$K$4:$AJ$4,0))))=0,NA(),SUMPRODUCT((Inputs!$A$5:$A$140=$B15)*Inputs!$B$5:$B$140*(((Inputs!$G$5:$G$140="moeda")+(Inputs!$G$5:$G$140="acoes"))*Inputs!$B$1+((Inputs!$G$5:$G$140&lt;&gt;"moeda")*(Inputs!$G$5:$G$140&lt;&gt;"acoes")))*INDEX(Inputs!$K$5:$AJ$140,0,MATCH(F$2,Inputs!$K$4:$AJ$4,0)))+SUMPRODUCT((Inputs!$C$5:$C$140=$B15)*Inputs!$D$5:$D$140*(((Inputs!$G$5:$G$140="moeda")+(Inputs!$G$5:$G$140="acoes"))*Inputs!$B$1+((Inputs!$G$5:$G$140&lt;&gt;"moeda")*(Inputs!$G$5:$G$140&lt;&gt;"acoes")))*INDEX(Inputs!$K$5:$AJ$140,0,MATCH(F$2,Inputs!$K$4:$AJ$4,0)))+SUMPRODUCT((Inputs!$E$5:$E$140=$B15)*Inputs!$F$5:$F$140*(((Inputs!$G$5:$G$140="moeda")+(Inputs!$G$5:$G$140="acoes"))*Inputs!$B$1+((Inputs!$G$5:$G$140&lt;&gt;"moeda")*(Inputs!$G$5:$G$140&lt;&gt;"acoes")))*INDEX(Inputs!$K$5:$AJ$140,0,MATCH(F$2,Inputs!$K$4:$AJ$4,0)))))</f>
        <v>19298</v>
      </c>
      <c r="G15" s="6">
        <f>IF(ISNA(MATCH(G$2,Inputs!$K$4:$AJ$4,0)),NA(),IF(SUMPRODUCT((Inputs!$A$5:$A$140=$B15)*ISNUMBER(INDEX(Inputs!$K$5:$AJ$140,0,MATCH(G$2,Inputs!$K$4:$AJ$4,0))))+SUMPRODUCT((Inputs!$C$5:$C$140=$B15)*ISNUMBER(INDEX(Inputs!$K$5:$AJ$140,0,MATCH(G$2,Inputs!$K$4:$AJ$4,0))))+SUMPRODUCT((Inputs!$E$5:$E$140=$B15)*ISNUMBER(INDEX(Inputs!$K$5:$AJ$140,0,MATCH(G$2,Inputs!$K$4:$AJ$4,0))))=0,NA(),SUMPRODUCT((Inputs!$A$5:$A$140=$B15)*Inputs!$B$5:$B$140*(((Inputs!$G$5:$G$140="moeda")+(Inputs!$G$5:$G$140="acoes"))*Inputs!$B$1+((Inputs!$G$5:$G$140&lt;&gt;"moeda")*(Inputs!$G$5:$G$140&lt;&gt;"acoes")))*INDEX(Inputs!$K$5:$AJ$140,0,MATCH(G$2,Inputs!$K$4:$AJ$4,0)))+SUMPRODUCT((Inputs!$C$5:$C$140=$B15)*Inputs!$D$5:$D$140*(((Inputs!$G$5:$G$140="moeda")+(Inputs!$G$5:$G$140="acoes"))*Inputs!$B$1+((Inputs!$G$5:$G$140&lt;&gt;"moeda")*(Inputs!$G$5:$G$140&lt;&gt;"acoes")))*INDEX(Inputs!$K$5:$AJ$140,0,MATCH(G$2,Inputs!$K$4:$AJ$4,0)))+SUMPRODUCT((Inputs!$E$5:$E$140=$B15)*Inputs!$F$5:$F$140*(((Inputs!$G$5:$G$140="moeda")+(Inputs!$G$5:$G$140="acoes"))*Inputs!$B$1+((Inputs!$G$5:$G$140&lt;&gt;"moeda")*(Inputs!$G$5:$G$140&lt;&gt;"acoes")))*INDEX(Inputs!$K$5:$AJ$140,0,MATCH(G$2,Inputs!$K$4:$AJ$4,0)))))</f>
        <v>21208</v>
      </c>
      <c r="H15" s="3">
        <f>G15</f>
        <v>21208</v>
      </c>
      <c r="I15" s="6">
        <f>IF(ISNA(MATCH(I$2,Inputs!$K$4:$AJ$4,0)),NA(),IF(SUMPRODUCT((Inputs!$A$5:$A$140=$B15)*ISNUMBER(INDEX(Inputs!$K$5:$AJ$140,0,MATCH(I$2,Inputs!$K$4:$AJ$4,0))))+SUMPRODUCT((Inputs!$C$5:$C$140=$B15)*ISNUMBER(INDEX(Inputs!$K$5:$AJ$140,0,MATCH(I$2,Inputs!$K$4:$AJ$4,0))))+SUMPRODUCT((Inputs!$E$5:$E$140=$B15)*ISNUMBER(INDEX(Inputs!$K$5:$AJ$140,0,MATCH(I$2,Inputs!$K$4:$AJ$4,0))))=0,NA(),SUMPRODUCT((Inputs!$A$5:$A$140=$B15)*Inputs!$B$5:$B$140*(((Inputs!$G$5:$G$140="moeda")+(Inputs!$G$5:$G$140="acoes"))*Inputs!$B$1+((Inputs!$G$5:$G$140&lt;&gt;"moeda")*(Inputs!$G$5:$G$140&lt;&gt;"acoes")))*INDEX(Inputs!$K$5:$AJ$140,0,MATCH(I$2,Inputs!$K$4:$AJ$4,0)))+SUMPRODUCT((Inputs!$C$5:$C$140=$B15)*Inputs!$D$5:$D$140*(((Inputs!$G$5:$G$140="moeda")+(Inputs!$G$5:$G$140="acoes"))*Inputs!$B$1+((Inputs!$G$5:$G$140&lt;&gt;"moeda")*(Inputs!$G$5:$G$140&lt;&gt;"acoes")))*INDEX(Inputs!$K$5:$AJ$140,0,MATCH(I$2,Inputs!$K$4:$AJ$4,0)))+SUMPRODUCT((Inputs!$E$5:$E$140=$B15)*Inputs!$F$5:$F$140*(((Inputs!$G$5:$G$140="moeda")+(Inputs!$G$5:$G$140="acoes"))*Inputs!$B$1+((Inputs!$G$5:$G$140&lt;&gt;"moeda")*(Inputs!$G$5:$G$140&lt;&gt;"acoes")))*INDEX(Inputs!$K$5:$AJ$140,0,MATCH(I$2,Inputs!$K$4:$AJ$4,0)))))</f>
        <v>20338</v>
      </c>
      <c r="J15" s="6">
        <f>IF(ISNA(MATCH(J$2,Inputs!$K$4:$AJ$4,0)),NA(),IF(SUMPRODUCT((Inputs!$A$5:$A$140=$B15)*ISNUMBER(INDEX(Inputs!$K$5:$AJ$140,0,MATCH(J$2,Inputs!$K$4:$AJ$4,0))))+SUMPRODUCT((Inputs!$C$5:$C$140=$B15)*ISNUMBER(INDEX(Inputs!$K$5:$AJ$140,0,MATCH(J$2,Inputs!$K$4:$AJ$4,0))))+SUMPRODUCT((Inputs!$E$5:$E$140=$B15)*ISNUMBER(INDEX(Inputs!$K$5:$AJ$140,0,MATCH(J$2,Inputs!$K$4:$AJ$4,0))))=0,NA(),SUMPRODUCT((Inputs!$A$5:$A$140=$B15)*Inputs!$B$5:$B$140*(((Inputs!$G$5:$G$140="moeda")+(Inputs!$G$5:$G$140="acoes"))*Inputs!$B$1+((Inputs!$G$5:$G$140&lt;&gt;"moeda")*(Inputs!$G$5:$G$140&lt;&gt;"acoes")))*INDEX(Inputs!$K$5:$AJ$140,0,MATCH(J$2,Inputs!$K$4:$AJ$4,0)))+SUMPRODUCT((Inputs!$C$5:$C$140=$B15)*Inputs!$D$5:$D$140*(((Inputs!$G$5:$G$140="moeda")+(Inputs!$G$5:$G$140="acoes"))*Inputs!$B$1+((Inputs!$G$5:$G$140&lt;&gt;"moeda")*(Inputs!$G$5:$G$140&lt;&gt;"acoes")))*INDEX(Inputs!$K$5:$AJ$140,0,MATCH(J$2,Inputs!$K$4:$AJ$4,0)))+SUMPRODUCT((Inputs!$E$5:$E$140=$B15)*Inputs!$F$5:$F$140*(((Inputs!$G$5:$G$140="moeda")+(Inputs!$G$5:$G$140="acoes"))*Inputs!$B$1+((Inputs!$G$5:$G$140&lt;&gt;"moeda")*(Inputs!$G$5:$G$140&lt;&gt;"acoes")))*INDEX(Inputs!$K$5:$AJ$140,0,MATCH(J$2,Inputs!$K$4:$AJ$4,0)))))</f>
        <v>17037</v>
      </c>
      <c r="K15" s="6">
        <f>IF(ISNA(MATCH(K$2,Inputs!$K$4:$AJ$4,0)),NA(),IF(SUMPRODUCT((Inputs!$A$5:$A$140=$B15)*ISNUMBER(INDEX(Inputs!$K$5:$AJ$140,0,MATCH(K$2,Inputs!$K$4:$AJ$4,0))))+SUMPRODUCT((Inputs!$C$5:$C$140=$B15)*ISNUMBER(INDEX(Inputs!$K$5:$AJ$140,0,MATCH(K$2,Inputs!$K$4:$AJ$4,0))))+SUMPRODUCT((Inputs!$E$5:$E$140=$B15)*ISNUMBER(INDEX(Inputs!$K$5:$AJ$140,0,MATCH(K$2,Inputs!$K$4:$AJ$4,0))))=0,NA(),SUMPRODUCT((Inputs!$A$5:$A$140=$B15)*Inputs!$B$5:$B$140*(((Inputs!$G$5:$G$140="moeda")+(Inputs!$G$5:$G$140="acoes"))*Inputs!$B$1+((Inputs!$G$5:$G$140&lt;&gt;"moeda")*(Inputs!$G$5:$G$140&lt;&gt;"acoes")))*INDEX(Inputs!$K$5:$AJ$140,0,MATCH(K$2,Inputs!$K$4:$AJ$4,0)))+SUMPRODUCT((Inputs!$C$5:$C$140=$B15)*Inputs!$D$5:$D$140*(((Inputs!$G$5:$G$140="moeda")+(Inputs!$G$5:$G$140="acoes"))*Inputs!$B$1+((Inputs!$G$5:$G$140&lt;&gt;"moeda")*(Inputs!$G$5:$G$140&lt;&gt;"acoes")))*INDEX(Inputs!$K$5:$AJ$140,0,MATCH(K$2,Inputs!$K$4:$AJ$4,0)))+SUMPRODUCT((Inputs!$E$5:$E$140=$B15)*Inputs!$F$5:$F$140*(((Inputs!$G$5:$G$140="moeda")+(Inputs!$G$5:$G$140="acoes"))*Inputs!$B$1+((Inputs!$G$5:$G$140&lt;&gt;"moeda")*(Inputs!$G$5:$G$140&lt;&gt;"acoes")))*INDEX(Inputs!$K$5:$AJ$140,0,MATCH(K$2,Inputs!$K$4:$AJ$4,0)))))</f>
        <v>13143</v>
      </c>
      <c r="L15" s="6">
        <f>IF(ISNA(MATCH(L$2,Inputs!$K$4:$AJ$4,0)),NA(),IF(SUMPRODUCT((Inputs!$A$5:$A$140=$B15)*ISNUMBER(INDEX(Inputs!$K$5:$AJ$140,0,MATCH(L$2,Inputs!$K$4:$AJ$4,0))))+SUMPRODUCT((Inputs!$C$5:$C$140=$B15)*ISNUMBER(INDEX(Inputs!$K$5:$AJ$140,0,MATCH(L$2,Inputs!$K$4:$AJ$4,0))))+SUMPRODUCT((Inputs!$E$5:$E$140=$B15)*ISNUMBER(INDEX(Inputs!$K$5:$AJ$140,0,MATCH(L$2,Inputs!$K$4:$AJ$4,0))))=0,NA(),SUMPRODUCT((Inputs!$A$5:$A$140=$B15)*Inputs!$B$5:$B$140*(((Inputs!$G$5:$G$140="moeda")+(Inputs!$G$5:$G$140="acoes"))*Inputs!$B$1+((Inputs!$G$5:$G$140&lt;&gt;"moeda")*(Inputs!$G$5:$G$140&lt;&gt;"acoes")))*INDEX(Inputs!$K$5:$AJ$140,0,MATCH(L$2,Inputs!$K$4:$AJ$4,0)))+SUMPRODUCT((Inputs!$C$5:$C$140=$B15)*Inputs!$D$5:$D$140*(((Inputs!$G$5:$G$140="moeda")+(Inputs!$G$5:$G$140="acoes"))*Inputs!$B$1+((Inputs!$G$5:$G$140&lt;&gt;"moeda")*(Inputs!$G$5:$G$140&lt;&gt;"acoes")))*INDEX(Inputs!$K$5:$AJ$140,0,MATCH(L$2,Inputs!$K$4:$AJ$4,0)))+SUMPRODUCT((Inputs!$E$5:$E$140=$B15)*Inputs!$F$5:$F$140*(((Inputs!$G$5:$G$140="moeda")+(Inputs!$G$5:$G$140="acoes"))*Inputs!$B$1+((Inputs!$G$5:$G$140&lt;&gt;"moeda")*(Inputs!$G$5:$G$140&lt;&gt;"acoes")))*INDEX(Inputs!$K$5:$AJ$140,0,MATCH(L$2,Inputs!$K$4:$AJ$4,0)))))</f>
        <v>13296</v>
      </c>
      <c r="M15" s="3">
        <f>L15</f>
        <v>13296</v>
      </c>
      <c r="N15" s="6">
        <f>IF(ISNA(MATCH(N$2,Inputs!$K$4:$AJ$4,0)),NA(),IF(SUMPRODUCT((Inputs!$A$5:$A$140=$B15)*ISNUMBER(INDEX(Inputs!$K$5:$AJ$140,0,MATCH(N$2,Inputs!$K$4:$AJ$4,0))))+SUMPRODUCT((Inputs!$C$5:$C$140=$B15)*ISNUMBER(INDEX(Inputs!$K$5:$AJ$140,0,MATCH(N$2,Inputs!$K$4:$AJ$4,0))))+SUMPRODUCT((Inputs!$E$5:$E$140=$B15)*ISNUMBER(INDEX(Inputs!$K$5:$AJ$140,0,MATCH(N$2,Inputs!$K$4:$AJ$4,0))))=0,NA(),SUMPRODUCT((Inputs!$A$5:$A$140=$B15)*Inputs!$B$5:$B$140*(((Inputs!$G$5:$G$140="moeda")+(Inputs!$G$5:$G$140="acoes"))*Inputs!$B$1+((Inputs!$G$5:$G$140&lt;&gt;"moeda")*(Inputs!$G$5:$G$140&lt;&gt;"acoes")))*INDEX(Inputs!$K$5:$AJ$140,0,MATCH(N$2,Inputs!$K$4:$AJ$4,0)))+SUMPRODUCT((Inputs!$C$5:$C$140=$B15)*Inputs!$D$5:$D$140*(((Inputs!$G$5:$G$140="moeda")+(Inputs!$G$5:$G$140="acoes"))*Inputs!$B$1+((Inputs!$G$5:$G$140&lt;&gt;"moeda")*(Inputs!$G$5:$G$140&lt;&gt;"acoes")))*INDEX(Inputs!$K$5:$AJ$140,0,MATCH(N$2,Inputs!$K$4:$AJ$4,0)))+SUMPRODUCT((Inputs!$E$5:$E$140=$B15)*Inputs!$F$5:$F$140*(((Inputs!$G$5:$G$140="moeda")+(Inputs!$G$5:$G$140="acoes"))*Inputs!$B$1+((Inputs!$G$5:$G$140&lt;&gt;"moeda")*(Inputs!$G$5:$G$140&lt;&gt;"acoes")))*INDEX(Inputs!$K$5:$AJ$140,0,MATCH(N$2,Inputs!$K$4:$AJ$4,0)))))</f>
        <v>15320</v>
      </c>
      <c r="O15" s="6">
        <f>IF(ISNA(MATCH(O$2,Inputs!$K$4:$AJ$4,0)),NA(),IF(SUMPRODUCT((Inputs!$A$5:$A$140=$B15)*ISNUMBER(INDEX(Inputs!$K$5:$AJ$140,0,MATCH(O$2,Inputs!$K$4:$AJ$4,0))))+SUMPRODUCT((Inputs!$C$5:$C$140=$B15)*ISNUMBER(INDEX(Inputs!$K$5:$AJ$140,0,MATCH(O$2,Inputs!$K$4:$AJ$4,0))))+SUMPRODUCT((Inputs!$E$5:$E$140=$B15)*ISNUMBER(INDEX(Inputs!$K$5:$AJ$140,0,MATCH(O$2,Inputs!$K$4:$AJ$4,0))))=0,NA(),SUMPRODUCT((Inputs!$A$5:$A$140=$B15)*Inputs!$B$5:$B$140*(((Inputs!$G$5:$G$140="moeda")+(Inputs!$G$5:$G$140="acoes"))*Inputs!$B$1+((Inputs!$G$5:$G$140&lt;&gt;"moeda")*(Inputs!$G$5:$G$140&lt;&gt;"acoes")))*INDEX(Inputs!$K$5:$AJ$140,0,MATCH(O$2,Inputs!$K$4:$AJ$4,0)))+SUMPRODUCT((Inputs!$C$5:$C$140=$B15)*Inputs!$D$5:$D$140*(((Inputs!$G$5:$G$140="moeda")+(Inputs!$G$5:$G$140="acoes"))*Inputs!$B$1+((Inputs!$G$5:$G$140&lt;&gt;"moeda")*(Inputs!$G$5:$G$140&lt;&gt;"acoes")))*INDEX(Inputs!$K$5:$AJ$140,0,MATCH(O$2,Inputs!$K$4:$AJ$4,0)))+SUMPRODUCT((Inputs!$E$5:$E$140=$B15)*Inputs!$F$5:$F$140*(((Inputs!$G$5:$G$140="moeda")+(Inputs!$G$5:$G$140="acoes"))*Inputs!$B$1+((Inputs!$G$5:$G$140&lt;&gt;"moeda")*(Inputs!$G$5:$G$140&lt;&gt;"acoes")))*INDEX(Inputs!$K$5:$AJ$140,0,MATCH(O$2,Inputs!$K$4:$AJ$4,0)))))</f>
        <v>16023</v>
      </c>
      <c r="P15" s="6">
        <f>IF(ISNA(MATCH(P$2,Inputs!$K$4:$AJ$4,0)),NA(),IF(SUMPRODUCT((Inputs!$A$5:$A$140=$B15)*ISNUMBER(INDEX(Inputs!$K$5:$AJ$140,0,MATCH(P$2,Inputs!$K$4:$AJ$4,0))))+SUMPRODUCT((Inputs!$C$5:$C$140=$B15)*ISNUMBER(INDEX(Inputs!$K$5:$AJ$140,0,MATCH(P$2,Inputs!$K$4:$AJ$4,0))))+SUMPRODUCT((Inputs!$E$5:$E$140=$B15)*ISNUMBER(INDEX(Inputs!$K$5:$AJ$140,0,MATCH(P$2,Inputs!$K$4:$AJ$4,0))))=0,NA(),SUMPRODUCT((Inputs!$A$5:$A$140=$B15)*Inputs!$B$5:$B$140*(((Inputs!$G$5:$G$140="moeda")+(Inputs!$G$5:$G$140="acoes"))*Inputs!$B$1+((Inputs!$G$5:$G$140&lt;&gt;"moeda")*(Inputs!$G$5:$G$140&lt;&gt;"acoes")))*INDEX(Inputs!$K$5:$AJ$140,0,MATCH(P$2,Inputs!$K$4:$AJ$4,0)))+SUMPRODUCT((Inputs!$C$5:$C$140=$B15)*Inputs!$D$5:$D$140*(((Inputs!$G$5:$G$140="moeda")+(Inputs!$G$5:$G$140="acoes"))*Inputs!$B$1+((Inputs!$G$5:$G$140&lt;&gt;"moeda")*(Inputs!$G$5:$G$140&lt;&gt;"acoes")))*INDEX(Inputs!$K$5:$AJ$140,0,MATCH(P$2,Inputs!$K$4:$AJ$4,0)))+SUMPRODUCT((Inputs!$E$5:$E$140=$B15)*Inputs!$F$5:$F$140*(((Inputs!$G$5:$G$140="moeda")+(Inputs!$G$5:$G$140="acoes"))*Inputs!$B$1+((Inputs!$G$5:$G$140&lt;&gt;"moeda")*(Inputs!$G$5:$G$140&lt;&gt;"acoes")))*INDEX(Inputs!$K$5:$AJ$140,0,MATCH(P$2,Inputs!$K$4:$AJ$4,0)))))</f>
        <v>18281</v>
      </c>
      <c r="Q15" s="6">
        <f>IF(ISNA(MATCH(Q$2,Inputs!$K$4:$AJ$4,0)),NA(),IF(SUMPRODUCT((Inputs!$A$5:$A$140=$B15)*ISNUMBER(INDEX(Inputs!$K$5:$AJ$140,0,MATCH(Q$2,Inputs!$K$4:$AJ$4,0))))+SUMPRODUCT((Inputs!$C$5:$C$140=$B15)*ISNUMBER(INDEX(Inputs!$K$5:$AJ$140,0,MATCH(Q$2,Inputs!$K$4:$AJ$4,0))))+SUMPRODUCT((Inputs!$E$5:$E$140=$B15)*ISNUMBER(INDEX(Inputs!$K$5:$AJ$140,0,MATCH(Q$2,Inputs!$K$4:$AJ$4,0))))=0,NA(),SUMPRODUCT((Inputs!$A$5:$A$140=$B15)*Inputs!$B$5:$B$140*(((Inputs!$G$5:$G$140="moeda")+(Inputs!$G$5:$G$140="acoes"))*Inputs!$B$1+((Inputs!$G$5:$G$140&lt;&gt;"moeda")*(Inputs!$G$5:$G$140&lt;&gt;"acoes")))*INDEX(Inputs!$K$5:$AJ$140,0,MATCH(Q$2,Inputs!$K$4:$AJ$4,0)))+SUMPRODUCT((Inputs!$C$5:$C$140=$B15)*Inputs!$D$5:$D$140*(((Inputs!$G$5:$G$140="moeda")+(Inputs!$G$5:$G$140="acoes"))*Inputs!$B$1+((Inputs!$G$5:$G$140&lt;&gt;"moeda")*(Inputs!$G$5:$G$140&lt;&gt;"acoes")))*INDEX(Inputs!$K$5:$AJ$140,0,MATCH(Q$2,Inputs!$K$4:$AJ$4,0)))+SUMPRODUCT((Inputs!$E$5:$E$140=$B15)*Inputs!$F$5:$F$140*(((Inputs!$G$5:$G$140="moeda")+(Inputs!$G$5:$G$140="acoes"))*Inputs!$B$1+((Inputs!$G$5:$G$140&lt;&gt;"moeda")*(Inputs!$G$5:$G$140&lt;&gt;"acoes")))*INDEX(Inputs!$K$5:$AJ$140,0,MATCH(Q$2,Inputs!$K$4:$AJ$4,0)))))</f>
        <v>25984</v>
      </c>
      <c r="R15" s="3">
        <f>Q15</f>
        <v>25984</v>
      </c>
      <c r="S15" s="6">
        <f>IF(ISNA(MATCH(S$2,Inputs!$K$4:$AJ$4,0)),NA(),IF(SUMPRODUCT((Inputs!$A$5:$A$140=$B15)*ISNUMBER(INDEX(Inputs!$K$5:$AJ$140,0,MATCH(S$2,Inputs!$K$4:$AJ$4,0))))+SUMPRODUCT((Inputs!$C$5:$C$140=$B15)*ISNUMBER(INDEX(Inputs!$K$5:$AJ$140,0,MATCH(S$2,Inputs!$K$4:$AJ$4,0))))+SUMPRODUCT((Inputs!$E$5:$E$140=$B15)*ISNUMBER(INDEX(Inputs!$K$5:$AJ$140,0,MATCH(S$2,Inputs!$K$4:$AJ$4,0))))=0,NA(),SUMPRODUCT((Inputs!$A$5:$A$140=$B15)*Inputs!$B$5:$B$140*(((Inputs!$G$5:$G$140="moeda")+(Inputs!$G$5:$G$140="acoes"))*Inputs!$B$1+((Inputs!$G$5:$G$140&lt;&gt;"moeda")*(Inputs!$G$5:$G$140&lt;&gt;"acoes")))*INDEX(Inputs!$K$5:$AJ$140,0,MATCH(S$2,Inputs!$K$4:$AJ$4,0)))+SUMPRODUCT((Inputs!$C$5:$C$140=$B15)*Inputs!$D$5:$D$140*(((Inputs!$G$5:$G$140="moeda")+(Inputs!$G$5:$G$140="acoes"))*Inputs!$B$1+((Inputs!$G$5:$G$140&lt;&gt;"moeda")*(Inputs!$G$5:$G$140&lt;&gt;"acoes")))*INDEX(Inputs!$K$5:$AJ$140,0,MATCH(S$2,Inputs!$K$4:$AJ$4,0)))+SUMPRODUCT((Inputs!$E$5:$E$140=$B15)*Inputs!$F$5:$F$140*(((Inputs!$G$5:$G$140="moeda")+(Inputs!$G$5:$G$140="acoes"))*Inputs!$B$1+((Inputs!$G$5:$G$140&lt;&gt;"moeda")*(Inputs!$G$5:$G$140&lt;&gt;"acoes")))*INDEX(Inputs!$K$5:$AJ$140,0,MATCH(S$2,Inputs!$K$4:$AJ$4,0)))))</f>
        <v>31438</v>
      </c>
      <c r="T15" s="6">
        <f>IF(ISNA(MATCH(T$2,Inputs!$K$4:$AJ$4,0)),NA(),IF(SUMPRODUCT((Inputs!$A$5:$A$140=$B15)*ISNUMBER(INDEX(Inputs!$K$5:$AJ$140,0,MATCH(T$2,Inputs!$K$4:$AJ$4,0))))+SUMPRODUCT((Inputs!$C$5:$C$140=$B15)*ISNUMBER(INDEX(Inputs!$K$5:$AJ$140,0,MATCH(T$2,Inputs!$K$4:$AJ$4,0))))+SUMPRODUCT((Inputs!$E$5:$E$140=$B15)*ISNUMBER(INDEX(Inputs!$K$5:$AJ$140,0,MATCH(T$2,Inputs!$K$4:$AJ$4,0))))=0,NA(),SUMPRODUCT((Inputs!$A$5:$A$140=$B15)*Inputs!$B$5:$B$140*(((Inputs!$G$5:$G$140="moeda")+(Inputs!$G$5:$G$140="acoes"))*Inputs!$B$1+((Inputs!$G$5:$G$140&lt;&gt;"moeda")*(Inputs!$G$5:$G$140&lt;&gt;"acoes")))*INDEX(Inputs!$K$5:$AJ$140,0,MATCH(T$2,Inputs!$K$4:$AJ$4,0)))+SUMPRODUCT((Inputs!$C$5:$C$140=$B15)*Inputs!$D$5:$D$140*(((Inputs!$G$5:$G$140="moeda")+(Inputs!$G$5:$G$140="acoes"))*Inputs!$B$1+((Inputs!$G$5:$G$140&lt;&gt;"moeda")*(Inputs!$G$5:$G$140&lt;&gt;"acoes")))*INDEX(Inputs!$K$5:$AJ$140,0,MATCH(T$2,Inputs!$K$4:$AJ$4,0)))+SUMPRODUCT((Inputs!$E$5:$E$140=$B15)*Inputs!$F$5:$F$140*(((Inputs!$G$5:$G$140="moeda")+(Inputs!$G$5:$G$140="acoes"))*Inputs!$B$1+((Inputs!$G$5:$G$140&lt;&gt;"moeda")*(Inputs!$G$5:$G$140&lt;&gt;"acoes")))*INDEX(Inputs!$K$5:$AJ$140,0,MATCH(T$2,Inputs!$K$4:$AJ$4,0)))))</f>
        <v>34800</v>
      </c>
      <c r="U15" s="6">
        <f>IF(ISNA(MATCH(U$2,Inputs!$K$4:$AJ$4,0)),NA(),IF(SUMPRODUCT((Inputs!$A$5:$A$140=$B15)*ISNUMBER(INDEX(Inputs!$K$5:$AJ$140,0,MATCH(U$2,Inputs!$K$4:$AJ$4,0))))+SUMPRODUCT((Inputs!$C$5:$C$140=$B15)*ISNUMBER(INDEX(Inputs!$K$5:$AJ$140,0,MATCH(U$2,Inputs!$K$4:$AJ$4,0))))+SUMPRODUCT((Inputs!$E$5:$E$140=$B15)*ISNUMBER(INDEX(Inputs!$K$5:$AJ$140,0,MATCH(U$2,Inputs!$K$4:$AJ$4,0))))=0,NA(),SUMPRODUCT((Inputs!$A$5:$A$140=$B15)*Inputs!$B$5:$B$140*(((Inputs!$G$5:$G$140="moeda")+(Inputs!$G$5:$G$140="acoes"))*Inputs!$B$1+((Inputs!$G$5:$G$140&lt;&gt;"moeda")*(Inputs!$G$5:$G$140&lt;&gt;"acoes")))*INDEX(Inputs!$K$5:$AJ$140,0,MATCH(U$2,Inputs!$K$4:$AJ$4,0)))+SUMPRODUCT((Inputs!$C$5:$C$140=$B15)*Inputs!$D$5:$D$140*(((Inputs!$G$5:$G$140="moeda")+(Inputs!$G$5:$G$140="acoes"))*Inputs!$B$1+((Inputs!$G$5:$G$140&lt;&gt;"moeda")*(Inputs!$G$5:$G$140&lt;&gt;"acoes")))*INDEX(Inputs!$K$5:$AJ$140,0,MATCH(U$2,Inputs!$K$4:$AJ$4,0)))+SUMPRODUCT((Inputs!$E$5:$E$140=$B15)*Inputs!$F$5:$F$140*(((Inputs!$G$5:$G$140="moeda")+(Inputs!$G$5:$G$140="acoes"))*Inputs!$B$1+((Inputs!$G$5:$G$140&lt;&gt;"moeda")*(Inputs!$G$5:$G$140&lt;&gt;"acoes")))*INDEX(Inputs!$K$5:$AJ$140,0,MATCH(U$2,Inputs!$K$4:$AJ$4,0)))))</f>
        <v>38487</v>
      </c>
      <c r="V15" s="6">
        <f>IF(ISNA(MATCH(V$2,Inputs!$K$4:$AJ$4,0)),NA(),IF(SUMPRODUCT((Inputs!$A$5:$A$140=$B15)*ISNUMBER(INDEX(Inputs!$K$5:$AJ$140,0,MATCH(V$2,Inputs!$K$4:$AJ$4,0))))+SUMPRODUCT((Inputs!$C$5:$C$140=$B15)*ISNUMBER(INDEX(Inputs!$K$5:$AJ$140,0,MATCH(V$2,Inputs!$K$4:$AJ$4,0))))+SUMPRODUCT((Inputs!$E$5:$E$140=$B15)*ISNUMBER(INDEX(Inputs!$K$5:$AJ$140,0,MATCH(V$2,Inputs!$K$4:$AJ$4,0))))=0,NA(),SUMPRODUCT((Inputs!$A$5:$A$140=$B15)*Inputs!$B$5:$B$140*(((Inputs!$G$5:$G$140="moeda")+(Inputs!$G$5:$G$140="acoes"))*Inputs!$B$1+((Inputs!$G$5:$G$140&lt;&gt;"moeda")*(Inputs!$G$5:$G$140&lt;&gt;"acoes")))*INDEX(Inputs!$K$5:$AJ$140,0,MATCH(V$2,Inputs!$K$4:$AJ$4,0)))+SUMPRODUCT((Inputs!$C$5:$C$140=$B15)*Inputs!$D$5:$D$140*(((Inputs!$G$5:$G$140="moeda")+(Inputs!$G$5:$G$140="acoes"))*Inputs!$B$1+((Inputs!$G$5:$G$140&lt;&gt;"moeda")*(Inputs!$G$5:$G$140&lt;&gt;"acoes")))*INDEX(Inputs!$K$5:$AJ$140,0,MATCH(V$2,Inputs!$K$4:$AJ$4,0)))+SUMPRODUCT((Inputs!$E$5:$E$140=$B15)*Inputs!$F$5:$F$140*(((Inputs!$G$5:$G$140="moeda")+(Inputs!$G$5:$G$140="acoes"))*Inputs!$B$1+((Inputs!$G$5:$G$140&lt;&gt;"moeda")*(Inputs!$G$5:$G$140&lt;&gt;"acoes")))*INDEX(Inputs!$K$5:$AJ$140,0,MATCH(V$2,Inputs!$K$4:$AJ$4,0)))))</f>
        <v>43210</v>
      </c>
      <c r="W15" s="3">
        <f>V15</f>
        <v>43210</v>
      </c>
      <c r="X15" s="6">
        <f>IF(ISNA(MATCH(X$2,Inputs!$K$4:$AJ$4,0)),NA(),IF(SUMPRODUCT((Inputs!$A$5:$A$140=$B15)*ISNUMBER(INDEX(Inputs!$K$5:$AJ$140,0,MATCH(X$2,Inputs!$K$4:$AJ$4,0))))+SUMPRODUCT((Inputs!$C$5:$C$140=$B15)*ISNUMBER(INDEX(Inputs!$K$5:$AJ$140,0,MATCH(X$2,Inputs!$K$4:$AJ$4,0))))+SUMPRODUCT((Inputs!$E$5:$E$140=$B15)*ISNUMBER(INDEX(Inputs!$K$5:$AJ$140,0,MATCH(X$2,Inputs!$K$4:$AJ$4,0))))=0,NA(),SUMPRODUCT((Inputs!$A$5:$A$140=$B15)*Inputs!$B$5:$B$140*(((Inputs!$G$5:$G$140="moeda")+(Inputs!$G$5:$G$140="acoes"))*Inputs!$B$1+((Inputs!$G$5:$G$140&lt;&gt;"moeda")*(Inputs!$G$5:$G$140&lt;&gt;"acoes")))*INDEX(Inputs!$K$5:$AJ$140,0,MATCH(X$2,Inputs!$K$4:$AJ$4,0)))+SUMPRODUCT((Inputs!$C$5:$C$140=$B15)*Inputs!$D$5:$D$140*(((Inputs!$G$5:$G$140="moeda")+(Inputs!$G$5:$G$140="acoes"))*Inputs!$B$1+((Inputs!$G$5:$G$140&lt;&gt;"moeda")*(Inputs!$G$5:$G$140&lt;&gt;"acoes")))*INDEX(Inputs!$K$5:$AJ$140,0,MATCH(X$2,Inputs!$K$4:$AJ$4,0)))+SUMPRODUCT((Inputs!$E$5:$E$140=$B15)*Inputs!$F$5:$F$140*(((Inputs!$G$5:$G$140="moeda")+(Inputs!$G$5:$G$140="acoes"))*Inputs!$B$1+((Inputs!$G$5:$G$140&lt;&gt;"moeda")*(Inputs!$G$5:$G$140&lt;&gt;"acoes")))*INDEX(Inputs!$K$5:$AJ$140,0,MATCH(X$2,Inputs!$K$4:$AJ$4,0)))))</f>
        <v>53691</v>
      </c>
      <c r="Y15" s="6">
        <f>IF(ISNA(MATCH(Y$2,Inputs!$K$4:$AJ$4,0)),NA(),IF(SUMPRODUCT((Inputs!$A$5:$A$140=$B15)*ISNUMBER(INDEX(Inputs!$K$5:$AJ$140,0,MATCH(Y$2,Inputs!$K$4:$AJ$4,0))))+SUMPRODUCT((Inputs!$C$5:$C$140=$B15)*ISNUMBER(INDEX(Inputs!$K$5:$AJ$140,0,MATCH(Y$2,Inputs!$K$4:$AJ$4,0))))+SUMPRODUCT((Inputs!$E$5:$E$140=$B15)*ISNUMBER(INDEX(Inputs!$K$5:$AJ$140,0,MATCH(Y$2,Inputs!$K$4:$AJ$4,0))))=0,NA(),SUMPRODUCT((Inputs!$A$5:$A$140=$B15)*Inputs!$B$5:$B$140*(((Inputs!$G$5:$G$140="moeda")+(Inputs!$G$5:$G$140="acoes"))*Inputs!$B$1+((Inputs!$G$5:$G$140&lt;&gt;"moeda")*(Inputs!$G$5:$G$140&lt;&gt;"acoes")))*INDEX(Inputs!$K$5:$AJ$140,0,MATCH(Y$2,Inputs!$K$4:$AJ$4,0)))+SUMPRODUCT((Inputs!$C$5:$C$140=$B15)*Inputs!$D$5:$D$140*(((Inputs!$G$5:$G$140="moeda")+(Inputs!$G$5:$G$140="acoes"))*Inputs!$B$1+((Inputs!$G$5:$G$140&lt;&gt;"moeda")*(Inputs!$G$5:$G$140&lt;&gt;"acoes")))*INDEX(Inputs!$K$5:$AJ$140,0,MATCH(Y$2,Inputs!$K$4:$AJ$4,0)))+SUMPRODUCT((Inputs!$E$5:$E$140=$B15)*Inputs!$F$5:$F$140*(((Inputs!$G$5:$G$140="moeda")+(Inputs!$G$5:$G$140="acoes"))*Inputs!$B$1+((Inputs!$G$5:$G$140&lt;&gt;"moeda")*(Inputs!$G$5:$G$140&lt;&gt;"acoes")))*INDEX(Inputs!$K$5:$AJ$140,0,MATCH(Y$2,Inputs!$K$4:$AJ$4,0)))))</f>
        <v>56791</v>
      </c>
      <c r="Z15" s="6">
        <f>IF(ISNA(MATCH(Z$2,Inputs!$K$4:$AJ$4,0)),NA(),IF(SUMPRODUCT((Inputs!$A$5:$A$140=$B15)*ISNUMBER(INDEX(Inputs!$K$5:$AJ$140,0,MATCH(Z$2,Inputs!$K$4:$AJ$4,0))))+SUMPRODUCT((Inputs!$C$5:$C$140=$B15)*ISNUMBER(INDEX(Inputs!$K$5:$AJ$140,0,MATCH(Z$2,Inputs!$K$4:$AJ$4,0))))+SUMPRODUCT((Inputs!$E$5:$E$140=$B15)*ISNUMBER(INDEX(Inputs!$K$5:$AJ$140,0,MATCH(Z$2,Inputs!$K$4:$AJ$4,0))))=0,NA(),SUMPRODUCT((Inputs!$A$5:$A$140=$B15)*Inputs!$B$5:$B$140*(((Inputs!$G$5:$G$140="moeda")+(Inputs!$G$5:$G$140="acoes"))*Inputs!$B$1+((Inputs!$G$5:$G$140&lt;&gt;"moeda")*(Inputs!$G$5:$G$140&lt;&gt;"acoes")))*INDEX(Inputs!$K$5:$AJ$140,0,MATCH(Z$2,Inputs!$K$4:$AJ$4,0)))+SUMPRODUCT((Inputs!$C$5:$C$140=$B15)*Inputs!$D$5:$D$140*(((Inputs!$G$5:$G$140="moeda")+(Inputs!$G$5:$G$140="acoes"))*Inputs!$B$1+((Inputs!$G$5:$G$140&lt;&gt;"moeda")*(Inputs!$G$5:$G$140&lt;&gt;"acoes")))*INDEX(Inputs!$K$5:$AJ$140,0,MATCH(Z$2,Inputs!$K$4:$AJ$4,0)))+SUMPRODUCT((Inputs!$E$5:$E$140=$B15)*Inputs!$F$5:$F$140*(((Inputs!$G$5:$G$140="moeda")+(Inputs!$G$5:$G$140="acoes"))*Inputs!$B$1+((Inputs!$G$5:$G$140&lt;&gt;"moeda")*(Inputs!$G$5:$G$140&lt;&gt;"acoes")))*INDEX(Inputs!$K$5:$AJ$140,0,MATCH(Z$2,Inputs!$K$4:$AJ$4,0)))))</f>
        <v>60608</v>
      </c>
      <c r="AA15" s="6">
        <f>IF(ISNA(MATCH(AA$2,Inputs!$K$4:$AJ$4,0)),NA(),IF(SUMPRODUCT((Inputs!$A$5:$A$140=$B15)*ISNUMBER(INDEX(Inputs!$K$5:$AJ$140,0,MATCH(AA$2,Inputs!$K$4:$AJ$4,0))))+SUMPRODUCT((Inputs!$C$5:$C$140=$B15)*ISNUMBER(INDEX(Inputs!$K$5:$AJ$140,0,MATCH(AA$2,Inputs!$K$4:$AJ$4,0))))+SUMPRODUCT((Inputs!$E$5:$E$140=$B15)*ISNUMBER(INDEX(Inputs!$K$5:$AJ$140,0,MATCH(AA$2,Inputs!$K$4:$AJ$4,0))))=0,NA(),SUMPRODUCT((Inputs!$A$5:$A$140=$B15)*Inputs!$B$5:$B$140*(((Inputs!$G$5:$G$140="moeda")+(Inputs!$G$5:$G$140="acoes"))*Inputs!$B$1+((Inputs!$G$5:$G$140&lt;&gt;"moeda")*(Inputs!$G$5:$G$140&lt;&gt;"acoes")))*INDEX(Inputs!$K$5:$AJ$140,0,MATCH(AA$2,Inputs!$K$4:$AJ$4,0)))+SUMPRODUCT((Inputs!$C$5:$C$140=$B15)*Inputs!$D$5:$D$140*(((Inputs!$G$5:$G$140="moeda")+(Inputs!$G$5:$G$140="acoes"))*Inputs!$B$1+((Inputs!$G$5:$G$140&lt;&gt;"moeda")*(Inputs!$G$5:$G$140&lt;&gt;"acoes")))*INDEX(Inputs!$K$5:$AJ$140,0,MATCH(AA$2,Inputs!$K$4:$AJ$4,0)))+SUMPRODUCT((Inputs!$E$5:$E$140=$B15)*Inputs!$F$5:$F$140*(((Inputs!$G$5:$G$140="moeda")+(Inputs!$G$5:$G$140="acoes"))*Inputs!$B$1+((Inputs!$G$5:$G$140&lt;&gt;"moeda")*(Inputs!$G$5:$G$140&lt;&gt;"acoes")))*INDEX(Inputs!$K$5:$AJ$140,0,MATCH(AA$2,Inputs!$K$4:$AJ$4,0)))))</f>
        <v>49670</v>
      </c>
      <c r="AB15" s="3">
        <f>AA15</f>
        <v>49670</v>
      </c>
      <c r="AC15" s="6">
        <f>IF(ISNA(MATCH(AC$2,Inputs!$K$4:$AJ$4,0)),NA(),IF(SUMPRODUCT((Inputs!$A$5:$A$140=$B15)*ISNUMBER(INDEX(Inputs!$K$5:$AJ$140,0,MATCH(AC$2,Inputs!$K$4:$AJ$4,0))))+SUMPRODUCT((Inputs!$C$5:$C$140=$B15)*ISNUMBER(INDEX(Inputs!$K$5:$AJ$140,0,MATCH(AC$2,Inputs!$K$4:$AJ$4,0))))+SUMPRODUCT((Inputs!$E$5:$E$140=$B15)*ISNUMBER(INDEX(Inputs!$K$5:$AJ$140,0,MATCH(AC$2,Inputs!$K$4:$AJ$4,0))))=0,NA(),SUMPRODUCT((Inputs!$A$5:$A$140=$B15)*Inputs!$B$5:$B$140*(((Inputs!$G$5:$G$140="moeda")+(Inputs!$G$5:$G$140="acoes"))*Inputs!$B$1+((Inputs!$G$5:$G$140&lt;&gt;"moeda")*(Inputs!$G$5:$G$140&lt;&gt;"acoes")))*INDEX(Inputs!$K$5:$AJ$140,0,MATCH(AC$2,Inputs!$K$4:$AJ$4,0)))+SUMPRODUCT((Inputs!$C$5:$C$140=$B15)*Inputs!$D$5:$D$140*(((Inputs!$G$5:$G$140="moeda")+(Inputs!$G$5:$G$140="acoes"))*Inputs!$B$1+((Inputs!$G$5:$G$140&lt;&gt;"moeda")*(Inputs!$G$5:$G$140&lt;&gt;"acoes")))*INDEX(Inputs!$K$5:$AJ$140,0,MATCH(AC$2,Inputs!$K$4:$AJ$4,0)))+SUMPRODUCT((Inputs!$E$5:$E$140=$B15)*Inputs!$F$5:$F$140*(((Inputs!$G$5:$G$140="moeda")+(Inputs!$G$5:$G$140="acoes"))*Inputs!$B$1+((Inputs!$G$5:$G$140&lt;&gt;"moeda")*(Inputs!$G$5:$G$140&lt;&gt;"acoes")))*INDEX(Inputs!$K$5:$AJ$140,0,MATCH(AC$2,Inputs!$K$4:$AJ$4,0)))))</f>
        <v>50335</v>
      </c>
      <c r="AD15" s="6">
        <f>IF(ISNA(MATCH(AD$2,Inputs!$K$4:$AJ$4,0)),NA(),IF(SUMPRODUCT((Inputs!$A$5:$A$140=$B15)*ISNUMBER(INDEX(Inputs!$K$5:$AJ$140,0,MATCH(AD$2,Inputs!$K$4:$AJ$4,0))))+SUMPRODUCT((Inputs!$C$5:$C$140=$B15)*ISNUMBER(INDEX(Inputs!$K$5:$AJ$140,0,MATCH(AD$2,Inputs!$K$4:$AJ$4,0))))+SUMPRODUCT((Inputs!$E$5:$E$140=$B15)*ISNUMBER(INDEX(Inputs!$K$5:$AJ$140,0,MATCH(AD$2,Inputs!$K$4:$AJ$4,0))))=0,NA(),SUMPRODUCT((Inputs!$A$5:$A$140=$B15)*Inputs!$B$5:$B$140*(((Inputs!$G$5:$G$140="moeda")+(Inputs!$G$5:$G$140="acoes"))*Inputs!$B$1+((Inputs!$G$5:$G$140&lt;&gt;"moeda")*(Inputs!$G$5:$G$140&lt;&gt;"acoes")))*INDEX(Inputs!$K$5:$AJ$140,0,MATCH(AD$2,Inputs!$K$4:$AJ$4,0)))+SUMPRODUCT((Inputs!$C$5:$C$140=$B15)*Inputs!$D$5:$D$140*(((Inputs!$G$5:$G$140="moeda")+(Inputs!$G$5:$G$140="acoes"))*Inputs!$B$1+((Inputs!$G$5:$G$140&lt;&gt;"moeda")*(Inputs!$G$5:$G$140&lt;&gt;"acoes")))*INDEX(Inputs!$K$5:$AJ$140,0,MATCH(AD$2,Inputs!$K$4:$AJ$4,0)))+SUMPRODUCT((Inputs!$E$5:$E$140=$B15)*Inputs!$F$5:$F$140*(((Inputs!$G$5:$G$140="moeda")+(Inputs!$G$5:$G$140="acoes"))*Inputs!$B$1+((Inputs!$G$5:$G$140&lt;&gt;"moeda")*(Inputs!$G$5:$G$140&lt;&gt;"acoes")))*INDEX(Inputs!$K$5:$AJ$140,0,MATCH(AD$2,Inputs!$K$4:$AJ$4,0)))))</f>
        <v>56586</v>
      </c>
      <c r="AE15" s="6" t="e">
        <f>IF(ISNA(MATCH(AE$2,Inputs!$K$4:$AJ$4,0)),NA(),IF(SUMPRODUCT((Inputs!$A$5:$A$140=$B15)*ISNUMBER(INDEX(Inputs!$K$5:$AJ$140,0,MATCH(AE$2,Inputs!$K$4:$AJ$4,0))))+SUMPRODUCT((Inputs!$C$5:$C$140=$B15)*ISNUMBER(INDEX(Inputs!$K$5:$AJ$140,0,MATCH(AE$2,Inputs!$K$4:$AJ$4,0))))+SUMPRODUCT((Inputs!$E$5:$E$140=$B15)*ISNUMBER(INDEX(Inputs!$K$5:$AJ$140,0,MATCH(AE$2,Inputs!$K$4:$AJ$4,0))))=0,NA(),SUMPRODUCT((Inputs!$A$5:$A$140=$B15)*Inputs!$B$5:$B$140*(((Inputs!$G$5:$G$140="moeda")+(Inputs!$G$5:$G$140="acoes"))*Inputs!$B$1+((Inputs!$G$5:$G$140&lt;&gt;"moeda")*(Inputs!$G$5:$G$140&lt;&gt;"acoes")))*INDEX(Inputs!$K$5:$AJ$140,0,MATCH(AE$2,Inputs!$K$4:$AJ$4,0)))+SUMPRODUCT((Inputs!$C$5:$C$140=$B15)*Inputs!$D$5:$D$140*(((Inputs!$G$5:$G$140="moeda")+(Inputs!$G$5:$G$140="acoes"))*Inputs!$B$1+((Inputs!$G$5:$G$140&lt;&gt;"moeda")*(Inputs!$G$5:$G$140&lt;&gt;"acoes")))*INDEX(Inputs!$K$5:$AJ$140,0,MATCH(AE$2,Inputs!$K$4:$AJ$4,0)))+SUMPRODUCT((Inputs!$E$5:$E$140=$B15)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15" s="6" t="e">
        <f>IF(ISNA(MATCH(AF$2,Inputs!$K$4:$AJ$4,0)),NA(),IF(SUMPRODUCT((Inputs!$A$5:$A$140=$B15)*ISNUMBER(INDEX(Inputs!$K$5:$AJ$140,0,MATCH(AF$2,Inputs!$K$4:$AJ$4,0))))+SUMPRODUCT((Inputs!$C$5:$C$140=$B15)*ISNUMBER(INDEX(Inputs!$K$5:$AJ$140,0,MATCH(AF$2,Inputs!$K$4:$AJ$4,0))))+SUMPRODUCT((Inputs!$E$5:$E$140=$B15)*ISNUMBER(INDEX(Inputs!$K$5:$AJ$140,0,MATCH(AF$2,Inputs!$K$4:$AJ$4,0))))=0,NA(),SUMPRODUCT((Inputs!$A$5:$A$140=$B15)*Inputs!$B$5:$B$140*(((Inputs!$G$5:$G$140="moeda")+(Inputs!$G$5:$G$140="acoes"))*Inputs!$B$1+((Inputs!$G$5:$G$140&lt;&gt;"moeda")*(Inputs!$G$5:$G$140&lt;&gt;"acoes")))*INDEX(Inputs!$K$5:$AJ$140,0,MATCH(AF$2,Inputs!$K$4:$AJ$4,0)))+SUMPRODUCT((Inputs!$C$5:$C$140=$B15)*Inputs!$D$5:$D$140*(((Inputs!$G$5:$G$140="moeda")+(Inputs!$G$5:$G$140="acoes"))*Inputs!$B$1+((Inputs!$G$5:$G$140&lt;&gt;"moeda")*(Inputs!$G$5:$G$140&lt;&gt;"acoes")))*INDEX(Inputs!$K$5:$AJ$140,0,MATCH(AF$2,Inputs!$K$4:$AJ$4,0)))+SUMPRODUCT((Inputs!$E$5:$E$140=$B15)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15" s="3" t="e">
        <f>AF15</f>
        <v>#N/A</v>
      </c>
      <c r="AH15" s="6">
        <f>IF(ISNA(MATCH(AH$2,Inputs!$K$4:$AJ$4,0)),NA(),IF(SUMPRODUCT((Inputs!$A$5:$A$140=$B15)*ISNUMBER(INDEX(Inputs!$K$5:$AJ$140,0,MATCH(AH$2,Inputs!$K$4:$AJ$4,0))))+SUMPRODUCT((Inputs!$C$5:$C$140=$B15)*ISNUMBER(INDEX(Inputs!$K$5:$AJ$140,0,MATCH(AH$2,Inputs!$K$4:$AJ$4,0))))+SUMPRODUCT((Inputs!$E$5:$E$140=$B15)*ISNUMBER(INDEX(Inputs!$K$5:$AJ$140,0,MATCH(AH$2,Inputs!$K$4:$AJ$4,0))))=0,NA(),SUMPRODUCT((Inputs!$A$5:$A$140=$B15)*Inputs!$B$5:$B$140*(((Inputs!$G$5:$G$140="moeda")+(Inputs!$G$5:$G$140="acoes"))*Inputs!$B$1+((Inputs!$G$5:$G$140&lt;&gt;"moeda")*(Inputs!$G$5:$G$140&lt;&gt;"acoes")))*INDEX(Inputs!$K$5:$AJ$140,0,MATCH(AH$2,Inputs!$K$4:$AJ$4,0)))+SUMPRODUCT((Inputs!$C$5:$C$140=$B15)*Inputs!$D$5:$D$140*(((Inputs!$G$5:$G$140="moeda")+(Inputs!$G$5:$G$140="acoes"))*Inputs!$B$1+((Inputs!$G$5:$G$140&lt;&gt;"moeda")*(Inputs!$G$5:$G$140&lt;&gt;"acoes")))*INDEX(Inputs!$K$5:$AJ$140,0,MATCH(AH$2,Inputs!$K$4:$AJ$4,0)))+SUMPRODUCT((Inputs!$E$5:$E$140=$B15)*Inputs!$F$5:$F$140*(((Inputs!$G$5:$G$140="moeda")+(Inputs!$G$5:$G$140="acoes"))*Inputs!$B$1+((Inputs!$G$5:$G$140&lt;&gt;"moeda")*(Inputs!$G$5:$G$140&lt;&gt;"acoes")))*INDEX(Inputs!$K$5:$AJ$140,0,MATCH(AH$2,Inputs!$K$4:$AJ$4,0)))))</f>
        <v>16354</v>
      </c>
      <c r="AI15" s="6">
        <f>IF(ISNA(MATCH(AI$2,Inputs!$K$4:$AJ$4,0)),NA(),IF(SUMPRODUCT((Inputs!$A$5:$A$140=$B15)*ISNUMBER(INDEX(Inputs!$K$5:$AJ$140,0,MATCH(AI$2,Inputs!$K$4:$AJ$4,0))))+SUMPRODUCT((Inputs!$C$5:$C$140=$B15)*ISNUMBER(INDEX(Inputs!$K$5:$AJ$140,0,MATCH(AI$2,Inputs!$K$4:$AJ$4,0))))+SUMPRODUCT((Inputs!$E$5:$E$140=$B15)*ISNUMBER(INDEX(Inputs!$K$5:$AJ$140,0,MATCH(AI$2,Inputs!$K$4:$AJ$4,0))))=0,NA(),SUMPRODUCT((Inputs!$A$5:$A$140=$B15)*Inputs!$B$5:$B$140*(((Inputs!$G$5:$G$140="moeda")+(Inputs!$G$5:$G$140="acoes"))*Inputs!$B$1+((Inputs!$G$5:$G$140&lt;&gt;"moeda")*(Inputs!$G$5:$G$140&lt;&gt;"acoes")))*INDEX(Inputs!$K$5:$AJ$140,0,MATCH(AI$2,Inputs!$K$4:$AJ$4,0)))+SUMPRODUCT((Inputs!$C$5:$C$140=$B15)*Inputs!$D$5:$D$140*(((Inputs!$G$5:$G$140="moeda")+(Inputs!$G$5:$G$140="acoes"))*Inputs!$B$1+((Inputs!$G$5:$G$140&lt;&gt;"moeda")*(Inputs!$G$5:$G$140&lt;&gt;"acoes")))*INDEX(Inputs!$K$5:$AJ$140,0,MATCH(AI$2,Inputs!$K$4:$AJ$4,0)))+SUMPRODUCT((Inputs!$E$5:$E$140=$B15)*Inputs!$F$5:$F$140*(((Inputs!$G$5:$G$140="moeda")+(Inputs!$G$5:$G$140="acoes"))*Inputs!$B$1+((Inputs!$G$5:$G$140&lt;&gt;"moeda")*(Inputs!$G$5:$G$140&lt;&gt;"acoes")))*INDEX(Inputs!$K$5:$AJ$140,0,MATCH(AI$2,Inputs!$K$4:$AJ$4,0)))))</f>
        <v>10981</v>
      </c>
      <c r="AJ15" s="6">
        <f>IF(ISNA(MATCH(AJ$2,Inputs!$K$4:$AJ$4,0)),NA(),IF(SUMPRODUCT((Inputs!$A$5:$A$140=$B15)*ISNUMBER(INDEX(Inputs!$K$5:$AJ$140,0,MATCH(AJ$2,Inputs!$K$4:$AJ$4,0))))+SUMPRODUCT((Inputs!$C$5:$C$140=$B15)*ISNUMBER(INDEX(Inputs!$K$5:$AJ$140,0,MATCH(AJ$2,Inputs!$K$4:$AJ$4,0))))+SUMPRODUCT((Inputs!$E$5:$E$140=$B15)*ISNUMBER(INDEX(Inputs!$K$5:$AJ$140,0,MATCH(AJ$2,Inputs!$K$4:$AJ$4,0))))=0,NA(),SUMPRODUCT((Inputs!$A$5:$A$140=$B15)*Inputs!$B$5:$B$140*(((Inputs!$G$5:$G$140="moeda")+(Inputs!$G$5:$G$140="acoes"))*Inputs!$B$1+((Inputs!$G$5:$G$140&lt;&gt;"moeda")*(Inputs!$G$5:$G$140&lt;&gt;"acoes")))*INDEX(Inputs!$K$5:$AJ$140,0,MATCH(AJ$2,Inputs!$K$4:$AJ$4,0)))+SUMPRODUCT((Inputs!$C$5:$C$140=$B15)*Inputs!$D$5:$D$140*(((Inputs!$G$5:$G$140="moeda")+(Inputs!$G$5:$G$140="acoes"))*Inputs!$B$1+((Inputs!$G$5:$G$140&lt;&gt;"moeda")*(Inputs!$G$5:$G$140&lt;&gt;"acoes")))*INDEX(Inputs!$K$5:$AJ$140,0,MATCH(AJ$2,Inputs!$K$4:$AJ$4,0)))+SUMPRODUCT((Inputs!$E$5:$E$140=$B15)*Inputs!$F$5:$F$140*(((Inputs!$G$5:$G$140="moeda")+(Inputs!$G$5:$G$140="acoes"))*Inputs!$B$1+((Inputs!$G$5:$G$140&lt;&gt;"moeda")*(Inputs!$G$5:$G$140&lt;&gt;"acoes")))*INDEX(Inputs!$K$5:$AJ$140,0,MATCH(AJ$2,Inputs!$K$4:$AJ$4,0)))))</f>
        <v>10139</v>
      </c>
      <c r="AK15" s="6">
        <f>IF(ISNA(MATCH(AK$2,Inputs!$K$4:$AJ$4,0)),NA(),IF(SUMPRODUCT((Inputs!$A$5:$A$140=$B15)*ISNUMBER(INDEX(Inputs!$K$5:$AJ$140,0,MATCH(AK$2,Inputs!$K$4:$AJ$4,0))))+SUMPRODUCT((Inputs!$C$5:$C$140=$B15)*ISNUMBER(INDEX(Inputs!$K$5:$AJ$140,0,MATCH(AK$2,Inputs!$K$4:$AJ$4,0))))+SUMPRODUCT((Inputs!$E$5:$E$140=$B15)*ISNUMBER(INDEX(Inputs!$K$5:$AJ$140,0,MATCH(AK$2,Inputs!$K$4:$AJ$4,0))))=0,NA(),SUMPRODUCT((Inputs!$A$5:$A$140=$B15)*Inputs!$B$5:$B$140*(((Inputs!$G$5:$G$140="moeda")+(Inputs!$G$5:$G$140="acoes"))*Inputs!$B$1+((Inputs!$G$5:$G$140&lt;&gt;"moeda")*(Inputs!$G$5:$G$140&lt;&gt;"acoes")))*INDEX(Inputs!$K$5:$AJ$140,0,MATCH(AK$2,Inputs!$K$4:$AJ$4,0)))+SUMPRODUCT((Inputs!$C$5:$C$140=$B15)*Inputs!$D$5:$D$140*(((Inputs!$G$5:$G$140="moeda")+(Inputs!$G$5:$G$140="acoes"))*Inputs!$B$1+((Inputs!$G$5:$G$140&lt;&gt;"moeda")*(Inputs!$G$5:$G$140&lt;&gt;"acoes")))*INDEX(Inputs!$K$5:$AJ$140,0,MATCH(AK$2,Inputs!$K$4:$AJ$4,0)))+SUMPRODUCT((Inputs!$E$5:$E$140=$B15)*Inputs!$F$5:$F$140*(((Inputs!$G$5:$G$140="moeda")+(Inputs!$G$5:$G$140="acoes"))*Inputs!$B$1+((Inputs!$G$5:$G$140&lt;&gt;"moeda")*(Inputs!$G$5:$G$140&lt;&gt;"acoes")))*INDEX(Inputs!$K$5:$AJ$140,0,MATCH(AK$2,Inputs!$K$4:$AJ$4,0)))))</f>
        <v>11561</v>
      </c>
      <c r="AL15" s="3">
        <f>AK15</f>
        <v>11561</v>
      </c>
    </row>
    <row r="16">
      <c r="B16" s="46" t="n">
        <v>12</v>
      </c>
      <c r="C16" s="26" t="inlineStr">
        <is>
          <t>Accounts receivable</t>
        </is>
      </c>
      <c r="D16" s="6">
        <f>IF(ISNA(MATCH(D$2,Inputs!$K$4:$AJ$4,0)),NA(),IF(SUMPRODUCT((Inputs!$A$5:$A$140=$B16)*ISNUMBER(INDEX(Inputs!$K$5:$AJ$140,0,MATCH(D$2,Inputs!$K$4:$AJ$4,0))))+SUMPRODUCT((Inputs!$C$5:$C$140=$B16)*ISNUMBER(INDEX(Inputs!$K$5:$AJ$140,0,MATCH(D$2,Inputs!$K$4:$AJ$4,0))))+SUMPRODUCT((Inputs!$E$5:$E$140=$B16)*ISNUMBER(INDEX(Inputs!$K$5:$AJ$140,0,MATCH(D$2,Inputs!$K$4:$AJ$4,0))))=0,NA(),SUMPRODUCT((Inputs!$A$5:$A$140=$B16)*Inputs!$B$5:$B$140*(((Inputs!$G$5:$G$140="moeda")+(Inputs!$G$5:$G$140="acoes"))*Inputs!$B$1+((Inputs!$G$5:$G$140&lt;&gt;"moeda")*(Inputs!$G$5:$G$140&lt;&gt;"acoes")))*INDEX(Inputs!$K$5:$AJ$140,0,MATCH(D$2,Inputs!$K$4:$AJ$4,0)))+SUMPRODUCT((Inputs!$C$5:$C$140=$B16)*Inputs!$D$5:$D$140*(((Inputs!$G$5:$G$140="moeda")+(Inputs!$G$5:$G$140="acoes"))*Inputs!$B$1+((Inputs!$G$5:$G$140&lt;&gt;"moeda")*(Inputs!$G$5:$G$140&lt;&gt;"acoes")))*INDEX(Inputs!$K$5:$AJ$140,0,MATCH(D$2,Inputs!$K$4:$AJ$4,0)))+SUMPRODUCT((Inputs!$E$5:$E$140=$B16)*Inputs!$F$5:$F$140*(((Inputs!$G$5:$G$140="moeda")+(Inputs!$G$5:$G$140="acoes"))*Inputs!$B$1+((Inputs!$G$5:$G$140&lt;&gt;"moeda")*(Inputs!$G$5:$G$140&lt;&gt;"acoes")))*INDEX(Inputs!$K$5:$AJ$140,0,MATCH(D$2,Inputs!$K$4:$AJ$4,0)))))</f>
        <v>3024</v>
      </c>
      <c r="E16" s="6">
        <f>IF(ISNA(MATCH(E$2,Inputs!$K$4:$AJ$4,0)),NA(),IF(SUMPRODUCT((Inputs!$A$5:$A$140=$B16)*ISNUMBER(INDEX(Inputs!$K$5:$AJ$140,0,MATCH(E$2,Inputs!$K$4:$AJ$4,0))))+SUMPRODUCT((Inputs!$C$5:$C$140=$B16)*ISNUMBER(INDEX(Inputs!$K$5:$AJ$140,0,MATCH(E$2,Inputs!$K$4:$AJ$4,0))))+SUMPRODUCT((Inputs!$E$5:$E$140=$B16)*ISNUMBER(INDEX(Inputs!$K$5:$AJ$140,0,MATCH(E$2,Inputs!$K$4:$AJ$4,0))))=0,NA(),SUMPRODUCT((Inputs!$A$5:$A$140=$B16)*Inputs!$B$5:$B$140*(((Inputs!$G$5:$G$140="moeda")+(Inputs!$G$5:$G$140="acoes"))*Inputs!$B$1+((Inputs!$G$5:$G$140&lt;&gt;"moeda")*(Inputs!$G$5:$G$140&lt;&gt;"acoes")))*INDEX(Inputs!$K$5:$AJ$140,0,MATCH(E$2,Inputs!$K$4:$AJ$4,0)))+SUMPRODUCT((Inputs!$C$5:$C$140=$B16)*Inputs!$D$5:$D$140*(((Inputs!$G$5:$G$140="moeda")+(Inputs!$G$5:$G$140="acoes"))*Inputs!$B$1+((Inputs!$G$5:$G$140&lt;&gt;"moeda")*(Inputs!$G$5:$G$140&lt;&gt;"acoes")))*INDEX(Inputs!$K$5:$AJ$140,0,MATCH(E$2,Inputs!$K$4:$AJ$4,0)))+SUMPRODUCT((Inputs!$E$5:$E$140=$B16)*Inputs!$F$5:$F$140*(((Inputs!$G$5:$G$140="moeda")+(Inputs!$G$5:$G$140="acoes"))*Inputs!$B$1+((Inputs!$G$5:$G$140&lt;&gt;"moeda")*(Inputs!$G$5:$G$140&lt;&gt;"acoes")))*INDEX(Inputs!$K$5:$AJ$140,0,MATCH(E$2,Inputs!$K$4:$AJ$4,0)))))</f>
        <v>3586</v>
      </c>
      <c r="F16" s="6">
        <f>IF(ISNA(MATCH(F$2,Inputs!$K$4:$AJ$4,0)),NA(),IF(SUMPRODUCT((Inputs!$A$5:$A$140=$B16)*ISNUMBER(INDEX(Inputs!$K$5:$AJ$140,0,MATCH(F$2,Inputs!$K$4:$AJ$4,0))))+SUMPRODUCT((Inputs!$C$5:$C$140=$B16)*ISNUMBER(INDEX(Inputs!$K$5:$AJ$140,0,MATCH(F$2,Inputs!$K$4:$AJ$4,0))))+SUMPRODUCT((Inputs!$E$5:$E$140=$B16)*ISNUMBER(INDEX(Inputs!$K$5:$AJ$140,0,MATCH(F$2,Inputs!$K$4:$AJ$4,0))))=0,NA(),SUMPRODUCT((Inputs!$A$5:$A$140=$B16)*Inputs!$B$5:$B$140*(((Inputs!$G$5:$G$140="moeda")+(Inputs!$G$5:$G$140="acoes"))*Inputs!$B$1+((Inputs!$G$5:$G$140&lt;&gt;"moeda")*(Inputs!$G$5:$G$140&lt;&gt;"acoes")))*INDEX(Inputs!$K$5:$AJ$140,0,MATCH(F$2,Inputs!$K$4:$AJ$4,0)))+SUMPRODUCT((Inputs!$C$5:$C$140=$B16)*Inputs!$D$5:$D$140*(((Inputs!$G$5:$G$140="moeda")+(Inputs!$G$5:$G$140="acoes"))*Inputs!$B$1+((Inputs!$G$5:$G$140&lt;&gt;"moeda")*(Inputs!$G$5:$G$140&lt;&gt;"acoes")))*INDEX(Inputs!$K$5:$AJ$140,0,MATCH(F$2,Inputs!$K$4:$AJ$4,0)))+SUMPRODUCT((Inputs!$E$5:$E$140=$B16)*Inputs!$F$5:$F$140*(((Inputs!$G$5:$G$140="moeda")+(Inputs!$G$5:$G$140="acoes"))*Inputs!$B$1+((Inputs!$G$5:$G$140&lt;&gt;"moeda")*(Inputs!$G$5:$G$140&lt;&gt;"acoes")))*INDEX(Inputs!$K$5:$AJ$140,0,MATCH(F$2,Inputs!$K$4:$AJ$4,0)))))</f>
        <v>3954</v>
      </c>
      <c r="G16" s="6">
        <f>IF(ISNA(MATCH(G$2,Inputs!$K$4:$AJ$4,0)),NA(),IF(SUMPRODUCT((Inputs!$A$5:$A$140=$B16)*ISNUMBER(INDEX(Inputs!$K$5:$AJ$140,0,MATCH(G$2,Inputs!$K$4:$AJ$4,0))))+SUMPRODUCT((Inputs!$C$5:$C$140=$B16)*ISNUMBER(INDEX(Inputs!$K$5:$AJ$140,0,MATCH(G$2,Inputs!$K$4:$AJ$4,0))))+SUMPRODUCT((Inputs!$E$5:$E$140=$B16)*ISNUMBER(INDEX(Inputs!$K$5:$AJ$140,0,MATCH(G$2,Inputs!$K$4:$AJ$4,0))))=0,NA(),SUMPRODUCT((Inputs!$A$5:$A$140=$B16)*Inputs!$B$5:$B$140*(((Inputs!$G$5:$G$140="moeda")+(Inputs!$G$5:$G$140="acoes"))*Inputs!$B$1+((Inputs!$G$5:$G$140&lt;&gt;"moeda")*(Inputs!$G$5:$G$140&lt;&gt;"acoes")))*INDEX(Inputs!$K$5:$AJ$140,0,MATCH(G$2,Inputs!$K$4:$AJ$4,0)))+SUMPRODUCT((Inputs!$C$5:$C$140=$B16)*Inputs!$D$5:$D$140*(((Inputs!$G$5:$G$140="moeda")+(Inputs!$G$5:$G$140="acoes"))*Inputs!$B$1+((Inputs!$G$5:$G$140&lt;&gt;"moeda")*(Inputs!$G$5:$G$140&lt;&gt;"acoes")))*INDEX(Inputs!$K$5:$AJ$140,0,MATCH(G$2,Inputs!$K$4:$AJ$4,0)))+SUMPRODUCT((Inputs!$E$5:$E$140=$B16)*Inputs!$F$5:$F$140*(((Inputs!$G$5:$G$140="moeda")+(Inputs!$G$5:$G$140="acoes"))*Inputs!$B$1+((Inputs!$G$5:$G$140&lt;&gt;"moeda")*(Inputs!$G$5:$G$140&lt;&gt;"acoes")))*INDEX(Inputs!$K$5:$AJ$140,0,MATCH(G$2,Inputs!$K$4:$AJ$4,0)))))</f>
        <v>4650</v>
      </c>
      <c r="H16" s="3">
        <f>G16</f>
        <v>4650</v>
      </c>
      <c r="I16" s="6">
        <f>IF(ISNA(MATCH(I$2,Inputs!$K$4:$AJ$4,0)),NA(),IF(SUMPRODUCT((Inputs!$A$5:$A$140=$B16)*ISNUMBER(INDEX(Inputs!$K$5:$AJ$140,0,MATCH(I$2,Inputs!$K$4:$AJ$4,0))))+SUMPRODUCT((Inputs!$C$5:$C$140=$B16)*ISNUMBER(INDEX(Inputs!$K$5:$AJ$140,0,MATCH(I$2,Inputs!$K$4:$AJ$4,0))))+SUMPRODUCT((Inputs!$E$5:$E$140=$B16)*ISNUMBER(INDEX(Inputs!$K$5:$AJ$140,0,MATCH(I$2,Inputs!$K$4:$AJ$4,0))))=0,NA(),SUMPRODUCT((Inputs!$A$5:$A$140=$B16)*Inputs!$B$5:$B$140*(((Inputs!$G$5:$G$140="moeda")+(Inputs!$G$5:$G$140="acoes"))*Inputs!$B$1+((Inputs!$G$5:$G$140&lt;&gt;"moeda")*(Inputs!$G$5:$G$140&lt;&gt;"acoes")))*INDEX(Inputs!$K$5:$AJ$140,0,MATCH(I$2,Inputs!$K$4:$AJ$4,0)))+SUMPRODUCT((Inputs!$C$5:$C$140=$B16)*Inputs!$D$5:$D$140*(((Inputs!$G$5:$G$140="moeda")+(Inputs!$G$5:$G$140="acoes"))*Inputs!$B$1+((Inputs!$G$5:$G$140&lt;&gt;"moeda")*(Inputs!$G$5:$G$140&lt;&gt;"acoes")))*INDEX(Inputs!$K$5:$AJ$140,0,MATCH(I$2,Inputs!$K$4:$AJ$4,0)))+SUMPRODUCT((Inputs!$E$5:$E$140=$B16)*Inputs!$F$5:$F$140*(((Inputs!$G$5:$G$140="moeda")+(Inputs!$G$5:$G$140="acoes"))*Inputs!$B$1+((Inputs!$G$5:$G$140&lt;&gt;"moeda")*(Inputs!$G$5:$G$140&lt;&gt;"acoes")))*INDEX(Inputs!$K$5:$AJ$140,0,MATCH(I$2,Inputs!$K$4:$AJ$4,0)))))</f>
        <v>5438</v>
      </c>
      <c r="J16" s="6">
        <f>IF(ISNA(MATCH(J$2,Inputs!$K$4:$AJ$4,0)),NA(),IF(SUMPRODUCT((Inputs!$A$5:$A$140=$B16)*ISNUMBER(INDEX(Inputs!$K$5:$AJ$140,0,MATCH(J$2,Inputs!$K$4:$AJ$4,0))))+SUMPRODUCT((Inputs!$C$5:$C$140=$B16)*ISNUMBER(INDEX(Inputs!$K$5:$AJ$140,0,MATCH(J$2,Inputs!$K$4:$AJ$4,0))))+SUMPRODUCT((Inputs!$E$5:$E$140=$B16)*ISNUMBER(INDEX(Inputs!$K$5:$AJ$140,0,MATCH(J$2,Inputs!$K$4:$AJ$4,0))))=0,NA(),SUMPRODUCT((Inputs!$A$5:$A$140=$B16)*Inputs!$B$5:$B$140*(((Inputs!$G$5:$G$140="moeda")+(Inputs!$G$5:$G$140="acoes"))*Inputs!$B$1+((Inputs!$G$5:$G$140&lt;&gt;"moeda")*(Inputs!$G$5:$G$140&lt;&gt;"acoes")))*INDEX(Inputs!$K$5:$AJ$140,0,MATCH(J$2,Inputs!$K$4:$AJ$4,0)))+SUMPRODUCT((Inputs!$C$5:$C$140=$B16)*Inputs!$D$5:$D$140*(((Inputs!$G$5:$G$140="moeda")+(Inputs!$G$5:$G$140="acoes"))*Inputs!$B$1+((Inputs!$G$5:$G$140&lt;&gt;"moeda")*(Inputs!$G$5:$G$140&lt;&gt;"acoes")))*INDEX(Inputs!$K$5:$AJ$140,0,MATCH(J$2,Inputs!$K$4:$AJ$4,0)))+SUMPRODUCT((Inputs!$E$5:$E$140=$B16)*Inputs!$F$5:$F$140*(((Inputs!$G$5:$G$140="moeda")+(Inputs!$G$5:$G$140="acoes"))*Inputs!$B$1+((Inputs!$G$5:$G$140&lt;&gt;"moeda")*(Inputs!$G$5:$G$140&lt;&gt;"acoes")))*INDEX(Inputs!$K$5:$AJ$140,0,MATCH(J$2,Inputs!$K$4:$AJ$4,0)))))</f>
        <v>5317</v>
      </c>
      <c r="K16" s="6">
        <f>IF(ISNA(MATCH(K$2,Inputs!$K$4:$AJ$4,0)),NA(),IF(SUMPRODUCT((Inputs!$A$5:$A$140=$B16)*ISNUMBER(INDEX(Inputs!$K$5:$AJ$140,0,MATCH(K$2,Inputs!$K$4:$AJ$4,0))))+SUMPRODUCT((Inputs!$C$5:$C$140=$B16)*ISNUMBER(INDEX(Inputs!$K$5:$AJ$140,0,MATCH(K$2,Inputs!$K$4:$AJ$4,0))))+SUMPRODUCT((Inputs!$E$5:$E$140=$B16)*ISNUMBER(INDEX(Inputs!$K$5:$AJ$140,0,MATCH(K$2,Inputs!$K$4:$AJ$4,0))))=0,NA(),SUMPRODUCT((Inputs!$A$5:$A$140=$B16)*Inputs!$B$5:$B$140*(((Inputs!$G$5:$G$140="moeda")+(Inputs!$G$5:$G$140="acoes"))*Inputs!$B$1+((Inputs!$G$5:$G$140&lt;&gt;"moeda")*(Inputs!$G$5:$G$140&lt;&gt;"acoes")))*INDEX(Inputs!$K$5:$AJ$140,0,MATCH(K$2,Inputs!$K$4:$AJ$4,0)))+SUMPRODUCT((Inputs!$C$5:$C$140=$B16)*Inputs!$D$5:$D$140*(((Inputs!$G$5:$G$140="moeda")+(Inputs!$G$5:$G$140="acoes"))*Inputs!$B$1+((Inputs!$G$5:$G$140&lt;&gt;"moeda")*(Inputs!$G$5:$G$140&lt;&gt;"acoes")))*INDEX(Inputs!$K$5:$AJ$140,0,MATCH(K$2,Inputs!$K$4:$AJ$4,0)))+SUMPRODUCT((Inputs!$E$5:$E$140=$B16)*Inputs!$F$5:$F$140*(((Inputs!$G$5:$G$140="moeda")+(Inputs!$G$5:$G$140="acoes"))*Inputs!$B$1+((Inputs!$G$5:$G$140&lt;&gt;"moeda")*(Inputs!$G$5:$G$140&lt;&gt;"acoes")))*INDEX(Inputs!$K$5:$AJ$140,0,MATCH(K$2,Inputs!$K$4:$AJ$4,0)))))</f>
        <v>4908</v>
      </c>
      <c r="L16" s="6">
        <f>IF(ISNA(MATCH(L$2,Inputs!$K$4:$AJ$4,0)),NA(),IF(SUMPRODUCT((Inputs!$A$5:$A$140=$B16)*ISNUMBER(INDEX(Inputs!$K$5:$AJ$140,0,MATCH(L$2,Inputs!$K$4:$AJ$4,0))))+SUMPRODUCT((Inputs!$C$5:$C$140=$B16)*ISNUMBER(INDEX(Inputs!$K$5:$AJ$140,0,MATCH(L$2,Inputs!$K$4:$AJ$4,0))))+SUMPRODUCT((Inputs!$E$5:$E$140=$B16)*ISNUMBER(INDEX(Inputs!$K$5:$AJ$140,0,MATCH(L$2,Inputs!$K$4:$AJ$4,0))))=0,NA(),SUMPRODUCT((Inputs!$A$5:$A$140=$B16)*Inputs!$B$5:$B$140*(((Inputs!$G$5:$G$140="moeda")+(Inputs!$G$5:$G$140="acoes"))*Inputs!$B$1+((Inputs!$G$5:$G$140&lt;&gt;"moeda")*(Inputs!$G$5:$G$140&lt;&gt;"acoes")))*INDEX(Inputs!$K$5:$AJ$140,0,MATCH(L$2,Inputs!$K$4:$AJ$4,0)))+SUMPRODUCT((Inputs!$C$5:$C$140=$B16)*Inputs!$D$5:$D$140*(((Inputs!$G$5:$G$140="moeda")+(Inputs!$G$5:$G$140="acoes"))*Inputs!$B$1+((Inputs!$G$5:$G$140&lt;&gt;"moeda")*(Inputs!$G$5:$G$140&lt;&gt;"acoes")))*INDEX(Inputs!$K$5:$AJ$140,0,MATCH(L$2,Inputs!$K$4:$AJ$4,0)))+SUMPRODUCT((Inputs!$E$5:$E$140=$B16)*Inputs!$F$5:$F$140*(((Inputs!$G$5:$G$140="moeda")+(Inputs!$G$5:$G$140="acoes"))*Inputs!$B$1+((Inputs!$G$5:$G$140&lt;&gt;"moeda")*(Inputs!$G$5:$G$140&lt;&gt;"acoes")))*INDEX(Inputs!$K$5:$AJ$140,0,MATCH(L$2,Inputs!$K$4:$AJ$4,0)))))</f>
        <v>3827</v>
      </c>
      <c r="M16" s="3">
        <f>L16</f>
        <v>3827</v>
      </c>
      <c r="N16" s="6">
        <f>IF(ISNA(MATCH(N$2,Inputs!$K$4:$AJ$4,0)),NA(),IF(SUMPRODUCT((Inputs!$A$5:$A$140=$B16)*ISNUMBER(INDEX(Inputs!$K$5:$AJ$140,0,MATCH(N$2,Inputs!$K$4:$AJ$4,0))))+SUMPRODUCT((Inputs!$C$5:$C$140=$B16)*ISNUMBER(INDEX(Inputs!$K$5:$AJ$140,0,MATCH(N$2,Inputs!$K$4:$AJ$4,0))))+SUMPRODUCT((Inputs!$E$5:$E$140=$B16)*ISNUMBER(INDEX(Inputs!$K$5:$AJ$140,0,MATCH(N$2,Inputs!$K$4:$AJ$4,0))))=0,NA(),SUMPRODUCT((Inputs!$A$5:$A$140=$B16)*Inputs!$B$5:$B$140*(((Inputs!$G$5:$G$140="moeda")+(Inputs!$G$5:$G$140="acoes"))*Inputs!$B$1+((Inputs!$G$5:$G$140&lt;&gt;"moeda")*(Inputs!$G$5:$G$140&lt;&gt;"acoes")))*INDEX(Inputs!$K$5:$AJ$140,0,MATCH(N$2,Inputs!$K$4:$AJ$4,0)))+SUMPRODUCT((Inputs!$C$5:$C$140=$B16)*Inputs!$D$5:$D$140*(((Inputs!$G$5:$G$140="moeda")+(Inputs!$G$5:$G$140="acoes"))*Inputs!$B$1+((Inputs!$G$5:$G$140&lt;&gt;"moeda")*(Inputs!$G$5:$G$140&lt;&gt;"acoes")))*INDEX(Inputs!$K$5:$AJ$140,0,MATCH(N$2,Inputs!$K$4:$AJ$4,0)))+SUMPRODUCT((Inputs!$E$5:$E$140=$B16)*Inputs!$F$5:$F$140*(((Inputs!$G$5:$G$140="moeda")+(Inputs!$G$5:$G$140="acoes"))*Inputs!$B$1+((Inputs!$G$5:$G$140&lt;&gt;"moeda")*(Inputs!$G$5:$G$140&lt;&gt;"acoes")))*INDEX(Inputs!$K$5:$AJ$140,0,MATCH(N$2,Inputs!$K$4:$AJ$4,0)))))</f>
        <v>4080</v>
      </c>
      <c r="O16" s="6">
        <f>IF(ISNA(MATCH(O$2,Inputs!$K$4:$AJ$4,0)),NA(),IF(SUMPRODUCT((Inputs!$A$5:$A$140=$B16)*ISNUMBER(INDEX(Inputs!$K$5:$AJ$140,0,MATCH(O$2,Inputs!$K$4:$AJ$4,0))))+SUMPRODUCT((Inputs!$C$5:$C$140=$B16)*ISNUMBER(INDEX(Inputs!$K$5:$AJ$140,0,MATCH(O$2,Inputs!$K$4:$AJ$4,0))))+SUMPRODUCT((Inputs!$E$5:$E$140=$B16)*ISNUMBER(INDEX(Inputs!$K$5:$AJ$140,0,MATCH(O$2,Inputs!$K$4:$AJ$4,0))))=0,NA(),SUMPRODUCT((Inputs!$A$5:$A$140=$B16)*Inputs!$B$5:$B$140*(((Inputs!$G$5:$G$140="moeda")+(Inputs!$G$5:$G$140="acoes"))*Inputs!$B$1+((Inputs!$G$5:$G$140&lt;&gt;"moeda")*(Inputs!$G$5:$G$140&lt;&gt;"acoes")))*INDEX(Inputs!$K$5:$AJ$140,0,MATCH(O$2,Inputs!$K$4:$AJ$4,0)))+SUMPRODUCT((Inputs!$C$5:$C$140=$B16)*Inputs!$D$5:$D$140*(((Inputs!$G$5:$G$140="moeda")+(Inputs!$G$5:$G$140="acoes"))*Inputs!$B$1+((Inputs!$G$5:$G$140&lt;&gt;"moeda")*(Inputs!$G$5:$G$140&lt;&gt;"acoes")))*INDEX(Inputs!$K$5:$AJ$140,0,MATCH(O$2,Inputs!$K$4:$AJ$4,0)))+SUMPRODUCT((Inputs!$E$5:$E$140=$B16)*Inputs!$F$5:$F$140*(((Inputs!$G$5:$G$140="moeda")+(Inputs!$G$5:$G$140="acoes"))*Inputs!$B$1+((Inputs!$G$5:$G$140&lt;&gt;"moeda")*(Inputs!$G$5:$G$140&lt;&gt;"acoes")))*INDEX(Inputs!$K$5:$AJ$140,0,MATCH(O$2,Inputs!$K$4:$AJ$4,0)))))</f>
        <v>7066</v>
      </c>
      <c r="P16" s="6">
        <f>IF(ISNA(MATCH(P$2,Inputs!$K$4:$AJ$4,0)),NA(),IF(SUMPRODUCT((Inputs!$A$5:$A$140=$B16)*ISNUMBER(INDEX(Inputs!$K$5:$AJ$140,0,MATCH(P$2,Inputs!$K$4:$AJ$4,0))))+SUMPRODUCT((Inputs!$C$5:$C$140=$B16)*ISNUMBER(INDEX(Inputs!$K$5:$AJ$140,0,MATCH(P$2,Inputs!$K$4:$AJ$4,0))))+SUMPRODUCT((Inputs!$E$5:$E$140=$B16)*ISNUMBER(INDEX(Inputs!$K$5:$AJ$140,0,MATCH(P$2,Inputs!$K$4:$AJ$4,0))))=0,NA(),SUMPRODUCT((Inputs!$A$5:$A$140=$B16)*Inputs!$B$5:$B$140*(((Inputs!$G$5:$G$140="moeda")+(Inputs!$G$5:$G$140="acoes"))*Inputs!$B$1+((Inputs!$G$5:$G$140&lt;&gt;"moeda")*(Inputs!$G$5:$G$140&lt;&gt;"acoes")))*INDEX(Inputs!$K$5:$AJ$140,0,MATCH(P$2,Inputs!$K$4:$AJ$4,0)))+SUMPRODUCT((Inputs!$C$5:$C$140=$B16)*Inputs!$D$5:$D$140*(((Inputs!$G$5:$G$140="moeda")+(Inputs!$G$5:$G$140="acoes"))*Inputs!$B$1+((Inputs!$G$5:$G$140&lt;&gt;"moeda")*(Inputs!$G$5:$G$140&lt;&gt;"acoes")))*INDEX(Inputs!$K$5:$AJ$140,0,MATCH(P$2,Inputs!$K$4:$AJ$4,0)))+SUMPRODUCT((Inputs!$E$5:$E$140=$B16)*Inputs!$F$5:$F$140*(((Inputs!$G$5:$G$140="moeda")+(Inputs!$G$5:$G$140="acoes"))*Inputs!$B$1+((Inputs!$G$5:$G$140&lt;&gt;"moeda")*(Inputs!$G$5:$G$140&lt;&gt;"acoes")))*INDEX(Inputs!$K$5:$AJ$140,0,MATCH(P$2,Inputs!$K$4:$AJ$4,0)))))</f>
        <v>8309</v>
      </c>
      <c r="Q16" s="6">
        <f>IF(ISNA(MATCH(Q$2,Inputs!$K$4:$AJ$4,0)),NA(),IF(SUMPRODUCT((Inputs!$A$5:$A$140=$B16)*ISNUMBER(INDEX(Inputs!$K$5:$AJ$140,0,MATCH(Q$2,Inputs!$K$4:$AJ$4,0))))+SUMPRODUCT((Inputs!$C$5:$C$140=$B16)*ISNUMBER(INDEX(Inputs!$K$5:$AJ$140,0,MATCH(Q$2,Inputs!$K$4:$AJ$4,0))))+SUMPRODUCT((Inputs!$E$5:$E$140=$B16)*ISNUMBER(INDEX(Inputs!$K$5:$AJ$140,0,MATCH(Q$2,Inputs!$K$4:$AJ$4,0))))=0,NA(),SUMPRODUCT((Inputs!$A$5:$A$140=$B16)*Inputs!$B$5:$B$140*(((Inputs!$G$5:$G$140="moeda")+(Inputs!$G$5:$G$140="acoes"))*Inputs!$B$1+((Inputs!$G$5:$G$140&lt;&gt;"moeda")*(Inputs!$G$5:$G$140&lt;&gt;"acoes")))*INDEX(Inputs!$K$5:$AJ$140,0,MATCH(Q$2,Inputs!$K$4:$AJ$4,0)))+SUMPRODUCT((Inputs!$C$5:$C$140=$B16)*Inputs!$D$5:$D$140*(((Inputs!$G$5:$G$140="moeda")+(Inputs!$G$5:$G$140="acoes"))*Inputs!$B$1+((Inputs!$G$5:$G$140&lt;&gt;"moeda")*(Inputs!$G$5:$G$140&lt;&gt;"acoes")))*INDEX(Inputs!$K$5:$AJ$140,0,MATCH(Q$2,Inputs!$K$4:$AJ$4,0)))+SUMPRODUCT((Inputs!$E$5:$E$140=$B16)*Inputs!$F$5:$F$140*(((Inputs!$G$5:$G$140="moeda")+(Inputs!$G$5:$G$140="acoes"))*Inputs!$B$1+((Inputs!$G$5:$G$140&lt;&gt;"moeda")*(Inputs!$G$5:$G$140&lt;&gt;"acoes")))*INDEX(Inputs!$K$5:$AJ$140,0,MATCH(Q$2,Inputs!$K$4:$AJ$4,0)))))</f>
        <v>9999</v>
      </c>
      <c r="R16" s="3">
        <f>Q16</f>
        <v>9999</v>
      </c>
      <c r="S16" s="6">
        <f>IF(ISNA(MATCH(S$2,Inputs!$K$4:$AJ$4,0)),NA(),IF(SUMPRODUCT((Inputs!$A$5:$A$140=$B16)*ISNUMBER(INDEX(Inputs!$K$5:$AJ$140,0,MATCH(S$2,Inputs!$K$4:$AJ$4,0))))+SUMPRODUCT((Inputs!$C$5:$C$140=$B16)*ISNUMBER(INDEX(Inputs!$K$5:$AJ$140,0,MATCH(S$2,Inputs!$K$4:$AJ$4,0))))+SUMPRODUCT((Inputs!$E$5:$E$140=$B16)*ISNUMBER(INDEX(Inputs!$K$5:$AJ$140,0,MATCH(S$2,Inputs!$K$4:$AJ$4,0))))=0,NA(),SUMPRODUCT((Inputs!$A$5:$A$140=$B16)*Inputs!$B$5:$B$140*(((Inputs!$G$5:$G$140="moeda")+(Inputs!$G$5:$G$140="acoes"))*Inputs!$B$1+((Inputs!$G$5:$G$140&lt;&gt;"moeda")*(Inputs!$G$5:$G$140&lt;&gt;"acoes")))*INDEX(Inputs!$K$5:$AJ$140,0,MATCH(S$2,Inputs!$K$4:$AJ$4,0)))+SUMPRODUCT((Inputs!$C$5:$C$140=$B16)*Inputs!$D$5:$D$140*(((Inputs!$G$5:$G$140="moeda")+(Inputs!$G$5:$G$140="acoes"))*Inputs!$B$1+((Inputs!$G$5:$G$140&lt;&gt;"moeda")*(Inputs!$G$5:$G$140&lt;&gt;"acoes")))*INDEX(Inputs!$K$5:$AJ$140,0,MATCH(S$2,Inputs!$K$4:$AJ$4,0)))+SUMPRODUCT((Inputs!$E$5:$E$140=$B16)*Inputs!$F$5:$F$140*(((Inputs!$G$5:$G$140="moeda")+(Inputs!$G$5:$G$140="acoes"))*Inputs!$B$1+((Inputs!$G$5:$G$140&lt;&gt;"moeda")*(Inputs!$G$5:$G$140&lt;&gt;"acoes")))*INDEX(Inputs!$K$5:$AJ$140,0,MATCH(S$2,Inputs!$K$4:$AJ$4,0)))))</f>
        <v>12365</v>
      </c>
      <c r="T16" s="6">
        <f>IF(ISNA(MATCH(T$2,Inputs!$K$4:$AJ$4,0)),NA(),IF(SUMPRODUCT((Inputs!$A$5:$A$140=$B16)*ISNUMBER(INDEX(Inputs!$K$5:$AJ$140,0,MATCH(T$2,Inputs!$K$4:$AJ$4,0))))+SUMPRODUCT((Inputs!$C$5:$C$140=$B16)*ISNUMBER(INDEX(Inputs!$K$5:$AJ$140,0,MATCH(T$2,Inputs!$K$4:$AJ$4,0))))+SUMPRODUCT((Inputs!$E$5:$E$140=$B16)*ISNUMBER(INDEX(Inputs!$K$5:$AJ$140,0,MATCH(T$2,Inputs!$K$4:$AJ$4,0))))=0,NA(),SUMPRODUCT((Inputs!$A$5:$A$140=$B16)*Inputs!$B$5:$B$140*(((Inputs!$G$5:$G$140="moeda")+(Inputs!$G$5:$G$140="acoes"))*Inputs!$B$1+((Inputs!$G$5:$G$140&lt;&gt;"moeda")*(Inputs!$G$5:$G$140&lt;&gt;"acoes")))*INDEX(Inputs!$K$5:$AJ$140,0,MATCH(T$2,Inputs!$K$4:$AJ$4,0)))+SUMPRODUCT((Inputs!$C$5:$C$140=$B16)*Inputs!$D$5:$D$140*(((Inputs!$G$5:$G$140="moeda")+(Inputs!$G$5:$G$140="acoes"))*Inputs!$B$1+((Inputs!$G$5:$G$140&lt;&gt;"moeda")*(Inputs!$G$5:$G$140&lt;&gt;"acoes")))*INDEX(Inputs!$K$5:$AJ$140,0,MATCH(T$2,Inputs!$K$4:$AJ$4,0)))+SUMPRODUCT((Inputs!$E$5:$E$140=$B16)*Inputs!$F$5:$F$140*(((Inputs!$G$5:$G$140="moeda")+(Inputs!$G$5:$G$140="acoes"))*Inputs!$B$1+((Inputs!$G$5:$G$140&lt;&gt;"moeda")*(Inputs!$G$5:$G$140&lt;&gt;"acoes")))*INDEX(Inputs!$K$5:$AJ$140,0,MATCH(T$2,Inputs!$K$4:$AJ$4,0)))))</f>
        <v>14132</v>
      </c>
      <c r="U16" s="6">
        <f>IF(ISNA(MATCH(U$2,Inputs!$K$4:$AJ$4,0)),NA(),IF(SUMPRODUCT((Inputs!$A$5:$A$140=$B16)*ISNUMBER(INDEX(Inputs!$K$5:$AJ$140,0,MATCH(U$2,Inputs!$K$4:$AJ$4,0))))+SUMPRODUCT((Inputs!$C$5:$C$140=$B16)*ISNUMBER(INDEX(Inputs!$K$5:$AJ$140,0,MATCH(U$2,Inputs!$K$4:$AJ$4,0))))+SUMPRODUCT((Inputs!$E$5:$E$140=$B16)*ISNUMBER(INDEX(Inputs!$K$5:$AJ$140,0,MATCH(U$2,Inputs!$K$4:$AJ$4,0))))=0,NA(),SUMPRODUCT((Inputs!$A$5:$A$140=$B16)*Inputs!$B$5:$B$140*(((Inputs!$G$5:$G$140="moeda")+(Inputs!$G$5:$G$140="acoes"))*Inputs!$B$1+((Inputs!$G$5:$G$140&lt;&gt;"moeda")*(Inputs!$G$5:$G$140&lt;&gt;"acoes")))*INDEX(Inputs!$K$5:$AJ$140,0,MATCH(U$2,Inputs!$K$4:$AJ$4,0)))+SUMPRODUCT((Inputs!$C$5:$C$140=$B16)*Inputs!$D$5:$D$140*(((Inputs!$G$5:$G$140="moeda")+(Inputs!$G$5:$G$140="acoes"))*Inputs!$B$1+((Inputs!$G$5:$G$140&lt;&gt;"moeda")*(Inputs!$G$5:$G$140&lt;&gt;"acoes")))*INDEX(Inputs!$K$5:$AJ$140,0,MATCH(U$2,Inputs!$K$4:$AJ$4,0)))+SUMPRODUCT((Inputs!$E$5:$E$140=$B16)*Inputs!$F$5:$F$140*(((Inputs!$G$5:$G$140="moeda")+(Inputs!$G$5:$G$140="acoes"))*Inputs!$B$1+((Inputs!$G$5:$G$140&lt;&gt;"moeda")*(Inputs!$G$5:$G$140&lt;&gt;"acoes")))*INDEX(Inputs!$K$5:$AJ$140,0,MATCH(U$2,Inputs!$K$4:$AJ$4,0)))))</f>
        <v>17693</v>
      </c>
      <c r="V16" s="6">
        <f>IF(ISNA(MATCH(V$2,Inputs!$K$4:$AJ$4,0)),NA(),IF(SUMPRODUCT((Inputs!$A$5:$A$140=$B16)*ISNUMBER(INDEX(Inputs!$K$5:$AJ$140,0,MATCH(V$2,Inputs!$K$4:$AJ$4,0))))+SUMPRODUCT((Inputs!$C$5:$C$140=$B16)*ISNUMBER(INDEX(Inputs!$K$5:$AJ$140,0,MATCH(V$2,Inputs!$K$4:$AJ$4,0))))+SUMPRODUCT((Inputs!$E$5:$E$140=$B16)*ISNUMBER(INDEX(Inputs!$K$5:$AJ$140,0,MATCH(V$2,Inputs!$K$4:$AJ$4,0))))=0,NA(),SUMPRODUCT((Inputs!$A$5:$A$140=$B16)*Inputs!$B$5:$B$140*(((Inputs!$G$5:$G$140="moeda")+(Inputs!$G$5:$G$140="acoes"))*Inputs!$B$1+((Inputs!$G$5:$G$140&lt;&gt;"moeda")*(Inputs!$G$5:$G$140&lt;&gt;"acoes")))*INDEX(Inputs!$K$5:$AJ$140,0,MATCH(V$2,Inputs!$K$4:$AJ$4,0)))+SUMPRODUCT((Inputs!$C$5:$C$140=$B16)*Inputs!$D$5:$D$140*(((Inputs!$G$5:$G$140="moeda")+(Inputs!$G$5:$G$140="acoes"))*Inputs!$B$1+((Inputs!$G$5:$G$140&lt;&gt;"moeda")*(Inputs!$G$5:$G$140&lt;&gt;"acoes")))*INDEX(Inputs!$K$5:$AJ$140,0,MATCH(V$2,Inputs!$K$4:$AJ$4,0)))+SUMPRODUCT((Inputs!$E$5:$E$140=$B16)*Inputs!$F$5:$F$140*(((Inputs!$G$5:$G$140="moeda")+(Inputs!$G$5:$G$140="acoes"))*Inputs!$B$1+((Inputs!$G$5:$G$140&lt;&gt;"moeda")*(Inputs!$G$5:$G$140&lt;&gt;"acoes")))*INDEX(Inputs!$K$5:$AJ$140,0,MATCH(V$2,Inputs!$K$4:$AJ$4,0)))))</f>
        <v>23065</v>
      </c>
      <c r="W16" s="3">
        <f>V16</f>
        <v>23065</v>
      </c>
      <c r="X16" s="6">
        <f>IF(ISNA(MATCH(X$2,Inputs!$K$4:$AJ$4,0)),NA(),IF(SUMPRODUCT((Inputs!$A$5:$A$140=$B16)*ISNUMBER(INDEX(Inputs!$K$5:$AJ$140,0,MATCH(X$2,Inputs!$K$4:$AJ$4,0))))+SUMPRODUCT((Inputs!$C$5:$C$140=$B16)*ISNUMBER(INDEX(Inputs!$K$5:$AJ$140,0,MATCH(X$2,Inputs!$K$4:$AJ$4,0))))+SUMPRODUCT((Inputs!$E$5:$E$140=$B16)*ISNUMBER(INDEX(Inputs!$K$5:$AJ$140,0,MATCH(X$2,Inputs!$K$4:$AJ$4,0))))=0,NA(),SUMPRODUCT((Inputs!$A$5:$A$140=$B16)*Inputs!$B$5:$B$140*(((Inputs!$G$5:$G$140="moeda")+(Inputs!$G$5:$G$140="acoes"))*Inputs!$B$1+((Inputs!$G$5:$G$140&lt;&gt;"moeda")*(Inputs!$G$5:$G$140&lt;&gt;"acoes")))*INDEX(Inputs!$K$5:$AJ$140,0,MATCH(X$2,Inputs!$K$4:$AJ$4,0)))+SUMPRODUCT((Inputs!$C$5:$C$140=$B16)*Inputs!$D$5:$D$140*(((Inputs!$G$5:$G$140="moeda")+(Inputs!$G$5:$G$140="acoes"))*Inputs!$B$1+((Inputs!$G$5:$G$140&lt;&gt;"moeda")*(Inputs!$G$5:$G$140&lt;&gt;"acoes")))*INDEX(Inputs!$K$5:$AJ$140,0,MATCH(X$2,Inputs!$K$4:$AJ$4,0)))+SUMPRODUCT((Inputs!$E$5:$E$140=$B16)*Inputs!$F$5:$F$140*(((Inputs!$G$5:$G$140="moeda")+(Inputs!$G$5:$G$140="acoes"))*Inputs!$B$1+((Inputs!$G$5:$G$140&lt;&gt;"moeda")*(Inputs!$G$5:$G$140&lt;&gt;"acoes")))*INDEX(Inputs!$K$5:$AJ$140,0,MATCH(X$2,Inputs!$K$4:$AJ$4,0)))))</f>
        <v>22132</v>
      </c>
      <c r="Y16" s="6">
        <f>IF(ISNA(MATCH(Y$2,Inputs!$K$4:$AJ$4,0)),NA(),IF(SUMPRODUCT((Inputs!$A$5:$A$140=$B16)*ISNUMBER(INDEX(Inputs!$K$5:$AJ$140,0,MATCH(Y$2,Inputs!$K$4:$AJ$4,0))))+SUMPRODUCT((Inputs!$C$5:$C$140=$B16)*ISNUMBER(INDEX(Inputs!$K$5:$AJ$140,0,MATCH(Y$2,Inputs!$K$4:$AJ$4,0))))+SUMPRODUCT((Inputs!$E$5:$E$140=$B16)*ISNUMBER(INDEX(Inputs!$K$5:$AJ$140,0,MATCH(Y$2,Inputs!$K$4:$AJ$4,0))))=0,NA(),SUMPRODUCT((Inputs!$A$5:$A$140=$B16)*Inputs!$B$5:$B$140*(((Inputs!$G$5:$G$140="moeda")+(Inputs!$G$5:$G$140="acoes"))*Inputs!$B$1+((Inputs!$G$5:$G$140&lt;&gt;"moeda")*(Inputs!$G$5:$G$140&lt;&gt;"acoes")))*INDEX(Inputs!$K$5:$AJ$140,0,MATCH(Y$2,Inputs!$K$4:$AJ$4,0)))+SUMPRODUCT((Inputs!$C$5:$C$140=$B16)*Inputs!$D$5:$D$140*(((Inputs!$G$5:$G$140="moeda")+(Inputs!$G$5:$G$140="acoes"))*Inputs!$B$1+((Inputs!$G$5:$G$140&lt;&gt;"moeda")*(Inputs!$G$5:$G$140&lt;&gt;"acoes")))*INDEX(Inputs!$K$5:$AJ$140,0,MATCH(Y$2,Inputs!$K$4:$AJ$4,0)))+SUMPRODUCT((Inputs!$E$5:$E$140=$B16)*Inputs!$F$5:$F$140*(((Inputs!$G$5:$G$140="moeda")+(Inputs!$G$5:$G$140="acoes"))*Inputs!$B$1+((Inputs!$G$5:$G$140&lt;&gt;"moeda")*(Inputs!$G$5:$G$140&lt;&gt;"acoes")))*INDEX(Inputs!$K$5:$AJ$140,0,MATCH(Y$2,Inputs!$K$4:$AJ$4,0)))))</f>
        <v>27808</v>
      </c>
      <c r="Z16" s="6">
        <f>IF(ISNA(MATCH(Z$2,Inputs!$K$4:$AJ$4,0)),NA(),IF(SUMPRODUCT((Inputs!$A$5:$A$140=$B16)*ISNUMBER(INDEX(Inputs!$K$5:$AJ$140,0,MATCH(Z$2,Inputs!$K$4:$AJ$4,0))))+SUMPRODUCT((Inputs!$C$5:$C$140=$B16)*ISNUMBER(INDEX(Inputs!$K$5:$AJ$140,0,MATCH(Z$2,Inputs!$K$4:$AJ$4,0))))+SUMPRODUCT((Inputs!$E$5:$E$140=$B16)*ISNUMBER(INDEX(Inputs!$K$5:$AJ$140,0,MATCH(Z$2,Inputs!$K$4:$AJ$4,0))))=0,NA(),SUMPRODUCT((Inputs!$A$5:$A$140=$B16)*Inputs!$B$5:$B$140*(((Inputs!$G$5:$G$140="moeda")+(Inputs!$G$5:$G$140="acoes"))*Inputs!$B$1+((Inputs!$G$5:$G$140&lt;&gt;"moeda")*(Inputs!$G$5:$G$140&lt;&gt;"acoes")))*INDEX(Inputs!$K$5:$AJ$140,0,MATCH(Z$2,Inputs!$K$4:$AJ$4,0)))+SUMPRODUCT((Inputs!$C$5:$C$140=$B16)*Inputs!$D$5:$D$140*(((Inputs!$G$5:$G$140="moeda")+(Inputs!$G$5:$G$140="acoes"))*Inputs!$B$1+((Inputs!$G$5:$G$140&lt;&gt;"moeda")*(Inputs!$G$5:$G$140&lt;&gt;"acoes")))*INDEX(Inputs!$K$5:$AJ$140,0,MATCH(Z$2,Inputs!$K$4:$AJ$4,0)))+SUMPRODUCT((Inputs!$E$5:$E$140=$B16)*Inputs!$F$5:$F$140*(((Inputs!$G$5:$G$140="moeda")+(Inputs!$G$5:$G$140="acoes"))*Inputs!$B$1+((Inputs!$G$5:$G$140&lt;&gt;"moeda")*(Inputs!$G$5:$G$140&lt;&gt;"acoes")))*INDEX(Inputs!$K$5:$AJ$140,0,MATCH(Z$2,Inputs!$K$4:$AJ$4,0)))))</f>
        <v>33391</v>
      </c>
      <c r="AA16" s="6">
        <f>IF(ISNA(MATCH(AA$2,Inputs!$K$4:$AJ$4,0)),NA(),IF(SUMPRODUCT((Inputs!$A$5:$A$140=$B16)*ISNUMBER(INDEX(Inputs!$K$5:$AJ$140,0,MATCH(AA$2,Inputs!$K$4:$AJ$4,0))))+SUMPRODUCT((Inputs!$C$5:$C$140=$B16)*ISNUMBER(INDEX(Inputs!$K$5:$AJ$140,0,MATCH(AA$2,Inputs!$K$4:$AJ$4,0))))+SUMPRODUCT((Inputs!$E$5:$E$140=$B16)*ISNUMBER(INDEX(Inputs!$K$5:$AJ$140,0,MATCH(AA$2,Inputs!$K$4:$AJ$4,0))))=0,NA(),SUMPRODUCT((Inputs!$A$5:$A$140=$B16)*Inputs!$B$5:$B$140*(((Inputs!$G$5:$G$140="moeda")+(Inputs!$G$5:$G$140="acoes"))*Inputs!$B$1+((Inputs!$G$5:$G$140&lt;&gt;"moeda")*(Inputs!$G$5:$G$140&lt;&gt;"acoes")))*INDEX(Inputs!$K$5:$AJ$140,0,MATCH(AA$2,Inputs!$K$4:$AJ$4,0)))+SUMPRODUCT((Inputs!$C$5:$C$140=$B16)*Inputs!$D$5:$D$140*(((Inputs!$G$5:$G$140="moeda")+(Inputs!$G$5:$G$140="acoes"))*Inputs!$B$1+((Inputs!$G$5:$G$140&lt;&gt;"moeda")*(Inputs!$G$5:$G$140&lt;&gt;"acoes")))*INDEX(Inputs!$K$5:$AJ$140,0,MATCH(AA$2,Inputs!$K$4:$AJ$4,0)))+SUMPRODUCT((Inputs!$E$5:$E$140=$B16)*Inputs!$F$5:$F$140*(((Inputs!$G$5:$G$140="moeda")+(Inputs!$G$5:$G$140="acoes"))*Inputs!$B$1+((Inputs!$G$5:$G$140&lt;&gt;"moeda")*(Inputs!$G$5:$G$140&lt;&gt;"acoes")))*INDEX(Inputs!$K$5:$AJ$140,0,MATCH(AA$2,Inputs!$K$4:$AJ$4,0)))))</f>
        <v>38466</v>
      </c>
      <c r="AB16" s="3">
        <f>AA16</f>
        <v>38466</v>
      </c>
      <c r="AC16" s="6">
        <f>IF(ISNA(MATCH(AC$2,Inputs!$K$4:$AJ$4,0)),NA(),IF(SUMPRODUCT((Inputs!$A$5:$A$140=$B16)*ISNUMBER(INDEX(Inputs!$K$5:$AJ$140,0,MATCH(AC$2,Inputs!$K$4:$AJ$4,0))))+SUMPRODUCT((Inputs!$C$5:$C$140=$B16)*ISNUMBER(INDEX(Inputs!$K$5:$AJ$140,0,MATCH(AC$2,Inputs!$K$4:$AJ$4,0))))+SUMPRODUCT((Inputs!$E$5:$E$140=$B16)*ISNUMBER(INDEX(Inputs!$K$5:$AJ$140,0,MATCH(AC$2,Inputs!$K$4:$AJ$4,0))))=0,NA(),SUMPRODUCT((Inputs!$A$5:$A$140=$B16)*Inputs!$B$5:$B$140*(((Inputs!$G$5:$G$140="moeda")+(Inputs!$G$5:$G$140="acoes"))*Inputs!$B$1+((Inputs!$G$5:$G$140&lt;&gt;"moeda")*(Inputs!$G$5:$G$140&lt;&gt;"acoes")))*INDEX(Inputs!$K$5:$AJ$140,0,MATCH(AC$2,Inputs!$K$4:$AJ$4,0)))+SUMPRODUCT((Inputs!$C$5:$C$140=$B16)*Inputs!$D$5:$D$140*(((Inputs!$G$5:$G$140="moeda")+(Inputs!$G$5:$G$140="acoes"))*Inputs!$B$1+((Inputs!$G$5:$G$140&lt;&gt;"moeda")*(Inputs!$G$5:$G$140&lt;&gt;"acoes")))*INDEX(Inputs!$K$5:$AJ$140,0,MATCH(AC$2,Inputs!$K$4:$AJ$4,0)))+SUMPRODUCT((Inputs!$E$5:$E$140=$B16)*Inputs!$F$5:$F$140*(((Inputs!$G$5:$G$140="moeda")+(Inputs!$G$5:$G$140="acoes"))*Inputs!$B$1+((Inputs!$G$5:$G$140&lt;&gt;"moeda")*(Inputs!$G$5:$G$140&lt;&gt;"acoes")))*INDEX(Inputs!$K$5:$AJ$140,0,MATCH(AC$2,Inputs!$K$4:$AJ$4,0)))))</f>
        <v>40710</v>
      </c>
      <c r="AD16" s="6">
        <f>IF(ISNA(MATCH(AD$2,Inputs!$K$4:$AJ$4,0)),NA(),IF(SUMPRODUCT((Inputs!$A$5:$A$140=$B16)*ISNUMBER(INDEX(Inputs!$K$5:$AJ$140,0,MATCH(AD$2,Inputs!$K$4:$AJ$4,0))))+SUMPRODUCT((Inputs!$C$5:$C$140=$B16)*ISNUMBER(INDEX(Inputs!$K$5:$AJ$140,0,MATCH(AD$2,Inputs!$K$4:$AJ$4,0))))+SUMPRODUCT((Inputs!$E$5:$E$140=$B16)*ISNUMBER(INDEX(Inputs!$K$5:$AJ$140,0,MATCH(AD$2,Inputs!$K$4:$AJ$4,0))))=0,NA(),SUMPRODUCT((Inputs!$A$5:$A$140=$B16)*Inputs!$B$5:$B$140*(((Inputs!$G$5:$G$140="moeda")+(Inputs!$G$5:$G$140="acoes"))*Inputs!$B$1+((Inputs!$G$5:$G$140&lt;&gt;"moeda")*(Inputs!$G$5:$G$140&lt;&gt;"acoes")))*INDEX(Inputs!$K$5:$AJ$140,0,MATCH(AD$2,Inputs!$K$4:$AJ$4,0)))+SUMPRODUCT((Inputs!$C$5:$C$140=$B16)*Inputs!$D$5:$D$140*(((Inputs!$G$5:$G$140="moeda")+(Inputs!$G$5:$G$140="acoes"))*Inputs!$B$1+((Inputs!$G$5:$G$140&lt;&gt;"moeda")*(Inputs!$G$5:$G$140&lt;&gt;"acoes")))*INDEX(Inputs!$K$5:$AJ$140,0,MATCH(AD$2,Inputs!$K$4:$AJ$4,0)))+SUMPRODUCT((Inputs!$E$5:$E$140=$B16)*Inputs!$F$5:$F$140*(((Inputs!$G$5:$G$140="moeda")+(Inputs!$G$5:$G$140="acoes"))*Inputs!$B$1+((Inputs!$G$5:$G$140&lt;&gt;"moeda")*(Inputs!$G$5:$G$140&lt;&gt;"acoes")))*INDEX(Inputs!$K$5:$AJ$140,0,MATCH(AD$2,Inputs!$K$4:$AJ$4,0)))))</f>
        <v>63059</v>
      </c>
      <c r="AE16" s="6" t="e">
        <f>IF(ISNA(MATCH(AE$2,Inputs!$K$4:$AJ$4,0)),NA(),IF(SUMPRODUCT((Inputs!$A$5:$A$140=$B16)*ISNUMBER(INDEX(Inputs!$K$5:$AJ$140,0,MATCH(AE$2,Inputs!$K$4:$AJ$4,0))))+SUMPRODUCT((Inputs!$C$5:$C$140=$B16)*ISNUMBER(INDEX(Inputs!$K$5:$AJ$140,0,MATCH(AE$2,Inputs!$K$4:$AJ$4,0))))+SUMPRODUCT((Inputs!$E$5:$E$140=$B16)*ISNUMBER(INDEX(Inputs!$K$5:$AJ$140,0,MATCH(AE$2,Inputs!$K$4:$AJ$4,0))))=0,NA(),SUMPRODUCT((Inputs!$A$5:$A$140=$B16)*Inputs!$B$5:$B$140*(((Inputs!$G$5:$G$140="moeda")+(Inputs!$G$5:$G$140="acoes"))*Inputs!$B$1+((Inputs!$G$5:$G$140&lt;&gt;"moeda")*(Inputs!$G$5:$G$140&lt;&gt;"acoes")))*INDEX(Inputs!$K$5:$AJ$140,0,MATCH(AE$2,Inputs!$K$4:$AJ$4,0)))+SUMPRODUCT((Inputs!$C$5:$C$140=$B16)*Inputs!$D$5:$D$140*(((Inputs!$G$5:$G$140="moeda")+(Inputs!$G$5:$G$140="acoes"))*Inputs!$B$1+((Inputs!$G$5:$G$140&lt;&gt;"moeda")*(Inputs!$G$5:$G$140&lt;&gt;"acoes")))*INDEX(Inputs!$K$5:$AJ$140,0,MATCH(AE$2,Inputs!$K$4:$AJ$4,0)))+SUMPRODUCT((Inputs!$E$5:$E$140=$B16)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16" s="6" t="e">
        <f>IF(ISNA(MATCH(AF$2,Inputs!$K$4:$AJ$4,0)),NA(),IF(SUMPRODUCT((Inputs!$A$5:$A$140=$B16)*ISNUMBER(INDEX(Inputs!$K$5:$AJ$140,0,MATCH(AF$2,Inputs!$K$4:$AJ$4,0))))+SUMPRODUCT((Inputs!$C$5:$C$140=$B16)*ISNUMBER(INDEX(Inputs!$K$5:$AJ$140,0,MATCH(AF$2,Inputs!$K$4:$AJ$4,0))))+SUMPRODUCT((Inputs!$E$5:$E$140=$B16)*ISNUMBER(INDEX(Inputs!$K$5:$AJ$140,0,MATCH(AF$2,Inputs!$K$4:$AJ$4,0))))=0,NA(),SUMPRODUCT((Inputs!$A$5:$A$140=$B16)*Inputs!$B$5:$B$140*(((Inputs!$G$5:$G$140="moeda")+(Inputs!$G$5:$G$140="acoes"))*Inputs!$B$1+((Inputs!$G$5:$G$140&lt;&gt;"moeda")*(Inputs!$G$5:$G$140&lt;&gt;"acoes")))*INDEX(Inputs!$K$5:$AJ$140,0,MATCH(AF$2,Inputs!$K$4:$AJ$4,0)))+SUMPRODUCT((Inputs!$C$5:$C$140=$B16)*Inputs!$D$5:$D$140*(((Inputs!$G$5:$G$140="moeda")+(Inputs!$G$5:$G$140="acoes"))*Inputs!$B$1+((Inputs!$G$5:$G$140&lt;&gt;"moeda")*(Inputs!$G$5:$G$140&lt;&gt;"acoes")))*INDEX(Inputs!$K$5:$AJ$140,0,MATCH(AF$2,Inputs!$K$4:$AJ$4,0)))+SUMPRODUCT((Inputs!$E$5:$E$140=$B16)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16" s="3" t="e">
        <f>AF16</f>
        <v>#N/A</v>
      </c>
      <c r="AH16" s="6">
        <f>IF(ISNA(MATCH(AH$2,Inputs!$K$4:$AJ$4,0)),NA(),IF(SUMPRODUCT((Inputs!$A$5:$A$140=$B16)*ISNUMBER(INDEX(Inputs!$K$5:$AJ$140,0,MATCH(AH$2,Inputs!$K$4:$AJ$4,0))))+SUMPRODUCT((Inputs!$C$5:$C$140=$B16)*ISNUMBER(INDEX(Inputs!$K$5:$AJ$140,0,MATCH(AH$2,Inputs!$K$4:$AJ$4,0))))+SUMPRODUCT((Inputs!$E$5:$E$140=$B16)*ISNUMBER(INDEX(Inputs!$K$5:$AJ$140,0,MATCH(AH$2,Inputs!$K$4:$AJ$4,0))))=0,NA(),SUMPRODUCT((Inputs!$A$5:$A$140=$B16)*Inputs!$B$5:$B$140*(((Inputs!$G$5:$G$140="moeda")+(Inputs!$G$5:$G$140="acoes"))*Inputs!$B$1+((Inputs!$G$5:$G$140&lt;&gt;"moeda")*(Inputs!$G$5:$G$140&lt;&gt;"acoes")))*INDEX(Inputs!$K$5:$AJ$140,0,MATCH(AH$2,Inputs!$K$4:$AJ$4,0)))+SUMPRODUCT((Inputs!$C$5:$C$140=$B16)*Inputs!$D$5:$D$140*(((Inputs!$G$5:$G$140="moeda")+(Inputs!$G$5:$G$140="acoes"))*Inputs!$B$1+((Inputs!$G$5:$G$140&lt;&gt;"moeda")*(Inputs!$G$5:$G$140&lt;&gt;"acoes")))*INDEX(Inputs!$K$5:$AJ$140,0,MATCH(AH$2,Inputs!$K$4:$AJ$4,0)))+SUMPRODUCT((Inputs!$E$5:$E$140=$B16)*Inputs!$F$5:$F$140*(((Inputs!$G$5:$G$140="moeda")+(Inputs!$G$5:$G$140="acoes"))*Inputs!$B$1+((Inputs!$G$5:$G$140&lt;&gt;"moeda")*(Inputs!$G$5:$G$140&lt;&gt;"acoes")))*INDEX(Inputs!$K$5:$AJ$140,0,MATCH(AH$2,Inputs!$K$4:$AJ$4,0)))))</f>
        <v>1907</v>
      </c>
      <c r="AI16" s="6">
        <f>IF(ISNA(MATCH(AI$2,Inputs!$K$4:$AJ$4,0)),NA(),IF(SUMPRODUCT((Inputs!$A$5:$A$140=$B16)*ISNUMBER(INDEX(Inputs!$K$5:$AJ$140,0,MATCH(AI$2,Inputs!$K$4:$AJ$4,0))))+SUMPRODUCT((Inputs!$C$5:$C$140=$B16)*ISNUMBER(INDEX(Inputs!$K$5:$AJ$140,0,MATCH(AI$2,Inputs!$K$4:$AJ$4,0))))+SUMPRODUCT((Inputs!$E$5:$E$140=$B16)*ISNUMBER(INDEX(Inputs!$K$5:$AJ$140,0,MATCH(AI$2,Inputs!$K$4:$AJ$4,0))))=0,NA(),SUMPRODUCT((Inputs!$A$5:$A$140=$B16)*Inputs!$B$5:$B$140*(((Inputs!$G$5:$G$140="moeda")+(Inputs!$G$5:$G$140="acoes"))*Inputs!$B$1+((Inputs!$G$5:$G$140&lt;&gt;"moeda")*(Inputs!$G$5:$G$140&lt;&gt;"acoes")))*INDEX(Inputs!$K$5:$AJ$140,0,MATCH(AI$2,Inputs!$K$4:$AJ$4,0)))+SUMPRODUCT((Inputs!$C$5:$C$140=$B16)*Inputs!$D$5:$D$140*(((Inputs!$G$5:$G$140="moeda")+(Inputs!$G$5:$G$140="acoes"))*Inputs!$B$1+((Inputs!$G$5:$G$140&lt;&gt;"moeda")*(Inputs!$G$5:$G$140&lt;&gt;"acoes")))*INDEX(Inputs!$K$5:$AJ$140,0,MATCH(AI$2,Inputs!$K$4:$AJ$4,0)))+SUMPRODUCT((Inputs!$E$5:$E$140=$B16)*Inputs!$F$5:$F$140*(((Inputs!$G$5:$G$140="moeda")+(Inputs!$G$5:$G$140="acoes"))*Inputs!$B$1+((Inputs!$G$5:$G$140&lt;&gt;"moeda")*(Inputs!$G$5:$G$140&lt;&gt;"acoes")))*INDEX(Inputs!$K$5:$AJ$140,0,MATCH(AI$2,Inputs!$K$4:$AJ$4,0)))))</f>
        <v>2084</v>
      </c>
      <c r="AJ16" s="6">
        <f>IF(ISNA(MATCH(AJ$2,Inputs!$K$4:$AJ$4,0)),NA(),IF(SUMPRODUCT((Inputs!$A$5:$A$140=$B16)*ISNUMBER(INDEX(Inputs!$K$5:$AJ$140,0,MATCH(AJ$2,Inputs!$K$4:$AJ$4,0))))+SUMPRODUCT((Inputs!$C$5:$C$140=$B16)*ISNUMBER(INDEX(Inputs!$K$5:$AJ$140,0,MATCH(AJ$2,Inputs!$K$4:$AJ$4,0))))+SUMPRODUCT((Inputs!$E$5:$E$140=$B16)*ISNUMBER(INDEX(Inputs!$K$5:$AJ$140,0,MATCH(AJ$2,Inputs!$K$4:$AJ$4,0))))=0,NA(),SUMPRODUCT((Inputs!$A$5:$A$140=$B16)*Inputs!$B$5:$B$140*(((Inputs!$G$5:$G$140="moeda")+(Inputs!$G$5:$G$140="acoes"))*Inputs!$B$1+((Inputs!$G$5:$G$140&lt;&gt;"moeda")*(Inputs!$G$5:$G$140&lt;&gt;"acoes")))*INDEX(Inputs!$K$5:$AJ$140,0,MATCH(AJ$2,Inputs!$K$4:$AJ$4,0)))+SUMPRODUCT((Inputs!$C$5:$C$140=$B16)*Inputs!$D$5:$D$140*(((Inputs!$G$5:$G$140="moeda")+(Inputs!$G$5:$G$140="acoes"))*Inputs!$B$1+((Inputs!$G$5:$G$140&lt;&gt;"moeda")*(Inputs!$G$5:$G$140&lt;&gt;"acoes")))*INDEX(Inputs!$K$5:$AJ$140,0,MATCH(AJ$2,Inputs!$K$4:$AJ$4,0)))+SUMPRODUCT((Inputs!$E$5:$E$140=$B16)*Inputs!$F$5:$F$140*(((Inputs!$G$5:$G$140="moeda")+(Inputs!$G$5:$G$140="acoes"))*Inputs!$B$1+((Inputs!$G$5:$G$140&lt;&gt;"moeda")*(Inputs!$G$5:$G$140&lt;&gt;"acoes")))*INDEX(Inputs!$K$5:$AJ$140,0,MATCH(AJ$2,Inputs!$K$4:$AJ$4,0)))))</f>
        <v>2546</v>
      </c>
      <c r="AK16" s="6">
        <f>IF(ISNA(MATCH(AK$2,Inputs!$K$4:$AJ$4,0)),NA(),IF(SUMPRODUCT((Inputs!$A$5:$A$140=$B16)*ISNUMBER(INDEX(Inputs!$K$5:$AJ$140,0,MATCH(AK$2,Inputs!$K$4:$AJ$4,0))))+SUMPRODUCT((Inputs!$C$5:$C$140=$B16)*ISNUMBER(INDEX(Inputs!$K$5:$AJ$140,0,MATCH(AK$2,Inputs!$K$4:$AJ$4,0))))+SUMPRODUCT((Inputs!$E$5:$E$140=$B16)*ISNUMBER(INDEX(Inputs!$K$5:$AJ$140,0,MATCH(AK$2,Inputs!$K$4:$AJ$4,0))))=0,NA(),SUMPRODUCT((Inputs!$A$5:$A$140=$B16)*Inputs!$B$5:$B$140*(((Inputs!$G$5:$G$140="moeda")+(Inputs!$G$5:$G$140="acoes"))*Inputs!$B$1+((Inputs!$G$5:$G$140&lt;&gt;"moeda")*(Inputs!$G$5:$G$140&lt;&gt;"acoes")))*INDEX(Inputs!$K$5:$AJ$140,0,MATCH(AK$2,Inputs!$K$4:$AJ$4,0)))+SUMPRODUCT((Inputs!$C$5:$C$140=$B16)*Inputs!$D$5:$D$140*(((Inputs!$G$5:$G$140="moeda")+(Inputs!$G$5:$G$140="acoes"))*Inputs!$B$1+((Inputs!$G$5:$G$140&lt;&gt;"moeda")*(Inputs!$G$5:$G$140&lt;&gt;"acoes")))*INDEX(Inputs!$K$5:$AJ$140,0,MATCH(AK$2,Inputs!$K$4:$AJ$4,0)))+SUMPRODUCT((Inputs!$E$5:$E$140=$B16)*Inputs!$F$5:$F$140*(((Inputs!$G$5:$G$140="moeda")+(Inputs!$G$5:$G$140="acoes"))*Inputs!$B$1+((Inputs!$G$5:$G$140&lt;&gt;"moeda")*(Inputs!$G$5:$G$140&lt;&gt;"acoes")))*INDEX(Inputs!$K$5:$AJ$140,0,MATCH(AK$2,Inputs!$K$4:$AJ$4,0)))))</f>
        <v>2429</v>
      </c>
      <c r="AL16" s="3">
        <f>AK16</f>
        <v>2429</v>
      </c>
    </row>
    <row r="17">
      <c r="B17" s="46" t="n">
        <v>13</v>
      </c>
      <c r="C17" s="26" t="inlineStr">
        <is>
          <t>Inventories</t>
        </is>
      </c>
      <c r="D17" s="6">
        <f>IF(ISNA(MATCH(D$2,Inputs!$K$4:$AJ$4,0)),NA(),IF(SUMPRODUCT((Inputs!$A$5:$A$140=$B17)*ISNUMBER(INDEX(Inputs!$K$5:$AJ$140,0,MATCH(D$2,Inputs!$K$4:$AJ$4,0))))+SUMPRODUCT((Inputs!$C$5:$C$140=$B17)*ISNUMBER(INDEX(Inputs!$K$5:$AJ$140,0,MATCH(D$2,Inputs!$K$4:$AJ$4,0))))+SUMPRODUCT((Inputs!$E$5:$E$140=$B17)*ISNUMBER(INDEX(Inputs!$K$5:$AJ$140,0,MATCH(D$2,Inputs!$K$4:$AJ$4,0))))=0,NA(),SUMPRODUCT((Inputs!$A$5:$A$140=$B17)*Inputs!$B$5:$B$140*(((Inputs!$G$5:$G$140="moeda")+(Inputs!$G$5:$G$140="acoes"))*Inputs!$B$1+((Inputs!$G$5:$G$140&lt;&gt;"moeda")*(Inputs!$G$5:$G$140&lt;&gt;"acoes")))*INDEX(Inputs!$K$5:$AJ$140,0,MATCH(D$2,Inputs!$K$4:$AJ$4,0)))+SUMPRODUCT((Inputs!$C$5:$C$140=$B17)*Inputs!$D$5:$D$140*(((Inputs!$G$5:$G$140="moeda")+(Inputs!$G$5:$G$140="acoes"))*Inputs!$B$1+((Inputs!$G$5:$G$140&lt;&gt;"moeda")*(Inputs!$G$5:$G$140&lt;&gt;"acoes")))*INDEX(Inputs!$K$5:$AJ$140,0,MATCH(D$2,Inputs!$K$4:$AJ$4,0)))+SUMPRODUCT((Inputs!$E$5:$E$140=$B17)*Inputs!$F$5:$F$140*(((Inputs!$G$5:$G$140="moeda")+(Inputs!$G$5:$G$140="acoes"))*Inputs!$B$1+((Inputs!$G$5:$G$140&lt;&gt;"moeda")*(Inputs!$G$5:$G$140&lt;&gt;"acoes")))*INDEX(Inputs!$K$5:$AJ$140,0,MATCH(D$2,Inputs!$K$4:$AJ$4,0)))))</f>
        <v>1992</v>
      </c>
      <c r="E17" s="6">
        <f>IF(ISNA(MATCH(E$2,Inputs!$K$4:$AJ$4,0)),NA(),IF(SUMPRODUCT((Inputs!$A$5:$A$140=$B17)*ISNUMBER(INDEX(Inputs!$K$5:$AJ$140,0,MATCH(E$2,Inputs!$K$4:$AJ$4,0))))+SUMPRODUCT((Inputs!$C$5:$C$140=$B17)*ISNUMBER(INDEX(Inputs!$K$5:$AJ$140,0,MATCH(E$2,Inputs!$K$4:$AJ$4,0))))+SUMPRODUCT((Inputs!$E$5:$E$140=$B17)*ISNUMBER(INDEX(Inputs!$K$5:$AJ$140,0,MATCH(E$2,Inputs!$K$4:$AJ$4,0))))=0,NA(),SUMPRODUCT((Inputs!$A$5:$A$140=$B17)*Inputs!$B$5:$B$140*(((Inputs!$G$5:$G$140="moeda")+(Inputs!$G$5:$G$140="acoes"))*Inputs!$B$1+((Inputs!$G$5:$G$140&lt;&gt;"moeda")*(Inputs!$G$5:$G$140&lt;&gt;"acoes")))*INDEX(Inputs!$K$5:$AJ$140,0,MATCH(E$2,Inputs!$K$4:$AJ$4,0)))+SUMPRODUCT((Inputs!$C$5:$C$140=$B17)*Inputs!$D$5:$D$140*(((Inputs!$G$5:$G$140="moeda")+(Inputs!$G$5:$G$140="acoes"))*Inputs!$B$1+((Inputs!$G$5:$G$140&lt;&gt;"moeda")*(Inputs!$G$5:$G$140&lt;&gt;"acoes")))*INDEX(Inputs!$K$5:$AJ$140,0,MATCH(E$2,Inputs!$K$4:$AJ$4,0)))+SUMPRODUCT((Inputs!$E$5:$E$140=$B17)*Inputs!$F$5:$F$140*(((Inputs!$G$5:$G$140="moeda")+(Inputs!$G$5:$G$140="acoes"))*Inputs!$B$1+((Inputs!$G$5:$G$140&lt;&gt;"moeda")*(Inputs!$G$5:$G$140&lt;&gt;"acoes")))*INDEX(Inputs!$K$5:$AJ$140,0,MATCH(E$2,Inputs!$K$4:$AJ$4,0)))))</f>
        <v>2114</v>
      </c>
      <c r="F17" s="6">
        <f>IF(ISNA(MATCH(F$2,Inputs!$K$4:$AJ$4,0)),NA(),IF(SUMPRODUCT((Inputs!$A$5:$A$140=$B17)*ISNUMBER(INDEX(Inputs!$K$5:$AJ$140,0,MATCH(F$2,Inputs!$K$4:$AJ$4,0))))+SUMPRODUCT((Inputs!$C$5:$C$140=$B17)*ISNUMBER(INDEX(Inputs!$K$5:$AJ$140,0,MATCH(F$2,Inputs!$K$4:$AJ$4,0))))+SUMPRODUCT((Inputs!$E$5:$E$140=$B17)*ISNUMBER(INDEX(Inputs!$K$5:$AJ$140,0,MATCH(F$2,Inputs!$K$4:$AJ$4,0))))=0,NA(),SUMPRODUCT((Inputs!$A$5:$A$140=$B17)*Inputs!$B$5:$B$140*(((Inputs!$G$5:$G$140="moeda")+(Inputs!$G$5:$G$140="acoes"))*Inputs!$B$1+((Inputs!$G$5:$G$140&lt;&gt;"moeda")*(Inputs!$G$5:$G$140&lt;&gt;"acoes")))*INDEX(Inputs!$K$5:$AJ$140,0,MATCH(F$2,Inputs!$K$4:$AJ$4,0)))+SUMPRODUCT((Inputs!$C$5:$C$140=$B17)*Inputs!$D$5:$D$140*(((Inputs!$G$5:$G$140="moeda")+(Inputs!$G$5:$G$140="acoes"))*Inputs!$B$1+((Inputs!$G$5:$G$140&lt;&gt;"moeda")*(Inputs!$G$5:$G$140&lt;&gt;"acoes")))*INDEX(Inputs!$K$5:$AJ$140,0,MATCH(F$2,Inputs!$K$4:$AJ$4,0)))+SUMPRODUCT((Inputs!$E$5:$E$140=$B17)*Inputs!$F$5:$F$140*(((Inputs!$G$5:$G$140="moeda")+(Inputs!$G$5:$G$140="acoes"))*Inputs!$B$1+((Inputs!$G$5:$G$140&lt;&gt;"moeda")*(Inputs!$G$5:$G$140&lt;&gt;"acoes")))*INDEX(Inputs!$K$5:$AJ$140,0,MATCH(F$2,Inputs!$K$4:$AJ$4,0)))))</f>
        <v>2233</v>
      </c>
      <c r="G17" s="6">
        <f>IF(ISNA(MATCH(G$2,Inputs!$K$4:$AJ$4,0)),NA(),IF(SUMPRODUCT((Inputs!$A$5:$A$140=$B17)*ISNUMBER(INDEX(Inputs!$K$5:$AJ$140,0,MATCH(G$2,Inputs!$K$4:$AJ$4,0))))+SUMPRODUCT((Inputs!$C$5:$C$140=$B17)*ISNUMBER(INDEX(Inputs!$K$5:$AJ$140,0,MATCH(G$2,Inputs!$K$4:$AJ$4,0))))+SUMPRODUCT((Inputs!$E$5:$E$140=$B17)*ISNUMBER(INDEX(Inputs!$K$5:$AJ$140,0,MATCH(G$2,Inputs!$K$4:$AJ$4,0))))=0,NA(),SUMPRODUCT((Inputs!$A$5:$A$140=$B17)*Inputs!$B$5:$B$140*(((Inputs!$G$5:$G$140="moeda")+(Inputs!$G$5:$G$140="acoes"))*Inputs!$B$1+((Inputs!$G$5:$G$140&lt;&gt;"moeda")*(Inputs!$G$5:$G$140&lt;&gt;"acoes")))*INDEX(Inputs!$K$5:$AJ$140,0,MATCH(G$2,Inputs!$K$4:$AJ$4,0)))+SUMPRODUCT((Inputs!$C$5:$C$140=$B17)*Inputs!$D$5:$D$140*(((Inputs!$G$5:$G$140="moeda")+(Inputs!$G$5:$G$140="acoes"))*Inputs!$B$1+((Inputs!$G$5:$G$140&lt;&gt;"moeda")*(Inputs!$G$5:$G$140&lt;&gt;"acoes")))*INDEX(Inputs!$K$5:$AJ$140,0,MATCH(G$2,Inputs!$K$4:$AJ$4,0)))+SUMPRODUCT((Inputs!$E$5:$E$140=$B17)*Inputs!$F$5:$F$140*(((Inputs!$G$5:$G$140="moeda")+(Inputs!$G$5:$G$140="acoes"))*Inputs!$B$1+((Inputs!$G$5:$G$140&lt;&gt;"moeda")*(Inputs!$G$5:$G$140&lt;&gt;"acoes")))*INDEX(Inputs!$K$5:$AJ$140,0,MATCH(G$2,Inputs!$K$4:$AJ$4,0)))))</f>
        <v>2605</v>
      </c>
      <c r="H17" s="3">
        <f>G17</f>
        <v>2605</v>
      </c>
      <c r="I17" s="6">
        <f>IF(ISNA(MATCH(I$2,Inputs!$K$4:$AJ$4,0)),NA(),IF(SUMPRODUCT((Inputs!$A$5:$A$140=$B17)*ISNUMBER(INDEX(Inputs!$K$5:$AJ$140,0,MATCH(I$2,Inputs!$K$4:$AJ$4,0))))+SUMPRODUCT((Inputs!$C$5:$C$140=$B17)*ISNUMBER(INDEX(Inputs!$K$5:$AJ$140,0,MATCH(I$2,Inputs!$K$4:$AJ$4,0))))+SUMPRODUCT((Inputs!$E$5:$E$140=$B17)*ISNUMBER(INDEX(Inputs!$K$5:$AJ$140,0,MATCH(I$2,Inputs!$K$4:$AJ$4,0))))=0,NA(),SUMPRODUCT((Inputs!$A$5:$A$140=$B17)*Inputs!$B$5:$B$140*(((Inputs!$G$5:$G$140="moeda")+(Inputs!$G$5:$G$140="acoes"))*Inputs!$B$1+((Inputs!$G$5:$G$140&lt;&gt;"moeda")*(Inputs!$G$5:$G$140&lt;&gt;"acoes")))*INDEX(Inputs!$K$5:$AJ$140,0,MATCH(I$2,Inputs!$K$4:$AJ$4,0)))+SUMPRODUCT((Inputs!$C$5:$C$140=$B17)*Inputs!$D$5:$D$140*(((Inputs!$G$5:$G$140="moeda")+(Inputs!$G$5:$G$140="acoes"))*Inputs!$B$1+((Inputs!$G$5:$G$140&lt;&gt;"moeda")*(Inputs!$G$5:$G$140&lt;&gt;"acoes")))*INDEX(Inputs!$K$5:$AJ$140,0,MATCH(I$2,Inputs!$K$4:$AJ$4,0)))+SUMPRODUCT((Inputs!$E$5:$E$140=$B17)*Inputs!$F$5:$F$140*(((Inputs!$G$5:$G$140="moeda")+(Inputs!$G$5:$G$140="acoes"))*Inputs!$B$1+((Inputs!$G$5:$G$140&lt;&gt;"moeda")*(Inputs!$G$5:$G$140&lt;&gt;"acoes")))*INDEX(Inputs!$K$5:$AJ$140,0,MATCH(I$2,Inputs!$K$4:$AJ$4,0)))))</f>
        <v>3163</v>
      </c>
      <c r="J17" s="6">
        <f>IF(ISNA(MATCH(J$2,Inputs!$K$4:$AJ$4,0)),NA(),IF(SUMPRODUCT((Inputs!$A$5:$A$140=$B17)*ISNUMBER(INDEX(Inputs!$K$5:$AJ$140,0,MATCH(J$2,Inputs!$K$4:$AJ$4,0))))+SUMPRODUCT((Inputs!$C$5:$C$140=$B17)*ISNUMBER(INDEX(Inputs!$K$5:$AJ$140,0,MATCH(J$2,Inputs!$K$4:$AJ$4,0))))+SUMPRODUCT((Inputs!$E$5:$E$140=$B17)*ISNUMBER(INDEX(Inputs!$K$5:$AJ$140,0,MATCH(J$2,Inputs!$K$4:$AJ$4,0))))=0,NA(),SUMPRODUCT((Inputs!$A$5:$A$140=$B17)*Inputs!$B$5:$B$140*(((Inputs!$G$5:$G$140="moeda")+(Inputs!$G$5:$G$140="acoes"))*Inputs!$B$1+((Inputs!$G$5:$G$140&lt;&gt;"moeda")*(Inputs!$G$5:$G$140&lt;&gt;"acoes")))*INDEX(Inputs!$K$5:$AJ$140,0,MATCH(J$2,Inputs!$K$4:$AJ$4,0)))+SUMPRODUCT((Inputs!$C$5:$C$140=$B17)*Inputs!$D$5:$D$140*(((Inputs!$G$5:$G$140="moeda")+(Inputs!$G$5:$G$140="acoes"))*Inputs!$B$1+((Inputs!$G$5:$G$140&lt;&gt;"moeda")*(Inputs!$G$5:$G$140&lt;&gt;"acoes")))*INDEX(Inputs!$K$5:$AJ$140,0,MATCH(J$2,Inputs!$K$4:$AJ$4,0)))+SUMPRODUCT((Inputs!$E$5:$E$140=$B17)*Inputs!$F$5:$F$140*(((Inputs!$G$5:$G$140="moeda")+(Inputs!$G$5:$G$140="acoes"))*Inputs!$B$1+((Inputs!$G$5:$G$140&lt;&gt;"moeda")*(Inputs!$G$5:$G$140&lt;&gt;"acoes")))*INDEX(Inputs!$K$5:$AJ$140,0,MATCH(J$2,Inputs!$K$4:$AJ$4,0)))))</f>
        <v>3889</v>
      </c>
      <c r="K17" s="6">
        <f>IF(ISNA(MATCH(K$2,Inputs!$K$4:$AJ$4,0)),NA(),IF(SUMPRODUCT((Inputs!$A$5:$A$140=$B17)*ISNUMBER(INDEX(Inputs!$K$5:$AJ$140,0,MATCH(K$2,Inputs!$K$4:$AJ$4,0))))+SUMPRODUCT((Inputs!$C$5:$C$140=$B17)*ISNUMBER(INDEX(Inputs!$K$5:$AJ$140,0,MATCH(K$2,Inputs!$K$4:$AJ$4,0))))+SUMPRODUCT((Inputs!$E$5:$E$140=$B17)*ISNUMBER(INDEX(Inputs!$K$5:$AJ$140,0,MATCH(K$2,Inputs!$K$4:$AJ$4,0))))=0,NA(),SUMPRODUCT((Inputs!$A$5:$A$140=$B17)*Inputs!$B$5:$B$140*(((Inputs!$G$5:$G$140="moeda")+(Inputs!$G$5:$G$140="acoes"))*Inputs!$B$1+((Inputs!$G$5:$G$140&lt;&gt;"moeda")*(Inputs!$G$5:$G$140&lt;&gt;"acoes")))*INDEX(Inputs!$K$5:$AJ$140,0,MATCH(K$2,Inputs!$K$4:$AJ$4,0)))+SUMPRODUCT((Inputs!$C$5:$C$140=$B17)*Inputs!$D$5:$D$140*(((Inputs!$G$5:$G$140="moeda")+(Inputs!$G$5:$G$140="acoes"))*Inputs!$B$1+((Inputs!$G$5:$G$140&lt;&gt;"moeda")*(Inputs!$G$5:$G$140&lt;&gt;"acoes")))*INDEX(Inputs!$K$5:$AJ$140,0,MATCH(K$2,Inputs!$K$4:$AJ$4,0)))+SUMPRODUCT((Inputs!$E$5:$E$140=$B17)*Inputs!$F$5:$F$140*(((Inputs!$G$5:$G$140="moeda")+(Inputs!$G$5:$G$140="acoes"))*Inputs!$B$1+((Inputs!$G$5:$G$140&lt;&gt;"moeda")*(Inputs!$G$5:$G$140&lt;&gt;"acoes")))*INDEX(Inputs!$K$5:$AJ$140,0,MATCH(K$2,Inputs!$K$4:$AJ$4,0)))))</f>
        <v>4454</v>
      </c>
      <c r="L17" s="6">
        <f>IF(ISNA(MATCH(L$2,Inputs!$K$4:$AJ$4,0)),NA(),IF(SUMPRODUCT((Inputs!$A$5:$A$140=$B17)*ISNUMBER(INDEX(Inputs!$K$5:$AJ$140,0,MATCH(L$2,Inputs!$K$4:$AJ$4,0))))+SUMPRODUCT((Inputs!$C$5:$C$140=$B17)*ISNUMBER(INDEX(Inputs!$K$5:$AJ$140,0,MATCH(L$2,Inputs!$K$4:$AJ$4,0))))+SUMPRODUCT((Inputs!$E$5:$E$140=$B17)*ISNUMBER(INDEX(Inputs!$K$5:$AJ$140,0,MATCH(L$2,Inputs!$K$4:$AJ$4,0))))=0,NA(),SUMPRODUCT((Inputs!$A$5:$A$140=$B17)*Inputs!$B$5:$B$140*(((Inputs!$G$5:$G$140="moeda")+(Inputs!$G$5:$G$140="acoes"))*Inputs!$B$1+((Inputs!$G$5:$G$140&lt;&gt;"moeda")*(Inputs!$G$5:$G$140&lt;&gt;"acoes")))*INDEX(Inputs!$K$5:$AJ$140,0,MATCH(L$2,Inputs!$K$4:$AJ$4,0)))+SUMPRODUCT((Inputs!$C$5:$C$140=$B17)*Inputs!$D$5:$D$140*(((Inputs!$G$5:$G$140="moeda")+(Inputs!$G$5:$G$140="acoes"))*Inputs!$B$1+((Inputs!$G$5:$G$140&lt;&gt;"moeda")*(Inputs!$G$5:$G$140&lt;&gt;"acoes")))*INDEX(Inputs!$K$5:$AJ$140,0,MATCH(L$2,Inputs!$K$4:$AJ$4,0)))+SUMPRODUCT((Inputs!$E$5:$E$140=$B17)*Inputs!$F$5:$F$140*(((Inputs!$G$5:$G$140="moeda")+(Inputs!$G$5:$G$140="acoes"))*Inputs!$B$1+((Inputs!$G$5:$G$140&lt;&gt;"moeda")*(Inputs!$G$5:$G$140&lt;&gt;"acoes")))*INDEX(Inputs!$K$5:$AJ$140,0,MATCH(L$2,Inputs!$K$4:$AJ$4,0)))))</f>
        <v>5159</v>
      </c>
      <c r="M17" s="3">
        <f>L17</f>
        <v>5159</v>
      </c>
      <c r="N17" s="6">
        <f>IF(ISNA(MATCH(N$2,Inputs!$K$4:$AJ$4,0)),NA(),IF(SUMPRODUCT((Inputs!$A$5:$A$140=$B17)*ISNUMBER(INDEX(Inputs!$K$5:$AJ$140,0,MATCH(N$2,Inputs!$K$4:$AJ$4,0))))+SUMPRODUCT((Inputs!$C$5:$C$140=$B17)*ISNUMBER(INDEX(Inputs!$K$5:$AJ$140,0,MATCH(N$2,Inputs!$K$4:$AJ$4,0))))+SUMPRODUCT((Inputs!$E$5:$E$140=$B17)*ISNUMBER(INDEX(Inputs!$K$5:$AJ$140,0,MATCH(N$2,Inputs!$K$4:$AJ$4,0))))=0,NA(),SUMPRODUCT((Inputs!$A$5:$A$140=$B17)*Inputs!$B$5:$B$140*(((Inputs!$G$5:$G$140="moeda")+(Inputs!$G$5:$G$140="acoes"))*Inputs!$B$1+((Inputs!$G$5:$G$140&lt;&gt;"moeda")*(Inputs!$G$5:$G$140&lt;&gt;"acoes")))*INDEX(Inputs!$K$5:$AJ$140,0,MATCH(N$2,Inputs!$K$4:$AJ$4,0)))+SUMPRODUCT((Inputs!$C$5:$C$140=$B17)*Inputs!$D$5:$D$140*(((Inputs!$G$5:$G$140="moeda")+(Inputs!$G$5:$G$140="acoes"))*Inputs!$B$1+((Inputs!$G$5:$G$140&lt;&gt;"moeda")*(Inputs!$G$5:$G$140&lt;&gt;"acoes")))*INDEX(Inputs!$K$5:$AJ$140,0,MATCH(N$2,Inputs!$K$4:$AJ$4,0)))+SUMPRODUCT((Inputs!$E$5:$E$140=$B17)*Inputs!$F$5:$F$140*(((Inputs!$G$5:$G$140="moeda")+(Inputs!$G$5:$G$140="acoes"))*Inputs!$B$1+((Inputs!$G$5:$G$140&lt;&gt;"moeda")*(Inputs!$G$5:$G$140&lt;&gt;"acoes")))*INDEX(Inputs!$K$5:$AJ$140,0,MATCH(N$2,Inputs!$K$4:$AJ$4,0)))))</f>
        <v>4611</v>
      </c>
      <c r="O17" s="6">
        <f>IF(ISNA(MATCH(O$2,Inputs!$K$4:$AJ$4,0)),NA(),IF(SUMPRODUCT((Inputs!$A$5:$A$140=$B17)*ISNUMBER(INDEX(Inputs!$K$5:$AJ$140,0,MATCH(O$2,Inputs!$K$4:$AJ$4,0))))+SUMPRODUCT((Inputs!$C$5:$C$140=$B17)*ISNUMBER(INDEX(Inputs!$K$5:$AJ$140,0,MATCH(O$2,Inputs!$K$4:$AJ$4,0))))+SUMPRODUCT((Inputs!$E$5:$E$140=$B17)*ISNUMBER(INDEX(Inputs!$K$5:$AJ$140,0,MATCH(O$2,Inputs!$K$4:$AJ$4,0))))=0,NA(),SUMPRODUCT((Inputs!$A$5:$A$140=$B17)*Inputs!$B$5:$B$140*(((Inputs!$G$5:$G$140="moeda")+(Inputs!$G$5:$G$140="acoes"))*Inputs!$B$1+((Inputs!$G$5:$G$140&lt;&gt;"moeda")*(Inputs!$G$5:$G$140&lt;&gt;"acoes")))*INDEX(Inputs!$K$5:$AJ$140,0,MATCH(O$2,Inputs!$K$4:$AJ$4,0)))+SUMPRODUCT((Inputs!$C$5:$C$140=$B17)*Inputs!$D$5:$D$140*(((Inputs!$G$5:$G$140="moeda")+(Inputs!$G$5:$G$140="acoes"))*Inputs!$B$1+((Inputs!$G$5:$G$140&lt;&gt;"moeda")*(Inputs!$G$5:$G$140&lt;&gt;"acoes")))*INDEX(Inputs!$K$5:$AJ$140,0,MATCH(O$2,Inputs!$K$4:$AJ$4,0)))+SUMPRODUCT((Inputs!$E$5:$E$140=$B17)*Inputs!$F$5:$F$140*(((Inputs!$G$5:$G$140="moeda")+(Inputs!$G$5:$G$140="acoes"))*Inputs!$B$1+((Inputs!$G$5:$G$140&lt;&gt;"moeda")*(Inputs!$G$5:$G$140&lt;&gt;"acoes")))*INDEX(Inputs!$K$5:$AJ$140,0,MATCH(O$2,Inputs!$K$4:$AJ$4,0)))))</f>
        <v>4319</v>
      </c>
      <c r="P17" s="6">
        <f>IF(ISNA(MATCH(P$2,Inputs!$K$4:$AJ$4,0)),NA(),IF(SUMPRODUCT((Inputs!$A$5:$A$140=$B17)*ISNUMBER(INDEX(Inputs!$K$5:$AJ$140,0,MATCH(P$2,Inputs!$K$4:$AJ$4,0))))+SUMPRODUCT((Inputs!$C$5:$C$140=$B17)*ISNUMBER(INDEX(Inputs!$K$5:$AJ$140,0,MATCH(P$2,Inputs!$K$4:$AJ$4,0))))+SUMPRODUCT((Inputs!$E$5:$E$140=$B17)*ISNUMBER(INDEX(Inputs!$K$5:$AJ$140,0,MATCH(P$2,Inputs!$K$4:$AJ$4,0))))=0,NA(),SUMPRODUCT((Inputs!$A$5:$A$140=$B17)*Inputs!$B$5:$B$140*(((Inputs!$G$5:$G$140="moeda")+(Inputs!$G$5:$G$140="acoes"))*Inputs!$B$1+((Inputs!$G$5:$G$140&lt;&gt;"moeda")*(Inputs!$G$5:$G$140&lt;&gt;"acoes")))*INDEX(Inputs!$K$5:$AJ$140,0,MATCH(P$2,Inputs!$K$4:$AJ$4,0)))+SUMPRODUCT((Inputs!$C$5:$C$140=$B17)*Inputs!$D$5:$D$140*(((Inputs!$G$5:$G$140="moeda")+(Inputs!$G$5:$G$140="acoes"))*Inputs!$B$1+((Inputs!$G$5:$G$140&lt;&gt;"moeda")*(Inputs!$G$5:$G$140&lt;&gt;"acoes")))*INDEX(Inputs!$K$5:$AJ$140,0,MATCH(P$2,Inputs!$K$4:$AJ$4,0)))+SUMPRODUCT((Inputs!$E$5:$E$140=$B17)*Inputs!$F$5:$F$140*(((Inputs!$G$5:$G$140="moeda")+(Inputs!$G$5:$G$140="acoes"))*Inputs!$B$1+((Inputs!$G$5:$G$140&lt;&gt;"moeda")*(Inputs!$G$5:$G$140&lt;&gt;"acoes")))*INDEX(Inputs!$K$5:$AJ$140,0,MATCH(P$2,Inputs!$K$4:$AJ$4,0)))))</f>
        <v>4779</v>
      </c>
      <c r="Q17" s="6">
        <f>IF(ISNA(MATCH(Q$2,Inputs!$K$4:$AJ$4,0)),NA(),IF(SUMPRODUCT((Inputs!$A$5:$A$140=$B17)*ISNUMBER(INDEX(Inputs!$K$5:$AJ$140,0,MATCH(Q$2,Inputs!$K$4:$AJ$4,0))))+SUMPRODUCT((Inputs!$C$5:$C$140=$B17)*ISNUMBER(INDEX(Inputs!$K$5:$AJ$140,0,MATCH(Q$2,Inputs!$K$4:$AJ$4,0))))+SUMPRODUCT((Inputs!$E$5:$E$140=$B17)*ISNUMBER(INDEX(Inputs!$K$5:$AJ$140,0,MATCH(Q$2,Inputs!$K$4:$AJ$4,0))))=0,NA(),SUMPRODUCT((Inputs!$A$5:$A$140=$B17)*Inputs!$B$5:$B$140*(((Inputs!$G$5:$G$140="moeda")+(Inputs!$G$5:$G$140="acoes"))*Inputs!$B$1+((Inputs!$G$5:$G$140&lt;&gt;"moeda")*(Inputs!$G$5:$G$140&lt;&gt;"acoes")))*INDEX(Inputs!$K$5:$AJ$140,0,MATCH(Q$2,Inputs!$K$4:$AJ$4,0)))+SUMPRODUCT((Inputs!$C$5:$C$140=$B17)*Inputs!$D$5:$D$140*(((Inputs!$G$5:$G$140="moeda")+(Inputs!$G$5:$G$140="acoes"))*Inputs!$B$1+((Inputs!$G$5:$G$140&lt;&gt;"moeda")*(Inputs!$G$5:$G$140&lt;&gt;"acoes")))*INDEX(Inputs!$K$5:$AJ$140,0,MATCH(Q$2,Inputs!$K$4:$AJ$4,0)))+SUMPRODUCT((Inputs!$E$5:$E$140=$B17)*Inputs!$F$5:$F$140*(((Inputs!$G$5:$G$140="moeda")+(Inputs!$G$5:$G$140="acoes"))*Inputs!$B$1+((Inputs!$G$5:$G$140&lt;&gt;"moeda")*(Inputs!$G$5:$G$140&lt;&gt;"acoes")))*INDEX(Inputs!$K$5:$AJ$140,0,MATCH(Q$2,Inputs!$K$4:$AJ$4,0)))))</f>
        <v>5282</v>
      </c>
      <c r="R17" s="3">
        <f>Q17</f>
        <v>5282</v>
      </c>
      <c r="S17" s="6">
        <f>IF(ISNA(MATCH(S$2,Inputs!$K$4:$AJ$4,0)),NA(),IF(SUMPRODUCT((Inputs!$A$5:$A$140=$B17)*ISNUMBER(INDEX(Inputs!$K$5:$AJ$140,0,MATCH(S$2,Inputs!$K$4:$AJ$4,0))))+SUMPRODUCT((Inputs!$C$5:$C$140=$B17)*ISNUMBER(INDEX(Inputs!$K$5:$AJ$140,0,MATCH(S$2,Inputs!$K$4:$AJ$4,0))))+SUMPRODUCT((Inputs!$E$5:$E$140=$B17)*ISNUMBER(INDEX(Inputs!$K$5:$AJ$140,0,MATCH(S$2,Inputs!$K$4:$AJ$4,0))))=0,NA(),SUMPRODUCT((Inputs!$A$5:$A$140=$B17)*Inputs!$B$5:$B$140*(((Inputs!$G$5:$G$140="moeda")+(Inputs!$G$5:$G$140="acoes"))*Inputs!$B$1+((Inputs!$G$5:$G$140&lt;&gt;"moeda")*(Inputs!$G$5:$G$140&lt;&gt;"acoes")))*INDEX(Inputs!$K$5:$AJ$140,0,MATCH(S$2,Inputs!$K$4:$AJ$4,0)))+SUMPRODUCT((Inputs!$C$5:$C$140=$B17)*Inputs!$D$5:$D$140*(((Inputs!$G$5:$G$140="moeda")+(Inputs!$G$5:$G$140="acoes"))*Inputs!$B$1+((Inputs!$G$5:$G$140&lt;&gt;"moeda")*(Inputs!$G$5:$G$140&lt;&gt;"acoes")))*INDEX(Inputs!$K$5:$AJ$140,0,MATCH(S$2,Inputs!$K$4:$AJ$4,0)))+SUMPRODUCT((Inputs!$E$5:$E$140=$B17)*Inputs!$F$5:$F$140*(((Inputs!$G$5:$G$140="moeda")+(Inputs!$G$5:$G$140="acoes"))*Inputs!$B$1+((Inputs!$G$5:$G$140&lt;&gt;"moeda")*(Inputs!$G$5:$G$140&lt;&gt;"acoes")))*INDEX(Inputs!$K$5:$AJ$140,0,MATCH(S$2,Inputs!$K$4:$AJ$4,0)))))</f>
        <v>5864</v>
      </c>
      <c r="T17" s="6">
        <f>IF(ISNA(MATCH(T$2,Inputs!$K$4:$AJ$4,0)),NA(),IF(SUMPRODUCT((Inputs!$A$5:$A$140=$B17)*ISNUMBER(INDEX(Inputs!$K$5:$AJ$140,0,MATCH(T$2,Inputs!$K$4:$AJ$4,0))))+SUMPRODUCT((Inputs!$C$5:$C$140=$B17)*ISNUMBER(INDEX(Inputs!$K$5:$AJ$140,0,MATCH(T$2,Inputs!$K$4:$AJ$4,0))))+SUMPRODUCT((Inputs!$E$5:$E$140=$B17)*ISNUMBER(INDEX(Inputs!$K$5:$AJ$140,0,MATCH(T$2,Inputs!$K$4:$AJ$4,0))))=0,NA(),SUMPRODUCT((Inputs!$A$5:$A$140=$B17)*Inputs!$B$5:$B$140*(((Inputs!$G$5:$G$140="moeda")+(Inputs!$G$5:$G$140="acoes"))*Inputs!$B$1+((Inputs!$G$5:$G$140&lt;&gt;"moeda")*(Inputs!$G$5:$G$140&lt;&gt;"acoes")))*INDEX(Inputs!$K$5:$AJ$140,0,MATCH(T$2,Inputs!$K$4:$AJ$4,0)))+SUMPRODUCT((Inputs!$C$5:$C$140=$B17)*Inputs!$D$5:$D$140*(((Inputs!$G$5:$G$140="moeda")+(Inputs!$G$5:$G$140="acoes"))*Inputs!$B$1+((Inputs!$G$5:$G$140&lt;&gt;"moeda")*(Inputs!$G$5:$G$140&lt;&gt;"acoes")))*INDEX(Inputs!$K$5:$AJ$140,0,MATCH(T$2,Inputs!$K$4:$AJ$4,0)))+SUMPRODUCT((Inputs!$E$5:$E$140=$B17)*Inputs!$F$5:$F$140*(((Inputs!$G$5:$G$140="moeda")+(Inputs!$G$5:$G$140="acoes"))*Inputs!$B$1+((Inputs!$G$5:$G$140&lt;&gt;"moeda")*(Inputs!$G$5:$G$140&lt;&gt;"acoes")))*INDEX(Inputs!$K$5:$AJ$140,0,MATCH(T$2,Inputs!$K$4:$AJ$4,0)))))</f>
        <v>6675</v>
      </c>
      <c r="U17" s="6">
        <f>IF(ISNA(MATCH(U$2,Inputs!$K$4:$AJ$4,0)),NA(),IF(SUMPRODUCT((Inputs!$A$5:$A$140=$B17)*ISNUMBER(INDEX(Inputs!$K$5:$AJ$140,0,MATCH(U$2,Inputs!$K$4:$AJ$4,0))))+SUMPRODUCT((Inputs!$C$5:$C$140=$B17)*ISNUMBER(INDEX(Inputs!$K$5:$AJ$140,0,MATCH(U$2,Inputs!$K$4:$AJ$4,0))))+SUMPRODUCT((Inputs!$E$5:$E$140=$B17)*ISNUMBER(INDEX(Inputs!$K$5:$AJ$140,0,MATCH(U$2,Inputs!$K$4:$AJ$4,0))))=0,NA(),SUMPRODUCT((Inputs!$A$5:$A$140=$B17)*Inputs!$B$5:$B$140*(((Inputs!$G$5:$G$140="moeda")+(Inputs!$G$5:$G$140="acoes"))*Inputs!$B$1+((Inputs!$G$5:$G$140&lt;&gt;"moeda")*(Inputs!$G$5:$G$140&lt;&gt;"acoes")))*INDEX(Inputs!$K$5:$AJ$140,0,MATCH(U$2,Inputs!$K$4:$AJ$4,0)))+SUMPRODUCT((Inputs!$C$5:$C$140=$B17)*Inputs!$D$5:$D$140*(((Inputs!$G$5:$G$140="moeda")+(Inputs!$G$5:$G$140="acoes"))*Inputs!$B$1+((Inputs!$G$5:$G$140&lt;&gt;"moeda")*(Inputs!$G$5:$G$140&lt;&gt;"acoes")))*INDEX(Inputs!$K$5:$AJ$140,0,MATCH(U$2,Inputs!$K$4:$AJ$4,0)))+SUMPRODUCT((Inputs!$E$5:$E$140=$B17)*Inputs!$F$5:$F$140*(((Inputs!$G$5:$G$140="moeda")+(Inputs!$G$5:$G$140="acoes"))*Inputs!$B$1+((Inputs!$G$5:$G$140&lt;&gt;"moeda")*(Inputs!$G$5:$G$140&lt;&gt;"acoes")))*INDEX(Inputs!$K$5:$AJ$140,0,MATCH(U$2,Inputs!$K$4:$AJ$4,0)))))</f>
        <v>7654</v>
      </c>
      <c r="V17" s="6">
        <f>IF(ISNA(MATCH(V$2,Inputs!$K$4:$AJ$4,0)),NA(),IF(SUMPRODUCT((Inputs!$A$5:$A$140=$B17)*ISNUMBER(INDEX(Inputs!$K$5:$AJ$140,0,MATCH(V$2,Inputs!$K$4:$AJ$4,0))))+SUMPRODUCT((Inputs!$C$5:$C$140=$B17)*ISNUMBER(INDEX(Inputs!$K$5:$AJ$140,0,MATCH(V$2,Inputs!$K$4:$AJ$4,0))))+SUMPRODUCT((Inputs!$E$5:$E$140=$B17)*ISNUMBER(INDEX(Inputs!$K$5:$AJ$140,0,MATCH(V$2,Inputs!$K$4:$AJ$4,0))))=0,NA(),SUMPRODUCT((Inputs!$A$5:$A$140=$B17)*Inputs!$B$5:$B$140*(((Inputs!$G$5:$G$140="moeda")+(Inputs!$G$5:$G$140="acoes"))*Inputs!$B$1+((Inputs!$G$5:$G$140&lt;&gt;"moeda")*(Inputs!$G$5:$G$140&lt;&gt;"acoes")))*INDEX(Inputs!$K$5:$AJ$140,0,MATCH(V$2,Inputs!$K$4:$AJ$4,0)))+SUMPRODUCT((Inputs!$C$5:$C$140=$B17)*Inputs!$D$5:$D$140*(((Inputs!$G$5:$G$140="moeda")+(Inputs!$G$5:$G$140="acoes"))*Inputs!$B$1+((Inputs!$G$5:$G$140&lt;&gt;"moeda")*(Inputs!$G$5:$G$140&lt;&gt;"acoes")))*INDEX(Inputs!$K$5:$AJ$140,0,MATCH(V$2,Inputs!$K$4:$AJ$4,0)))+SUMPRODUCT((Inputs!$E$5:$E$140=$B17)*Inputs!$F$5:$F$140*(((Inputs!$G$5:$G$140="moeda")+(Inputs!$G$5:$G$140="acoes"))*Inputs!$B$1+((Inputs!$G$5:$G$140&lt;&gt;"moeda")*(Inputs!$G$5:$G$140&lt;&gt;"acoes")))*INDEX(Inputs!$K$5:$AJ$140,0,MATCH(V$2,Inputs!$K$4:$AJ$4,0)))))</f>
        <v>10080</v>
      </c>
      <c r="W17" s="3">
        <f>V17</f>
        <v>10080</v>
      </c>
      <c r="X17" s="6">
        <f>IF(ISNA(MATCH(X$2,Inputs!$K$4:$AJ$4,0)),NA(),IF(SUMPRODUCT((Inputs!$A$5:$A$140=$B17)*ISNUMBER(INDEX(Inputs!$K$5:$AJ$140,0,MATCH(X$2,Inputs!$K$4:$AJ$4,0))))+SUMPRODUCT((Inputs!$C$5:$C$140=$B17)*ISNUMBER(INDEX(Inputs!$K$5:$AJ$140,0,MATCH(X$2,Inputs!$K$4:$AJ$4,0))))+SUMPRODUCT((Inputs!$E$5:$E$140=$B17)*ISNUMBER(INDEX(Inputs!$K$5:$AJ$140,0,MATCH(X$2,Inputs!$K$4:$AJ$4,0))))=0,NA(),SUMPRODUCT((Inputs!$A$5:$A$140=$B17)*Inputs!$B$5:$B$140*(((Inputs!$G$5:$G$140="moeda")+(Inputs!$G$5:$G$140="acoes"))*Inputs!$B$1+((Inputs!$G$5:$G$140&lt;&gt;"moeda")*(Inputs!$G$5:$G$140&lt;&gt;"acoes")))*INDEX(Inputs!$K$5:$AJ$140,0,MATCH(X$2,Inputs!$K$4:$AJ$4,0)))+SUMPRODUCT((Inputs!$C$5:$C$140=$B17)*Inputs!$D$5:$D$140*(((Inputs!$G$5:$G$140="moeda")+(Inputs!$G$5:$G$140="acoes"))*Inputs!$B$1+((Inputs!$G$5:$G$140&lt;&gt;"moeda")*(Inputs!$G$5:$G$140&lt;&gt;"acoes")))*INDEX(Inputs!$K$5:$AJ$140,0,MATCH(X$2,Inputs!$K$4:$AJ$4,0)))+SUMPRODUCT((Inputs!$E$5:$E$140=$B17)*Inputs!$F$5:$F$140*(((Inputs!$G$5:$G$140="moeda")+(Inputs!$G$5:$G$140="acoes"))*Inputs!$B$1+((Inputs!$G$5:$G$140&lt;&gt;"moeda")*(Inputs!$G$5:$G$140&lt;&gt;"acoes")))*INDEX(Inputs!$K$5:$AJ$140,0,MATCH(X$2,Inputs!$K$4:$AJ$4,0)))))</f>
        <v>11333</v>
      </c>
      <c r="Y17" s="6">
        <f>IF(ISNA(MATCH(Y$2,Inputs!$K$4:$AJ$4,0)),NA(),IF(SUMPRODUCT((Inputs!$A$5:$A$140=$B17)*ISNUMBER(INDEX(Inputs!$K$5:$AJ$140,0,MATCH(Y$2,Inputs!$K$4:$AJ$4,0))))+SUMPRODUCT((Inputs!$C$5:$C$140=$B17)*ISNUMBER(INDEX(Inputs!$K$5:$AJ$140,0,MATCH(Y$2,Inputs!$K$4:$AJ$4,0))))+SUMPRODUCT((Inputs!$E$5:$E$140=$B17)*ISNUMBER(INDEX(Inputs!$K$5:$AJ$140,0,MATCH(Y$2,Inputs!$K$4:$AJ$4,0))))=0,NA(),SUMPRODUCT((Inputs!$A$5:$A$140=$B17)*Inputs!$B$5:$B$140*(((Inputs!$G$5:$G$140="moeda")+(Inputs!$G$5:$G$140="acoes"))*Inputs!$B$1+((Inputs!$G$5:$G$140&lt;&gt;"moeda")*(Inputs!$G$5:$G$140&lt;&gt;"acoes")))*INDEX(Inputs!$K$5:$AJ$140,0,MATCH(Y$2,Inputs!$K$4:$AJ$4,0)))+SUMPRODUCT((Inputs!$C$5:$C$140=$B17)*Inputs!$D$5:$D$140*(((Inputs!$G$5:$G$140="moeda")+(Inputs!$G$5:$G$140="acoes"))*Inputs!$B$1+((Inputs!$G$5:$G$140&lt;&gt;"moeda")*(Inputs!$G$5:$G$140&lt;&gt;"acoes")))*INDEX(Inputs!$K$5:$AJ$140,0,MATCH(Y$2,Inputs!$K$4:$AJ$4,0)))+SUMPRODUCT((Inputs!$E$5:$E$140=$B17)*Inputs!$F$5:$F$140*(((Inputs!$G$5:$G$140="moeda")+(Inputs!$G$5:$G$140="acoes"))*Inputs!$B$1+((Inputs!$G$5:$G$140&lt;&gt;"moeda")*(Inputs!$G$5:$G$140&lt;&gt;"acoes")))*INDEX(Inputs!$K$5:$AJ$140,0,MATCH(Y$2,Inputs!$K$4:$AJ$4,0)))))</f>
        <v>14962</v>
      </c>
      <c r="Z17" s="6">
        <f>IF(ISNA(MATCH(Z$2,Inputs!$K$4:$AJ$4,0)),NA(),IF(SUMPRODUCT((Inputs!$A$5:$A$140=$B17)*ISNUMBER(INDEX(Inputs!$K$5:$AJ$140,0,MATCH(Z$2,Inputs!$K$4:$AJ$4,0))))+SUMPRODUCT((Inputs!$C$5:$C$140=$B17)*ISNUMBER(INDEX(Inputs!$K$5:$AJ$140,0,MATCH(Z$2,Inputs!$K$4:$AJ$4,0))))+SUMPRODUCT((Inputs!$E$5:$E$140=$B17)*ISNUMBER(INDEX(Inputs!$K$5:$AJ$140,0,MATCH(Z$2,Inputs!$K$4:$AJ$4,0))))=0,NA(),SUMPRODUCT((Inputs!$A$5:$A$140=$B17)*Inputs!$B$5:$B$140*(((Inputs!$G$5:$G$140="moeda")+(Inputs!$G$5:$G$140="acoes"))*Inputs!$B$1+((Inputs!$G$5:$G$140&lt;&gt;"moeda")*(Inputs!$G$5:$G$140&lt;&gt;"acoes")))*INDEX(Inputs!$K$5:$AJ$140,0,MATCH(Z$2,Inputs!$K$4:$AJ$4,0)))+SUMPRODUCT((Inputs!$C$5:$C$140=$B17)*Inputs!$D$5:$D$140*(((Inputs!$G$5:$G$140="moeda")+(Inputs!$G$5:$G$140="acoes"))*Inputs!$B$1+((Inputs!$G$5:$G$140&lt;&gt;"moeda")*(Inputs!$G$5:$G$140&lt;&gt;"acoes")))*INDEX(Inputs!$K$5:$AJ$140,0,MATCH(Z$2,Inputs!$K$4:$AJ$4,0)))+SUMPRODUCT((Inputs!$E$5:$E$140=$B17)*Inputs!$F$5:$F$140*(((Inputs!$G$5:$G$140="moeda")+(Inputs!$G$5:$G$140="acoes"))*Inputs!$B$1+((Inputs!$G$5:$G$140&lt;&gt;"moeda")*(Inputs!$G$5:$G$140&lt;&gt;"acoes")))*INDEX(Inputs!$K$5:$AJ$140,0,MATCH(Z$2,Inputs!$K$4:$AJ$4,0)))))</f>
        <v>19784</v>
      </c>
      <c r="AA17" s="6">
        <f>IF(ISNA(MATCH(AA$2,Inputs!$K$4:$AJ$4,0)),NA(),IF(SUMPRODUCT((Inputs!$A$5:$A$140=$B17)*ISNUMBER(INDEX(Inputs!$K$5:$AJ$140,0,MATCH(AA$2,Inputs!$K$4:$AJ$4,0))))+SUMPRODUCT((Inputs!$C$5:$C$140=$B17)*ISNUMBER(INDEX(Inputs!$K$5:$AJ$140,0,MATCH(AA$2,Inputs!$K$4:$AJ$4,0))))+SUMPRODUCT((Inputs!$E$5:$E$140=$B17)*ISNUMBER(INDEX(Inputs!$K$5:$AJ$140,0,MATCH(AA$2,Inputs!$K$4:$AJ$4,0))))=0,NA(),SUMPRODUCT((Inputs!$A$5:$A$140=$B17)*Inputs!$B$5:$B$140*(((Inputs!$G$5:$G$140="moeda")+(Inputs!$G$5:$G$140="acoes"))*Inputs!$B$1+((Inputs!$G$5:$G$140&lt;&gt;"moeda")*(Inputs!$G$5:$G$140&lt;&gt;"acoes")))*INDEX(Inputs!$K$5:$AJ$140,0,MATCH(AA$2,Inputs!$K$4:$AJ$4,0)))+SUMPRODUCT((Inputs!$C$5:$C$140=$B17)*Inputs!$D$5:$D$140*(((Inputs!$G$5:$G$140="moeda")+(Inputs!$G$5:$G$140="acoes"))*Inputs!$B$1+((Inputs!$G$5:$G$140&lt;&gt;"moeda")*(Inputs!$G$5:$G$140&lt;&gt;"acoes")))*INDEX(Inputs!$K$5:$AJ$140,0,MATCH(AA$2,Inputs!$K$4:$AJ$4,0)))+SUMPRODUCT((Inputs!$E$5:$E$140=$B17)*Inputs!$F$5:$F$140*(((Inputs!$G$5:$G$140="moeda")+(Inputs!$G$5:$G$140="acoes"))*Inputs!$B$1+((Inputs!$G$5:$G$140&lt;&gt;"moeda")*(Inputs!$G$5:$G$140&lt;&gt;"acoes")))*INDEX(Inputs!$K$5:$AJ$140,0,MATCH(AA$2,Inputs!$K$4:$AJ$4,0)))))</f>
        <v>21403</v>
      </c>
      <c r="AB17" s="3">
        <f>AA17</f>
        <v>21403</v>
      </c>
      <c r="AC17" s="6">
        <f>IF(ISNA(MATCH(AC$2,Inputs!$K$4:$AJ$4,0)),NA(),IF(SUMPRODUCT((Inputs!$A$5:$A$140=$B17)*ISNUMBER(INDEX(Inputs!$K$5:$AJ$140,0,MATCH(AC$2,Inputs!$K$4:$AJ$4,0))))+SUMPRODUCT((Inputs!$C$5:$C$140=$B17)*ISNUMBER(INDEX(Inputs!$K$5:$AJ$140,0,MATCH(AC$2,Inputs!$K$4:$AJ$4,0))))+SUMPRODUCT((Inputs!$E$5:$E$140=$B17)*ISNUMBER(INDEX(Inputs!$K$5:$AJ$140,0,MATCH(AC$2,Inputs!$K$4:$AJ$4,0))))=0,NA(),SUMPRODUCT((Inputs!$A$5:$A$140=$B17)*Inputs!$B$5:$B$140*(((Inputs!$G$5:$G$140="moeda")+(Inputs!$G$5:$G$140="acoes"))*Inputs!$B$1+((Inputs!$G$5:$G$140&lt;&gt;"moeda")*(Inputs!$G$5:$G$140&lt;&gt;"acoes")))*INDEX(Inputs!$K$5:$AJ$140,0,MATCH(AC$2,Inputs!$K$4:$AJ$4,0)))+SUMPRODUCT((Inputs!$C$5:$C$140=$B17)*Inputs!$D$5:$D$140*(((Inputs!$G$5:$G$140="moeda")+(Inputs!$G$5:$G$140="acoes"))*Inputs!$B$1+((Inputs!$G$5:$G$140&lt;&gt;"moeda")*(Inputs!$G$5:$G$140&lt;&gt;"acoes")))*INDEX(Inputs!$K$5:$AJ$140,0,MATCH(AC$2,Inputs!$K$4:$AJ$4,0)))+SUMPRODUCT((Inputs!$E$5:$E$140=$B17)*Inputs!$F$5:$F$140*(((Inputs!$G$5:$G$140="moeda")+(Inputs!$G$5:$G$140="acoes"))*Inputs!$B$1+((Inputs!$G$5:$G$140&lt;&gt;"moeda")*(Inputs!$G$5:$G$140&lt;&gt;"acoes")))*INDEX(Inputs!$K$5:$AJ$140,0,MATCH(AC$2,Inputs!$K$4:$AJ$4,0)))))</f>
        <v>25797</v>
      </c>
      <c r="AD17" s="6">
        <f>IF(ISNA(MATCH(AD$2,Inputs!$K$4:$AJ$4,0)),NA(),IF(SUMPRODUCT((Inputs!$A$5:$A$140=$B17)*ISNUMBER(INDEX(Inputs!$K$5:$AJ$140,0,MATCH(AD$2,Inputs!$K$4:$AJ$4,0))))+SUMPRODUCT((Inputs!$C$5:$C$140=$B17)*ISNUMBER(INDEX(Inputs!$K$5:$AJ$140,0,MATCH(AD$2,Inputs!$K$4:$AJ$4,0))))+SUMPRODUCT((Inputs!$E$5:$E$140=$B17)*ISNUMBER(INDEX(Inputs!$K$5:$AJ$140,0,MATCH(AD$2,Inputs!$K$4:$AJ$4,0))))=0,NA(),SUMPRODUCT((Inputs!$A$5:$A$140=$B17)*Inputs!$B$5:$B$140*(((Inputs!$G$5:$G$140="moeda")+(Inputs!$G$5:$G$140="acoes"))*Inputs!$B$1+((Inputs!$G$5:$G$140&lt;&gt;"moeda")*(Inputs!$G$5:$G$140&lt;&gt;"acoes")))*INDEX(Inputs!$K$5:$AJ$140,0,MATCH(AD$2,Inputs!$K$4:$AJ$4,0)))+SUMPRODUCT((Inputs!$C$5:$C$140=$B17)*Inputs!$D$5:$D$140*(((Inputs!$G$5:$G$140="moeda")+(Inputs!$G$5:$G$140="acoes"))*Inputs!$B$1+((Inputs!$G$5:$G$140&lt;&gt;"moeda")*(Inputs!$G$5:$G$140&lt;&gt;"acoes")))*INDEX(Inputs!$K$5:$AJ$140,0,MATCH(AD$2,Inputs!$K$4:$AJ$4,0)))+SUMPRODUCT((Inputs!$E$5:$E$140=$B17)*Inputs!$F$5:$F$140*(((Inputs!$G$5:$G$140="moeda")+(Inputs!$G$5:$G$140="acoes"))*Inputs!$B$1+((Inputs!$G$5:$G$140&lt;&gt;"moeda")*(Inputs!$G$5:$G$140&lt;&gt;"acoes")))*INDEX(Inputs!$K$5:$AJ$140,0,MATCH(AD$2,Inputs!$K$4:$AJ$4,0)))))</f>
        <v>31575</v>
      </c>
      <c r="AE17" s="6" t="e">
        <f>IF(ISNA(MATCH(AE$2,Inputs!$K$4:$AJ$4,0)),NA(),IF(SUMPRODUCT((Inputs!$A$5:$A$140=$B17)*ISNUMBER(INDEX(Inputs!$K$5:$AJ$140,0,MATCH(AE$2,Inputs!$K$4:$AJ$4,0))))+SUMPRODUCT((Inputs!$C$5:$C$140=$B17)*ISNUMBER(INDEX(Inputs!$K$5:$AJ$140,0,MATCH(AE$2,Inputs!$K$4:$AJ$4,0))))+SUMPRODUCT((Inputs!$E$5:$E$140=$B17)*ISNUMBER(INDEX(Inputs!$K$5:$AJ$140,0,MATCH(AE$2,Inputs!$K$4:$AJ$4,0))))=0,NA(),SUMPRODUCT((Inputs!$A$5:$A$140=$B17)*Inputs!$B$5:$B$140*(((Inputs!$G$5:$G$140="moeda")+(Inputs!$G$5:$G$140="acoes"))*Inputs!$B$1+((Inputs!$G$5:$G$140&lt;&gt;"moeda")*(Inputs!$G$5:$G$140&lt;&gt;"acoes")))*INDEX(Inputs!$K$5:$AJ$140,0,MATCH(AE$2,Inputs!$K$4:$AJ$4,0)))+SUMPRODUCT((Inputs!$C$5:$C$140=$B17)*Inputs!$D$5:$D$140*(((Inputs!$G$5:$G$140="moeda")+(Inputs!$G$5:$G$140="acoes"))*Inputs!$B$1+((Inputs!$G$5:$G$140&lt;&gt;"moeda")*(Inputs!$G$5:$G$140&lt;&gt;"acoes")))*INDEX(Inputs!$K$5:$AJ$140,0,MATCH(AE$2,Inputs!$K$4:$AJ$4,0)))+SUMPRODUCT((Inputs!$E$5:$E$140=$B17)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17" s="6" t="e">
        <f>IF(ISNA(MATCH(AF$2,Inputs!$K$4:$AJ$4,0)),NA(),IF(SUMPRODUCT((Inputs!$A$5:$A$140=$B17)*ISNUMBER(INDEX(Inputs!$K$5:$AJ$140,0,MATCH(AF$2,Inputs!$K$4:$AJ$4,0))))+SUMPRODUCT((Inputs!$C$5:$C$140=$B17)*ISNUMBER(INDEX(Inputs!$K$5:$AJ$140,0,MATCH(AF$2,Inputs!$K$4:$AJ$4,0))))+SUMPRODUCT((Inputs!$E$5:$E$140=$B17)*ISNUMBER(INDEX(Inputs!$K$5:$AJ$140,0,MATCH(AF$2,Inputs!$K$4:$AJ$4,0))))=0,NA(),SUMPRODUCT((Inputs!$A$5:$A$140=$B17)*Inputs!$B$5:$B$140*(((Inputs!$G$5:$G$140="moeda")+(Inputs!$G$5:$G$140="acoes"))*Inputs!$B$1+((Inputs!$G$5:$G$140&lt;&gt;"moeda")*(Inputs!$G$5:$G$140&lt;&gt;"acoes")))*INDEX(Inputs!$K$5:$AJ$140,0,MATCH(AF$2,Inputs!$K$4:$AJ$4,0)))+SUMPRODUCT((Inputs!$C$5:$C$140=$B17)*Inputs!$D$5:$D$140*(((Inputs!$G$5:$G$140="moeda")+(Inputs!$G$5:$G$140="acoes"))*Inputs!$B$1+((Inputs!$G$5:$G$140&lt;&gt;"moeda")*(Inputs!$G$5:$G$140&lt;&gt;"acoes")))*INDEX(Inputs!$K$5:$AJ$140,0,MATCH(AF$2,Inputs!$K$4:$AJ$4,0)))+SUMPRODUCT((Inputs!$E$5:$E$140=$B17)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17" s="3" t="e">
        <f>AF17</f>
        <v>#N/A</v>
      </c>
      <c r="AH17" s="6">
        <f>IF(ISNA(MATCH(AH$2,Inputs!$K$4:$AJ$4,0)),NA(),IF(SUMPRODUCT((Inputs!$A$5:$A$140=$B17)*ISNUMBER(INDEX(Inputs!$K$5:$AJ$140,0,MATCH(AH$2,Inputs!$K$4:$AJ$4,0))))+SUMPRODUCT((Inputs!$C$5:$C$140=$B17)*ISNUMBER(INDEX(Inputs!$K$5:$AJ$140,0,MATCH(AH$2,Inputs!$K$4:$AJ$4,0))))+SUMPRODUCT((Inputs!$E$5:$E$140=$B17)*ISNUMBER(INDEX(Inputs!$K$5:$AJ$140,0,MATCH(AH$2,Inputs!$K$4:$AJ$4,0))))=0,NA(),SUMPRODUCT((Inputs!$A$5:$A$140=$B17)*Inputs!$B$5:$B$140*(((Inputs!$G$5:$G$140="moeda")+(Inputs!$G$5:$G$140="acoes"))*Inputs!$B$1+((Inputs!$G$5:$G$140&lt;&gt;"moeda")*(Inputs!$G$5:$G$140&lt;&gt;"acoes")))*INDEX(Inputs!$K$5:$AJ$140,0,MATCH(AH$2,Inputs!$K$4:$AJ$4,0)))+SUMPRODUCT((Inputs!$C$5:$C$140=$B17)*Inputs!$D$5:$D$140*(((Inputs!$G$5:$G$140="moeda")+(Inputs!$G$5:$G$140="acoes"))*Inputs!$B$1+((Inputs!$G$5:$G$140&lt;&gt;"moeda")*(Inputs!$G$5:$G$140&lt;&gt;"acoes")))*INDEX(Inputs!$K$5:$AJ$140,0,MATCH(AH$2,Inputs!$K$4:$AJ$4,0)))+SUMPRODUCT((Inputs!$E$5:$E$140=$B17)*Inputs!$F$5:$F$140*(((Inputs!$G$5:$G$140="moeda")+(Inputs!$G$5:$G$140="acoes"))*Inputs!$B$1+((Inputs!$G$5:$G$140&lt;&gt;"moeda")*(Inputs!$G$5:$G$140&lt;&gt;"acoes")))*INDEX(Inputs!$K$5:$AJ$140,0,MATCH(AH$2,Inputs!$K$4:$AJ$4,0)))))</f>
        <v>1128</v>
      </c>
      <c r="AI17" s="6">
        <f>IF(ISNA(MATCH(AI$2,Inputs!$K$4:$AJ$4,0)),NA(),IF(SUMPRODUCT((Inputs!$A$5:$A$140=$B17)*ISNUMBER(INDEX(Inputs!$K$5:$AJ$140,0,MATCH(AI$2,Inputs!$K$4:$AJ$4,0))))+SUMPRODUCT((Inputs!$C$5:$C$140=$B17)*ISNUMBER(INDEX(Inputs!$K$5:$AJ$140,0,MATCH(AI$2,Inputs!$K$4:$AJ$4,0))))+SUMPRODUCT((Inputs!$E$5:$E$140=$B17)*ISNUMBER(INDEX(Inputs!$K$5:$AJ$140,0,MATCH(AI$2,Inputs!$K$4:$AJ$4,0))))=0,NA(),SUMPRODUCT((Inputs!$A$5:$A$140=$B17)*Inputs!$B$5:$B$140*(((Inputs!$G$5:$G$140="moeda")+(Inputs!$G$5:$G$140="acoes"))*Inputs!$B$1+((Inputs!$G$5:$G$140&lt;&gt;"moeda")*(Inputs!$G$5:$G$140&lt;&gt;"acoes")))*INDEX(Inputs!$K$5:$AJ$140,0,MATCH(AI$2,Inputs!$K$4:$AJ$4,0)))+SUMPRODUCT((Inputs!$C$5:$C$140=$B17)*Inputs!$D$5:$D$140*(((Inputs!$G$5:$G$140="moeda")+(Inputs!$G$5:$G$140="acoes"))*Inputs!$B$1+((Inputs!$G$5:$G$140&lt;&gt;"moeda")*(Inputs!$G$5:$G$140&lt;&gt;"acoes")))*INDEX(Inputs!$K$5:$AJ$140,0,MATCH(AI$2,Inputs!$K$4:$AJ$4,0)))+SUMPRODUCT((Inputs!$E$5:$E$140=$B17)*Inputs!$F$5:$F$140*(((Inputs!$G$5:$G$140="moeda")+(Inputs!$G$5:$G$140="acoes"))*Inputs!$B$1+((Inputs!$G$5:$G$140&lt;&gt;"moeda")*(Inputs!$G$5:$G$140&lt;&gt;"acoes")))*INDEX(Inputs!$K$5:$AJ$140,0,MATCH(AI$2,Inputs!$K$4:$AJ$4,0)))))</f>
        <v>1401</v>
      </c>
      <c r="AJ17" s="6">
        <f>IF(ISNA(MATCH(AJ$2,Inputs!$K$4:$AJ$4,0)),NA(),IF(SUMPRODUCT((Inputs!$A$5:$A$140=$B17)*ISNUMBER(INDEX(Inputs!$K$5:$AJ$140,0,MATCH(AJ$2,Inputs!$K$4:$AJ$4,0))))+SUMPRODUCT((Inputs!$C$5:$C$140=$B17)*ISNUMBER(INDEX(Inputs!$K$5:$AJ$140,0,MATCH(AJ$2,Inputs!$K$4:$AJ$4,0))))+SUMPRODUCT((Inputs!$E$5:$E$140=$B17)*ISNUMBER(INDEX(Inputs!$K$5:$AJ$140,0,MATCH(AJ$2,Inputs!$K$4:$AJ$4,0))))=0,NA(),SUMPRODUCT((Inputs!$A$5:$A$140=$B17)*Inputs!$B$5:$B$140*(((Inputs!$G$5:$G$140="moeda")+(Inputs!$G$5:$G$140="acoes"))*Inputs!$B$1+((Inputs!$G$5:$G$140&lt;&gt;"moeda")*(Inputs!$G$5:$G$140&lt;&gt;"acoes")))*INDEX(Inputs!$K$5:$AJ$140,0,MATCH(AJ$2,Inputs!$K$4:$AJ$4,0)))+SUMPRODUCT((Inputs!$C$5:$C$140=$B17)*Inputs!$D$5:$D$140*(((Inputs!$G$5:$G$140="moeda")+(Inputs!$G$5:$G$140="acoes"))*Inputs!$B$1+((Inputs!$G$5:$G$140&lt;&gt;"moeda")*(Inputs!$G$5:$G$140&lt;&gt;"acoes")))*INDEX(Inputs!$K$5:$AJ$140,0,MATCH(AJ$2,Inputs!$K$4:$AJ$4,0)))+SUMPRODUCT((Inputs!$E$5:$E$140=$B17)*Inputs!$F$5:$F$140*(((Inputs!$G$5:$G$140="moeda")+(Inputs!$G$5:$G$140="acoes"))*Inputs!$B$1+((Inputs!$G$5:$G$140&lt;&gt;"moeda")*(Inputs!$G$5:$G$140&lt;&gt;"acoes")))*INDEX(Inputs!$K$5:$AJ$140,0,MATCH(AJ$2,Inputs!$K$4:$AJ$4,0)))))</f>
        <v>1495</v>
      </c>
      <c r="AK17" s="6">
        <f>IF(ISNA(MATCH(AK$2,Inputs!$K$4:$AJ$4,0)),NA(),IF(SUMPRODUCT((Inputs!$A$5:$A$140=$B17)*ISNUMBER(INDEX(Inputs!$K$5:$AJ$140,0,MATCH(AK$2,Inputs!$K$4:$AJ$4,0))))+SUMPRODUCT((Inputs!$C$5:$C$140=$B17)*ISNUMBER(INDEX(Inputs!$K$5:$AJ$140,0,MATCH(AK$2,Inputs!$K$4:$AJ$4,0))))+SUMPRODUCT((Inputs!$E$5:$E$140=$B17)*ISNUMBER(INDEX(Inputs!$K$5:$AJ$140,0,MATCH(AK$2,Inputs!$K$4:$AJ$4,0))))=0,NA(),SUMPRODUCT((Inputs!$A$5:$A$140=$B17)*Inputs!$B$5:$B$140*(((Inputs!$G$5:$G$140="moeda")+(Inputs!$G$5:$G$140="acoes"))*Inputs!$B$1+((Inputs!$G$5:$G$140&lt;&gt;"moeda")*(Inputs!$G$5:$G$140&lt;&gt;"acoes")))*INDEX(Inputs!$K$5:$AJ$140,0,MATCH(AK$2,Inputs!$K$4:$AJ$4,0)))+SUMPRODUCT((Inputs!$C$5:$C$140=$B17)*Inputs!$D$5:$D$140*(((Inputs!$G$5:$G$140="moeda")+(Inputs!$G$5:$G$140="acoes"))*Inputs!$B$1+((Inputs!$G$5:$G$140&lt;&gt;"moeda")*(Inputs!$G$5:$G$140&lt;&gt;"acoes")))*INDEX(Inputs!$K$5:$AJ$140,0,MATCH(AK$2,Inputs!$K$4:$AJ$4,0)))+SUMPRODUCT((Inputs!$E$5:$E$140=$B17)*Inputs!$F$5:$F$140*(((Inputs!$G$5:$G$140="moeda")+(Inputs!$G$5:$G$140="acoes"))*Inputs!$B$1+((Inputs!$G$5:$G$140&lt;&gt;"moeda")*(Inputs!$G$5:$G$140&lt;&gt;"acoes")))*INDEX(Inputs!$K$5:$AJ$140,0,MATCH(AK$2,Inputs!$K$4:$AJ$4,0)))))</f>
        <v>1826</v>
      </c>
      <c r="AL17" s="3">
        <f>AK17</f>
        <v>1826</v>
      </c>
    </row>
    <row r="18">
      <c r="B18" s="46" t="n">
        <v>14</v>
      </c>
      <c r="C18" s="26" t="inlineStr">
        <is>
          <t>Deferred income taxes</t>
        </is>
      </c>
      <c r="D18" s="6">
        <f>IF(ISNA(MATCH(D$2,Inputs!$K$4:$AJ$4,0)),NA(),IF(SUMPRODUCT((Inputs!$A$5:$A$140=$B18)*ISNUMBER(INDEX(Inputs!$K$5:$AJ$140,0,MATCH(D$2,Inputs!$K$4:$AJ$4,0))))+SUMPRODUCT((Inputs!$C$5:$C$140=$B18)*ISNUMBER(INDEX(Inputs!$K$5:$AJ$140,0,MATCH(D$2,Inputs!$K$4:$AJ$4,0))))+SUMPRODUCT((Inputs!$E$5:$E$140=$B18)*ISNUMBER(INDEX(Inputs!$K$5:$AJ$140,0,MATCH(D$2,Inputs!$K$4:$AJ$4,0))))=0,NA(),SUMPRODUCT((Inputs!$A$5:$A$140=$B18)*Inputs!$B$5:$B$140*(((Inputs!$G$5:$G$140="moeda")+(Inputs!$G$5:$G$140="acoes"))*Inputs!$B$1+((Inputs!$G$5:$G$140&lt;&gt;"moeda")*(Inputs!$G$5:$G$140&lt;&gt;"acoes")))*INDEX(Inputs!$K$5:$AJ$140,0,MATCH(D$2,Inputs!$K$4:$AJ$4,0)))+SUMPRODUCT((Inputs!$C$5:$C$140=$B18)*Inputs!$D$5:$D$140*(((Inputs!$G$5:$G$140="moeda")+(Inputs!$G$5:$G$140="acoes"))*Inputs!$B$1+((Inputs!$G$5:$G$140&lt;&gt;"moeda")*(Inputs!$G$5:$G$140&lt;&gt;"acoes")))*INDEX(Inputs!$K$5:$AJ$140,0,MATCH(D$2,Inputs!$K$4:$AJ$4,0)))+SUMPRODUCT((Inputs!$E$5:$E$140=$B18)*Inputs!$F$5:$F$140*(((Inputs!$G$5:$G$140="moeda")+(Inputs!$G$5:$G$140="acoes"))*Inputs!$B$1+((Inputs!$G$5:$G$140&lt;&gt;"moeda")*(Inputs!$G$5:$G$140&lt;&gt;"acoes")))*INDEX(Inputs!$K$5:$AJ$140,0,MATCH(D$2,Inputs!$K$4:$AJ$4,0)))))</f>
        <v>778</v>
      </c>
      <c r="E18" s="6">
        <f>IF(ISNA(MATCH(E$2,Inputs!$K$4:$AJ$4,0)),NA(),IF(SUMPRODUCT((Inputs!$A$5:$A$140=$B18)*ISNUMBER(INDEX(Inputs!$K$5:$AJ$140,0,MATCH(E$2,Inputs!$K$4:$AJ$4,0))))+SUMPRODUCT((Inputs!$C$5:$C$140=$B18)*ISNUMBER(INDEX(Inputs!$K$5:$AJ$140,0,MATCH(E$2,Inputs!$K$4:$AJ$4,0))))+SUMPRODUCT((Inputs!$E$5:$E$140=$B18)*ISNUMBER(INDEX(Inputs!$K$5:$AJ$140,0,MATCH(E$2,Inputs!$K$4:$AJ$4,0))))=0,NA(),SUMPRODUCT((Inputs!$A$5:$A$140=$B18)*Inputs!$B$5:$B$140*(((Inputs!$G$5:$G$140="moeda")+(Inputs!$G$5:$G$140="acoes"))*Inputs!$B$1+((Inputs!$G$5:$G$140&lt;&gt;"moeda")*(Inputs!$G$5:$G$140&lt;&gt;"acoes")))*INDEX(Inputs!$K$5:$AJ$140,0,MATCH(E$2,Inputs!$K$4:$AJ$4,0)))+SUMPRODUCT((Inputs!$C$5:$C$140=$B18)*Inputs!$D$5:$D$140*(((Inputs!$G$5:$G$140="moeda")+(Inputs!$G$5:$G$140="acoes"))*Inputs!$B$1+((Inputs!$G$5:$G$140&lt;&gt;"moeda")*(Inputs!$G$5:$G$140&lt;&gt;"acoes")))*INDEX(Inputs!$K$5:$AJ$140,0,MATCH(E$2,Inputs!$K$4:$AJ$4,0)))+SUMPRODUCT((Inputs!$E$5:$E$140=$B18)*Inputs!$F$5:$F$140*(((Inputs!$G$5:$G$140="moeda")+(Inputs!$G$5:$G$140="acoes"))*Inputs!$B$1+((Inputs!$G$5:$G$140&lt;&gt;"moeda")*(Inputs!$G$5:$G$140&lt;&gt;"acoes")))*INDEX(Inputs!$K$5:$AJ$140,0,MATCH(E$2,Inputs!$K$4:$AJ$4,0)))))</f>
        <v>958</v>
      </c>
      <c r="F18" s="6">
        <f>IF(ISNA(MATCH(F$2,Inputs!$K$4:$AJ$4,0)),NA(),IF(SUMPRODUCT((Inputs!$A$5:$A$140=$B18)*ISNUMBER(INDEX(Inputs!$K$5:$AJ$140,0,MATCH(F$2,Inputs!$K$4:$AJ$4,0))))+SUMPRODUCT((Inputs!$C$5:$C$140=$B18)*ISNUMBER(INDEX(Inputs!$K$5:$AJ$140,0,MATCH(F$2,Inputs!$K$4:$AJ$4,0))))+SUMPRODUCT((Inputs!$E$5:$E$140=$B18)*ISNUMBER(INDEX(Inputs!$K$5:$AJ$140,0,MATCH(F$2,Inputs!$K$4:$AJ$4,0))))=0,NA(),SUMPRODUCT((Inputs!$A$5:$A$140=$B18)*Inputs!$B$5:$B$140*(((Inputs!$G$5:$G$140="moeda")+(Inputs!$G$5:$G$140="acoes"))*Inputs!$B$1+((Inputs!$G$5:$G$140&lt;&gt;"moeda")*(Inputs!$G$5:$G$140&lt;&gt;"acoes")))*INDEX(Inputs!$K$5:$AJ$140,0,MATCH(F$2,Inputs!$K$4:$AJ$4,0)))+SUMPRODUCT((Inputs!$C$5:$C$140=$B18)*Inputs!$D$5:$D$140*(((Inputs!$G$5:$G$140="moeda")+(Inputs!$G$5:$G$140="acoes"))*Inputs!$B$1+((Inputs!$G$5:$G$140&lt;&gt;"moeda")*(Inputs!$G$5:$G$140&lt;&gt;"acoes")))*INDEX(Inputs!$K$5:$AJ$140,0,MATCH(F$2,Inputs!$K$4:$AJ$4,0)))+SUMPRODUCT((Inputs!$E$5:$E$140=$B18)*Inputs!$F$5:$F$140*(((Inputs!$G$5:$G$140="moeda")+(Inputs!$G$5:$G$140="acoes"))*Inputs!$B$1+((Inputs!$G$5:$G$140&lt;&gt;"moeda")*(Inputs!$G$5:$G$140&lt;&gt;"acoes")))*INDEX(Inputs!$K$5:$AJ$140,0,MATCH(F$2,Inputs!$K$4:$AJ$4,0)))))</f>
        <v>970</v>
      </c>
      <c r="G18" s="6">
        <f>IF(ISNA(MATCH(G$2,Inputs!$K$4:$AJ$4,0)),NA(),IF(SUMPRODUCT((Inputs!$A$5:$A$140=$B18)*ISNUMBER(INDEX(Inputs!$K$5:$AJ$140,0,MATCH(G$2,Inputs!$K$4:$AJ$4,0))))+SUMPRODUCT((Inputs!$C$5:$C$140=$B18)*ISNUMBER(INDEX(Inputs!$K$5:$AJ$140,0,MATCH(G$2,Inputs!$K$4:$AJ$4,0))))+SUMPRODUCT((Inputs!$E$5:$E$140=$B18)*ISNUMBER(INDEX(Inputs!$K$5:$AJ$140,0,MATCH(G$2,Inputs!$K$4:$AJ$4,0))))=0,NA(),SUMPRODUCT((Inputs!$A$5:$A$140=$B18)*Inputs!$B$5:$B$140*(((Inputs!$G$5:$G$140="moeda")+(Inputs!$G$5:$G$140="acoes"))*Inputs!$B$1+((Inputs!$G$5:$G$140&lt;&gt;"moeda")*(Inputs!$G$5:$G$140&lt;&gt;"acoes")))*INDEX(Inputs!$K$5:$AJ$140,0,MATCH(G$2,Inputs!$K$4:$AJ$4,0)))+SUMPRODUCT((Inputs!$C$5:$C$140=$B18)*Inputs!$D$5:$D$140*(((Inputs!$G$5:$G$140="moeda")+(Inputs!$G$5:$G$140="acoes"))*Inputs!$B$1+((Inputs!$G$5:$G$140&lt;&gt;"moeda")*(Inputs!$G$5:$G$140&lt;&gt;"acoes")))*INDEX(Inputs!$K$5:$AJ$140,0,MATCH(G$2,Inputs!$K$4:$AJ$4,0)))+SUMPRODUCT((Inputs!$E$5:$E$140=$B18)*Inputs!$F$5:$F$140*(((Inputs!$G$5:$G$140="moeda")+(Inputs!$G$5:$G$140="acoes"))*Inputs!$B$1+((Inputs!$G$5:$G$140&lt;&gt;"moeda")*(Inputs!$G$5:$G$140&lt;&gt;"acoes")))*INDEX(Inputs!$K$5:$AJ$140,0,MATCH(G$2,Inputs!$K$4:$AJ$4,0)))))</f>
        <v>1222</v>
      </c>
      <c r="H18" s="3">
        <f>G18</f>
        <v>1222</v>
      </c>
      <c r="I18" s="6">
        <f>IF(ISNA(MATCH(I$2,Inputs!$K$4:$AJ$4,0)),NA(),IF(SUMPRODUCT((Inputs!$A$5:$A$140=$B18)*ISNUMBER(INDEX(Inputs!$K$5:$AJ$140,0,MATCH(I$2,Inputs!$K$4:$AJ$4,0))))+SUMPRODUCT((Inputs!$C$5:$C$140=$B18)*ISNUMBER(INDEX(Inputs!$K$5:$AJ$140,0,MATCH(I$2,Inputs!$K$4:$AJ$4,0))))+SUMPRODUCT((Inputs!$E$5:$E$140=$B18)*ISNUMBER(INDEX(Inputs!$K$5:$AJ$140,0,MATCH(I$2,Inputs!$K$4:$AJ$4,0))))=0,NA(),SUMPRODUCT((Inputs!$A$5:$A$140=$B18)*Inputs!$B$5:$B$140*(((Inputs!$G$5:$G$140="moeda")+(Inputs!$G$5:$G$140="acoes"))*Inputs!$B$1+((Inputs!$G$5:$G$140&lt;&gt;"moeda")*(Inputs!$G$5:$G$140&lt;&gt;"acoes")))*INDEX(Inputs!$K$5:$AJ$140,0,MATCH(I$2,Inputs!$K$4:$AJ$4,0)))+SUMPRODUCT((Inputs!$C$5:$C$140=$B18)*Inputs!$D$5:$D$140*(((Inputs!$G$5:$G$140="moeda")+(Inputs!$G$5:$G$140="acoes"))*Inputs!$B$1+((Inputs!$G$5:$G$140&lt;&gt;"moeda")*(Inputs!$G$5:$G$140&lt;&gt;"acoes")))*INDEX(Inputs!$K$5:$AJ$140,0,MATCH(I$2,Inputs!$K$4:$AJ$4,0)))+SUMPRODUCT((Inputs!$E$5:$E$140=$B18)*Inputs!$F$5:$F$140*(((Inputs!$G$5:$G$140="moeda")+(Inputs!$G$5:$G$140="acoes"))*Inputs!$B$1+((Inputs!$G$5:$G$140&lt;&gt;"moeda")*(Inputs!$G$5:$G$140&lt;&gt;"acoes")))*INDEX(Inputs!$K$5:$AJ$140,0,MATCH(I$2,Inputs!$K$4:$AJ$4,0)))))</f>
        <v>1784</v>
      </c>
      <c r="J18" s="6">
        <f>IF(ISNA(MATCH(J$2,Inputs!$K$4:$AJ$4,0)),NA(),IF(SUMPRODUCT((Inputs!$A$5:$A$140=$B18)*ISNUMBER(INDEX(Inputs!$K$5:$AJ$140,0,MATCH(J$2,Inputs!$K$4:$AJ$4,0))))+SUMPRODUCT((Inputs!$C$5:$C$140=$B18)*ISNUMBER(INDEX(Inputs!$K$5:$AJ$140,0,MATCH(J$2,Inputs!$K$4:$AJ$4,0))))+SUMPRODUCT((Inputs!$E$5:$E$140=$B18)*ISNUMBER(INDEX(Inputs!$K$5:$AJ$140,0,MATCH(J$2,Inputs!$K$4:$AJ$4,0))))=0,NA(),SUMPRODUCT((Inputs!$A$5:$A$140=$B18)*Inputs!$B$5:$B$140*(((Inputs!$G$5:$G$140="moeda")+(Inputs!$G$5:$G$140="acoes"))*Inputs!$B$1+((Inputs!$G$5:$G$140&lt;&gt;"moeda")*(Inputs!$G$5:$G$140&lt;&gt;"acoes")))*INDEX(Inputs!$K$5:$AJ$140,0,MATCH(J$2,Inputs!$K$4:$AJ$4,0)))+SUMPRODUCT((Inputs!$C$5:$C$140=$B18)*Inputs!$D$5:$D$140*(((Inputs!$G$5:$G$140="moeda")+(Inputs!$G$5:$G$140="acoes"))*Inputs!$B$1+((Inputs!$G$5:$G$140&lt;&gt;"moeda")*(Inputs!$G$5:$G$140&lt;&gt;"acoes")))*INDEX(Inputs!$K$5:$AJ$140,0,MATCH(J$2,Inputs!$K$4:$AJ$4,0)))+SUMPRODUCT((Inputs!$E$5:$E$140=$B18)*Inputs!$F$5:$F$140*(((Inputs!$G$5:$G$140="moeda")+(Inputs!$G$5:$G$140="acoes"))*Inputs!$B$1+((Inputs!$G$5:$G$140&lt;&gt;"moeda")*(Inputs!$G$5:$G$140&lt;&gt;"acoes")))*INDEX(Inputs!$K$5:$AJ$140,0,MATCH(J$2,Inputs!$K$4:$AJ$4,0)))))</f>
        <v>2225</v>
      </c>
      <c r="K18" s="6">
        <f>IF(ISNA(MATCH(K$2,Inputs!$K$4:$AJ$4,0)),NA(),IF(SUMPRODUCT((Inputs!$A$5:$A$140=$B18)*ISNUMBER(INDEX(Inputs!$K$5:$AJ$140,0,MATCH(K$2,Inputs!$K$4:$AJ$4,0))))+SUMPRODUCT((Inputs!$C$5:$C$140=$B18)*ISNUMBER(INDEX(Inputs!$K$5:$AJ$140,0,MATCH(K$2,Inputs!$K$4:$AJ$4,0))))+SUMPRODUCT((Inputs!$E$5:$E$140=$B18)*ISNUMBER(INDEX(Inputs!$K$5:$AJ$140,0,MATCH(K$2,Inputs!$K$4:$AJ$4,0))))=0,NA(),SUMPRODUCT((Inputs!$A$5:$A$140=$B18)*Inputs!$B$5:$B$140*(((Inputs!$G$5:$G$140="moeda")+(Inputs!$G$5:$G$140="acoes"))*Inputs!$B$1+((Inputs!$G$5:$G$140&lt;&gt;"moeda")*(Inputs!$G$5:$G$140&lt;&gt;"acoes")))*INDEX(Inputs!$K$5:$AJ$140,0,MATCH(K$2,Inputs!$K$4:$AJ$4,0)))+SUMPRODUCT((Inputs!$C$5:$C$140=$B18)*Inputs!$D$5:$D$140*(((Inputs!$G$5:$G$140="moeda")+(Inputs!$G$5:$G$140="acoes"))*Inputs!$B$1+((Inputs!$G$5:$G$140&lt;&gt;"moeda")*(Inputs!$G$5:$G$140&lt;&gt;"acoes")))*INDEX(Inputs!$K$5:$AJ$140,0,MATCH(K$2,Inputs!$K$4:$AJ$4,0)))+SUMPRODUCT((Inputs!$E$5:$E$140=$B18)*Inputs!$F$5:$F$140*(((Inputs!$G$5:$G$140="moeda")+(Inputs!$G$5:$G$140="acoes"))*Inputs!$B$1+((Inputs!$G$5:$G$140&lt;&gt;"moeda")*(Inputs!$G$5:$G$140&lt;&gt;"acoes")))*INDEX(Inputs!$K$5:$AJ$140,0,MATCH(K$2,Inputs!$K$4:$AJ$4,0)))))</f>
        <v>2762</v>
      </c>
      <c r="L18" s="6">
        <f>IF(ISNA(MATCH(L$2,Inputs!$K$4:$AJ$4,0)),NA(),IF(SUMPRODUCT((Inputs!$A$5:$A$140=$B18)*ISNUMBER(INDEX(Inputs!$K$5:$AJ$140,0,MATCH(L$2,Inputs!$K$4:$AJ$4,0))))+SUMPRODUCT((Inputs!$C$5:$C$140=$B18)*ISNUMBER(INDEX(Inputs!$K$5:$AJ$140,0,MATCH(L$2,Inputs!$K$4:$AJ$4,0))))+SUMPRODUCT((Inputs!$E$5:$E$140=$B18)*ISNUMBER(INDEX(Inputs!$K$5:$AJ$140,0,MATCH(L$2,Inputs!$K$4:$AJ$4,0))))=0,NA(),SUMPRODUCT((Inputs!$A$5:$A$140=$B18)*Inputs!$B$5:$B$140*(((Inputs!$G$5:$G$140="moeda")+(Inputs!$G$5:$G$140="acoes"))*Inputs!$B$1+((Inputs!$G$5:$G$140&lt;&gt;"moeda")*(Inputs!$G$5:$G$140&lt;&gt;"acoes")))*INDEX(Inputs!$K$5:$AJ$140,0,MATCH(L$2,Inputs!$K$4:$AJ$4,0)))+SUMPRODUCT((Inputs!$C$5:$C$140=$B18)*Inputs!$D$5:$D$140*(((Inputs!$G$5:$G$140="moeda")+(Inputs!$G$5:$G$140="acoes"))*Inputs!$B$1+((Inputs!$G$5:$G$140&lt;&gt;"moeda")*(Inputs!$G$5:$G$140&lt;&gt;"acoes")))*INDEX(Inputs!$K$5:$AJ$140,0,MATCH(L$2,Inputs!$K$4:$AJ$4,0)))+SUMPRODUCT((Inputs!$E$5:$E$140=$B18)*Inputs!$F$5:$F$140*(((Inputs!$G$5:$G$140="moeda")+(Inputs!$G$5:$G$140="acoes"))*Inputs!$B$1+((Inputs!$G$5:$G$140&lt;&gt;"moeda")*(Inputs!$G$5:$G$140&lt;&gt;"acoes")))*INDEX(Inputs!$K$5:$AJ$140,0,MATCH(L$2,Inputs!$K$4:$AJ$4,0)))))</f>
        <v>3396</v>
      </c>
      <c r="M18" s="3">
        <f>L18</f>
        <v>3396</v>
      </c>
      <c r="N18" s="6">
        <f>IF(ISNA(MATCH(N$2,Inputs!$K$4:$AJ$4,0)),NA(),IF(SUMPRODUCT((Inputs!$A$5:$A$140=$B18)*ISNUMBER(INDEX(Inputs!$K$5:$AJ$140,0,MATCH(N$2,Inputs!$K$4:$AJ$4,0))))+SUMPRODUCT((Inputs!$C$5:$C$140=$B18)*ISNUMBER(INDEX(Inputs!$K$5:$AJ$140,0,MATCH(N$2,Inputs!$K$4:$AJ$4,0))))+SUMPRODUCT((Inputs!$E$5:$E$140=$B18)*ISNUMBER(INDEX(Inputs!$K$5:$AJ$140,0,MATCH(N$2,Inputs!$K$4:$AJ$4,0))))=0,NA(),SUMPRODUCT((Inputs!$A$5:$A$140=$B18)*Inputs!$B$5:$B$140*(((Inputs!$G$5:$G$140="moeda")+(Inputs!$G$5:$G$140="acoes"))*Inputs!$B$1+((Inputs!$G$5:$G$140&lt;&gt;"moeda")*(Inputs!$G$5:$G$140&lt;&gt;"acoes")))*INDEX(Inputs!$K$5:$AJ$140,0,MATCH(N$2,Inputs!$K$4:$AJ$4,0)))+SUMPRODUCT((Inputs!$C$5:$C$140=$B18)*Inputs!$D$5:$D$140*(((Inputs!$G$5:$G$140="moeda")+(Inputs!$G$5:$G$140="acoes"))*Inputs!$B$1+((Inputs!$G$5:$G$140&lt;&gt;"moeda")*(Inputs!$G$5:$G$140&lt;&gt;"acoes")))*INDEX(Inputs!$K$5:$AJ$140,0,MATCH(N$2,Inputs!$K$4:$AJ$4,0)))+SUMPRODUCT((Inputs!$E$5:$E$140=$B18)*Inputs!$F$5:$F$140*(((Inputs!$G$5:$G$140="moeda")+(Inputs!$G$5:$G$140="acoes"))*Inputs!$B$1+((Inputs!$G$5:$G$140&lt;&gt;"moeda")*(Inputs!$G$5:$G$140&lt;&gt;"acoes")))*INDEX(Inputs!$K$5:$AJ$140,0,MATCH(N$2,Inputs!$K$4:$AJ$4,0)))))</f>
        <v>4568</v>
      </c>
      <c r="O18" s="6">
        <f>IF(ISNA(MATCH(O$2,Inputs!$K$4:$AJ$4,0)),NA(),IF(SUMPRODUCT((Inputs!$A$5:$A$140=$B18)*ISNUMBER(INDEX(Inputs!$K$5:$AJ$140,0,MATCH(O$2,Inputs!$K$4:$AJ$4,0))))+SUMPRODUCT((Inputs!$C$5:$C$140=$B18)*ISNUMBER(INDEX(Inputs!$K$5:$AJ$140,0,MATCH(O$2,Inputs!$K$4:$AJ$4,0))))+SUMPRODUCT((Inputs!$E$5:$E$140=$B18)*ISNUMBER(INDEX(Inputs!$K$5:$AJ$140,0,MATCH(O$2,Inputs!$K$4:$AJ$4,0))))=0,NA(),SUMPRODUCT((Inputs!$A$5:$A$140=$B18)*Inputs!$B$5:$B$140*(((Inputs!$G$5:$G$140="moeda")+(Inputs!$G$5:$G$140="acoes"))*Inputs!$B$1+((Inputs!$G$5:$G$140&lt;&gt;"moeda")*(Inputs!$G$5:$G$140&lt;&gt;"acoes")))*INDEX(Inputs!$K$5:$AJ$140,0,MATCH(O$2,Inputs!$K$4:$AJ$4,0)))+SUMPRODUCT((Inputs!$C$5:$C$140=$B18)*Inputs!$D$5:$D$140*(((Inputs!$G$5:$G$140="moeda")+(Inputs!$G$5:$G$140="acoes"))*Inputs!$B$1+((Inputs!$G$5:$G$140&lt;&gt;"moeda")*(Inputs!$G$5:$G$140&lt;&gt;"acoes")))*INDEX(Inputs!$K$5:$AJ$140,0,MATCH(O$2,Inputs!$K$4:$AJ$4,0)))+SUMPRODUCT((Inputs!$E$5:$E$140=$B18)*Inputs!$F$5:$F$140*(((Inputs!$G$5:$G$140="moeda")+(Inputs!$G$5:$G$140="acoes"))*Inputs!$B$1+((Inputs!$G$5:$G$140&lt;&gt;"moeda")*(Inputs!$G$5:$G$140&lt;&gt;"acoes")))*INDEX(Inputs!$K$5:$AJ$140,0,MATCH(O$2,Inputs!$K$4:$AJ$4,0)))))</f>
        <v>5398</v>
      </c>
      <c r="P18" s="6">
        <f>IF(ISNA(MATCH(P$2,Inputs!$K$4:$AJ$4,0)),NA(),IF(SUMPRODUCT((Inputs!$A$5:$A$140=$B18)*ISNUMBER(INDEX(Inputs!$K$5:$AJ$140,0,MATCH(P$2,Inputs!$K$4:$AJ$4,0))))+SUMPRODUCT((Inputs!$C$5:$C$140=$B18)*ISNUMBER(INDEX(Inputs!$K$5:$AJ$140,0,MATCH(P$2,Inputs!$K$4:$AJ$4,0))))+SUMPRODUCT((Inputs!$E$5:$E$140=$B18)*ISNUMBER(INDEX(Inputs!$K$5:$AJ$140,0,MATCH(P$2,Inputs!$K$4:$AJ$4,0))))=0,NA(),SUMPRODUCT((Inputs!$A$5:$A$140=$B18)*Inputs!$B$5:$B$140*(((Inputs!$G$5:$G$140="moeda")+(Inputs!$G$5:$G$140="acoes"))*Inputs!$B$1+((Inputs!$G$5:$G$140&lt;&gt;"moeda")*(Inputs!$G$5:$G$140&lt;&gt;"acoes")))*INDEX(Inputs!$K$5:$AJ$140,0,MATCH(P$2,Inputs!$K$4:$AJ$4,0)))+SUMPRODUCT((Inputs!$C$5:$C$140=$B18)*Inputs!$D$5:$D$140*(((Inputs!$G$5:$G$140="moeda")+(Inputs!$G$5:$G$140="acoes"))*Inputs!$B$1+((Inputs!$G$5:$G$140&lt;&gt;"moeda")*(Inputs!$G$5:$G$140&lt;&gt;"acoes")))*INDEX(Inputs!$K$5:$AJ$140,0,MATCH(P$2,Inputs!$K$4:$AJ$4,0)))+SUMPRODUCT((Inputs!$E$5:$E$140=$B18)*Inputs!$F$5:$F$140*(((Inputs!$G$5:$G$140="moeda")+(Inputs!$G$5:$G$140="acoes"))*Inputs!$B$1+((Inputs!$G$5:$G$140&lt;&gt;"moeda")*(Inputs!$G$5:$G$140&lt;&gt;"acoes")))*INDEX(Inputs!$K$5:$AJ$140,0,MATCH(P$2,Inputs!$K$4:$AJ$4,0)))))</f>
        <v>5982</v>
      </c>
      <c r="Q18" s="6">
        <f>IF(ISNA(MATCH(Q$2,Inputs!$K$4:$AJ$4,0)),NA(),IF(SUMPRODUCT((Inputs!$A$5:$A$140=$B18)*ISNUMBER(INDEX(Inputs!$K$5:$AJ$140,0,MATCH(Q$2,Inputs!$K$4:$AJ$4,0))))+SUMPRODUCT((Inputs!$C$5:$C$140=$B18)*ISNUMBER(INDEX(Inputs!$K$5:$AJ$140,0,MATCH(Q$2,Inputs!$K$4:$AJ$4,0))))+SUMPRODUCT((Inputs!$E$5:$E$140=$B18)*ISNUMBER(INDEX(Inputs!$K$5:$AJ$140,0,MATCH(Q$2,Inputs!$K$4:$AJ$4,0))))=0,NA(),SUMPRODUCT((Inputs!$A$5:$A$140=$B18)*Inputs!$B$5:$B$140*(((Inputs!$G$5:$G$140="moeda")+(Inputs!$G$5:$G$140="acoes"))*Inputs!$B$1+((Inputs!$G$5:$G$140&lt;&gt;"moeda")*(Inputs!$G$5:$G$140&lt;&gt;"acoes")))*INDEX(Inputs!$K$5:$AJ$140,0,MATCH(Q$2,Inputs!$K$4:$AJ$4,0)))+SUMPRODUCT((Inputs!$C$5:$C$140=$B18)*Inputs!$D$5:$D$140*(((Inputs!$G$5:$G$140="moeda")+(Inputs!$G$5:$G$140="acoes"))*Inputs!$B$1+((Inputs!$G$5:$G$140&lt;&gt;"moeda")*(Inputs!$G$5:$G$140&lt;&gt;"acoes")))*INDEX(Inputs!$K$5:$AJ$140,0,MATCH(Q$2,Inputs!$K$4:$AJ$4,0)))+SUMPRODUCT((Inputs!$E$5:$E$140=$B18)*Inputs!$F$5:$F$140*(((Inputs!$G$5:$G$140="moeda")+(Inputs!$G$5:$G$140="acoes"))*Inputs!$B$1+((Inputs!$G$5:$G$140&lt;&gt;"moeda")*(Inputs!$G$5:$G$140&lt;&gt;"acoes")))*INDEX(Inputs!$K$5:$AJ$140,0,MATCH(Q$2,Inputs!$K$4:$AJ$4,0)))))</f>
        <v>6081</v>
      </c>
      <c r="R18" s="3">
        <f>Q18</f>
        <v>6081</v>
      </c>
      <c r="S18" s="6">
        <f>IF(ISNA(MATCH(S$2,Inputs!$K$4:$AJ$4,0)),NA(),IF(SUMPRODUCT((Inputs!$A$5:$A$140=$B18)*ISNUMBER(INDEX(Inputs!$K$5:$AJ$140,0,MATCH(S$2,Inputs!$K$4:$AJ$4,0))))+SUMPRODUCT((Inputs!$C$5:$C$140=$B18)*ISNUMBER(INDEX(Inputs!$K$5:$AJ$140,0,MATCH(S$2,Inputs!$K$4:$AJ$4,0))))+SUMPRODUCT((Inputs!$E$5:$E$140=$B18)*ISNUMBER(INDEX(Inputs!$K$5:$AJ$140,0,MATCH(S$2,Inputs!$K$4:$AJ$4,0))))=0,NA(),SUMPRODUCT((Inputs!$A$5:$A$140=$B18)*Inputs!$B$5:$B$140*(((Inputs!$G$5:$G$140="moeda")+(Inputs!$G$5:$G$140="acoes"))*Inputs!$B$1+((Inputs!$G$5:$G$140&lt;&gt;"moeda")*(Inputs!$G$5:$G$140&lt;&gt;"acoes")))*INDEX(Inputs!$K$5:$AJ$140,0,MATCH(S$2,Inputs!$K$4:$AJ$4,0)))+SUMPRODUCT((Inputs!$C$5:$C$140=$B18)*Inputs!$D$5:$D$140*(((Inputs!$G$5:$G$140="moeda")+(Inputs!$G$5:$G$140="acoes"))*Inputs!$B$1+((Inputs!$G$5:$G$140&lt;&gt;"moeda")*(Inputs!$G$5:$G$140&lt;&gt;"acoes")))*INDEX(Inputs!$K$5:$AJ$140,0,MATCH(S$2,Inputs!$K$4:$AJ$4,0)))+SUMPRODUCT((Inputs!$E$5:$E$140=$B18)*Inputs!$F$5:$F$140*(((Inputs!$G$5:$G$140="moeda")+(Inputs!$G$5:$G$140="acoes"))*Inputs!$B$1+((Inputs!$G$5:$G$140&lt;&gt;"moeda")*(Inputs!$G$5:$G$140&lt;&gt;"acoes")))*INDEX(Inputs!$K$5:$AJ$140,0,MATCH(S$2,Inputs!$K$4:$AJ$4,0)))))</f>
        <v>7798</v>
      </c>
      <c r="T18" s="6">
        <f>IF(ISNA(MATCH(T$2,Inputs!$K$4:$AJ$4,0)),NA(),IF(SUMPRODUCT((Inputs!$A$5:$A$140=$B18)*ISNUMBER(INDEX(Inputs!$K$5:$AJ$140,0,MATCH(T$2,Inputs!$K$4:$AJ$4,0))))+SUMPRODUCT((Inputs!$C$5:$C$140=$B18)*ISNUMBER(INDEX(Inputs!$K$5:$AJ$140,0,MATCH(T$2,Inputs!$K$4:$AJ$4,0))))+SUMPRODUCT((Inputs!$E$5:$E$140=$B18)*ISNUMBER(INDEX(Inputs!$K$5:$AJ$140,0,MATCH(T$2,Inputs!$K$4:$AJ$4,0))))=0,NA(),SUMPRODUCT((Inputs!$A$5:$A$140=$B18)*Inputs!$B$5:$B$140*(((Inputs!$G$5:$G$140="moeda")+(Inputs!$G$5:$G$140="acoes"))*Inputs!$B$1+((Inputs!$G$5:$G$140&lt;&gt;"moeda")*(Inputs!$G$5:$G$140&lt;&gt;"acoes")))*INDEX(Inputs!$K$5:$AJ$140,0,MATCH(T$2,Inputs!$K$4:$AJ$4,0)))+SUMPRODUCT((Inputs!$C$5:$C$140=$B18)*Inputs!$D$5:$D$140*(((Inputs!$G$5:$G$140="moeda")+(Inputs!$G$5:$G$140="acoes"))*Inputs!$B$1+((Inputs!$G$5:$G$140&lt;&gt;"moeda")*(Inputs!$G$5:$G$140&lt;&gt;"acoes")))*INDEX(Inputs!$K$5:$AJ$140,0,MATCH(T$2,Inputs!$K$4:$AJ$4,0)))+SUMPRODUCT((Inputs!$E$5:$E$140=$B18)*Inputs!$F$5:$F$140*(((Inputs!$G$5:$G$140="moeda")+(Inputs!$G$5:$G$140="acoes"))*Inputs!$B$1+((Inputs!$G$5:$G$140&lt;&gt;"moeda")*(Inputs!$G$5:$G$140&lt;&gt;"acoes")))*INDEX(Inputs!$K$5:$AJ$140,0,MATCH(T$2,Inputs!$K$4:$AJ$4,0)))))</f>
        <v>9578</v>
      </c>
      <c r="U18" s="6">
        <f>IF(ISNA(MATCH(U$2,Inputs!$K$4:$AJ$4,0)),NA(),IF(SUMPRODUCT((Inputs!$A$5:$A$140=$B18)*ISNUMBER(INDEX(Inputs!$K$5:$AJ$140,0,MATCH(U$2,Inputs!$K$4:$AJ$4,0))))+SUMPRODUCT((Inputs!$C$5:$C$140=$B18)*ISNUMBER(INDEX(Inputs!$K$5:$AJ$140,0,MATCH(U$2,Inputs!$K$4:$AJ$4,0))))+SUMPRODUCT((Inputs!$E$5:$E$140=$B18)*ISNUMBER(INDEX(Inputs!$K$5:$AJ$140,0,MATCH(U$2,Inputs!$K$4:$AJ$4,0))))=0,NA(),SUMPRODUCT((Inputs!$A$5:$A$140=$B18)*Inputs!$B$5:$B$140*(((Inputs!$G$5:$G$140="moeda")+(Inputs!$G$5:$G$140="acoes"))*Inputs!$B$1+((Inputs!$G$5:$G$140&lt;&gt;"moeda")*(Inputs!$G$5:$G$140&lt;&gt;"acoes")))*INDEX(Inputs!$K$5:$AJ$140,0,MATCH(U$2,Inputs!$K$4:$AJ$4,0)))+SUMPRODUCT((Inputs!$C$5:$C$140=$B18)*Inputs!$D$5:$D$140*(((Inputs!$G$5:$G$140="moeda")+(Inputs!$G$5:$G$140="acoes"))*Inputs!$B$1+((Inputs!$G$5:$G$140&lt;&gt;"moeda")*(Inputs!$G$5:$G$140&lt;&gt;"acoes")))*INDEX(Inputs!$K$5:$AJ$140,0,MATCH(U$2,Inputs!$K$4:$AJ$4,0)))+SUMPRODUCT((Inputs!$E$5:$E$140=$B18)*Inputs!$F$5:$F$140*(((Inputs!$G$5:$G$140="moeda")+(Inputs!$G$5:$G$140="acoes"))*Inputs!$B$1+((Inputs!$G$5:$G$140&lt;&gt;"moeda")*(Inputs!$G$5:$G$140&lt;&gt;"acoes")))*INDEX(Inputs!$K$5:$AJ$140,0,MATCH(U$2,Inputs!$K$4:$AJ$4,0)))))</f>
        <v>10276</v>
      </c>
      <c r="V18" s="6">
        <f>IF(ISNA(MATCH(V$2,Inputs!$K$4:$AJ$4,0)),NA(),IF(SUMPRODUCT((Inputs!$A$5:$A$140=$B18)*ISNUMBER(INDEX(Inputs!$K$5:$AJ$140,0,MATCH(V$2,Inputs!$K$4:$AJ$4,0))))+SUMPRODUCT((Inputs!$C$5:$C$140=$B18)*ISNUMBER(INDEX(Inputs!$K$5:$AJ$140,0,MATCH(V$2,Inputs!$K$4:$AJ$4,0))))+SUMPRODUCT((Inputs!$E$5:$E$140=$B18)*ISNUMBER(INDEX(Inputs!$K$5:$AJ$140,0,MATCH(V$2,Inputs!$K$4:$AJ$4,0))))=0,NA(),SUMPRODUCT((Inputs!$A$5:$A$140=$B18)*Inputs!$B$5:$B$140*(((Inputs!$G$5:$G$140="moeda")+(Inputs!$G$5:$G$140="acoes"))*Inputs!$B$1+((Inputs!$G$5:$G$140&lt;&gt;"moeda")*(Inputs!$G$5:$G$140&lt;&gt;"acoes")))*INDEX(Inputs!$K$5:$AJ$140,0,MATCH(V$2,Inputs!$K$4:$AJ$4,0)))+SUMPRODUCT((Inputs!$C$5:$C$140=$B18)*Inputs!$D$5:$D$140*(((Inputs!$G$5:$G$140="moeda")+(Inputs!$G$5:$G$140="acoes"))*Inputs!$B$1+((Inputs!$G$5:$G$140&lt;&gt;"moeda")*(Inputs!$G$5:$G$140&lt;&gt;"acoes")))*INDEX(Inputs!$K$5:$AJ$140,0,MATCH(V$2,Inputs!$K$4:$AJ$4,0)))+SUMPRODUCT((Inputs!$E$5:$E$140=$B18)*Inputs!$F$5:$F$140*(((Inputs!$G$5:$G$140="moeda")+(Inputs!$G$5:$G$140="acoes"))*Inputs!$B$1+((Inputs!$G$5:$G$140&lt;&gt;"moeda")*(Inputs!$G$5:$G$140&lt;&gt;"acoes")))*INDEX(Inputs!$K$5:$AJ$140,0,MATCH(V$2,Inputs!$K$4:$AJ$4,0)))))</f>
        <v>10979</v>
      </c>
      <c r="W18" s="3">
        <f>V18</f>
        <v>10979</v>
      </c>
      <c r="X18" s="6">
        <f>IF(ISNA(MATCH(X$2,Inputs!$K$4:$AJ$4,0)),NA(),IF(SUMPRODUCT((Inputs!$A$5:$A$140=$B18)*ISNUMBER(INDEX(Inputs!$K$5:$AJ$140,0,MATCH(X$2,Inputs!$K$4:$AJ$4,0))))+SUMPRODUCT((Inputs!$C$5:$C$140=$B18)*ISNUMBER(INDEX(Inputs!$K$5:$AJ$140,0,MATCH(X$2,Inputs!$K$4:$AJ$4,0))))+SUMPRODUCT((Inputs!$E$5:$E$140=$B18)*ISNUMBER(INDEX(Inputs!$K$5:$AJ$140,0,MATCH(X$2,Inputs!$K$4:$AJ$4,0))))=0,NA(),SUMPRODUCT((Inputs!$A$5:$A$140=$B18)*Inputs!$B$5:$B$140*(((Inputs!$G$5:$G$140="moeda")+(Inputs!$G$5:$G$140="acoes"))*Inputs!$B$1+((Inputs!$G$5:$G$140&lt;&gt;"moeda")*(Inputs!$G$5:$G$140&lt;&gt;"acoes")))*INDEX(Inputs!$K$5:$AJ$140,0,MATCH(X$2,Inputs!$K$4:$AJ$4,0)))+SUMPRODUCT((Inputs!$C$5:$C$140=$B18)*Inputs!$D$5:$D$140*(((Inputs!$G$5:$G$140="moeda")+(Inputs!$G$5:$G$140="acoes"))*Inputs!$B$1+((Inputs!$G$5:$G$140&lt;&gt;"moeda")*(Inputs!$G$5:$G$140&lt;&gt;"acoes")))*INDEX(Inputs!$K$5:$AJ$140,0,MATCH(X$2,Inputs!$K$4:$AJ$4,0)))+SUMPRODUCT((Inputs!$E$5:$E$140=$B18)*Inputs!$F$5:$F$140*(((Inputs!$G$5:$G$140="moeda")+(Inputs!$G$5:$G$140="acoes"))*Inputs!$B$1+((Inputs!$G$5:$G$140&lt;&gt;"moeda")*(Inputs!$G$5:$G$140&lt;&gt;"acoes")))*INDEX(Inputs!$K$5:$AJ$140,0,MATCH(X$2,Inputs!$K$4:$AJ$4,0)))))</f>
        <v>13318</v>
      </c>
      <c r="Y18" s="6">
        <f>IF(ISNA(MATCH(Y$2,Inputs!$K$4:$AJ$4,0)),NA(),IF(SUMPRODUCT((Inputs!$A$5:$A$140=$B18)*ISNUMBER(INDEX(Inputs!$K$5:$AJ$140,0,MATCH(Y$2,Inputs!$K$4:$AJ$4,0))))+SUMPRODUCT((Inputs!$C$5:$C$140=$B18)*ISNUMBER(INDEX(Inputs!$K$5:$AJ$140,0,MATCH(Y$2,Inputs!$K$4:$AJ$4,0))))+SUMPRODUCT((Inputs!$E$5:$E$140=$B18)*ISNUMBER(INDEX(Inputs!$K$5:$AJ$140,0,MATCH(Y$2,Inputs!$K$4:$AJ$4,0))))=0,NA(),SUMPRODUCT((Inputs!$A$5:$A$140=$B18)*Inputs!$B$5:$B$140*(((Inputs!$G$5:$G$140="moeda")+(Inputs!$G$5:$G$140="acoes"))*Inputs!$B$1+((Inputs!$G$5:$G$140&lt;&gt;"moeda")*(Inputs!$G$5:$G$140&lt;&gt;"acoes")))*INDEX(Inputs!$K$5:$AJ$140,0,MATCH(Y$2,Inputs!$K$4:$AJ$4,0)))+SUMPRODUCT((Inputs!$C$5:$C$140=$B18)*Inputs!$D$5:$D$140*(((Inputs!$G$5:$G$140="moeda")+(Inputs!$G$5:$G$140="acoes"))*Inputs!$B$1+((Inputs!$G$5:$G$140&lt;&gt;"moeda")*(Inputs!$G$5:$G$140&lt;&gt;"acoes")))*INDEX(Inputs!$K$5:$AJ$140,0,MATCH(Y$2,Inputs!$K$4:$AJ$4,0)))+SUMPRODUCT((Inputs!$E$5:$E$140=$B18)*Inputs!$F$5:$F$140*(((Inputs!$G$5:$G$140="moeda")+(Inputs!$G$5:$G$140="acoes"))*Inputs!$B$1+((Inputs!$G$5:$G$140&lt;&gt;"moeda")*(Inputs!$G$5:$G$140&lt;&gt;"acoes")))*INDEX(Inputs!$K$5:$AJ$140,0,MATCH(Y$2,Inputs!$K$4:$AJ$4,0)))))</f>
        <v>13570</v>
      </c>
      <c r="Z18" s="6">
        <f>IF(ISNA(MATCH(Z$2,Inputs!$K$4:$AJ$4,0)),NA(),IF(SUMPRODUCT((Inputs!$A$5:$A$140=$B18)*ISNUMBER(INDEX(Inputs!$K$5:$AJ$140,0,MATCH(Z$2,Inputs!$K$4:$AJ$4,0))))+SUMPRODUCT((Inputs!$C$5:$C$140=$B18)*ISNUMBER(INDEX(Inputs!$K$5:$AJ$140,0,MATCH(Z$2,Inputs!$K$4:$AJ$4,0))))+SUMPRODUCT((Inputs!$E$5:$E$140=$B18)*ISNUMBER(INDEX(Inputs!$K$5:$AJ$140,0,MATCH(Z$2,Inputs!$K$4:$AJ$4,0))))=0,NA(),SUMPRODUCT((Inputs!$A$5:$A$140=$B18)*Inputs!$B$5:$B$140*(((Inputs!$G$5:$G$140="moeda")+(Inputs!$G$5:$G$140="acoes"))*Inputs!$B$1+((Inputs!$G$5:$G$140&lt;&gt;"moeda")*(Inputs!$G$5:$G$140&lt;&gt;"acoes")))*INDEX(Inputs!$K$5:$AJ$140,0,MATCH(Z$2,Inputs!$K$4:$AJ$4,0)))+SUMPRODUCT((Inputs!$C$5:$C$140=$B18)*Inputs!$D$5:$D$140*(((Inputs!$G$5:$G$140="moeda")+(Inputs!$G$5:$G$140="acoes"))*Inputs!$B$1+((Inputs!$G$5:$G$140&lt;&gt;"moeda")*(Inputs!$G$5:$G$140&lt;&gt;"acoes")))*INDEX(Inputs!$K$5:$AJ$140,0,MATCH(Z$2,Inputs!$K$4:$AJ$4,0)))+SUMPRODUCT((Inputs!$E$5:$E$140=$B18)*Inputs!$F$5:$F$140*(((Inputs!$G$5:$G$140="moeda")+(Inputs!$G$5:$G$140="acoes"))*Inputs!$B$1+((Inputs!$G$5:$G$140&lt;&gt;"moeda")*(Inputs!$G$5:$G$140&lt;&gt;"acoes")))*INDEX(Inputs!$K$5:$AJ$140,0,MATCH(Z$2,Inputs!$K$4:$AJ$4,0)))))</f>
        <v>13674</v>
      </c>
      <c r="AA18" s="6">
        <f>IF(ISNA(MATCH(AA$2,Inputs!$K$4:$AJ$4,0)),NA(),IF(SUMPRODUCT((Inputs!$A$5:$A$140=$B18)*ISNUMBER(INDEX(Inputs!$K$5:$AJ$140,0,MATCH(AA$2,Inputs!$K$4:$AJ$4,0))))+SUMPRODUCT((Inputs!$C$5:$C$140=$B18)*ISNUMBER(INDEX(Inputs!$K$5:$AJ$140,0,MATCH(AA$2,Inputs!$K$4:$AJ$4,0))))+SUMPRODUCT((Inputs!$E$5:$E$140=$B18)*ISNUMBER(INDEX(Inputs!$K$5:$AJ$140,0,MATCH(AA$2,Inputs!$K$4:$AJ$4,0))))=0,NA(),SUMPRODUCT((Inputs!$A$5:$A$140=$B18)*Inputs!$B$5:$B$140*(((Inputs!$G$5:$G$140="moeda")+(Inputs!$G$5:$G$140="acoes"))*Inputs!$B$1+((Inputs!$G$5:$G$140&lt;&gt;"moeda")*(Inputs!$G$5:$G$140&lt;&gt;"acoes")))*INDEX(Inputs!$K$5:$AJ$140,0,MATCH(AA$2,Inputs!$K$4:$AJ$4,0)))+SUMPRODUCT((Inputs!$C$5:$C$140=$B18)*Inputs!$D$5:$D$140*(((Inputs!$G$5:$G$140="moeda")+(Inputs!$G$5:$G$140="acoes"))*Inputs!$B$1+((Inputs!$G$5:$G$140&lt;&gt;"moeda")*(Inputs!$G$5:$G$140&lt;&gt;"acoes")))*INDEX(Inputs!$K$5:$AJ$140,0,MATCH(AA$2,Inputs!$K$4:$AJ$4,0)))+SUMPRODUCT((Inputs!$E$5:$E$140=$B18)*Inputs!$F$5:$F$140*(((Inputs!$G$5:$G$140="moeda")+(Inputs!$G$5:$G$140="acoes"))*Inputs!$B$1+((Inputs!$G$5:$G$140&lt;&gt;"moeda")*(Inputs!$G$5:$G$140&lt;&gt;"acoes")))*INDEX(Inputs!$K$5:$AJ$140,0,MATCH(AA$2,Inputs!$K$4:$AJ$4,0)))))</f>
        <v>13258</v>
      </c>
      <c r="AB18" s="3">
        <f>AA18</f>
        <v>13258</v>
      </c>
      <c r="AC18" s="6">
        <f>IF(ISNA(MATCH(AC$2,Inputs!$K$4:$AJ$4,0)),NA(),IF(SUMPRODUCT((Inputs!$A$5:$A$140=$B18)*ISNUMBER(INDEX(Inputs!$K$5:$AJ$140,0,MATCH(AC$2,Inputs!$K$4:$AJ$4,0))))+SUMPRODUCT((Inputs!$C$5:$C$140=$B18)*ISNUMBER(INDEX(Inputs!$K$5:$AJ$140,0,MATCH(AC$2,Inputs!$K$4:$AJ$4,0))))+SUMPRODUCT((Inputs!$E$5:$E$140=$B18)*ISNUMBER(INDEX(Inputs!$K$5:$AJ$140,0,MATCH(AC$2,Inputs!$K$4:$AJ$4,0))))=0,NA(),SUMPRODUCT((Inputs!$A$5:$A$140=$B18)*Inputs!$B$5:$B$140*(((Inputs!$G$5:$G$140="moeda")+(Inputs!$G$5:$G$140="acoes"))*Inputs!$B$1+((Inputs!$G$5:$G$140&lt;&gt;"moeda")*(Inputs!$G$5:$G$140&lt;&gt;"acoes")))*INDEX(Inputs!$K$5:$AJ$140,0,MATCH(AC$2,Inputs!$K$4:$AJ$4,0)))+SUMPRODUCT((Inputs!$C$5:$C$140=$B18)*Inputs!$D$5:$D$140*(((Inputs!$G$5:$G$140="moeda")+(Inputs!$G$5:$G$140="acoes"))*Inputs!$B$1+((Inputs!$G$5:$G$140&lt;&gt;"moeda")*(Inputs!$G$5:$G$140&lt;&gt;"acoes")))*INDEX(Inputs!$K$5:$AJ$140,0,MATCH(AC$2,Inputs!$K$4:$AJ$4,0)))+SUMPRODUCT((Inputs!$E$5:$E$140=$B18)*Inputs!$F$5:$F$140*(((Inputs!$G$5:$G$140="moeda")+(Inputs!$G$5:$G$140="acoes"))*Inputs!$B$1+((Inputs!$G$5:$G$140&lt;&gt;"moeda")*(Inputs!$G$5:$G$140&lt;&gt;"acoes")))*INDEX(Inputs!$K$5:$AJ$140,0,MATCH(AC$2,Inputs!$K$4:$AJ$4,0)))))</f>
        <v>11707</v>
      </c>
      <c r="AD18" s="6">
        <f>IF(ISNA(MATCH(AD$2,Inputs!$K$4:$AJ$4,0)),NA(),IF(SUMPRODUCT((Inputs!$A$5:$A$140=$B18)*ISNUMBER(INDEX(Inputs!$K$5:$AJ$140,0,MATCH(AD$2,Inputs!$K$4:$AJ$4,0))))+SUMPRODUCT((Inputs!$C$5:$C$140=$B18)*ISNUMBER(INDEX(Inputs!$K$5:$AJ$140,0,MATCH(AD$2,Inputs!$K$4:$AJ$4,0))))+SUMPRODUCT((Inputs!$E$5:$E$140=$B18)*ISNUMBER(INDEX(Inputs!$K$5:$AJ$140,0,MATCH(AD$2,Inputs!$K$4:$AJ$4,0))))=0,NA(),SUMPRODUCT((Inputs!$A$5:$A$140=$B18)*Inputs!$B$5:$B$140*(((Inputs!$G$5:$G$140="moeda")+(Inputs!$G$5:$G$140="acoes"))*Inputs!$B$1+((Inputs!$G$5:$G$140&lt;&gt;"moeda")*(Inputs!$G$5:$G$140&lt;&gt;"acoes")))*INDEX(Inputs!$K$5:$AJ$140,0,MATCH(AD$2,Inputs!$K$4:$AJ$4,0)))+SUMPRODUCT((Inputs!$C$5:$C$140=$B18)*Inputs!$D$5:$D$140*(((Inputs!$G$5:$G$140="moeda")+(Inputs!$G$5:$G$140="acoes"))*Inputs!$B$1+((Inputs!$G$5:$G$140&lt;&gt;"moeda")*(Inputs!$G$5:$G$140&lt;&gt;"acoes")))*INDEX(Inputs!$K$5:$AJ$140,0,MATCH(AD$2,Inputs!$K$4:$AJ$4,0)))+SUMPRODUCT((Inputs!$E$5:$E$140=$B18)*Inputs!$F$5:$F$140*(((Inputs!$G$5:$G$140="moeda")+(Inputs!$G$5:$G$140="acoes"))*Inputs!$B$1+((Inputs!$G$5:$G$140&lt;&gt;"moeda")*(Inputs!$G$5:$G$140&lt;&gt;"acoes")))*INDEX(Inputs!$K$5:$AJ$140,0,MATCH(AD$2,Inputs!$K$4:$AJ$4,0)))))</f>
        <v>12159</v>
      </c>
      <c r="AE18" s="6" t="e">
        <f>IF(ISNA(MATCH(AE$2,Inputs!$K$4:$AJ$4,0)),NA(),IF(SUMPRODUCT((Inputs!$A$5:$A$140=$B18)*ISNUMBER(INDEX(Inputs!$K$5:$AJ$140,0,MATCH(AE$2,Inputs!$K$4:$AJ$4,0))))+SUMPRODUCT((Inputs!$C$5:$C$140=$B18)*ISNUMBER(INDEX(Inputs!$K$5:$AJ$140,0,MATCH(AE$2,Inputs!$K$4:$AJ$4,0))))+SUMPRODUCT((Inputs!$E$5:$E$140=$B18)*ISNUMBER(INDEX(Inputs!$K$5:$AJ$140,0,MATCH(AE$2,Inputs!$K$4:$AJ$4,0))))=0,NA(),SUMPRODUCT((Inputs!$A$5:$A$140=$B18)*Inputs!$B$5:$B$140*(((Inputs!$G$5:$G$140="moeda")+(Inputs!$G$5:$G$140="acoes"))*Inputs!$B$1+((Inputs!$G$5:$G$140&lt;&gt;"moeda")*(Inputs!$G$5:$G$140&lt;&gt;"acoes")))*INDEX(Inputs!$K$5:$AJ$140,0,MATCH(AE$2,Inputs!$K$4:$AJ$4,0)))+SUMPRODUCT((Inputs!$C$5:$C$140=$B18)*Inputs!$D$5:$D$140*(((Inputs!$G$5:$G$140="moeda")+(Inputs!$G$5:$G$140="acoes"))*Inputs!$B$1+((Inputs!$G$5:$G$140&lt;&gt;"moeda")*(Inputs!$G$5:$G$140&lt;&gt;"acoes")))*INDEX(Inputs!$K$5:$AJ$140,0,MATCH(AE$2,Inputs!$K$4:$AJ$4,0)))+SUMPRODUCT((Inputs!$E$5:$E$140=$B18)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18" s="6" t="e">
        <f>IF(ISNA(MATCH(AF$2,Inputs!$K$4:$AJ$4,0)),NA(),IF(SUMPRODUCT((Inputs!$A$5:$A$140=$B18)*ISNUMBER(INDEX(Inputs!$K$5:$AJ$140,0,MATCH(AF$2,Inputs!$K$4:$AJ$4,0))))+SUMPRODUCT((Inputs!$C$5:$C$140=$B18)*ISNUMBER(INDEX(Inputs!$K$5:$AJ$140,0,MATCH(AF$2,Inputs!$K$4:$AJ$4,0))))+SUMPRODUCT((Inputs!$E$5:$E$140=$B18)*ISNUMBER(INDEX(Inputs!$K$5:$AJ$140,0,MATCH(AF$2,Inputs!$K$4:$AJ$4,0))))=0,NA(),SUMPRODUCT((Inputs!$A$5:$A$140=$B18)*Inputs!$B$5:$B$140*(((Inputs!$G$5:$G$140="moeda")+(Inputs!$G$5:$G$140="acoes"))*Inputs!$B$1+((Inputs!$G$5:$G$140&lt;&gt;"moeda")*(Inputs!$G$5:$G$140&lt;&gt;"acoes")))*INDEX(Inputs!$K$5:$AJ$140,0,MATCH(AF$2,Inputs!$K$4:$AJ$4,0)))+SUMPRODUCT((Inputs!$C$5:$C$140=$B18)*Inputs!$D$5:$D$140*(((Inputs!$G$5:$G$140="moeda")+(Inputs!$G$5:$G$140="acoes"))*Inputs!$B$1+((Inputs!$G$5:$G$140&lt;&gt;"moeda")*(Inputs!$G$5:$G$140&lt;&gt;"acoes")))*INDEX(Inputs!$K$5:$AJ$140,0,MATCH(AF$2,Inputs!$K$4:$AJ$4,0)))+SUMPRODUCT((Inputs!$E$5:$E$140=$B18)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18" s="3" t="e">
        <f>AF18</f>
        <v>#N/A</v>
      </c>
      <c r="AH18" s="6">
        <f>IF(ISNA(MATCH(AH$2,Inputs!$K$4:$AJ$4,0)),NA(),IF(SUMPRODUCT((Inputs!$A$5:$A$140=$B18)*ISNUMBER(INDEX(Inputs!$K$5:$AJ$140,0,MATCH(AH$2,Inputs!$K$4:$AJ$4,0))))+SUMPRODUCT((Inputs!$C$5:$C$140=$B18)*ISNUMBER(INDEX(Inputs!$K$5:$AJ$140,0,MATCH(AH$2,Inputs!$K$4:$AJ$4,0))))+SUMPRODUCT((Inputs!$E$5:$E$140=$B18)*ISNUMBER(INDEX(Inputs!$K$5:$AJ$140,0,MATCH(AH$2,Inputs!$K$4:$AJ$4,0))))=0,NA(),SUMPRODUCT((Inputs!$A$5:$A$140=$B18)*Inputs!$B$5:$B$140*(((Inputs!$G$5:$G$140="moeda")+(Inputs!$G$5:$G$140="acoes"))*Inputs!$B$1+((Inputs!$G$5:$G$140&lt;&gt;"moeda")*(Inputs!$G$5:$G$140&lt;&gt;"acoes")))*INDEX(Inputs!$K$5:$AJ$140,0,MATCH(AH$2,Inputs!$K$4:$AJ$4,0)))+SUMPRODUCT((Inputs!$C$5:$C$140=$B18)*Inputs!$D$5:$D$140*(((Inputs!$G$5:$G$140="moeda")+(Inputs!$G$5:$G$140="acoes"))*Inputs!$B$1+((Inputs!$G$5:$G$140&lt;&gt;"moeda")*(Inputs!$G$5:$G$140&lt;&gt;"acoes")))*INDEX(Inputs!$K$5:$AJ$140,0,MATCH(AH$2,Inputs!$K$4:$AJ$4,0)))+SUMPRODUCT((Inputs!$E$5:$E$140=$B18)*Inputs!$F$5:$F$140*(((Inputs!$G$5:$G$140="moeda")+(Inputs!$G$5:$G$140="acoes"))*Inputs!$B$1+((Inputs!$G$5:$G$140&lt;&gt;"moeda")*(Inputs!$G$5:$G$140&lt;&gt;"acoes")))*INDEX(Inputs!$K$5:$AJ$140,0,MATCH(AH$2,Inputs!$K$4:$AJ$4,0)))))</f>
        <v>533</v>
      </c>
      <c r="AI18" s="6">
        <f>IF(ISNA(MATCH(AI$2,Inputs!$K$4:$AJ$4,0)),NA(),IF(SUMPRODUCT((Inputs!$A$5:$A$140=$B18)*ISNUMBER(INDEX(Inputs!$K$5:$AJ$140,0,MATCH(AI$2,Inputs!$K$4:$AJ$4,0))))+SUMPRODUCT((Inputs!$C$5:$C$140=$B18)*ISNUMBER(INDEX(Inputs!$K$5:$AJ$140,0,MATCH(AI$2,Inputs!$K$4:$AJ$4,0))))+SUMPRODUCT((Inputs!$E$5:$E$140=$B18)*ISNUMBER(INDEX(Inputs!$K$5:$AJ$140,0,MATCH(AI$2,Inputs!$K$4:$AJ$4,0))))=0,NA(),SUMPRODUCT((Inputs!$A$5:$A$140=$B18)*Inputs!$B$5:$B$140*(((Inputs!$G$5:$G$140="moeda")+(Inputs!$G$5:$G$140="acoes"))*Inputs!$B$1+((Inputs!$G$5:$G$140&lt;&gt;"moeda")*(Inputs!$G$5:$G$140&lt;&gt;"acoes")))*INDEX(Inputs!$K$5:$AJ$140,0,MATCH(AI$2,Inputs!$K$4:$AJ$4,0)))+SUMPRODUCT((Inputs!$C$5:$C$140=$B18)*Inputs!$D$5:$D$140*(((Inputs!$G$5:$G$140="moeda")+(Inputs!$G$5:$G$140="acoes"))*Inputs!$B$1+((Inputs!$G$5:$G$140&lt;&gt;"moeda")*(Inputs!$G$5:$G$140&lt;&gt;"acoes")))*INDEX(Inputs!$K$5:$AJ$140,0,MATCH(AI$2,Inputs!$K$4:$AJ$4,0)))+SUMPRODUCT((Inputs!$E$5:$E$140=$B18)*Inputs!$F$5:$F$140*(((Inputs!$G$5:$G$140="moeda")+(Inputs!$G$5:$G$140="acoes"))*Inputs!$B$1+((Inputs!$G$5:$G$140&lt;&gt;"moeda")*(Inputs!$G$5:$G$140&lt;&gt;"acoes")))*INDEX(Inputs!$K$5:$AJ$140,0,MATCH(AI$2,Inputs!$K$4:$AJ$4,0)))))</f>
        <v>630</v>
      </c>
      <c r="AJ18" s="6">
        <f>IF(ISNA(MATCH(AJ$2,Inputs!$K$4:$AJ$4,0)),NA(),IF(SUMPRODUCT((Inputs!$A$5:$A$140=$B18)*ISNUMBER(INDEX(Inputs!$K$5:$AJ$140,0,MATCH(AJ$2,Inputs!$K$4:$AJ$4,0))))+SUMPRODUCT((Inputs!$C$5:$C$140=$B18)*ISNUMBER(INDEX(Inputs!$K$5:$AJ$140,0,MATCH(AJ$2,Inputs!$K$4:$AJ$4,0))))+SUMPRODUCT((Inputs!$E$5:$E$140=$B18)*ISNUMBER(INDEX(Inputs!$K$5:$AJ$140,0,MATCH(AJ$2,Inputs!$K$4:$AJ$4,0))))=0,NA(),SUMPRODUCT((Inputs!$A$5:$A$140=$B18)*Inputs!$B$5:$B$140*(((Inputs!$G$5:$G$140="moeda")+(Inputs!$G$5:$G$140="acoes"))*Inputs!$B$1+((Inputs!$G$5:$G$140&lt;&gt;"moeda")*(Inputs!$G$5:$G$140&lt;&gt;"acoes")))*INDEX(Inputs!$K$5:$AJ$140,0,MATCH(AJ$2,Inputs!$K$4:$AJ$4,0)))+SUMPRODUCT((Inputs!$C$5:$C$140=$B18)*Inputs!$D$5:$D$140*(((Inputs!$G$5:$G$140="moeda")+(Inputs!$G$5:$G$140="acoes"))*Inputs!$B$1+((Inputs!$G$5:$G$140&lt;&gt;"moeda")*(Inputs!$G$5:$G$140&lt;&gt;"acoes")))*INDEX(Inputs!$K$5:$AJ$140,0,MATCH(AJ$2,Inputs!$K$4:$AJ$4,0)))+SUMPRODUCT((Inputs!$E$5:$E$140=$B18)*Inputs!$F$5:$F$140*(((Inputs!$G$5:$G$140="moeda")+(Inputs!$G$5:$G$140="acoes"))*Inputs!$B$1+((Inputs!$G$5:$G$140&lt;&gt;"moeda")*(Inputs!$G$5:$G$140&lt;&gt;"acoes")))*INDEX(Inputs!$K$5:$AJ$140,0,MATCH(AJ$2,Inputs!$K$4:$AJ$4,0)))))</f>
        <v>666</v>
      </c>
      <c r="AK18" s="6">
        <f>IF(ISNA(MATCH(AK$2,Inputs!$K$4:$AJ$4,0)),NA(),IF(SUMPRODUCT((Inputs!$A$5:$A$140=$B18)*ISNUMBER(INDEX(Inputs!$K$5:$AJ$140,0,MATCH(AK$2,Inputs!$K$4:$AJ$4,0))))+SUMPRODUCT((Inputs!$C$5:$C$140=$B18)*ISNUMBER(INDEX(Inputs!$K$5:$AJ$140,0,MATCH(AK$2,Inputs!$K$4:$AJ$4,0))))+SUMPRODUCT((Inputs!$E$5:$E$140=$B18)*ISNUMBER(INDEX(Inputs!$K$5:$AJ$140,0,MATCH(AK$2,Inputs!$K$4:$AJ$4,0))))=0,NA(),SUMPRODUCT((Inputs!$A$5:$A$140=$B18)*Inputs!$B$5:$B$140*(((Inputs!$G$5:$G$140="moeda")+(Inputs!$G$5:$G$140="acoes"))*Inputs!$B$1+((Inputs!$G$5:$G$140&lt;&gt;"moeda")*(Inputs!$G$5:$G$140&lt;&gt;"acoes")))*INDEX(Inputs!$K$5:$AJ$140,0,MATCH(AK$2,Inputs!$K$4:$AJ$4,0)))+SUMPRODUCT((Inputs!$C$5:$C$140=$B18)*Inputs!$D$5:$D$140*(((Inputs!$G$5:$G$140="moeda")+(Inputs!$G$5:$G$140="acoes"))*Inputs!$B$1+((Inputs!$G$5:$G$140&lt;&gt;"moeda")*(Inputs!$G$5:$G$140&lt;&gt;"acoes")))*INDEX(Inputs!$K$5:$AJ$140,0,MATCH(AK$2,Inputs!$K$4:$AJ$4,0)))+SUMPRODUCT((Inputs!$E$5:$E$140=$B18)*Inputs!$F$5:$F$140*(((Inputs!$G$5:$G$140="moeda")+(Inputs!$G$5:$G$140="acoes"))*Inputs!$B$1+((Inputs!$G$5:$G$140&lt;&gt;"moeda")*(Inputs!$G$5:$G$140&lt;&gt;"acoes")))*INDEX(Inputs!$K$5:$AJ$140,0,MATCH(AK$2,Inputs!$K$4:$AJ$4,0)))))</f>
        <v>806</v>
      </c>
      <c r="AL18" s="3">
        <f>AK18</f>
        <v>806</v>
      </c>
    </row>
    <row r="19">
      <c r="B19" s="46" t="n">
        <v>15</v>
      </c>
      <c r="C19" s="26" t="inlineStr">
        <is>
          <t>Prepaid expenses</t>
        </is>
      </c>
      <c r="D19" s="6" t="e">
        <f>IF(ISNA(MATCH(D$2,Inputs!$K$4:$AJ$4,0)),NA(),IF(SUMPRODUCT((Inputs!$A$5:$A$140=$B19)*ISNUMBER(INDEX(Inputs!$K$5:$AJ$140,0,MATCH(D$2,Inputs!$K$4:$AJ$4,0))))+SUMPRODUCT((Inputs!$C$5:$C$140=$B19)*ISNUMBER(INDEX(Inputs!$K$5:$AJ$140,0,MATCH(D$2,Inputs!$K$4:$AJ$4,0))))+SUMPRODUCT((Inputs!$E$5:$E$140=$B19)*ISNUMBER(INDEX(Inputs!$K$5:$AJ$140,0,MATCH(D$2,Inputs!$K$4:$AJ$4,0))))=0,NA(),SUMPRODUCT((Inputs!$A$5:$A$140=$B19)*Inputs!$B$5:$B$140*(((Inputs!$G$5:$G$140="moeda")+(Inputs!$G$5:$G$140="acoes"))*Inputs!$B$1+((Inputs!$G$5:$G$140&lt;&gt;"moeda")*(Inputs!$G$5:$G$140&lt;&gt;"acoes")))*INDEX(Inputs!$K$5:$AJ$140,0,MATCH(D$2,Inputs!$K$4:$AJ$4,0)))+SUMPRODUCT((Inputs!$C$5:$C$140=$B19)*Inputs!$D$5:$D$140*(((Inputs!$G$5:$G$140="moeda")+(Inputs!$G$5:$G$140="acoes"))*Inputs!$B$1+((Inputs!$G$5:$G$140&lt;&gt;"moeda")*(Inputs!$G$5:$G$140&lt;&gt;"acoes")))*INDEX(Inputs!$K$5:$AJ$140,0,MATCH(D$2,Inputs!$K$4:$AJ$4,0)))+SUMPRODUCT((Inputs!$E$5:$E$140=$B19)*Inputs!$F$5:$F$140*(((Inputs!$G$5:$G$140="moeda")+(Inputs!$G$5:$G$140="acoes"))*Inputs!$B$1+((Inputs!$G$5:$G$140&lt;&gt;"moeda")*(Inputs!$G$5:$G$140&lt;&gt;"acoes")))*INDEX(Inputs!$K$5:$AJ$140,0,MATCH(D$2,Inputs!$K$4:$AJ$4,0)))))</f>
        <v>#N/A</v>
      </c>
      <c r="E19" s="6" t="e">
        <f>IF(ISNA(MATCH(E$2,Inputs!$K$4:$AJ$4,0)),NA(),IF(SUMPRODUCT((Inputs!$A$5:$A$140=$B19)*ISNUMBER(INDEX(Inputs!$K$5:$AJ$140,0,MATCH(E$2,Inputs!$K$4:$AJ$4,0))))+SUMPRODUCT((Inputs!$C$5:$C$140=$B19)*ISNUMBER(INDEX(Inputs!$K$5:$AJ$140,0,MATCH(E$2,Inputs!$K$4:$AJ$4,0))))+SUMPRODUCT((Inputs!$E$5:$E$140=$B19)*ISNUMBER(INDEX(Inputs!$K$5:$AJ$140,0,MATCH(E$2,Inputs!$K$4:$AJ$4,0))))=0,NA(),SUMPRODUCT((Inputs!$A$5:$A$140=$B19)*Inputs!$B$5:$B$140*(((Inputs!$G$5:$G$140="moeda")+(Inputs!$G$5:$G$140="acoes"))*Inputs!$B$1+((Inputs!$G$5:$G$140&lt;&gt;"moeda")*(Inputs!$G$5:$G$140&lt;&gt;"acoes")))*INDEX(Inputs!$K$5:$AJ$140,0,MATCH(E$2,Inputs!$K$4:$AJ$4,0)))+SUMPRODUCT((Inputs!$C$5:$C$140=$B19)*Inputs!$D$5:$D$140*(((Inputs!$G$5:$G$140="moeda")+(Inputs!$G$5:$G$140="acoes"))*Inputs!$B$1+((Inputs!$G$5:$G$140&lt;&gt;"moeda")*(Inputs!$G$5:$G$140&lt;&gt;"acoes")))*INDEX(Inputs!$K$5:$AJ$140,0,MATCH(E$2,Inputs!$K$4:$AJ$4,0)))+SUMPRODUCT((Inputs!$E$5:$E$140=$B19)*Inputs!$F$5:$F$140*(((Inputs!$G$5:$G$140="moeda")+(Inputs!$G$5:$G$140="acoes"))*Inputs!$B$1+((Inputs!$G$5:$G$140&lt;&gt;"moeda")*(Inputs!$G$5:$G$140&lt;&gt;"acoes")))*INDEX(Inputs!$K$5:$AJ$140,0,MATCH(E$2,Inputs!$K$4:$AJ$4,0)))))</f>
        <v>#N/A</v>
      </c>
      <c r="F19" s="6" t="e">
        <f>IF(ISNA(MATCH(F$2,Inputs!$K$4:$AJ$4,0)),NA(),IF(SUMPRODUCT((Inputs!$A$5:$A$140=$B19)*ISNUMBER(INDEX(Inputs!$K$5:$AJ$140,0,MATCH(F$2,Inputs!$K$4:$AJ$4,0))))+SUMPRODUCT((Inputs!$C$5:$C$140=$B19)*ISNUMBER(INDEX(Inputs!$K$5:$AJ$140,0,MATCH(F$2,Inputs!$K$4:$AJ$4,0))))+SUMPRODUCT((Inputs!$E$5:$E$140=$B19)*ISNUMBER(INDEX(Inputs!$K$5:$AJ$140,0,MATCH(F$2,Inputs!$K$4:$AJ$4,0))))=0,NA(),SUMPRODUCT((Inputs!$A$5:$A$140=$B19)*Inputs!$B$5:$B$140*(((Inputs!$G$5:$G$140="moeda")+(Inputs!$G$5:$G$140="acoes"))*Inputs!$B$1+((Inputs!$G$5:$G$140&lt;&gt;"moeda")*(Inputs!$G$5:$G$140&lt;&gt;"acoes")))*INDEX(Inputs!$K$5:$AJ$140,0,MATCH(F$2,Inputs!$K$4:$AJ$4,0)))+SUMPRODUCT((Inputs!$C$5:$C$140=$B19)*Inputs!$D$5:$D$140*(((Inputs!$G$5:$G$140="moeda")+(Inputs!$G$5:$G$140="acoes"))*Inputs!$B$1+((Inputs!$G$5:$G$140&lt;&gt;"moeda")*(Inputs!$G$5:$G$140&lt;&gt;"acoes")))*INDEX(Inputs!$K$5:$AJ$140,0,MATCH(F$2,Inputs!$K$4:$AJ$4,0)))+SUMPRODUCT((Inputs!$E$5:$E$140=$B19)*Inputs!$F$5:$F$140*(((Inputs!$G$5:$G$140="moeda")+(Inputs!$G$5:$G$140="acoes"))*Inputs!$B$1+((Inputs!$G$5:$G$140&lt;&gt;"moeda")*(Inputs!$G$5:$G$140&lt;&gt;"acoes")))*INDEX(Inputs!$K$5:$AJ$140,0,MATCH(F$2,Inputs!$K$4:$AJ$4,0)))))</f>
        <v>#N/A</v>
      </c>
      <c r="G19" s="6" t="e">
        <f>IF(ISNA(MATCH(G$2,Inputs!$K$4:$AJ$4,0)),NA(),IF(SUMPRODUCT((Inputs!$A$5:$A$140=$B19)*ISNUMBER(INDEX(Inputs!$K$5:$AJ$140,0,MATCH(G$2,Inputs!$K$4:$AJ$4,0))))+SUMPRODUCT((Inputs!$C$5:$C$140=$B19)*ISNUMBER(INDEX(Inputs!$K$5:$AJ$140,0,MATCH(G$2,Inputs!$K$4:$AJ$4,0))))+SUMPRODUCT((Inputs!$E$5:$E$140=$B19)*ISNUMBER(INDEX(Inputs!$K$5:$AJ$140,0,MATCH(G$2,Inputs!$K$4:$AJ$4,0))))=0,NA(),SUMPRODUCT((Inputs!$A$5:$A$140=$B19)*Inputs!$B$5:$B$140*(((Inputs!$G$5:$G$140="moeda")+(Inputs!$G$5:$G$140="acoes"))*Inputs!$B$1+((Inputs!$G$5:$G$140&lt;&gt;"moeda")*(Inputs!$G$5:$G$140&lt;&gt;"acoes")))*INDEX(Inputs!$K$5:$AJ$140,0,MATCH(G$2,Inputs!$K$4:$AJ$4,0)))+SUMPRODUCT((Inputs!$C$5:$C$140=$B19)*Inputs!$D$5:$D$140*(((Inputs!$G$5:$G$140="moeda")+(Inputs!$G$5:$G$140="acoes"))*Inputs!$B$1+((Inputs!$G$5:$G$140&lt;&gt;"moeda")*(Inputs!$G$5:$G$140&lt;&gt;"acoes")))*INDEX(Inputs!$K$5:$AJ$140,0,MATCH(G$2,Inputs!$K$4:$AJ$4,0)))+SUMPRODUCT((Inputs!$E$5:$E$140=$B19)*Inputs!$F$5:$F$140*(((Inputs!$G$5:$G$140="moeda")+(Inputs!$G$5:$G$140="acoes"))*Inputs!$B$1+((Inputs!$G$5:$G$140&lt;&gt;"moeda")*(Inputs!$G$5:$G$140&lt;&gt;"acoes")))*INDEX(Inputs!$K$5:$AJ$140,0,MATCH(G$2,Inputs!$K$4:$AJ$4,0)))))</f>
        <v>#N/A</v>
      </c>
      <c r="H19" s="3" t="e">
        <f>G19</f>
        <v>#N/A</v>
      </c>
      <c r="I19" s="6" t="e">
        <f>IF(ISNA(MATCH(I$2,Inputs!$K$4:$AJ$4,0)),NA(),IF(SUMPRODUCT((Inputs!$A$5:$A$140=$B19)*ISNUMBER(INDEX(Inputs!$K$5:$AJ$140,0,MATCH(I$2,Inputs!$K$4:$AJ$4,0))))+SUMPRODUCT((Inputs!$C$5:$C$140=$B19)*ISNUMBER(INDEX(Inputs!$K$5:$AJ$140,0,MATCH(I$2,Inputs!$K$4:$AJ$4,0))))+SUMPRODUCT((Inputs!$E$5:$E$140=$B19)*ISNUMBER(INDEX(Inputs!$K$5:$AJ$140,0,MATCH(I$2,Inputs!$K$4:$AJ$4,0))))=0,NA(),SUMPRODUCT((Inputs!$A$5:$A$140=$B19)*Inputs!$B$5:$B$140*(((Inputs!$G$5:$G$140="moeda")+(Inputs!$G$5:$G$140="acoes"))*Inputs!$B$1+((Inputs!$G$5:$G$140&lt;&gt;"moeda")*(Inputs!$G$5:$G$140&lt;&gt;"acoes")))*INDEX(Inputs!$K$5:$AJ$140,0,MATCH(I$2,Inputs!$K$4:$AJ$4,0)))+SUMPRODUCT((Inputs!$C$5:$C$140=$B19)*Inputs!$D$5:$D$140*(((Inputs!$G$5:$G$140="moeda")+(Inputs!$G$5:$G$140="acoes"))*Inputs!$B$1+((Inputs!$G$5:$G$140&lt;&gt;"moeda")*(Inputs!$G$5:$G$140&lt;&gt;"acoes")))*INDEX(Inputs!$K$5:$AJ$140,0,MATCH(I$2,Inputs!$K$4:$AJ$4,0)))+SUMPRODUCT((Inputs!$E$5:$E$140=$B19)*Inputs!$F$5:$F$140*(((Inputs!$G$5:$G$140="moeda")+(Inputs!$G$5:$G$140="acoes"))*Inputs!$B$1+((Inputs!$G$5:$G$140&lt;&gt;"moeda")*(Inputs!$G$5:$G$140&lt;&gt;"acoes")))*INDEX(Inputs!$K$5:$AJ$140,0,MATCH(I$2,Inputs!$K$4:$AJ$4,0)))))</f>
        <v>#N/A</v>
      </c>
      <c r="J19" s="6" t="e">
        <f>IF(ISNA(MATCH(J$2,Inputs!$K$4:$AJ$4,0)),NA(),IF(SUMPRODUCT((Inputs!$A$5:$A$140=$B19)*ISNUMBER(INDEX(Inputs!$K$5:$AJ$140,0,MATCH(J$2,Inputs!$K$4:$AJ$4,0))))+SUMPRODUCT((Inputs!$C$5:$C$140=$B19)*ISNUMBER(INDEX(Inputs!$K$5:$AJ$140,0,MATCH(J$2,Inputs!$K$4:$AJ$4,0))))+SUMPRODUCT((Inputs!$E$5:$E$140=$B19)*ISNUMBER(INDEX(Inputs!$K$5:$AJ$140,0,MATCH(J$2,Inputs!$K$4:$AJ$4,0))))=0,NA(),SUMPRODUCT((Inputs!$A$5:$A$140=$B19)*Inputs!$B$5:$B$140*(((Inputs!$G$5:$G$140="moeda")+(Inputs!$G$5:$G$140="acoes"))*Inputs!$B$1+((Inputs!$G$5:$G$140&lt;&gt;"moeda")*(Inputs!$G$5:$G$140&lt;&gt;"acoes")))*INDEX(Inputs!$K$5:$AJ$140,0,MATCH(J$2,Inputs!$K$4:$AJ$4,0)))+SUMPRODUCT((Inputs!$C$5:$C$140=$B19)*Inputs!$D$5:$D$140*(((Inputs!$G$5:$G$140="moeda")+(Inputs!$G$5:$G$140="acoes"))*Inputs!$B$1+((Inputs!$G$5:$G$140&lt;&gt;"moeda")*(Inputs!$G$5:$G$140&lt;&gt;"acoes")))*INDEX(Inputs!$K$5:$AJ$140,0,MATCH(J$2,Inputs!$K$4:$AJ$4,0)))+SUMPRODUCT((Inputs!$E$5:$E$140=$B19)*Inputs!$F$5:$F$140*(((Inputs!$G$5:$G$140="moeda")+(Inputs!$G$5:$G$140="acoes"))*Inputs!$B$1+((Inputs!$G$5:$G$140&lt;&gt;"moeda")*(Inputs!$G$5:$G$140&lt;&gt;"acoes")))*INDEX(Inputs!$K$5:$AJ$140,0,MATCH(J$2,Inputs!$K$4:$AJ$4,0)))))</f>
        <v>#N/A</v>
      </c>
      <c r="K19" s="6" t="e">
        <f>IF(ISNA(MATCH(K$2,Inputs!$K$4:$AJ$4,0)),NA(),IF(SUMPRODUCT((Inputs!$A$5:$A$140=$B19)*ISNUMBER(INDEX(Inputs!$K$5:$AJ$140,0,MATCH(K$2,Inputs!$K$4:$AJ$4,0))))+SUMPRODUCT((Inputs!$C$5:$C$140=$B19)*ISNUMBER(INDEX(Inputs!$K$5:$AJ$140,0,MATCH(K$2,Inputs!$K$4:$AJ$4,0))))+SUMPRODUCT((Inputs!$E$5:$E$140=$B19)*ISNUMBER(INDEX(Inputs!$K$5:$AJ$140,0,MATCH(K$2,Inputs!$K$4:$AJ$4,0))))=0,NA(),SUMPRODUCT((Inputs!$A$5:$A$140=$B19)*Inputs!$B$5:$B$140*(((Inputs!$G$5:$G$140="moeda")+(Inputs!$G$5:$G$140="acoes"))*Inputs!$B$1+((Inputs!$G$5:$G$140&lt;&gt;"moeda")*(Inputs!$G$5:$G$140&lt;&gt;"acoes")))*INDEX(Inputs!$K$5:$AJ$140,0,MATCH(K$2,Inputs!$K$4:$AJ$4,0)))+SUMPRODUCT((Inputs!$C$5:$C$140=$B19)*Inputs!$D$5:$D$140*(((Inputs!$G$5:$G$140="moeda")+(Inputs!$G$5:$G$140="acoes"))*Inputs!$B$1+((Inputs!$G$5:$G$140&lt;&gt;"moeda")*(Inputs!$G$5:$G$140&lt;&gt;"acoes")))*INDEX(Inputs!$K$5:$AJ$140,0,MATCH(K$2,Inputs!$K$4:$AJ$4,0)))+SUMPRODUCT((Inputs!$E$5:$E$140=$B19)*Inputs!$F$5:$F$140*(((Inputs!$G$5:$G$140="moeda")+(Inputs!$G$5:$G$140="acoes"))*Inputs!$B$1+((Inputs!$G$5:$G$140&lt;&gt;"moeda")*(Inputs!$G$5:$G$140&lt;&gt;"acoes")))*INDEX(Inputs!$K$5:$AJ$140,0,MATCH(K$2,Inputs!$K$4:$AJ$4,0)))))</f>
        <v>#N/A</v>
      </c>
      <c r="L19" s="6" t="e">
        <f>IF(ISNA(MATCH(L$2,Inputs!$K$4:$AJ$4,0)),NA(),IF(SUMPRODUCT((Inputs!$A$5:$A$140=$B19)*ISNUMBER(INDEX(Inputs!$K$5:$AJ$140,0,MATCH(L$2,Inputs!$K$4:$AJ$4,0))))+SUMPRODUCT((Inputs!$C$5:$C$140=$B19)*ISNUMBER(INDEX(Inputs!$K$5:$AJ$140,0,MATCH(L$2,Inputs!$K$4:$AJ$4,0))))+SUMPRODUCT((Inputs!$E$5:$E$140=$B19)*ISNUMBER(INDEX(Inputs!$K$5:$AJ$140,0,MATCH(L$2,Inputs!$K$4:$AJ$4,0))))=0,NA(),SUMPRODUCT((Inputs!$A$5:$A$140=$B19)*Inputs!$B$5:$B$140*(((Inputs!$G$5:$G$140="moeda")+(Inputs!$G$5:$G$140="acoes"))*Inputs!$B$1+((Inputs!$G$5:$G$140&lt;&gt;"moeda")*(Inputs!$G$5:$G$140&lt;&gt;"acoes")))*INDEX(Inputs!$K$5:$AJ$140,0,MATCH(L$2,Inputs!$K$4:$AJ$4,0)))+SUMPRODUCT((Inputs!$C$5:$C$140=$B19)*Inputs!$D$5:$D$140*(((Inputs!$G$5:$G$140="moeda")+(Inputs!$G$5:$G$140="acoes"))*Inputs!$B$1+((Inputs!$G$5:$G$140&lt;&gt;"moeda")*(Inputs!$G$5:$G$140&lt;&gt;"acoes")))*INDEX(Inputs!$K$5:$AJ$140,0,MATCH(L$2,Inputs!$K$4:$AJ$4,0)))+SUMPRODUCT((Inputs!$E$5:$E$140=$B19)*Inputs!$F$5:$F$140*(((Inputs!$G$5:$G$140="moeda")+(Inputs!$G$5:$G$140="acoes"))*Inputs!$B$1+((Inputs!$G$5:$G$140&lt;&gt;"moeda")*(Inputs!$G$5:$G$140&lt;&gt;"acoes")))*INDEX(Inputs!$K$5:$AJ$140,0,MATCH(L$2,Inputs!$K$4:$AJ$4,0)))))</f>
        <v>#N/A</v>
      </c>
      <c r="M19" s="3" t="e">
        <f>L19</f>
        <v>#N/A</v>
      </c>
      <c r="N19" s="6" t="e">
        <f>IF(ISNA(MATCH(N$2,Inputs!$K$4:$AJ$4,0)),NA(),IF(SUMPRODUCT((Inputs!$A$5:$A$140=$B19)*ISNUMBER(INDEX(Inputs!$K$5:$AJ$140,0,MATCH(N$2,Inputs!$K$4:$AJ$4,0))))+SUMPRODUCT((Inputs!$C$5:$C$140=$B19)*ISNUMBER(INDEX(Inputs!$K$5:$AJ$140,0,MATCH(N$2,Inputs!$K$4:$AJ$4,0))))+SUMPRODUCT((Inputs!$E$5:$E$140=$B19)*ISNUMBER(INDEX(Inputs!$K$5:$AJ$140,0,MATCH(N$2,Inputs!$K$4:$AJ$4,0))))=0,NA(),SUMPRODUCT((Inputs!$A$5:$A$140=$B19)*Inputs!$B$5:$B$140*(((Inputs!$G$5:$G$140="moeda")+(Inputs!$G$5:$G$140="acoes"))*Inputs!$B$1+((Inputs!$G$5:$G$140&lt;&gt;"moeda")*(Inputs!$G$5:$G$140&lt;&gt;"acoes")))*INDEX(Inputs!$K$5:$AJ$140,0,MATCH(N$2,Inputs!$K$4:$AJ$4,0)))+SUMPRODUCT((Inputs!$C$5:$C$140=$B19)*Inputs!$D$5:$D$140*(((Inputs!$G$5:$G$140="moeda")+(Inputs!$G$5:$G$140="acoes"))*Inputs!$B$1+((Inputs!$G$5:$G$140&lt;&gt;"moeda")*(Inputs!$G$5:$G$140&lt;&gt;"acoes")))*INDEX(Inputs!$K$5:$AJ$140,0,MATCH(N$2,Inputs!$K$4:$AJ$4,0)))+SUMPRODUCT((Inputs!$E$5:$E$140=$B19)*Inputs!$F$5:$F$140*(((Inputs!$G$5:$G$140="moeda")+(Inputs!$G$5:$G$140="acoes"))*Inputs!$B$1+((Inputs!$G$5:$G$140&lt;&gt;"moeda")*(Inputs!$G$5:$G$140&lt;&gt;"acoes")))*INDEX(Inputs!$K$5:$AJ$140,0,MATCH(N$2,Inputs!$K$4:$AJ$4,0)))))</f>
        <v>#N/A</v>
      </c>
      <c r="O19" s="6" t="e">
        <f>IF(ISNA(MATCH(O$2,Inputs!$K$4:$AJ$4,0)),NA(),IF(SUMPRODUCT((Inputs!$A$5:$A$140=$B19)*ISNUMBER(INDEX(Inputs!$K$5:$AJ$140,0,MATCH(O$2,Inputs!$K$4:$AJ$4,0))))+SUMPRODUCT((Inputs!$C$5:$C$140=$B19)*ISNUMBER(INDEX(Inputs!$K$5:$AJ$140,0,MATCH(O$2,Inputs!$K$4:$AJ$4,0))))+SUMPRODUCT((Inputs!$E$5:$E$140=$B19)*ISNUMBER(INDEX(Inputs!$K$5:$AJ$140,0,MATCH(O$2,Inputs!$K$4:$AJ$4,0))))=0,NA(),SUMPRODUCT((Inputs!$A$5:$A$140=$B19)*Inputs!$B$5:$B$140*(((Inputs!$G$5:$G$140="moeda")+(Inputs!$G$5:$G$140="acoes"))*Inputs!$B$1+((Inputs!$G$5:$G$140&lt;&gt;"moeda")*(Inputs!$G$5:$G$140&lt;&gt;"acoes")))*INDEX(Inputs!$K$5:$AJ$140,0,MATCH(O$2,Inputs!$K$4:$AJ$4,0)))+SUMPRODUCT((Inputs!$C$5:$C$140=$B19)*Inputs!$D$5:$D$140*(((Inputs!$G$5:$G$140="moeda")+(Inputs!$G$5:$G$140="acoes"))*Inputs!$B$1+((Inputs!$G$5:$G$140&lt;&gt;"moeda")*(Inputs!$G$5:$G$140&lt;&gt;"acoes")))*INDEX(Inputs!$K$5:$AJ$140,0,MATCH(O$2,Inputs!$K$4:$AJ$4,0)))+SUMPRODUCT((Inputs!$E$5:$E$140=$B19)*Inputs!$F$5:$F$140*(((Inputs!$G$5:$G$140="moeda")+(Inputs!$G$5:$G$140="acoes"))*Inputs!$B$1+((Inputs!$G$5:$G$140&lt;&gt;"moeda")*(Inputs!$G$5:$G$140&lt;&gt;"acoes")))*INDEX(Inputs!$K$5:$AJ$140,0,MATCH(O$2,Inputs!$K$4:$AJ$4,0)))))</f>
        <v>#N/A</v>
      </c>
      <c r="P19" s="6" t="e">
        <f>IF(ISNA(MATCH(P$2,Inputs!$K$4:$AJ$4,0)),NA(),IF(SUMPRODUCT((Inputs!$A$5:$A$140=$B19)*ISNUMBER(INDEX(Inputs!$K$5:$AJ$140,0,MATCH(P$2,Inputs!$K$4:$AJ$4,0))))+SUMPRODUCT((Inputs!$C$5:$C$140=$B19)*ISNUMBER(INDEX(Inputs!$K$5:$AJ$140,0,MATCH(P$2,Inputs!$K$4:$AJ$4,0))))+SUMPRODUCT((Inputs!$E$5:$E$140=$B19)*ISNUMBER(INDEX(Inputs!$K$5:$AJ$140,0,MATCH(P$2,Inputs!$K$4:$AJ$4,0))))=0,NA(),SUMPRODUCT((Inputs!$A$5:$A$140=$B19)*Inputs!$B$5:$B$140*(((Inputs!$G$5:$G$140="moeda")+(Inputs!$G$5:$G$140="acoes"))*Inputs!$B$1+((Inputs!$G$5:$G$140&lt;&gt;"moeda")*(Inputs!$G$5:$G$140&lt;&gt;"acoes")))*INDEX(Inputs!$K$5:$AJ$140,0,MATCH(P$2,Inputs!$K$4:$AJ$4,0)))+SUMPRODUCT((Inputs!$C$5:$C$140=$B19)*Inputs!$D$5:$D$140*(((Inputs!$G$5:$G$140="moeda")+(Inputs!$G$5:$G$140="acoes"))*Inputs!$B$1+((Inputs!$G$5:$G$140&lt;&gt;"moeda")*(Inputs!$G$5:$G$140&lt;&gt;"acoes")))*INDEX(Inputs!$K$5:$AJ$140,0,MATCH(P$2,Inputs!$K$4:$AJ$4,0)))+SUMPRODUCT((Inputs!$E$5:$E$140=$B19)*Inputs!$F$5:$F$140*(((Inputs!$G$5:$G$140="moeda")+(Inputs!$G$5:$G$140="acoes"))*Inputs!$B$1+((Inputs!$G$5:$G$140&lt;&gt;"moeda")*(Inputs!$G$5:$G$140&lt;&gt;"acoes")))*INDEX(Inputs!$K$5:$AJ$140,0,MATCH(P$2,Inputs!$K$4:$AJ$4,0)))))</f>
        <v>#N/A</v>
      </c>
      <c r="Q19" s="6" t="e">
        <f>IF(ISNA(MATCH(Q$2,Inputs!$K$4:$AJ$4,0)),NA(),IF(SUMPRODUCT((Inputs!$A$5:$A$140=$B19)*ISNUMBER(INDEX(Inputs!$K$5:$AJ$140,0,MATCH(Q$2,Inputs!$K$4:$AJ$4,0))))+SUMPRODUCT((Inputs!$C$5:$C$140=$B19)*ISNUMBER(INDEX(Inputs!$K$5:$AJ$140,0,MATCH(Q$2,Inputs!$K$4:$AJ$4,0))))+SUMPRODUCT((Inputs!$E$5:$E$140=$B19)*ISNUMBER(INDEX(Inputs!$K$5:$AJ$140,0,MATCH(Q$2,Inputs!$K$4:$AJ$4,0))))=0,NA(),SUMPRODUCT((Inputs!$A$5:$A$140=$B19)*Inputs!$B$5:$B$140*(((Inputs!$G$5:$G$140="moeda")+(Inputs!$G$5:$G$140="acoes"))*Inputs!$B$1+((Inputs!$G$5:$G$140&lt;&gt;"moeda")*(Inputs!$G$5:$G$140&lt;&gt;"acoes")))*INDEX(Inputs!$K$5:$AJ$140,0,MATCH(Q$2,Inputs!$K$4:$AJ$4,0)))+SUMPRODUCT((Inputs!$C$5:$C$140=$B19)*Inputs!$D$5:$D$140*(((Inputs!$G$5:$G$140="moeda")+(Inputs!$G$5:$G$140="acoes"))*Inputs!$B$1+((Inputs!$G$5:$G$140&lt;&gt;"moeda")*(Inputs!$G$5:$G$140&lt;&gt;"acoes")))*INDEX(Inputs!$K$5:$AJ$140,0,MATCH(Q$2,Inputs!$K$4:$AJ$4,0)))+SUMPRODUCT((Inputs!$E$5:$E$140=$B19)*Inputs!$F$5:$F$140*(((Inputs!$G$5:$G$140="moeda")+(Inputs!$G$5:$G$140="acoes"))*Inputs!$B$1+((Inputs!$G$5:$G$140&lt;&gt;"moeda")*(Inputs!$G$5:$G$140&lt;&gt;"acoes")))*INDEX(Inputs!$K$5:$AJ$140,0,MATCH(Q$2,Inputs!$K$4:$AJ$4,0)))))</f>
        <v>#N/A</v>
      </c>
      <c r="R19" s="3" t="e">
        <f>Q19</f>
        <v>#N/A</v>
      </c>
      <c r="S19" s="6" t="e">
        <f>IF(ISNA(MATCH(S$2,Inputs!$K$4:$AJ$4,0)),NA(),IF(SUMPRODUCT((Inputs!$A$5:$A$140=$B19)*ISNUMBER(INDEX(Inputs!$K$5:$AJ$140,0,MATCH(S$2,Inputs!$K$4:$AJ$4,0))))+SUMPRODUCT((Inputs!$C$5:$C$140=$B19)*ISNUMBER(INDEX(Inputs!$K$5:$AJ$140,0,MATCH(S$2,Inputs!$K$4:$AJ$4,0))))+SUMPRODUCT((Inputs!$E$5:$E$140=$B19)*ISNUMBER(INDEX(Inputs!$K$5:$AJ$140,0,MATCH(S$2,Inputs!$K$4:$AJ$4,0))))=0,NA(),SUMPRODUCT((Inputs!$A$5:$A$140=$B19)*Inputs!$B$5:$B$140*(((Inputs!$G$5:$G$140="moeda")+(Inputs!$G$5:$G$140="acoes"))*Inputs!$B$1+((Inputs!$G$5:$G$140&lt;&gt;"moeda")*(Inputs!$G$5:$G$140&lt;&gt;"acoes")))*INDEX(Inputs!$K$5:$AJ$140,0,MATCH(S$2,Inputs!$K$4:$AJ$4,0)))+SUMPRODUCT((Inputs!$C$5:$C$140=$B19)*Inputs!$D$5:$D$140*(((Inputs!$G$5:$G$140="moeda")+(Inputs!$G$5:$G$140="acoes"))*Inputs!$B$1+((Inputs!$G$5:$G$140&lt;&gt;"moeda")*(Inputs!$G$5:$G$140&lt;&gt;"acoes")))*INDEX(Inputs!$K$5:$AJ$140,0,MATCH(S$2,Inputs!$K$4:$AJ$4,0)))+SUMPRODUCT((Inputs!$E$5:$E$140=$B19)*Inputs!$F$5:$F$140*(((Inputs!$G$5:$G$140="moeda")+(Inputs!$G$5:$G$140="acoes"))*Inputs!$B$1+((Inputs!$G$5:$G$140&lt;&gt;"moeda")*(Inputs!$G$5:$G$140&lt;&gt;"acoes")))*INDEX(Inputs!$K$5:$AJ$140,0,MATCH(S$2,Inputs!$K$4:$AJ$4,0)))))</f>
        <v>#N/A</v>
      </c>
      <c r="T19" s="6" t="e">
        <f>IF(ISNA(MATCH(T$2,Inputs!$K$4:$AJ$4,0)),NA(),IF(SUMPRODUCT((Inputs!$A$5:$A$140=$B19)*ISNUMBER(INDEX(Inputs!$K$5:$AJ$140,0,MATCH(T$2,Inputs!$K$4:$AJ$4,0))))+SUMPRODUCT((Inputs!$C$5:$C$140=$B19)*ISNUMBER(INDEX(Inputs!$K$5:$AJ$140,0,MATCH(T$2,Inputs!$K$4:$AJ$4,0))))+SUMPRODUCT((Inputs!$E$5:$E$140=$B19)*ISNUMBER(INDEX(Inputs!$K$5:$AJ$140,0,MATCH(T$2,Inputs!$K$4:$AJ$4,0))))=0,NA(),SUMPRODUCT((Inputs!$A$5:$A$140=$B19)*Inputs!$B$5:$B$140*(((Inputs!$G$5:$G$140="moeda")+(Inputs!$G$5:$G$140="acoes"))*Inputs!$B$1+((Inputs!$G$5:$G$140&lt;&gt;"moeda")*(Inputs!$G$5:$G$140&lt;&gt;"acoes")))*INDEX(Inputs!$K$5:$AJ$140,0,MATCH(T$2,Inputs!$K$4:$AJ$4,0)))+SUMPRODUCT((Inputs!$C$5:$C$140=$B19)*Inputs!$D$5:$D$140*(((Inputs!$G$5:$G$140="moeda")+(Inputs!$G$5:$G$140="acoes"))*Inputs!$B$1+((Inputs!$G$5:$G$140&lt;&gt;"moeda")*(Inputs!$G$5:$G$140&lt;&gt;"acoes")))*INDEX(Inputs!$K$5:$AJ$140,0,MATCH(T$2,Inputs!$K$4:$AJ$4,0)))+SUMPRODUCT((Inputs!$E$5:$E$140=$B19)*Inputs!$F$5:$F$140*(((Inputs!$G$5:$G$140="moeda")+(Inputs!$G$5:$G$140="acoes"))*Inputs!$B$1+((Inputs!$G$5:$G$140&lt;&gt;"moeda")*(Inputs!$G$5:$G$140&lt;&gt;"acoes")))*INDEX(Inputs!$K$5:$AJ$140,0,MATCH(T$2,Inputs!$K$4:$AJ$4,0)))))</f>
        <v>#N/A</v>
      </c>
      <c r="U19" s="6" t="e">
        <f>IF(ISNA(MATCH(U$2,Inputs!$K$4:$AJ$4,0)),NA(),IF(SUMPRODUCT((Inputs!$A$5:$A$140=$B19)*ISNUMBER(INDEX(Inputs!$K$5:$AJ$140,0,MATCH(U$2,Inputs!$K$4:$AJ$4,0))))+SUMPRODUCT((Inputs!$C$5:$C$140=$B19)*ISNUMBER(INDEX(Inputs!$K$5:$AJ$140,0,MATCH(U$2,Inputs!$K$4:$AJ$4,0))))+SUMPRODUCT((Inputs!$E$5:$E$140=$B19)*ISNUMBER(INDEX(Inputs!$K$5:$AJ$140,0,MATCH(U$2,Inputs!$K$4:$AJ$4,0))))=0,NA(),SUMPRODUCT((Inputs!$A$5:$A$140=$B19)*Inputs!$B$5:$B$140*(((Inputs!$G$5:$G$140="moeda")+(Inputs!$G$5:$G$140="acoes"))*Inputs!$B$1+((Inputs!$G$5:$G$140&lt;&gt;"moeda")*(Inputs!$G$5:$G$140&lt;&gt;"acoes")))*INDEX(Inputs!$K$5:$AJ$140,0,MATCH(U$2,Inputs!$K$4:$AJ$4,0)))+SUMPRODUCT((Inputs!$C$5:$C$140=$B19)*Inputs!$D$5:$D$140*(((Inputs!$G$5:$G$140="moeda")+(Inputs!$G$5:$G$140="acoes"))*Inputs!$B$1+((Inputs!$G$5:$G$140&lt;&gt;"moeda")*(Inputs!$G$5:$G$140&lt;&gt;"acoes")))*INDEX(Inputs!$K$5:$AJ$140,0,MATCH(U$2,Inputs!$K$4:$AJ$4,0)))+SUMPRODUCT((Inputs!$E$5:$E$140=$B19)*Inputs!$F$5:$F$140*(((Inputs!$G$5:$G$140="moeda")+(Inputs!$G$5:$G$140="acoes"))*Inputs!$B$1+((Inputs!$G$5:$G$140&lt;&gt;"moeda")*(Inputs!$G$5:$G$140&lt;&gt;"acoes")))*INDEX(Inputs!$K$5:$AJ$140,0,MATCH(U$2,Inputs!$K$4:$AJ$4,0)))))</f>
        <v>#N/A</v>
      </c>
      <c r="V19" s="6" t="e">
        <f>IF(ISNA(MATCH(V$2,Inputs!$K$4:$AJ$4,0)),NA(),IF(SUMPRODUCT((Inputs!$A$5:$A$140=$B19)*ISNUMBER(INDEX(Inputs!$K$5:$AJ$140,0,MATCH(V$2,Inputs!$K$4:$AJ$4,0))))+SUMPRODUCT((Inputs!$C$5:$C$140=$B19)*ISNUMBER(INDEX(Inputs!$K$5:$AJ$140,0,MATCH(V$2,Inputs!$K$4:$AJ$4,0))))+SUMPRODUCT((Inputs!$E$5:$E$140=$B19)*ISNUMBER(INDEX(Inputs!$K$5:$AJ$140,0,MATCH(V$2,Inputs!$K$4:$AJ$4,0))))=0,NA(),SUMPRODUCT((Inputs!$A$5:$A$140=$B19)*Inputs!$B$5:$B$140*(((Inputs!$G$5:$G$140="moeda")+(Inputs!$G$5:$G$140="acoes"))*Inputs!$B$1+((Inputs!$G$5:$G$140&lt;&gt;"moeda")*(Inputs!$G$5:$G$140&lt;&gt;"acoes")))*INDEX(Inputs!$K$5:$AJ$140,0,MATCH(V$2,Inputs!$K$4:$AJ$4,0)))+SUMPRODUCT((Inputs!$C$5:$C$140=$B19)*Inputs!$D$5:$D$140*(((Inputs!$G$5:$G$140="moeda")+(Inputs!$G$5:$G$140="acoes"))*Inputs!$B$1+((Inputs!$G$5:$G$140&lt;&gt;"moeda")*(Inputs!$G$5:$G$140&lt;&gt;"acoes")))*INDEX(Inputs!$K$5:$AJ$140,0,MATCH(V$2,Inputs!$K$4:$AJ$4,0)))+SUMPRODUCT((Inputs!$E$5:$E$140=$B19)*Inputs!$F$5:$F$140*(((Inputs!$G$5:$G$140="moeda")+(Inputs!$G$5:$G$140="acoes"))*Inputs!$B$1+((Inputs!$G$5:$G$140&lt;&gt;"moeda")*(Inputs!$G$5:$G$140&lt;&gt;"acoes")))*INDEX(Inputs!$K$5:$AJ$140,0,MATCH(V$2,Inputs!$K$4:$AJ$4,0)))))</f>
        <v>#N/A</v>
      </c>
      <c r="W19" s="3" t="e">
        <f>V19</f>
        <v>#N/A</v>
      </c>
      <c r="X19" s="6" t="e">
        <f>IF(ISNA(MATCH(X$2,Inputs!$K$4:$AJ$4,0)),NA(),IF(SUMPRODUCT((Inputs!$A$5:$A$140=$B19)*ISNUMBER(INDEX(Inputs!$K$5:$AJ$140,0,MATCH(X$2,Inputs!$K$4:$AJ$4,0))))+SUMPRODUCT((Inputs!$C$5:$C$140=$B19)*ISNUMBER(INDEX(Inputs!$K$5:$AJ$140,0,MATCH(X$2,Inputs!$K$4:$AJ$4,0))))+SUMPRODUCT((Inputs!$E$5:$E$140=$B19)*ISNUMBER(INDEX(Inputs!$K$5:$AJ$140,0,MATCH(X$2,Inputs!$K$4:$AJ$4,0))))=0,NA(),SUMPRODUCT((Inputs!$A$5:$A$140=$B19)*Inputs!$B$5:$B$140*(((Inputs!$G$5:$G$140="moeda")+(Inputs!$G$5:$G$140="acoes"))*Inputs!$B$1+((Inputs!$G$5:$G$140&lt;&gt;"moeda")*(Inputs!$G$5:$G$140&lt;&gt;"acoes")))*INDEX(Inputs!$K$5:$AJ$140,0,MATCH(X$2,Inputs!$K$4:$AJ$4,0)))+SUMPRODUCT((Inputs!$C$5:$C$140=$B19)*Inputs!$D$5:$D$140*(((Inputs!$G$5:$G$140="moeda")+(Inputs!$G$5:$G$140="acoes"))*Inputs!$B$1+((Inputs!$G$5:$G$140&lt;&gt;"moeda")*(Inputs!$G$5:$G$140&lt;&gt;"acoes")))*INDEX(Inputs!$K$5:$AJ$140,0,MATCH(X$2,Inputs!$K$4:$AJ$4,0)))+SUMPRODUCT((Inputs!$E$5:$E$140=$B19)*Inputs!$F$5:$F$140*(((Inputs!$G$5:$G$140="moeda")+(Inputs!$G$5:$G$140="acoes"))*Inputs!$B$1+((Inputs!$G$5:$G$140&lt;&gt;"moeda")*(Inputs!$G$5:$G$140&lt;&gt;"acoes")))*INDEX(Inputs!$K$5:$AJ$140,0,MATCH(X$2,Inputs!$K$4:$AJ$4,0)))))</f>
        <v>#N/A</v>
      </c>
      <c r="Y19" s="6" t="e">
        <f>IF(ISNA(MATCH(Y$2,Inputs!$K$4:$AJ$4,0)),NA(),IF(SUMPRODUCT((Inputs!$A$5:$A$140=$B19)*ISNUMBER(INDEX(Inputs!$K$5:$AJ$140,0,MATCH(Y$2,Inputs!$K$4:$AJ$4,0))))+SUMPRODUCT((Inputs!$C$5:$C$140=$B19)*ISNUMBER(INDEX(Inputs!$K$5:$AJ$140,0,MATCH(Y$2,Inputs!$K$4:$AJ$4,0))))+SUMPRODUCT((Inputs!$E$5:$E$140=$B19)*ISNUMBER(INDEX(Inputs!$K$5:$AJ$140,0,MATCH(Y$2,Inputs!$K$4:$AJ$4,0))))=0,NA(),SUMPRODUCT((Inputs!$A$5:$A$140=$B19)*Inputs!$B$5:$B$140*(((Inputs!$G$5:$G$140="moeda")+(Inputs!$G$5:$G$140="acoes"))*Inputs!$B$1+((Inputs!$G$5:$G$140&lt;&gt;"moeda")*(Inputs!$G$5:$G$140&lt;&gt;"acoes")))*INDEX(Inputs!$K$5:$AJ$140,0,MATCH(Y$2,Inputs!$K$4:$AJ$4,0)))+SUMPRODUCT((Inputs!$C$5:$C$140=$B19)*Inputs!$D$5:$D$140*(((Inputs!$G$5:$G$140="moeda")+(Inputs!$G$5:$G$140="acoes"))*Inputs!$B$1+((Inputs!$G$5:$G$140&lt;&gt;"moeda")*(Inputs!$G$5:$G$140&lt;&gt;"acoes")))*INDEX(Inputs!$K$5:$AJ$140,0,MATCH(Y$2,Inputs!$K$4:$AJ$4,0)))+SUMPRODUCT((Inputs!$E$5:$E$140=$B19)*Inputs!$F$5:$F$140*(((Inputs!$G$5:$G$140="moeda")+(Inputs!$G$5:$G$140="acoes"))*Inputs!$B$1+((Inputs!$G$5:$G$140&lt;&gt;"moeda")*(Inputs!$G$5:$G$140&lt;&gt;"acoes")))*INDEX(Inputs!$K$5:$AJ$140,0,MATCH(Y$2,Inputs!$K$4:$AJ$4,0)))))</f>
        <v>#N/A</v>
      </c>
      <c r="Z19" s="6" t="e">
        <f>IF(ISNA(MATCH(Z$2,Inputs!$K$4:$AJ$4,0)),NA(),IF(SUMPRODUCT((Inputs!$A$5:$A$140=$B19)*ISNUMBER(INDEX(Inputs!$K$5:$AJ$140,0,MATCH(Z$2,Inputs!$K$4:$AJ$4,0))))+SUMPRODUCT((Inputs!$C$5:$C$140=$B19)*ISNUMBER(INDEX(Inputs!$K$5:$AJ$140,0,MATCH(Z$2,Inputs!$K$4:$AJ$4,0))))+SUMPRODUCT((Inputs!$E$5:$E$140=$B19)*ISNUMBER(INDEX(Inputs!$K$5:$AJ$140,0,MATCH(Z$2,Inputs!$K$4:$AJ$4,0))))=0,NA(),SUMPRODUCT((Inputs!$A$5:$A$140=$B19)*Inputs!$B$5:$B$140*(((Inputs!$G$5:$G$140="moeda")+(Inputs!$G$5:$G$140="acoes"))*Inputs!$B$1+((Inputs!$G$5:$G$140&lt;&gt;"moeda")*(Inputs!$G$5:$G$140&lt;&gt;"acoes")))*INDEX(Inputs!$K$5:$AJ$140,0,MATCH(Z$2,Inputs!$K$4:$AJ$4,0)))+SUMPRODUCT((Inputs!$C$5:$C$140=$B19)*Inputs!$D$5:$D$140*(((Inputs!$G$5:$G$140="moeda")+(Inputs!$G$5:$G$140="acoes"))*Inputs!$B$1+((Inputs!$G$5:$G$140&lt;&gt;"moeda")*(Inputs!$G$5:$G$140&lt;&gt;"acoes")))*INDEX(Inputs!$K$5:$AJ$140,0,MATCH(Z$2,Inputs!$K$4:$AJ$4,0)))+SUMPRODUCT((Inputs!$E$5:$E$140=$B19)*Inputs!$F$5:$F$140*(((Inputs!$G$5:$G$140="moeda")+(Inputs!$G$5:$G$140="acoes"))*Inputs!$B$1+((Inputs!$G$5:$G$140&lt;&gt;"moeda")*(Inputs!$G$5:$G$140&lt;&gt;"acoes")))*INDEX(Inputs!$K$5:$AJ$140,0,MATCH(Z$2,Inputs!$K$4:$AJ$4,0)))))</f>
        <v>#N/A</v>
      </c>
      <c r="AA19" s="6" t="e">
        <f>IF(ISNA(MATCH(AA$2,Inputs!$K$4:$AJ$4,0)),NA(),IF(SUMPRODUCT((Inputs!$A$5:$A$140=$B19)*ISNUMBER(INDEX(Inputs!$K$5:$AJ$140,0,MATCH(AA$2,Inputs!$K$4:$AJ$4,0))))+SUMPRODUCT((Inputs!$C$5:$C$140=$B19)*ISNUMBER(INDEX(Inputs!$K$5:$AJ$140,0,MATCH(AA$2,Inputs!$K$4:$AJ$4,0))))+SUMPRODUCT((Inputs!$E$5:$E$140=$B19)*ISNUMBER(INDEX(Inputs!$K$5:$AJ$140,0,MATCH(AA$2,Inputs!$K$4:$AJ$4,0))))=0,NA(),SUMPRODUCT((Inputs!$A$5:$A$140=$B19)*Inputs!$B$5:$B$140*(((Inputs!$G$5:$G$140="moeda")+(Inputs!$G$5:$G$140="acoes"))*Inputs!$B$1+((Inputs!$G$5:$G$140&lt;&gt;"moeda")*(Inputs!$G$5:$G$140&lt;&gt;"acoes")))*INDEX(Inputs!$K$5:$AJ$140,0,MATCH(AA$2,Inputs!$K$4:$AJ$4,0)))+SUMPRODUCT((Inputs!$C$5:$C$140=$B19)*Inputs!$D$5:$D$140*(((Inputs!$G$5:$G$140="moeda")+(Inputs!$G$5:$G$140="acoes"))*Inputs!$B$1+((Inputs!$G$5:$G$140&lt;&gt;"moeda")*(Inputs!$G$5:$G$140&lt;&gt;"acoes")))*INDEX(Inputs!$K$5:$AJ$140,0,MATCH(AA$2,Inputs!$K$4:$AJ$4,0)))+SUMPRODUCT((Inputs!$E$5:$E$140=$B19)*Inputs!$F$5:$F$140*(((Inputs!$G$5:$G$140="moeda")+(Inputs!$G$5:$G$140="acoes"))*Inputs!$B$1+((Inputs!$G$5:$G$140&lt;&gt;"moeda")*(Inputs!$G$5:$G$140&lt;&gt;"acoes")))*INDEX(Inputs!$K$5:$AJ$140,0,MATCH(AA$2,Inputs!$K$4:$AJ$4,0)))))</f>
        <v>#N/A</v>
      </c>
      <c r="AB19" s="3" t="e">
        <f>AA19</f>
        <v>#N/A</v>
      </c>
      <c r="AC19" s="6" t="e">
        <f>IF(ISNA(MATCH(AC$2,Inputs!$K$4:$AJ$4,0)),NA(),IF(SUMPRODUCT((Inputs!$A$5:$A$140=$B19)*ISNUMBER(INDEX(Inputs!$K$5:$AJ$140,0,MATCH(AC$2,Inputs!$K$4:$AJ$4,0))))+SUMPRODUCT((Inputs!$C$5:$C$140=$B19)*ISNUMBER(INDEX(Inputs!$K$5:$AJ$140,0,MATCH(AC$2,Inputs!$K$4:$AJ$4,0))))+SUMPRODUCT((Inputs!$E$5:$E$140=$B19)*ISNUMBER(INDEX(Inputs!$K$5:$AJ$140,0,MATCH(AC$2,Inputs!$K$4:$AJ$4,0))))=0,NA(),SUMPRODUCT((Inputs!$A$5:$A$140=$B19)*Inputs!$B$5:$B$140*(((Inputs!$G$5:$G$140="moeda")+(Inputs!$G$5:$G$140="acoes"))*Inputs!$B$1+((Inputs!$G$5:$G$140&lt;&gt;"moeda")*(Inputs!$G$5:$G$140&lt;&gt;"acoes")))*INDEX(Inputs!$K$5:$AJ$140,0,MATCH(AC$2,Inputs!$K$4:$AJ$4,0)))+SUMPRODUCT((Inputs!$C$5:$C$140=$B19)*Inputs!$D$5:$D$140*(((Inputs!$G$5:$G$140="moeda")+(Inputs!$G$5:$G$140="acoes"))*Inputs!$B$1+((Inputs!$G$5:$G$140&lt;&gt;"moeda")*(Inputs!$G$5:$G$140&lt;&gt;"acoes")))*INDEX(Inputs!$K$5:$AJ$140,0,MATCH(AC$2,Inputs!$K$4:$AJ$4,0)))+SUMPRODUCT((Inputs!$E$5:$E$140=$B19)*Inputs!$F$5:$F$140*(((Inputs!$G$5:$G$140="moeda")+(Inputs!$G$5:$G$140="acoes"))*Inputs!$B$1+((Inputs!$G$5:$G$140&lt;&gt;"moeda")*(Inputs!$G$5:$G$140&lt;&gt;"acoes")))*INDEX(Inputs!$K$5:$AJ$140,0,MATCH(AC$2,Inputs!$K$4:$AJ$4,0)))))</f>
        <v>#N/A</v>
      </c>
      <c r="AD19" s="6" t="e">
        <f>IF(ISNA(MATCH(AD$2,Inputs!$K$4:$AJ$4,0)),NA(),IF(SUMPRODUCT((Inputs!$A$5:$A$140=$B19)*ISNUMBER(INDEX(Inputs!$K$5:$AJ$140,0,MATCH(AD$2,Inputs!$K$4:$AJ$4,0))))+SUMPRODUCT((Inputs!$C$5:$C$140=$B19)*ISNUMBER(INDEX(Inputs!$K$5:$AJ$140,0,MATCH(AD$2,Inputs!$K$4:$AJ$4,0))))+SUMPRODUCT((Inputs!$E$5:$E$140=$B19)*ISNUMBER(INDEX(Inputs!$K$5:$AJ$140,0,MATCH(AD$2,Inputs!$K$4:$AJ$4,0))))=0,NA(),SUMPRODUCT((Inputs!$A$5:$A$140=$B19)*Inputs!$B$5:$B$140*(((Inputs!$G$5:$G$140="moeda")+(Inputs!$G$5:$G$140="acoes"))*Inputs!$B$1+((Inputs!$G$5:$G$140&lt;&gt;"moeda")*(Inputs!$G$5:$G$140&lt;&gt;"acoes")))*INDEX(Inputs!$K$5:$AJ$140,0,MATCH(AD$2,Inputs!$K$4:$AJ$4,0)))+SUMPRODUCT((Inputs!$C$5:$C$140=$B19)*Inputs!$D$5:$D$140*(((Inputs!$G$5:$G$140="moeda")+(Inputs!$G$5:$G$140="acoes"))*Inputs!$B$1+((Inputs!$G$5:$G$140&lt;&gt;"moeda")*(Inputs!$G$5:$G$140&lt;&gt;"acoes")))*INDEX(Inputs!$K$5:$AJ$140,0,MATCH(AD$2,Inputs!$K$4:$AJ$4,0)))+SUMPRODUCT((Inputs!$E$5:$E$140=$B19)*Inputs!$F$5:$F$140*(((Inputs!$G$5:$G$140="moeda")+(Inputs!$G$5:$G$140="acoes"))*Inputs!$B$1+((Inputs!$G$5:$G$140&lt;&gt;"moeda")*(Inputs!$G$5:$G$140&lt;&gt;"acoes")))*INDEX(Inputs!$K$5:$AJ$140,0,MATCH(AD$2,Inputs!$K$4:$AJ$4,0)))))</f>
        <v>#N/A</v>
      </c>
      <c r="AE19" s="6" t="e">
        <f>IF(ISNA(MATCH(AE$2,Inputs!$K$4:$AJ$4,0)),NA(),IF(SUMPRODUCT((Inputs!$A$5:$A$140=$B19)*ISNUMBER(INDEX(Inputs!$K$5:$AJ$140,0,MATCH(AE$2,Inputs!$K$4:$AJ$4,0))))+SUMPRODUCT((Inputs!$C$5:$C$140=$B19)*ISNUMBER(INDEX(Inputs!$K$5:$AJ$140,0,MATCH(AE$2,Inputs!$K$4:$AJ$4,0))))+SUMPRODUCT((Inputs!$E$5:$E$140=$B19)*ISNUMBER(INDEX(Inputs!$K$5:$AJ$140,0,MATCH(AE$2,Inputs!$K$4:$AJ$4,0))))=0,NA(),SUMPRODUCT((Inputs!$A$5:$A$140=$B19)*Inputs!$B$5:$B$140*(((Inputs!$G$5:$G$140="moeda")+(Inputs!$G$5:$G$140="acoes"))*Inputs!$B$1+((Inputs!$G$5:$G$140&lt;&gt;"moeda")*(Inputs!$G$5:$G$140&lt;&gt;"acoes")))*INDEX(Inputs!$K$5:$AJ$140,0,MATCH(AE$2,Inputs!$K$4:$AJ$4,0)))+SUMPRODUCT((Inputs!$C$5:$C$140=$B19)*Inputs!$D$5:$D$140*(((Inputs!$G$5:$G$140="moeda")+(Inputs!$G$5:$G$140="acoes"))*Inputs!$B$1+((Inputs!$G$5:$G$140&lt;&gt;"moeda")*(Inputs!$G$5:$G$140&lt;&gt;"acoes")))*INDEX(Inputs!$K$5:$AJ$140,0,MATCH(AE$2,Inputs!$K$4:$AJ$4,0)))+SUMPRODUCT((Inputs!$E$5:$E$140=$B19)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19" s="6" t="e">
        <f>IF(ISNA(MATCH(AF$2,Inputs!$K$4:$AJ$4,0)),NA(),IF(SUMPRODUCT((Inputs!$A$5:$A$140=$B19)*ISNUMBER(INDEX(Inputs!$K$5:$AJ$140,0,MATCH(AF$2,Inputs!$K$4:$AJ$4,0))))+SUMPRODUCT((Inputs!$C$5:$C$140=$B19)*ISNUMBER(INDEX(Inputs!$K$5:$AJ$140,0,MATCH(AF$2,Inputs!$K$4:$AJ$4,0))))+SUMPRODUCT((Inputs!$E$5:$E$140=$B19)*ISNUMBER(INDEX(Inputs!$K$5:$AJ$140,0,MATCH(AF$2,Inputs!$K$4:$AJ$4,0))))=0,NA(),SUMPRODUCT((Inputs!$A$5:$A$140=$B19)*Inputs!$B$5:$B$140*(((Inputs!$G$5:$G$140="moeda")+(Inputs!$G$5:$G$140="acoes"))*Inputs!$B$1+((Inputs!$G$5:$G$140&lt;&gt;"moeda")*(Inputs!$G$5:$G$140&lt;&gt;"acoes")))*INDEX(Inputs!$K$5:$AJ$140,0,MATCH(AF$2,Inputs!$K$4:$AJ$4,0)))+SUMPRODUCT((Inputs!$C$5:$C$140=$B19)*Inputs!$D$5:$D$140*(((Inputs!$G$5:$G$140="moeda")+(Inputs!$G$5:$G$140="acoes"))*Inputs!$B$1+((Inputs!$G$5:$G$140&lt;&gt;"moeda")*(Inputs!$G$5:$G$140&lt;&gt;"acoes")))*INDEX(Inputs!$K$5:$AJ$140,0,MATCH(AF$2,Inputs!$K$4:$AJ$4,0)))+SUMPRODUCT((Inputs!$E$5:$E$140=$B19)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19" s="3" t="e">
        <f>AF19</f>
        <v>#N/A</v>
      </c>
      <c r="AH19" s="6" t="e">
        <f>IF(ISNA(MATCH(AH$2,Inputs!$K$4:$AJ$4,0)),NA(),IF(SUMPRODUCT((Inputs!$A$5:$A$140=$B19)*ISNUMBER(INDEX(Inputs!$K$5:$AJ$140,0,MATCH(AH$2,Inputs!$K$4:$AJ$4,0))))+SUMPRODUCT((Inputs!$C$5:$C$140=$B19)*ISNUMBER(INDEX(Inputs!$K$5:$AJ$140,0,MATCH(AH$2,Inputs!$K$4:$AJ$4,0))))+SUMPRODUCT((Inputs!$E$5:$E$140=$B19)*ISNUMBER(INDEX(Inputs!$K$5:$AJ$140,0,MATCH(AH$2,Inputs!$K$4:$AJ$4,0))))=0,NA(),SUMPRODUCT((Inputs!$A$5:$A$140=$B19)*Inputs!$B$5:$B$140*(((Inputs!$G$5:$G$140="moeda")+(Inputs!$G$5:$G$140="acoes"))*Inputs!$B$1+((Inputs!$G$5:$G$140&lt;&gt;"moeda")*(Inputs!$G$5:$G$140&lt;&gt;"acoes")))*INDEX(Inputs!$K$5:$AJ$140,0,MATCH(AH$2,Inputs!$K$4:$AJ$4,0)))+SUMPRODUCT((Inputs!$C$5:$C$140=$B19)*Inputs!$D$5:$D$140*(((Inputs!$G$5:$G$140="moeda")+(Inputs!$G$5:$G$140="acoes"))*Inputs!$B$1+((Inputs!$G$5:$G$140&lt;&gt;"moeda")*(Inputs!$G$5:$G$140&lt;&gt;"acoes")))*INDEX(Inputs!$K$5:$AJ$140,0,MATCH(AH$2,Inputs!$K$4:$AJ$4,0)))+SUMPRODUCT((Inputs!$E$5:$E$140=$B19)*Inputs!$F$5:$F$140*(((Inputs!$G$5:$G$140="moeda")+(Inputs!$G$5:$G$140="acoes"))*Inputs!$B$1+((Inputs!$G$5:$G$140&lt;&gt;"moeda")*(Inputs!$G$5:$G$140&lt;&gt;"acoes")))*INDEX(Inputs!$K$5:$AJ$140,0,MATCH(AH$2,Inputs!$K$4:$AJ$4,0)))))</f>
        <v>#N/A</v>
      </c>
      <c r="AI19" s="6" t="e">
        <f>IF(ISNA(MATCH(AI$2,Inputs!$K$4:$AJ$4,0)),NA(),IF(SUMPRODUCT((Inputs!$A$5:$A$140=$B19)*ISNUMBER(INDEX(Inputs!$K$5:$AJ$140,0,MATCH(AI$2,Inputs!$K$4:$AJ$4,0))))+SUMPRODUCT((Inputs!$C$5:$C$140=$B19)*ISNUMBER(INDEX(Inputs!$K$5:$AJ$140,0,MATCH(AI$2,Inputs!$K$4:$AJ$4,0))))+SUMPRODUCT((Inputs!$E$5:$E$140=$B19)*ISNUMBER(INDEX(Inputs!$K$5:$AJ$140,0,MATCH(AI$2,Inputs!$K$4:$AJ$4,0))))=0,NA(),SUMPRODUCT((Inputs!$A$5:$A$140=$B19)*Inputs!$B$5:$B$140*(((Inputs!$G$5:$G$140="moeda")+(Inputs!$G$5:$G$140="acoes"))*Inputs!$B$1+((Inputs!$G$5:$G$140&lt;&gt;"moeda")*(Inputs!$G$5:$G$140&lt;&gt;"acoes")))*INDEX(Inputs!$K$5:$AJ$140,0,MATCH(AI$2,Inputs!$K$4:$AJ$4,0)))+SUMPRODUCT((Inputs!$C$5:$C$140=$B19)*Inputs!$D$5:$D$140*(((Inputs!$G$5:$G$140="moeda")+(Inputs!$G$5:$G$140="acoes"))*Inputs!$B$1+((Inputs!$G$5:$G$140&lt;&gt;"moeda")*(Inputs!$G$5:$G$140&lt;&gt;"acoes")))*INDEX(Inputs!$K$5:$AJ$140,0,MATCH(AI$2,Inputs!$K$4:$AJ$4,0)))+SUMPRODUCT((Inputs!$E$5:$E$140=$B19)*Inputs!$F$5:$F$140*(((Inputs!$G$5:$G$140="moeda")+(Inputs!$G$5:$G$140="acoes"))*Inputs!$B$1+((Inputs!$G$5:$G$140&lt;&gt;"moeda")*(Inputs!$G$5:$G$140&lt;&gt;"acoes")))*INDEX(Inputs!$K$5:$AJ$140,0,MATCH(AI$2,Inputs!$K$4:$AJ$4,0)))))</f>
        <v>#N/A</v>
      </c>
      <c r="AJ19" s="6" t="e">
        <f>IF(ISNA(MATCH(AJ$2,Inputs!$K$4:$AJ$4,0)),NA(),IF(SUMPRODUCT((Inputs!$A$5:$A$140=$B19)*ISNUMBER(INDEX(Inputs!$K$5:$AJ$140,0,MATCH(AJ$2,Inputs!$K$4:$AJ$4,0))))+SUMPRODUCT((Inputs!$C$5:$C$140=$B19)*ISNUMBER(INDEX(Inputs!$K$5:$AJ$140,0,MATCH(AJ$2,Inputs!$K$4:$AJ$4,0))))+SUMPRODUCT((Inputs!$E$5:$E$140=$B19)*ISNUMBER(INDEX(Inputs!$K$5:$AJ$140,0,MATCH(AJ$2,Inputs!$K$4:$AJ$4,0))))=0,NA(),SUMPRODUCT((Inputs!$A$5:$A$140=$B19)*Inputs!$B$5:$B$140*(((Inputs!$G$5:$G$140="moeda")+(Inputs!$G$5:$G$140="acoes"))*Inputs!$B$1+((Inputs!$G$5:$G$140&lt;&gt;"moeda")*(Inputs!$G$5:$G$140&lt;&gt;"acoes")))*INDEX(Inputs!$K$5:$AJ$140,0,MATCH(AJ$2,Inputs!$K$4:$AJ$4,0)))+SUMPRODUCT((Inputs!$C$5:$C$140=$B19)*Inputs!$D$5:$D$140*(((Inputs!$G$5:$G$140="moeda")+(Inputs!$G$5:$G$140="acoes"))*Inputs!$B$1+((Inputs!$G$5:$G$140&lt;&gt;"moeda")*(Inputs!$G$5:$G$140&lt;&gt;"acoes")))*INDEX(Inputs!$K$5:$AJ$140,0,MATCH(AJ$2,Inputs!$K$4:$AJ$4,0)))+SUMPRODUCT((Inputs!$E$5:$E$140=$B19)*Inputs!$F$5:$F$140*(((Inputs!$G$5:$G$140="moeda")+(Inputs!$G$5:$G$140="acoes"))*Inputs!$B$1+((Inputs!$G$5:$G$140&lt;&gt;"moeda")*(Inputs!$G$5:$G$140&lt;&gt;"acoes")))*INDEX(Inputs!$K$5:$AJ$140,0,MATCH(AJ$2,Inputs!$K$4:$AJ$4,0)))))</f>
        <v>#N/A</v>
      </c>
      <c r="AK19" s="6" t="e">
        <f>IF(ISNA(MATCH(AK$2,Inputs!$K$4:$AJ$4,0)),NA(),IF(SUMPRODUCT((Inputs!$A$5:$A$140=$B19)*ISNUMBER(INDEX(Inputs!$K$5:$AJ$140,0,MATCH(AK$2,Inputs!$K$4:$AJ$4,0))))+SUMPRODUCT((Inputs!$C$5:$C$140=$B19)*ISNUMBER(INDEX(Inputs!$K$5:$AJ$140,0,MATCH(AK$2,Inputs!$K$4:$AJ$4,0))))+SUMPRODUCT((Inputs!$E$5:$E$140=$B19)*ISNUMBER(INDEX(Inputs!$K$5:$AJ$140,0,MATCH(AK$2,Inputs!$K$4:$AJ$4,0))))=0,NA(),SUMPRODUCT((Inputs!$A$5:$A$140=$B19)*Inputs!$B$5:$B$140*(((Inputs!$G$5:$G$140="moeda")+(Inputs!$G$5:$G$140="acoes"))*Inputs!$B$1+((Inputs!$G$5:$G$140&lt;&gt;"moeda")*(Inputs!$G$5:$G$140&lt;&gt;"acoes")))*INDEX(Inputs!$K$5:$AJ$140,0,MATCH(AK$2,Inputs!$K$4:$AJ$4,0)))+SUMPRODUCT((Inputs!$C$5:$C$140=$B19)*Inputs!$D$5:$D$140*(((Inputs!$G$5:$G$140="moeda")+(Inputs!$G$5:$G$140="acoes"))*Inputs!$B$1+((Inputs!$G$5:$G$140&lt;&gt;"moeda")*(Inputs!$G$5:$G$140&lt;&gt;"acoes")))*INDEX(Inputs!$K$5:$AJ$140,0,MATCH(AK$2,Inputs!$K$4:$AJ$4,0)))+SUMPRODUCT((Inputs!$E$5:$E$140=$B19)*Inputs!$F$5:$F$140*(((Inputs!$G$5:$G$140="moeda")+(Inputs!$G$5:$G$140="acoes"))*Inputs!$B$1+((Inputs!$G$5:$G$140&lt;&gt;"moeda")*(Inputs!$G$5:$G$140&lt;&gt;"acoes")))*INDEX(Inputs!$K$5:$AJ$140,0,MATCH(AK$2,Inputs!$K$4:$AJ$4,0)))))</f>
        <v>#N/A</v>
      </c>
      <c r="AL19" s="3" t="e">
        <f>AK19</f>
        <v>#N/A</v>
      </c>
    </row>
    <row r="20">
      <c r="B20" s="46" t="n">
        <v>16</v>
      </c>
      <c r="C20" s="26" t="inlineStr">
        <is>
          <t>Other current assets</t>
        </is>
      </c>
      <c r="D20" s="6">
        <f>IF(ISNA(MATCH(D$2,Inputs!$K$4:$AJ$4,0)),NA(),IF(SUMPRODUCT((Inputs!$A$5:$A$140=$B20)*ISNUMBER(INDEX(Inputs!$K$5:$AJ$140,0,MATCH(D$2,Inputs!$K$4:$AJ$4,0))))+SUMPRODUCT((Inputs!$C$5:$C$140=$B20)*ISNUMBER(INDEX(Inputs!$K$5:$AJ$140,0,MATCH(D$2,Inputs!$K$4:$AJ$4,0))))+SUMPRODUCT((Inputs!$E$5:$E$140=$B20)*ISNUMBER(INDEX(Inputs!$K$5:$AJ$140,0,MATCH(D$2,Inputs!$K$4:$AJ$4,0))))=0,NA(),SUMPRODUCT((Inputs!$A$5:$A$140=$B20)*Inputs!$B$5:$B$140*(((Inputs!$G$5:$G$140="moeda")+(Inputs!$G$5:$G$140="acoes"))*Inputs!$B$1+((Inputs!$G$5:$G$140&lt;&gt;"moeda")*(Inputs!$G$5:$G$140&lt;&gt;"acoes")))*INDEX(Inputs!$K$5:$AJ$140,0,MATCH(D$2,Inputs!$K$4:$AJ$4,0)))+SUMPRODUCT((Inputs!$C$5:$C$140=$B20)*Inputs!$D$5:$D$140*(((Inputs!$G$5:$G$140="moeda")+(Inputs!$G$5:$G$140="acoes"))*Inputs!$B$1+((Inputs!$G$5:$G$140&lt;&gt;"moeda")*(Inputs!$G$5:$G$140&lt;&gt;"acoes")))*INDEX(Inputs!$K$5:$AJ$140,0,MATCH(D$2,Inputs!$K$4:$AJ$4,0)))+SUMPRODUCT((Inputs!$E$5:$E$140=$B20)*Inputs!$F$5:$F$140*(((Inputs!$G$5:$G$140="moeda")+(Inputs!$G$5:$G$140="acoes"))*Inputs!$B$1+((Inputs!$G$5:$G$140&lt;&gt;"moeda")*(Inputs!$G$5:$G$140&lt;&gt;"acoes")))*INDEX(Inputs!$K$5:$AJ$140,0,MATCH(D$2,Inputs!$K$4:$AJ$4,0)))))</f>
        <v>444</v>
      </c>
      <c r="E20" s="6">
        <f>IF(ISNA(MATCH(E$2,Inputs!$K$4:$AJ$4,0)),NA(),IF(SUMPRODUCT((Inputs!$A$5:$A$140=$B20)*ISNUMBER(INDEX(Inputs!$K$5:$AJ$140,0,MATCH(E$2,Inputs!$K$4:$AJ$4,0))))+SUMPRODUCT((Inputs!$C$5:$C$140=$B20)*ISNUMBER(INDEX(Inputs!$K$5:$AJ$140,0,MATCH(E$2,Inputs!$K$4:$AJ$4,0))))+SUMPRODUCT((Inputs!$E$5:$E$140=$B20)*ISNUMBER(INDEX(Inputs!$K$5:$AJ$140,0,MATCH(E$2,Inputs!$K$4:$AJ$4,0))))=0,NA(),SUMPRODUCT((Inputs!$A$5:$A$140=$B20)*Inputs!$B$5:$B$140*(((Inputs!$G$5:$G$140="moeda")+(Inputs!$G$5:$G$140="acoes"))*Inputs!$B$1+((Inputs!$G$5:$G$140&lt;&gt;"moeda")*(Inputs!$G$5:$G$140&lt;&gt;"acoes")))*INDEX(Inputs!$K$5:$AJ$140,0,MATCH(E$2,Inputs!$K$4:$AJ$4,0)))+SUMPRODUCT((Inputs!$C$5:$C$140=$B20)*Inputs!$D$5:$D$140*(((Inputs!$G$5:$G$140="moeda")+(Inputs!$G$5:$G$140="acoes"))*Inputs!$B$1+((Inputs!$G$5:$G$140&lt;&gt;"moeda")*(Inputs!$G$5:$G$140&lt;&gt;"acoes")))*INDEX(Inputs!$K$5:$AJ$140,0,MATCH(E$2,Inputs!$K$4:$AJ$4,0)))+SUMPRODUCT((Inputs!$E$5:$E$140=$B20)*Inputs!$F$5:$F$140*(((Inputs!$G$5:$G$140="moeda")+(Inputs!$G$5:$G$140="acoes"))*Inputs!$B$1+((Inputs!$G$5:$G$140&lt;&gt;"moeda")*(Inputs!$G$5:$G$140&lt;&gt;"acoes")))*INDEX(Inputs!$K$5:$AJ$140,0,MATCH(E$2,Inputs!$K$4:$AJ$4,0)))))</f>
        <v>452</v>
      </c>
      <c r="F20" s="6">
        <f>IF(ISNA(MATCH(F$2,Inputs!$K$4:$AJ$4,0)),NA(),IF(SUMPRODUCT((Inputs!$A$5:$A$140=$B20)*ISNUMBER(INDEX(Inputs!$K$5:$AJ$140,0,MATCH(F$2,Inputs!$K$4:$AJ$4,0))))+SUMPRODUCT((Inputs!$C$5:$C$140=$B20)*ISNUMBER(INDEX(Inputs!$K$5:$AJ$140,0,MATCH(F$2,Inputs!$K$4:$AJ$4,0))))+SUMPRODUCT((Inputs!$E$5:$E$140=$B20)*ISNUMBER(INDEX(Inputs!$K$5:$AJ$140,0,MATCH(F$2,Inputs!$K$4:$AJ$4,0))))=0,NA(),SUMPRODUCT((Inputs!$A$5:$A$140=$B20)*Inputs!$B$5:$B$140*(((Inputs!$G$5:$G$140="moeda")+(Inputs!$G$5:$G$140="acoes"))*Inputs!$B$1+((Inputs!$G$5:$G$140&lt;&gt;"moeda")*(Inputs!$G$5:$G$140&lt;&gt;"acoes")))*INDEX(Inputs!$K$5:$AJ$140,0,MATCH(F$2,Inputs!$K$4:$AJ$4,0)))+SUMPRODUCT((Inputs!$C$5:$C$140=$B20)*Inputs!$D$5:$D$140*(((Inputs!$G$5:$G$140="moeda")+(Inputs!$G$5:$G$140="acoes"))*Inputs!$B$1+((Inputs!$G$5:$G$140&lt;&gt;"moeda")*(Inputs!$G$5:$G$140&lt;&gt;"acoes")))*INDEX(Inputs!$K$5:$AJ$140,0,MATCH(F$2,Inputs!$K$4:$AJ$4,0)))+SUMPRODUCT((Inputs!$E$5:$E$140=$B20)*Inputs!$F$5:$F$140*(((Inputs!$G$5:$G$140="moeda")+(Inputs!$G$5:$G$140="acoes"))*Inputs!$B$1+((Inputs!$G$5:$G$140&lt;&gt;"moeda")*(Inputs!$G$5:$G$140&lt;&gt;"acoes")))*INDEX(Inputs!$K$5:$AJ$140,0,MATCH(F$2,Inputs!$K$4:$AJ$4,0)))))</f>
        <v>321</v>
      </c>
      <c r="G20" s="6">
        <f>IF(ISNA(MATCH(G$2,Inputs!$K$4:$AJ$4,0)),NA(),IF(SUMPRODUCT((Inputs!$A$5:$A$140=$B20)*ISNUMBER(INDEX(Inputs!$K$5:$AJ$140,0,MATCH(G$2,Inputs!$K$4:$AJ$4,0))))+SUMPRODUCT((Inputs!$C$5:$C$140=$B20)*ISNUMBER(INDEX(Inputs!$K$5:$AJ$140,0,MATCH(G$2,Inputs!$K$4:$AJ$4,0))))+SUMPRODUCT((Inputs!$E$5:$E$140=$B20)*ISNUMBER(INDEX(Inputs!$K$5:$AJ$140,0,MATCH(G$2,Inputs!$K$4:$AJ$4,0))))=0,NA(),SUMPRODUCT((Inputs!$A$5:$A$140=$B20)*Inputs!$B$5:$B$140*(((Inputs!$G$5:$G$140="moeda")+(Inputs!$G$5:$G$140="acoes"))*Inputs!$B$1+((Inputs!$G$5:$G$140&lt;&gt;"moeda")*(Inputs!$G$5:$G$140&lt;&gt;"acoes")))*INDEX(Inputs!$K$5:$AJ$140,0,MATCH(G$2,Inputs!$K$4:$AJ$4,0)))+SUMPRODUCT((Inputs!$C$5:$C$140=$B20)*Inputs!$D$5:$D$140*(((Inputs!$G$5:$G$140="moeda")+(Inputs!$G$5:$G$140="acoes"))*Inputs!$B$1+((Inputs!$G$5:$G$140&lt;&gt;"moeda")*(Inputs!$G$5:$G$140&lt;&gt;"acoes")))*INDEX(Inputs!$K$5:$AJ$140,0,MATCH(G$2,Inputs!$K$4:$AJ$4,0)))+SUMPRODUCT((Inputs!$E$5:$E$140=$B20)*Inputs!$F$5:$F$140*(((Inputs!$G$5:$G$140="moeda")+(Inputs!$G$5:$G$140="acoes"))*Inputs!$B$1+((Inputs!$G$5:$G$140&lt;&gt;"moeda")*(Inputs!$G$5:$G$140&lt;&gt;"acoes")))*INDEX(Inputs!$K$5:$AJ$140,0,MATCH(G$2,Inputs!$K$4:$AJ$4,0)))))</f>
        <v>366</v>
      </c>
      <c r="H20" s="3">
        <f>G20</f>
        <v>366</v>
      </c>
      <c r="I20" s="6">
        <f>IF(ISNA(MATCH(I$2,Inputs!$K$4:$AJ$4,0)),NA(),IF(SUMPRODUCT((Inputs!$A$5:$A$140=$B20)*ISNUMBER(INDEX(Inputs!$K$5:$AJ$140,0,MATCH(I$2,Inputs!$K$4:$AJ$4,0))))+SUMPRODUCT((Inputs!$C$5:$C$140=$B20)*ISNUMBER(INDEX(Inputs!$K$5:$AJ$140,0,MATCH(I$2,Inputs!$K$4:$AJ$4,0))))+SUMPRODUCT((Inputs!$E$5:$E$140=$B20)*ISNUMBER(INDEX(Inputs!$K$5:$AJ$140,0,MATCH(I$2,Inputs!$K$4:$AJ$4,0))))=0,NA(),SUMPRODUCT((Inputs!$A$5:$A$140=$B20)*Inputs!$B$5:$B$140*(((Inputs!$G$5:$G$140="moeda")+(Inputs!$G$5:$G$140="acoes"))*Inputs!$B$1+((Inputs!$G$5:$G$140&lt;&gt;"moeda")*(Inputs!$G$5:$G$140&lt;&gt;"acoes")))*INDEX(Inputs!$K$5:$AJ$140,0,MATCH(I$2,Inputs!$K$4:$AJ$4,0)))+SUMPRODUCT((Inputs!$C$5:$C$140=$B20)*Inputs!$D$5:$D$140*(((Inputs!$G$5:$G$140="moeda")+(Inputs!$G$5:$G$140="acoes"))*Inputs!$B$1+((Inputs!$G$5:$G$140&lt;&gt;"moeda")*(Inputs!$G$5:$G$140&lt;&gt;"acoes")))*INDEX(Inputs!$K$5:$AJ$140,0,MATCH(I$2,Inputs!$K$4:$AJ$4,0)))+SUMPRODUCT((Inputs!$E$5:$E$140=$B20)*Inputs!$F$5:$F$140*(((Inputs!$G$5:$G$140="moeda")+(Inputs!$G$5:$G$140="acoes"))*Inputs!$B$1+((Inputs!$G$5:$G$140&lt;&gt;"moeda")*(Inputs!$G$5:$G$140&lt;&gt;"acoes")))*INDEX(Inputs!$K$5:$AJ$140,0,MATCH(I$2,Inputs!$K$4:$AJ$4,0)))))</f>
        <v>636</v>
      </c>
      <c r="J20" s="6">
        <f>IF(ISNA(MATCH(J$2,Inputs!$K$4:$AJ$4,0)),NA(),IF(SUMPRODUCT((Inputs!$A$5:$A$140=$B20)*ISNUMBER(INDEX(Inputs!$K$5:$AJ$140,0,MATCH(J$2,Inputs!$K$4:$AJ$4,0))))+SUMPRODUCT((Inputs!$C$5:$C$140=$B20)*ISNUMBER(INDEX(Inputs!$K$5:$AJ$140,0,MATCH(J$2,Inputs!$K$4:$AJ$4,0))))+SUMPRODUCT((Inputs!$E$5:$E$140=$B20)*ISNUMBER(INDEX(Inputs!$K$5:$AJ$140,0,MATCH(J$2,Inputs!$K$4:$AJ$4,0))))=0,NA(),SUMPRODUCT((Inputs!$A$5:$A$140=$B20)*Inputs!$B$5:$B$140*(((Inputs!$G$5:$G$140="moeda")+(Inputs!$G$5:$G$140="acoes"))*Inputs!$B$1+((Inputs!$G$5:$G$140&lt;&gt;"moeda")*(Inputs!$G$5:$G$140&lt;&gt;"acoes")))*INDEX(Inputs!$K$5:$AJ$140,0,MATCH(J$2,Inputs!$K$4:$AJ$4,0)))+SUMPRODUCT((Inputs!$C$5:$C$140=$B20)*Inputs!$D$5:$D$140*(((Inputs!$G$5:$G$140="moeda")+(Inputs!$G$5:$G$140="acoes"))*Inputs!$B$1+((Inputs!$G$5:$G$140&lt;&gt;"moeda")*(Inputs!$G$5:$G$140&lt;&gt;"acoes")))*INDEX(Inputs!$K$5:$AJ$140,0,MATCH(J$2,Inputs!$K$4:$AJ$4,0)))+SUMPRODUCT((Inputs!$E$5:$E$140=$B20)*Inputs!$F$5:$F$140*(((Inputs!$G$5:$G$140="moeda")+(Inputs!$G$5:$G$140="acoes"))*Inputs!$B$1+((Inputs!$G$5:$G$140&lt;&gt;"moeda")*(Inputs!$G$5:$G$140&lt;&gt;"acoes")))*INDEX(Inputs!$K$5:$AJ$140,0,MATCH(J$2,Inputs!$K$4:$AJ$4,0)))))</f>
        <v>1175</v>
      </c>
      <c r="K20" s="6">
        <f>IF(ISNA(MATCH(K$2,Inputs!$K$4:$AJ$4,0)),NA(),IF(SUMPRODUCT((Inputs!$A$5:$A$140=$B20)*ISNUMBER(INDEX(Inputs!$K$5:$AJ$140,0,MATCH(K$2,Inputs!$K$4:$AJ$4,0))))+SUMPRODUCT((Inputs!$C$5:$C$140=$B20)*ISNUMBER(INDEX(Inputs!$K$5:$AJ$140,0,MATCH(K$2,Inputs!$K$4:$AJ$4,0))))+SUMPRODUCT((Inputs!$E$5:$E$140=$B20)*ISNUMBER(INDEX(Inputs!$K$5:$AJ$140,0,MATCH(K$2,Inputs!$K$4:$AJ$4,0))))=0,NA(),SUMPRODUCT((Inputs!$A$5:$A$140=$B20)*Inputs!$B$5:$B$140*(((Inputs!$G$5:$G$140="moeda")+(Inputs!$G$5:$G$140="acoes"))*Inputs!$B$1+((Inputs!$G$5:$G$140&lt;&gt;"moeda")*(Inputs!$G$5:$G$140&lt;&gt;"acoes")))*INDEX(Inputs!$K$5:$AJ$140,0,MATCH(K$2,Inputs!$K$4:$AJ$4,0)))+SUMPRODUCT((Inputs!$C$5:$C$140=$B20)*Inputs!$D$5:$D$140*(((Inputs!$G$5:$G$140="moeda")+(Inputs!$G$5:$G$140="acoes"))*Inputs!$B$1+((Inputs!$G$5:$G$140&lt;&gt;"moeda")*(Inputs!$G$5:$G$140&lt;&gt;"acoes")))*INDEX(Inputs!$K$5:$AJ$140,0,MATCH(K$2,Inputs!$K$4:$AJ$4,0)))+SUMPRODUCT((Inputs!$E$5:$E$140=$B20)*Inputs!$F$5:$F$140*(((Inputs!$G$5:$G$140="moeda")+(Inputs!$G$5:$G$140="acoes"))*Inputs!$B$1+((Inputs!$G$5:$G$140&lt;&gt;"moeda")*(Inputs!$G$5:$G$140&lt;&gt;"acoes")))*INDEX(Inputs!$K$5:$AJ$140,0,MATCH(K$2,Inputs!$K$4:$AJ$4,0)))))</f>
        <v>718</v>
      </c>
      <c r="L20" s="6">
        <f>IF(ISNA(MATCH(L$2,Inputs!$K$4:$AJ$4,0)),NA(),IF(SUMPRODUCT((Inputs!$A$5:$A$140=$B20)*ISNUMBER(INDEX(Inputs!$K$5:$AJ$140,0,MATCH(L$2,Inputs!$K$4:$AJ$4,0))))+SUMPRODUCT((Inputs!$C$5:$C$140=$B20)*ISNUMBER(INDEX(Inputs!$K$5:$AJ$140,0,MATCH(L$2,Inputs!$K$4:$AJ$4,0))))+SUMPRODUCT((Inputs!$E$5:$E$140=$B20)*ISNUMBER(INDEX(Inputs!$K$5:$AJ$140,0,MATCH(L$2,Inputs!$K$4:$AJ$4,0))))=0,NA(),SUMPRODUCT((Inputs!$A$5:$A$140=$B20)*Inputs!$B$5:$B$140*(((Inputs!$G$5:$G$140="moeda")+(Inputs!$G$5:$G$140="acoes"))*Inputs!$B$1+((Inputs!$G$5:$G$140&lt;&gt;"moeda")*(Inputs!$G$5:$G$140&lt;&gt;"acoes")))*INDEX(Inputs!$K$5:$AJ$140,0,MATCH(L$2,Inputs!$K$4:$AJ$4,0)))+SUMPRODUCT((Inputs!$C$5:$C$140=$B20)*Inputs!$D$5:$D$140*(((Inputs!$G$5:$G$140="moeda")+(Inputs!$G$5:$G$140="acoes"))*Inputs!$B$1+((Inputs!$G$5:$G$140&lt;&gt;"moeda")*(Inputs!$G$5:$G$140&lt;&gt;"acoes")))*INDEX(Inputs!$K$5:$AJ$140,0,MATCH(L$2,Inputs!$K$4:$AJ$4,0)))+SUMPRODUCT((Inputs!$E$5:$E$140=$B20)*Inputs!$F$5:$F$140*(((Inputs!$G$5:$G$140="moeda")+(Inputs!$G$5:$G$140="acoes"))*Inputs!$B$1+((Inputs!$G$5:$G$140&lt;&gt;"moeda")*(Inputs!$G$5:$G$140&lt;&gt;"acoes")))*INDEX(Inputs!$K$5:$AJ$140,0,MATCH(L$2,Inputs!$K$4:$AJ$4,0)))))</f>
        <v>791</v>
      </c>
      <c r="M20" s="3">
        <f>L20</f>
        <v>791</v>
      </c>
      <c r="N20" s="6">
        <f>IF(ISNA(MATCH(N$2,Inputs!$K$4:$AJ$4,0)),NA(),IF(SUMPRODUCT((Inputs!$A$5:$A$140=$B20)*ISNUMBER(INDEX(Inputs!$K$5:$AJ$140,0,MATCH(N$2,Inputs!$K$4:$AJ$4,0))))+SUMPRODUCT((Inputs!$C$5:$C$140=$B20)*ISNUMBER(INDEX(Inputs!$K$5:$AJ$140,0,MATCH(N$2,Inputs!$K$4:$AJ$4,0))))+SUMPRODUCT((Inputs!$E$5:$E$140=$B20)*ISNUMBER(INDEX(Inputs!$K$5:$AJ$140,0,MATCH(N$2,Inputs!$K$4:$AJ$4,0))))=0,NA(),SUMPRODUCT((Inputs!$A$5:$A$140=$B20)*Inputs!$B$5:$B$140*(((Inputs!$G$5:$G$140="moeda")+(Inputs!$G$5:$G$140="acoes"))*Inputs!$B$1+((Inputs!$G$5:$G$140&lt;&gt;"moeda")*(Inputs!$G$5:$G$140&lt;&gt;"acoes")))*INDEX(Inputs!$K$5:$AJ$140,0,MATCH(N$2,Inputs!$K$4:$AJ$4,0)))+SUMPRODUCT((Inputs!$C$5:$C$140=$B20)*Inputs!$D$5:$D$140*(((Inputs!$G$5:$G$140="moeda")+(Inputs!$G$5:$G$140="acoes"))*Inputs!$B$1+((Inputs!$G$5:$G$140&lt;&gt;"moeda")*(Inputs!$G$5:$G$140&lt;&gt;"acoes")))*INDEX(Inputs!$K$5:$AJ$140,0,MATCH(N$2,Inputs!$K$4:$AJ$4,0)))+SUMPRODUCT((Inputs!$E$5:$E$140=$B20)*Inputs!$F$5:$F$140*(((Inputs!$G$5:$G$140="moeda")+(Inputs!$G$5:$G$140="acoes"))*Inputs!$B$1+((Inputs!$G$5:$G$140&lt;&gt;"moeda")*(Inputs!$G$5:$G$140&lt;&gt;"acoes")))*INDEX(Inputs!$K$5:$AJ$140,0,MATCH(N$2,Inputs!$K$4:$AJ$4,0)))))</f>
        <v>872</v>
      </c>
      <c r="O20" s="6">
        <f>IF(ISNA(MATCH(O$2,Inputs!$K$4:$AJ$4,0)),NA(),IF(SUMPRODUCT((Inputs!$A$5:$A$140=$B20)*ISNUMBER(INDEX(Inputs!$K$5:$AJ$140,0,MATCH(O$2,Inputs!$K$4:$AJ$4,0))))+SUMPRODUCT((Inputs!$C$5:$C$140=$B20)*ISNUMBER(INDEX(Inputs!$K$5:$AJ$140,0,MATCH(O$2,Inputs!$K$4:$AJ$4,0))))+SUMPRODUCT((Inputs!$E$5:$E$140=$B20)*ISNUMBER(INDEX(Inputs!$K$5:$AJ$140,0,MATCH(O$2,Inputs!$K$4:$AJ$4,0))))=0,NA(),SUMPRODUCT((Inputs!$A$5:$A$140=$B20)*Inputs!$B$5:$B$140*(((Inputs!$G$5:$G$140="moeda")+(Inputs!$G$5:$G$140="acoes"))*Inputs!$B$1+((Inputs!$G$5:$G$140&lt;&gt;"moeda")*(Inputs!$G$5:$G$140&lt;&gt;"acoes")))*INDEX(Inputs!$K$5:$AJ$140,0,MATCH(O$2,Inputs!$K$4:$AJ$4,0)))+SUMPRODUCT((Inputs!$C$5:$C$140=$B20)*Inputs!$D$5:$D$140*(((Inputs!$G$5:$G$140="moeda")+(Inputs!$G$5:$G$140="acoes"))*Inputs!$B$1+((Inputs!$G$5:$G$140&lt;&gt;"moeda")*(Inputs!$G$5:$G$140&lt;&gt;"acoes")))*INDEX(Inputs!$K$5:$AJ$140,0,MATCH(O$2,Inputs!$K$4:$AJ$4,0)))+SUMPRODUCT((Inputs!$E$5:$E$140=$B20)*Inputs!$F$5:$F$140*(((Inputs!$G$5:$G$140="moeda")+(Inputs!$G$5:$G$140="acoes"))*Inputs!$B$1+((Inputs!$G$5:$G$140&lt;&gt;"moeda")*(Inputs!$G$5:$G$140&lt;&gt;"acoes")))*INDEX(Inputs!$K$5:$AJ$140,0,MATCH(O$2,Inputs!$K$4:$AJ$4,0)))))</f>
        <v>1389</v>
      </c>
      <c r="P20" s="6">
        <f>IF(ISNA(MATCH(P$2,Inputs!$K$4:$AJ$4,0)),NA(),IF(SUMPRODUCT((Inputs!$A$5:$A$140=$B20)*ISNUMBER(INDEX(Inputs!$K$5:$AJ$140,0,MATCH(P$2,Inputs!$K$4:$AJ$4,0))))+SUMPRODUCT((Inputs!$C$5:$C$140=$B20)*ISNUMBER(INDEX(Inputs!$K$5:$AJ$140,0,MATCH(P$2,Inputs!$K$4:$AJ$4,0))))+SUMPRODUCT((Inputs!$E$5:$E$140=$B20)*ISNUMBER(INDEX(Inputs!$K$5:$AJ$140,0,MATCH(P$2,Inputs!$K$4:$AJ$4,0))))=0,NA(),SUMPRODUCT((Inputs!$A$5:$A$140=$B20)*Inputs!$B$5:$B$140*(((Inputs!$G$5:$G$140="moeda")+(Inputs!$G$5:$G$140="acoes"))*Inputs!$B$1+((Inputs!$G$5:$G$140&lt;&gt;"moeda")*(Inputs!$G$5:$G$140&lt;&gt;"acoes")))*INDEX(Inputs!$K$5:$AJ$140,0,MATCH(P$2,Inputs!$K$4:$AJ$4,0)))+SUMPRODUCT((Inputs!$C$5:$C$140=$B20)*Inputs!$D$5:$D$140*(((Inputs!$G$5:$G$140="moeda")+(Inputs!$G$5:$G$140="acoes"))*Inputs!$B$1+((Inputs!$G$5:$G$140&lt;&gt;"moeda")*(Inputs!$G$5:$G$140&lt;&gt;"acoes")))*INDEX(Inputs!$K$5:$AJ$140,0,MATCH(P$2,Inputs!$K$4:$AJ$4,0)))+SUMPRODUCT((Inputs!$E$5:$E$140=$B20)*Inputs!$F$5:$F$140*(((Inputs!$G$5:$G$140="moeda")+(Inputs!$G$5:$G$140="acoes"))*Inputs!$B$1+((Inputs!$G$5:$G$140&lt;&gt;"moeda")*(Inputs!$G$5:$G$140&lt;&gt;"acoes")))*INDEX(Inputs!$K$5:$AJ$140,0,MATCH(P$2,Inputs!$K$4:$AJ$4,0)))))</f>
        <v>1289</v>
      </c>
      <c r="Q20" s="6">
        <f>IF(ISNA(MATCH(Q$2,Inputs!$K$4:$AJ$4,0)),NA(),IF(SUMPRODUCT((Inputs!$A$5:$A$140=$B20)*ISNUMBER(INDEX(Inputs!$K$5:$AJ$140,0,MATCH(Q$2,Inputs!$K$4:$AJ$4,0))))+SUMPRODUCT((Inputs!$C$5:$C$140=$B20)*ISNUMBER(INDEX(Inputs!$K$5:$AJ$140,0,MATCH(Q$2,Inputs!$K$4:$AJ$4,0))))+SUMPRODUCT((Inputs!$E$5:$E$140=$B20)*ISNUMBER(INDEX(Inputs!$K$5:$AJ$140,0,MATCH(Q$2,Inputs!$K$4:$AJ$4,0))))=0,NA(),SUMPRODUCT((Inputs!$A$5:$A$140=$B20)*Inputs!$B$5:$B$140*(((Inputs!$G$5:$G$140="moeda")+(Inputs!$G$5:$G$140="acoes"))*Inputs!$B$1+((Inputs!$G$5:$G$140&lt;&gt;"moeda")*(Inputs!$G$5:$G$140&lt;&gt;"acoes")))*INDEX(Inputs!$K$5:$AJ$140,0,MATCH(Q$2,Inputs!$K$4:$AJ$4,0)))+SUMPRODUCT((Inputs!$C$5:$C$140=$B20)*Inputs!$D$5:$D$140*(((Inputs!$G$5:$G$140="moeda")+(Inputs!$G$5:$G$140="acoes"))*Inputs!$B$1+((Inputs!$G$5:$G$140&lt;&gt;"moeda")*(Inputs!$G$5:$G$140&lt;&gt;"acoes")))*INDEX(Inputs!$K$5:$AJ$140,0,MATCH(Q$2,Inputs!$K$4:$AJ$4,0)))+SUMPRODUCT((Inputs!$E$5:$E$140=$B20)*Inputs!$F$5:$F$140*(((Inputs!$G$5:$G$140="moeda")+(Inputs!$G$5:$G$140="acoes"))*Inputs!$B$1+((Inputs!$G$5:$G$140&lt;&gt;"moeda")*(Inputs!$G$5:$G$140&lt;&gt;"acoes")))*INDEX(Inputs!$K$5:$AJ$140,0,MATCH(Q$2,Inputs!$K$4:$AJ$4,0)))))</f>
        <v>3080</v>
      </c>
      <c r="R20" s="3">
        <f>Q20</f>
        <v>3080</v>
      </c>
      <c r="S20" s="6">
        <f>IF(ISNA(MATCH(S$2,Inputs!$K$4:$AJ$4,0)),NA(),IF(SUMPRODUCT((Inputs!$A$5:$A$140=$B20)*ISNUMBER(INDEX(Inputs!$K$5:$AJ$140,0,MATCH(S$2,Inputs!$K$4:$AJ$4,0))))+SUMPRODUCT((Inputs!$C$5:$C$140=$B20)*ISNUMBER(INDEX(Inputs!$K$5:$AJ$140,0,MATCH(S$2,Inputs!$K$4:$AJ$4,0))))+SUMPRODUCT((Inputs!$E$5:$E$140=$B20)*ISNUMBER(INDEX(Inputs!$K$5:$AJ$140,0,MATCH(S$2,Inputs!$K$4:$AJ$4,0))))=0,NA(),SUMPRODUCT((Inputs!$A$5:$A$140=$B20)*Inputs!$B$5:$B$140*(((Inputs!$G$5:$G$140="moeda")+(Inputs!$G$5:$G$140="acoes"))*Inputs!$B$1+((Inputs!$G$5:$G$140&lt;&gt;"moeda")*(Inputs!$G$5:$G$140&lt;&gt;"acoes")))*INDEX(Inputs!$K$5:$AJ$140,0,MATCH(S$2,Inputs!$K$4:$AJ$4,0)))+SUMPRODUCT((Inputs!$C$5:$C$140=$B20)*Inputs!$D$5:$D$140*(((Inputs!$G$5:$G$140="moeda")+(Inputs!$G$5:$G$140="acoes"))*Inputs!$B$1+((Inputs!$G$5:$G$140&lt;&gt;"moeda")*(Inputs!$G$5:$G$140&lt;&gt;"acoes")))*INDEX(Inputs!$K$5:$AJ$140,0,MATCH(S$2,Inputs!$K$4:$AJ$4,0)))+SUMPRODUCT((Inputs!$E$5:$E$140=$B20)*Inputs!$F$5:$F$140*(((Inputs!$G$5:$G$140="moeda")+(Inputs!$G$5:$G$140="acoes"))*Inputs!$B$1+((Inputs!$G$5:$G$140&lt;&gt;"moeda")*(Inputs!$G$5:$G$140&lt;&gt;"acoes")))*INDEX(Inputs!$K$5:$AJ$140,0,MATCH(S$2,Inputs!$K$4:$AJ$4,0)))))</f>
        <v>4062</v>
      </c>
      <c r="T20" s="6">
        <f>IF(ISNA(MATCH(T$2,Inputs!$K$4:$AJ$4,0)),NA(),IF(SUMPRODUCT((Inputs!$A$5:$A$140=$B20)*ISNUMBER(INDEX(Inputs!$K$5:$AJ$140,0,MATCH(T$2,Inputs!$K$4:$AJ$4,0))))+SUMPRODUCT((Inputs!$C$5:$C$140=$B20)*ISNUMBER(INDEX(Inputs!$K$5:$AJ$140,0,MATCH(T$2,Inputs!$K$4:$AJ$4,0))))+SUMPRODUCT((Inputs!$E$5:$E$140=$B20)*ISNUMBER(INDEX(Inputs!$K$5:$AJ$140,0,MATCH(T$2,Inputs!$K$4:$AJ$4,0))))=0,NA(),SUMPRODUCT((Inputs!$A$5:$A$140=$B20)*Inputs!$B$5:$B$140*(((Inputs!$G$5:$G$140="moeda")+(Inputs!$G$5:$G$140="acoes"))*Inputs!$B$1+((Inputs!$G$5:$G$140&lt;&gt;"moeda")*(Inputs!$G$5:$G$140&lt;&gt;"acoes")))*INDEX(Inputs!$K$5:$AJ$140,0,MATCH(T$2,Inputs!$K$4:$AJ$4,0)))+SUMPRODUCT((Inputs!$C$5:$C$140=$B20)*Inputs!$D$5:$D$140*(((Inputs!$G$5:$G$140="moeda")+(Inputs!$G$5:$G$140="acoes"))*Inputs!$B$1+((Inputs!$G$5:$G$140&lt;&gt;"moeda")*(Inputs!$G$5:$G$140&lt;&gt;"acoes")))*INDEX(Inputs!$K$5:$AJ$140,0,MATCH(T$2,Inputs!$K$4:$AJ$4,0)))+SUMPRODUCT((Inputs!$E$5:$E$140=$B20)*Inputs!$F$5:$F$140*(((Inputs!$G$5:$G$140="moeda")+(Inputs!$G$5:$G$140="acoes"))*Inputs!$B$1+((Inputs!$G$5:$G$140&lt;&gt;"moeda")*(Inputs!$G$5:$G$140&lt;&gt;"acoes")))*INDEX(Inputs!$K$5:$AJ$140,0,MATCH(T$2,Inputs!$K$4:$AJ$4,0)))))</f>
        <v>4026</v>
      </c>
      <c r="U20" s="6">
        <f>IF(ISNA(MATCH(U$2,Inputs!$K$4:$AJ$4,0)),NA(),IF(SUMPRODUCT((Inputs!$A$5:$A$140=$B20)*ISNUMBER(INDEX(Inputs!$K$5:$AJ$140,0,MATCH(U$2,Inputs!$K$4:$AJ$4,0))))+SUMPRODUCT((Inputs!$C$5:$C$140=$B20)*ISNUMBER(INDEX(Inputs!$K$5:$AJ$140,0,MATCH(U$2,Inputs!$K$4:$AJ$4,0))))+SUMPRODUCT((Inputs!$E$5:$E$140=$B20)*ISNUMBER(INDEX(Inputs!$K$5:$AJ$140,0,MATCH(U$2,Inputs!$K$4:$AJ$4,0))))=0,NA(),SUMPRODUCT((Inputs!$A$5:$A$140=$B20)*Inputs!$B$5:$B$140*(((Inputs!$G$5:$G$140="moeda")+(Inputs!$G$5:$G$140="acoes"))*Inputs!$B$1+((Inputs!$G$5:$G$140&lt;&gt;"moeda")*(Inputs!$G$5:$G$140&lt;&gt;"acoes")))*INDEX(Inputs!$K$5:$AJ$140,0,MATCH(U$2,Inputs!$K$4:$AJ$4,0)))+SUMPRODUCT((Inputs!$C$5:$C$140=$B20)*Inputs!$D$5:$D$140*(((Inputs!$G$5:$G$140="moeda")+(Inputs!$G$5:$G$140="acoes"))*Inputs!$B$1+((Inputs!$G$5:$G$140&lt;&gt;"moeda")*(Inputs!$G$5:$G$140&lt;&gt;"acoes")))*INDEX(Inputs!$K$5:$AJ$140,0,MATCH(U$2,Inputs!$K$4:$AJ$4,0)))+SUMPRODUCT((Inputs!$E$5:$E$140=$B20)*Inputs!$F$5:$F$140*(((Inputs!$G$5:$G$140="moeda")+(Inputs!$G$5:$G$140="acoes"))*Inputs!$B$1+((Inputs!$G$5:$G$140&lt;&gt;"moeda")*(Inputs!$G$5:$G$140&lt;&gt;"acoes")))*INDEX(Inputs!$K$5:$AJ$140,0,MATCH(U$2,Inputs!$K$4:$AJ$4,0)))))</f>
        <v>3806</v>
      </c>
      <c r="V20" s="6">
        <f>IF(ISNA(MATCH(V$2,Inputs!$K$4:$AJ$4,0)),NA(),IF(SUMPRODUCT((Inputs!$A$5:$A$140=$B20)*ISNUMBER(INDEX(Inputs!$K$5:$AJ$140,0,MATCH(V$2,Inputs!$K$4:$AJ$4,0))))+SUMPRODUCT((Inputs!$C$5:$C$140=$B20)*ISNUMBER(INDEX(Inputs!$K$5:$AJ$140,0,MATCH(V$2,Inputs!$K$4:$AJ$4,0))))+SUMPRODUCT((Inputs!$E$5:$E$140=$B20)*ISNUMBER(INDEX(Inputs!$K$5:$AJ$140,0,MATCH(V$2,Inputs!$K$4:$AJ$4,0))))=0,NA(),SUMPRODUCT((Inputs!$A$5:$A$140=$B20)*Inputs!$B$5:$B$140*(((Inputs!$G$5:$G$140="moeda")+(Inputs!$G$5:$G$140="acoes"))*Inputs!$B$1+((Inputs!$G$5:$G$140&lt;&gt;"moeda")*(Inputs!$G$5:$G$140&lt;&gt;"acoes")))*INDEX(Inputs!$K$5:$AJ$140,0,MATCH(V$2,Inputs!$K$4:$AJ$4,0)))+SUMPRODUCT((Inputs!$C$5:$C$140=$B20)*Inputs!$D$5:$D$140*(((Inputs!$G$5:$G$140="moeda")+(Inputs!$G$5:$G$140="acoes"))*Inputs!$B$1+((Inputs!$G$5:$G$140&lt;&gt;"moeda")*(Inputs!$G$5:$G$140&lt;&gt;"acoes")))*INDEX(Inputs!$K$5:$AJ$140,0,MATCH(V$2,Inputs!$K$4:$AJ$4,0)))+SUMPRODUCT((Inputs!$E$5:$E$140=$B20)*Inputs!$F$5:$F$140*(((Inputs!$G$5:$G$140="moeda")+(Inputs!$G$5:$G$140="acoes"))*Inputs!$B$1+((Inputs!$G$5:$G$140&lt;&gt;"moeda")*(Inputs!$G$5:$G$140&lt;&gt;"acoes")))*INDEX(Inputs!$K$5:$AJ$140,0,MATCH(V$2,Inputs!$K$4:$AJ$4,0)))))</f>
        <v>3771</v>
      </c>
      <c r="W20" s="3">
        <f>V20</f>
        <v>3771</v>
      </c>
      <c r="X20" s="6">
        <f>IF(ISNA(MATCH(X$2,Inputs!$K$4:$AJ$4,0)),NA(),IF(SUMPRODUCT((Inputs!$A$5:$A$140=$B20)*ISNUMBER(INDEX(Inputs!$K$5:$AJ$140,0,MATCH(X$2,Inputs!$K$4:$AJ$4,0))))+SUMPRODUCT((Inputs!$C$5:$C$140=$B20)*ISNUMBER(INDEX(Inputs!$K$5:$AJ$140,0,MATCH(X$2,Inputs!$K$4:$AJ$4,0))))+SUMPRODUCT((Inputs!$E$5:$E$140=$B20)*ISNUMBER(INDEX(Inputs!$K$5:$AJ$140,0,MATCH(X$2,Inputs!$K$4:$AJ$4,0))))=0,NA(),SUMPRODUCT((Inputs!$A$5:$A$140=$B20)*Inputs!$B$5:$B$140*(((Inputs!$G$5:$G$140="moeda")+(Inputs!$G$5:$G$140="acoes"))*Inputs!$B$1+((Inputs!$G$5:$G$140&lt;&gt;"moeda")*(Inputs!$G$5:$G$140&lt;&gt;"acoes")))*INDEX(Inputs!$K$5:$AJ$140,0,MATCH(X$2,Inputs!$K$4:$AJ$4,0)))+SUMPRODUCT((Inputs!$C$5:$C$140=$B20)*Inputs!$D$5:$D$140*(((Inputs!$G$5:$G$140="moeda")+(Inputs!$G$5:$G$140="acoes"))*Inputs!$B$1+((Inputs!$G$5:$G$140&lt;&gt;"moeda")*(Inputs!$G$5:$G$140&lt;&gt;"acoes")))*INDEX(Inputs!$K$5:$AJ$140,0,MATCH(X$2,Inputs!$K$4:$AJ$4,0)))+SUMPRODUCT((Inputs!$E$5:$E$140=$B20)*Inputs!$F$5:$F$140*(((Inputs!$G$5:$G$140="moeda")+(Inputs!$G$5:$G$140="acoes"))*Inputs!$B$1+((Inputs!$G$5:$G$140&lt;&gt;"moeda")*(Inputs!$G$5:$G$140&lt;&gt;"acoes")))*INDEX(Inputs!$K$5:$AJ$140,0,MATCH(X$2,Inputs!$K$4:$AJ$4,0)))))</f>
        <v>2779</v>
      </c>
      <c r="Y20" s="6">
        <f>IF(ISNA(MATCH(Y$2,Inputs!$K$4:$AJ$4,0)),NA(),IF(SUMPRODUCT((Inputs!$A$5:$A$140=$B20)*ISNUMBER(INDEX(Inputs!$K$5:$AJ$140,0,MATCH(Y$2,Inputs!$K$4:$AJ$4,0))))+SUMPRODUCT((Inputs!$C$5:$C$140=$B20)*ISNUMBER(INDEX(Inputs!$K$5:$AJ$140,0,MATCH(Y$2,Inputs!$K$4:$AJ$4,0))))+SUMPRODUCT((Inputs!$E$5:$E$140=$B20)*ISNUMBER(INDEX(Inputs!$K$5:$AJ$140,0,MATCH(Y$2,Inputs!$K$4:$AJ$4,0))))=0,NA(),SUMPRODUCT((Inputs!$A$5:$A$140=$B20)*Inputs!$B$5:$B$140*(((Inputs!$G$5:$G$140="moeda")+(Inputs!$G$5:$G$140="acoes"))*Inputs!$B$1+((Inputs!$G$5:$G$140&lt;&gt;"moeda")*(Inputs!$G$5:$G$140&lt;&gt;"acoes")))*INDEX(Inputs!$K$5:$AJ$140,0,MATCH(Y$2,Inputs!$K$4:$AJ$4,0)))+SUMPRODUCT((Inputs!$C$5:$C$140=$B20)*Inputs!$D$5:$D$140*(((Inputs!$G$5:$G$140="moeda")+(Inputs!$G$5:$G$140="acoes"))*Inputs!$B$1+((Inputs!$G$5:$G$140&lt;&gt;"moeda")*(Inputs!$G$5:$G$140&lt;&gt;"acoes")))*INDEX(Inputs!$K$5:$AJ$140,0,MATCH(Y$2,Inputs!$K$4:$AJ$4,0)))+SUMPRODUCT((Inputs!$E$5:$E$140=$B20)*Inputs!$F$5:$F$140*(((Inputs!$G$5:$G$140="moeda")+(Inputs!$G$5:$G$140="acoes"))*Inputs!$B$1+((Inputs!$G$5:$G$140&lt;&gt;"moeda")*(Inputs!$G$5:$G$140&lt;&gt;"acoes")))*INDEX(Inputs!$K$5:$AJ$140,0,MATCH(Y$2,Inputs!$K$4:$AJ$4,0)))))</f>
        <v>2658</v>
      </c>
      <c r="Z20" s="6">
        <f>IF(ISNA(MATCH(Z$2,Inputs!$K$4:$AJ$4,0)),NA(),IF(SUMPRODUCT((Inputs!$A$5:$A$140=$B20)*ISNUMBER(INDEX(Inputs!$K$5:$AJ$140,0,MATCH(Z$2,Inputs!$K$4:$AJ$4,0))))+SUMPRODUCT((Inputs!$C$5:$C$140=$B20)*ISNUMBER(INDEX(Inputs!$K$5:$AJ$140,0,MATCH(Z$2,Inputs!$K$4:$AJ$4,0))))+SUMPRODUCT((Inputs!$E$5:$E$140=$B20)*ISNUMBER(INDEX(Inputs!$K$5:$AJ$140,0,MATCH(Z$2,Inputs!$K$4:$AJ$4,0))))=0,NA(),SUMPRODUCT((Inputs!$A$5:$A$140=$B20)*Inputs!$B$5:$B$140*(((Inputs!$G$5:$G$140="moeda")+(Inputs!$G$5:$G$140="acoes"))*Inputs!$B$1+((Inputs!$G$5:$G$140&lt;&gt;"moeda")*(Inputs!$G$5:$G$140&lt;&gt;"acoes")))*INDEX(Inputs!$K$5:$AJ$140,0,MATCH(Z$2,Inputs!$K$4:$AJ$4,0)))+SUMPRODUCT((Inputs!$C$5:$C$140=$B20)*Inputs!$D$5:$D$140*(((Inputs!$G$5:$G$140="moeda")+(Inputs!$G$5:$G$140="acoes"))*Inputs!$B$1+((Inputs!$G$5:$G$140&lt;&gt;"moeda")*(Inputs!$G$5:$G$140&lt;&gt;"acoes")))*INDEX(Inputs!$K$5:$AJ$140,0,MATCH(Z$2,Inputs!$K$4:$AJ$4,0)))+SUMPRODUCT((Inputs!$E$5:$E$140=$B20)*Inputs!$F$5:$F$140*(((Inputs!$G$5:$G$140="moeda")+(Inputs!$G$5:$G$140="acoes"))*Inputs!$B$1+((Inputs!$G$5:$G$140&lt;&gt;"moeda")*(Inputs!$G$5:$G$140&lt;&gt;"acoes")))*INDEX(Inputs!$K$5:$AJ$140,0,MATCH(Z$2,Inputs!$K$4:$AJ$4,0)))))</f>
        <v>2709</v>
      </c>
      <c r="AA20" s="6">
        <f>IF(ISNA(MATCH(AA$2,Inputs!$K$4:$AJ$4,0)),NA(),IF(SUMPRODUCT((Inputs!$A$5:$A$140=$B20)*ISNUMBER(INDEX(Inputs!$K$5:$AJ$140,0,MATCH(AA$2,Inputs!$K$4:$AJ$4,0))))+SUMPRODUCT((Inputs!$C$5:$C$140=$B20)*ISNUMBER(INDEX(Inputs!$K$5:$AJ$140,0,MATCH(AA$2,Inputs!$K$4:$AJ$4,0))))+SUMPRODUCT((Inputs!$E$5:$E$140=$B20)*ISNUMBER(INDEX(Inputs!$K$5:$AJ$140,0,MATCH(AA$2,Inputs!$K$4:$AJ$4,0))))=0,NA(),SUMPRODUCT((Inputs!$A$5:$A$140=$B20)*Inputs!$B$5:$B$140*(((Inputs!$G$5:$G$140="moeda")+(Inputs!$G$5:$G$140="acoes"))*Inputs!$B$1+((Inputs!$G$5:$G$140&lt;&gt;"moeda")*(Inputs!$G$5:$G$140&lt;&gt;"acoes")))*INDEX(Inputs!$K$5:$AJ$140,0,MATCH(AA$2,Inputs!$K$4:$AJ$4,0)))+SUMPRODUCT((Inputs!$C$5:$C$140=$B20)*Inputs!$D$5:$D$140*(((Inputs!$G$5:$G$140="moeda")+(Inputs!$G$5:$G$140="acoes"))*Inputs!$B$1+((Inputs!$G$5:$G$140&lt;&gt;"moeda")*(Inputs!$G$5:$G$140&lt;&gt;"acoes")))*INDEX(Inputs!$K$5:$AJ$140,0,MATCH(AA$2,Inputs!$K$4:$AJ$4,0)))+SUMPRODUCT((Inputs!$E$5:$E$140=$B20)*Inputs!$F$5:$F$140*(((Inputs!$G$5:$G$140="moeda")+(Inputs!$G$5:$G$140="acoes"))*Inputs!$B$1+((Inputs!$G$5:$G$140&lt;&gt;"moeda")*(Inputs!$G$5:$G$140&lt;&gt;"acoes")))*INDEX(Inputs!$K$5:$AJ$140,0,MATCH(AA$2,Inputs!$K$4:$AJ$4,0)))))</f>
        <v>16066</v>
      </c>
      <c r="AB20" s="3">
        <f>AA20</f>
        <v>16066</v>
      </c>
      <c r="AC20" s="6">
        <f>IF(ISNA(MATCH(AC$2,Inputs!$K$4:$AJ$4,0)),NA(),IF(SUMPRODUCT((Inputs!$A$5:$A$140=$B20)*ISNUMBER(INDEX(Inputs!$K$5:$AJ$140,0,MATCH(AC$2,Inputs!$K$4:$AJ$4,0))))+SUMPRODUCT((Inputs!$C$5:$C$140=$B20)*ISNUMBER(INDEX(Inputs!$K$5:$AJ$140,0,MATCH(AC$2,Inputs!$K$4:$AJ$4,0))))+SUMPRODUCT((Inputs!$E$5:$E$140=$B20)*ISNUMBER(INDEX(Inputs!$K$5:$AJ$140,0,MATCH(AC$2,Inputs!$K$4:$AJ$4,0))))=0,NA(),SUMPRODUCT((Inputs!$A$5:$A$140=$B20)*Inputs!$B$5:$B$140*(((Inputs!$G$5:$G$140="moeda")+(Inputs!$G$5:$G$140="acoes"))*Inputs!$B$1+((Inputs!$G$5:$G$140&lt;&gt;"moeda")*(Inputs!$G$5:$G$140&lt;&gt;"acoes")))*INDEX(Inputs!$K$5:$AJ$140,0,MATCH(AC$2,Inputs!$K$4:$AJ$4,0)))+SUMPRODUCT((Inputs!$C$5:$C$140=$B20)*Inputs!$D$5:$D$140*(((Inputs!$G$5:$G$140="moeda")+(Inputs!$G$5:$G$140="acoes"))*Inputs!$B$1+((Inputs!$G$5:$G$140&lt;&gt;"moeda")*(Inputs!$G$5:$G$140&lt;&gt;"acoes")))*INDEX(Inputs!$K$5:$AJ$140,0,MATCH(AC$2,Inputs!$K$4:$AJ$4,0)))+SUMPRODUCT((Inputs!$E$5:$E$140=$B20)*Inputs!$F$5:$F$140*(((Inputs!$G$5:$G$140="moeda")+(Inputs!$G$5:$G$140="acoes"))*Inputs!$B$1+((Inputs!$G$5:$G$140&lt;&gt;"moeda")*(Inputs!$G$5:$G$140&lt;&gt;"acoes")))*INDEX(Inputs!$K$5:$AJ$140,0,MATCH(AC$2,Inputs!$K$4:$AJ$4,0)))))</f>
        <v>34153</v>
      </c>
      <c r="AD20" s="6">
        <f>IF(ISNA(MATCH(AD$2,Inputs!$K$4:$AJ$4,0)),NA(),IF(SUMPRODUCT((Inputs!$A$5:$A$140=$B20)*ISNUMBER(INDEX(Inputs!$K$5:$AJ$140,0,MATCH(AD$2,Inputs!$K$4:$AJ$4,0))))+SUMPRODUCT((Inputs!$C$5:$C$140=$B20)*ISNUMBER(INDEX(Inputs!$K$5:$AJ$140,0,MATCH(AD$2,Inputs!$K$4:$AJ$4,0))))+SUMPRODUCT((Inputs!$E$5:$E$140=$B20)*ISNUMBER(INDEX(Inputs!$K$5:$AJ$140,0,MATCH(AD$2,Inputs!$K$4:$AJ$4,0))))=0,NA(),SUMPRODUCT((Inputs!$A$5:$A$140=$B20)*Inputs!$B$5:$B$140*(((Inputs!$G$5:$G$140="moeda")+(Inputs!$G$5:$G$140="acoes"))*Inputs!$B$1+((Inputs!$G$5:$G$140&lt;&gt;"moeda")*(Inputs!$G$5:$G$140&lt;&gt;"acoes")))*INDEX(Inputs!$K$5:$AJ$140,0,MATCH(AD$2,Inputs!$K$4:$AJ$4,0)))+SUMPRODUCT((Inputs!$C$5:$C$140=$B20)*Inputs!$D$5:$D$140*(((Inputs!$G$5:$G$140="moeda")+(Inputs!$G$5:$G$140="acoes"))*Inputs!$B$1+((Inputs!$G$5:$G$140&lt;&gt;"moeda")*(Inputs!$G$5:$G$140&lt;&gt;"acoes")))*INDEX(Inputs!$K$5:$AJ$140,0,MATCH(AD$2,Inputs!$K$4:$AJ$4,0)))+SUMPRODUCT((Inputs!$E$5:$E$140=$B20)*Inputs!$F$5:$F$140*(((Inputs!$G$5:$G$140="moeda")+(Inputs!$G$5:$G$140="acoes"))*Inputs!$B$1+((Inputs!$G$5:$G$140&lt;&gt;"moeda")*(Inputs!$G$5:$G$140&lt;&gt;"acoes")))*INDEX(Inputs!$K$5:$AJ$140,0,MATCH(AD$2,Inputs!$K$4:$AJ$4,0)))))</f>
        <v>46192</v>
      </c>
      <c r="AE20" s="6" t="e">
        <f>IF(ISNA(MATCH(AE$2,Inputs!$K$4:$AJ$4,0)),NA(),IF(SUMPRODUCT((Inputs!$A$5:$A$140=$B20)*ISNUMBER(INDEX(Inputs!$K$5:$AJ$140,0,MATCH(AE$2,Inputs!$K$4:$AJ$4,0))))+SUMPRODUCT((Inputs!$C$5:$C$140=$B20)*ISNUMBER(INDEX(Inputs!$K$5:$AJ$140,0,MATCH(AE$2,Inputs!$K$4:$AJ$4,0))))+SUMPRODUCT((Inputs!$E$5:$E$140=$B20)*ISNUMBER(INDEX(Inputs!$K$5:$AJ$140,0,MATCH(AE$2,Inputs!$K$4:$AJ$4,0))))=0,NA(),SUMPRODUCT((Inputs!$A$5:$A$140=$B20)*Inputs!$B$5:$B$140*(((Inputs!$G$5:$G$140="moeda")+(Inputs!$G$5:$G$140="acoes"))*Inputs!$B$1+((Inputs!$G$5:$G$140&lt;&gt;"moeda")*(Inputs!$G$5:$G$140&lt;&gt;"acoes")))*INDEX(Inputs!$K$5:$AJ$140,0,MATCH(AE$2,Inputs!$K$4:$AJ$4,0)))+SUMPRODUCT((Inputs!$C$5:$C$140=$B20)*Inputs!$D$5:$D$140*(((Inputs!$G$5:$G$140="moeda")+(Inputs!$G$5:$G$140="acoes"))*Inputs!$B$1+((Inputs!$G$5:$G$140&lt;&gt;"moeda")*(Inputs!$G$5:$G$140&lt;&gt;"acoes")))*INDEX(Inputs!$K$5:$AJ$140,0,MATCH(AE$2,Inputs!$K$4:$AJ$4,0)))+SUMPRODUCT((Inputs!$E$5:$E$140=$B20)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20" s="6" t="e">
        <f>IF(ISNA(MATCH(AF$2,Inputs!$K$4:$AJ$4,0)),NA(),IF(SUMPRODUCT((Inputs!$A$5:$A$140=$B20)*ISNUMBER(INDEX(Inputs!$K$5:$AJ$140,0,MATCH(AF$2,Inputs!$K$4:$AJ$4,0))))+SUMPRODUCT((Inputs!$C$5:$C$140=$B20)*ISNUMBER(INDEX(Inputs!$K$5:$AJ$140,0,MATCH(AF$2,Inputs!$K$4:$AJ$4,0))))+SUMPRODUCT((Inputs!$E$5:$E$140=$B20)*ISNUMBER(INDEX(Inputs!$K$5:$AJ$140,0,MATCH(AF$2,Inputs!$K$4:$AJ$4,0))))=0,NA(),SUMPRODUCT((Inputs!$A$5:$A$140=$B20)*Inputs!$B$5:$B$140*(((Inputs!$G$5:$G$140="moeda")+(Inputs!$G$5:$G$140="acoes"))*Inputs!$B$1+((Inputs!$G$5:$G$140&lt;&gt;"moeda")*(Inputs!$G$5:$G$140&lt;&gt;"acoes")))*INDEX(Inputs!$K$5:$AJ$140,0,MATCH(AF$2,Inputs!$K$4:$AJ$4,0)))+SUMPRODUCT((Inputs!$C$5:$C$140=$B20)*Inputs!$D$5:$D$140*(((Inputs!$G$5:$G$140="moeda")+(Inputs!$G$5:$G$140="acoes"))*Inputs!$B$1+((Inputs!$G$5:$G$140&lt;&gt;"moeda")*(Inputs!$G$5:$G$140&lt;&gt;"acoes")))*INDEX(Inputs!$K$5:$AJ$140,0,MATCH(AF$2,Inputs!$K$4:$AJ$4,0)))+SUMPRODUCT((Inputs!$E$5:$E$140=$B20)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20" s="3" t="e">
        <f>AF20</f>
        <v>#N/A</v>
      </c>
      <c r="AH20" s="6">
        <f>IF(ISNA(MATCH(AH$2,Inputs!$K$4:$AJ$4,0)),NA(),IF(SUMPRODUCT((Inputs!$A$5:$A$140=$B20)*ISNUMBER(INDEX(Inputs!$K$5:$AJ$140,0,MATCH(AH$2,Inputs!$K$4:$AJ$4,0))))+SUMPRODUCT((Inputs!$C$5:$C$140=$B20)*ISNUMBER(INDEX(Inputs!$K$5:$AJ$140,0,MATCH(AH$2,Inputs!$K$4:$AJ$4,0))))+SUMPRODUCT((Inputs!$E$5:$E$140=$B20)*ISNUMBER(INDEX(Inputs!$K$5:$AJ$140,0,MATCH(AH$2,Inputs!$K$4:$AJ$4,0))))=0,NA(),SUMPRODUCT((Inputs!$A$5:$A$140=$B20)*Inputs!$B$5:$B$140*(((Inputs!$G$5:$G$140="moeda")+(Inputs!$G$5:$G$140="acoes"))*Inputs!$B$1+((Inputs!$G$5:$G$140&lt;&gt;"moeda")*(Inputs!$G$5:$G$140&lt;&gt;"acoes")))*INDEX(Inputs!$K$5:$AJ$140,0,MATCH(AH$2,Inputs!$K$4:$AJ$4,0)))+SUMPRODUCT((Inputs!$C$5:$C$140=$B20)*Inputs!$D$5:$D$140*(((Inputs!$G$5:$G$140="moeda")+(Inputs!$G$5:$G$140="acoes"))*Inputs!$B$1+((Inputs!$G$5:$G$140&lt;&gt;"moeda")*(Inputs!$G$5:$G$140&lt;&gt;"acoes")))*INDEX(Inputs!$K$5:$AJ$140,0,MATCH(AH$2,Inputs!$K$4:$AJ$4,0)))+SUMPRODUCT((Inputs!$E$5:$E$140=$B20)*Inputs!$F$5:$F$140*(((Inputs!$G$5:$G$140="moeda")+(Inputs!$G$5:$G$140="acoes"))*Inputs!$B$1+((Inputs!$G$5:$G$140&lt;&gt;"moeda")*(Inputs!$G$5:$G$140&lt;&gt;"acoes")))*INDEX(Inputs!$K$5:$AJ$140,0,MATCH(AH$2,Inputs!$K$4:$AJ$4,0)))))</f>
        <v>195</v>
      </c>
      <c r="AI20" s="6">
        <f>IF(ISNA(MATCH(AI$2,Inputs!$K$4:$AJ$4,0)),NA(),IF(SUMPRODUCT((Inputs!$A$5:$A$140=$B20)*ISNUMBER(INDEX(Inputs!$K$5:$AJ$140,0,MATCH(AI$2,Inputs!$K$4:$AJ$4,0))))+SUMPRODUCT((Inputs!$C$5:$C$140=$B20)*ISNUMBER(INDEX(Inputs!$K$5:$AJ$140,0,MATCH(AI$2,Inputs!$K$4:$AJ$4,0))))+SUMPRODUCT((Inputs!$E$5:$E$140=$B20)*ISNUMBER(INDEX(Inputs!$K$5:$AJ$140,0,MATCH(AI$2,Inputs!$K$4:$AJ$4,0))))=0,NA(),SUMPRODUCT((Inputs!$A$5:$A$140=$B20)*Inputs!$B$5:$B$140*(((Inputs!$G$5:$G$140="moeda")+(Inputs!$G$5:$G$140="acoes"))*Inputs!$B$1+((Inputs!$G$5:$G$140&lt;&gt;"moeda")*(Inputs!$G$5:$G$140&lt;&gt;"acoes")))*INDEX(Inputs!$K$5:$AJ$140,0,MATCH(AI$2,Inputs!$K$4:$AJ$4,0)))+SUMPRODUCT((Inputs!$C$5:$C$140=$B20)*Inputs!$D$5:$D$140*(((Inputs!$G$5:$G$140="moeda")+(Inputs!$G$5:$G$140="acoes"))*Inputs!$B$1+((Inputs!$G$5:$G$140&lt;&gt;"moeda")*(Inputs!$G$5:$G$140&lt;&gt;"acoes")))*INDEX(Inputs!$K$5:$AJ$140,0,MATCH(AI$2,Inputs!$K$4:$AJ$4,0)))+SUMPRODUCT((Inputs!$E$5:$E$140=$B20)*Inputs!$F$5:$F$140*(((Inputs!$G$5:$G$140="moeda")+(Inputs!$G$5:$G$140="acoes"))*Inputs!$B$1+((Inputs!$G$5:$G$140&lt;&gt;"moeda")*(Inputs!$G$5:$G$140&lt;&gt;"acoes")))*INDEX(Inputs!$K$5:$AJ$140,0,MATCH(AI$2,Inputs!$K$4:$AJ$4,0)))))</f>
        <v>215</v>
      </c>
      <c r="AJ20" s="6">
        <f>IF(ISNA(MATCH(AJ$2,Inputs!$K$4:$AJ$4,0)),NA(),IF(SUMPRODUCT((Inputs!$A$5:$A$140=$B20)*ISNUMBER(INDEX(Inputs!$K$5:$AJ$140,0,MATCH(AJ$2,Inputs!$K$4:$AJ$4,0))))+SUMPRODUCT((Inputs!$C$5:$C$140=$B20)*ISNUMBER(INDEX(Inputs!$K$5:$AJ$140,0,MATCH(AJ$2,Inputs!$K$4:$AJ$4,0))))+SUMPRODUCT((Inputs!$E$5:$E$140=$B20)*ISNUMBER(INDEX(Inputs!$K$5:$AJ$140,0,MATCH(AJ$2,Inputs!$K$4:$AJ$4,0))))=0,NA(),SUMPRODUCT((Inputs!$A$5:$A$140=$B20)*Inputs!$B$5:$B$140*(((Inputs!$G$5:$G$140="moeda")+(Inputs!$G$5:$G$140="acoes"))*Inputs!$B$1+((Inputs!$G$5:$G$140&lt;&gt;"moeda")*(Inputs!$G$5:$G$140&lt;&gt;"acoes")))*INDEX(Inputs!$K$5:$AJ$140,0,MATCH(AJ$2,Inputs!$K$4:$AJ$4,0)))+SUMPRODUCT((Inputs!$C$5:$C$140=$B20)*Inputs!$D$5:$D$140*(((Inputs!$G$5:$G$140="moeda")+(Inputs!$G$5:$G$140="acoes"))*Inputs!$B$1+((Inputs!$G$5:$G$140&lt;&gt;"moeda")*(Inputs!$G$5:$G$140&lt;&gt;"acoes")))*INDEX(Inputs!$K$5:$AJ$140,0,MATCH(AJ$2,Inputs!$K$4:$AJ$4,0)))+SUMPRODUCT((Inputs!$E$5:$E$140=$B20)*Inputs!$F$5:$F$140*(((Inputs!$G$5:$G$140="moeda")+(Inputs!$G$5:$G$140="acoes"))*Inputs!$B$1+((Inputs!$G$5:$G$140&lt;&gt;"moeda")*(Inputs!$G$5:$G$140&lt;&gt;"acoes")))*INDEX(Inputs!$K$5:$AJ$140,0,MATCH(AJ$2,Inputs!$K$4:$AJ$4,0)))))</f>
        <v>213</v>
      </c>
      <c r="AK20" s="6">
        <f>IF(ISNA(MATCH(AK$2,Inputs!$K$4:$AJ$4,0)),NA(),IF(SUMPRODUCT((Inputs!$A$5:$A$140=$B20)*ISNUMBER(INDEX(Inputs!$K$5:$AJ$140,0,MATCH(AK$2,Inputs!$K$4:$AJ$4,0))))+SUMPRODUCT((Inputs!$C$5:$C$140=$B20)*ISNUMBER(INDEX(Inputs!$K$5:$AJ$140,0,MATCH(AK$2,Inputs!$K$4:$AJ$4,0))))+SUMPRODUCT((Inputs!$E$5:$E$140=$B20)*ISNUMBER(INDEX(Inputs!$K$5:$AJ$140,0,MATCH(AK$2,Inputs!$K$4:$AJ$4,0))))=0,NA(),SUMPRODUCT((Inputs!$A$5:$A$140=$B20)*Inputs!$B$5:$B$140*(((Inputs!$G$5:$G$140="moeda")+(Inputs!$G$5:$G$140="acoes"))*Inputs!$B$1+((Inputs!$G$5:$G$140&lt;&gt;"moeda")*(Inputs!$G$5:$G$140&lt;&gt;"acoes")))*INDEX(Inputs!$K$5:$AJ$140,0,MATCH(AK$2,Inputs!$K$4:$AJ$4,0)))+SUMPRODUCT((Inputs!$C$5:$C$140=$B20)*Inputs!$D$5:$D$140*(((Inputs!$G$5:$G$140="moeda")+(Inputs!$G$5:$G$140="acoes"))*Inputs!$B$1+((Inputs!$G$5:$G$140&lt;&gt;"moeda")*(Inputs!$G$5:$G$140&lt;&gt;"acoes")))*INDEX(Inputs!$K$5:$AJ$140,0,MATCH(AK$2,Inputs!$K$4:$AJ$4,0)))+SUMPRODUCT((Inputs!$E$5:$E$140=$B20)*Inputs!$F$5:$F$140*(((Inputs!$G$5:$G$140="moeda")+(Inputs!$G$5:$G$140="acoes"))*Inputs!$B$1+((Inputs!$G$5:$G$140&lt;&gt;"moeda")*(Inputs!$G$5:$G$140&lt;&gt;"acoes")))*INDEX(Inputs!$K$5:$AJ$140,0,MATCH(AK$2,Inputs!$K$4:$AJ$4,0)))))</f>
        <v>239</v>
      </c>
      <c r="AL20" s="3">
        <f>AK20</f>
        <v>239</v>
      </c>
    </row>
    <row r="21">
      <c r="B21" s="46" t="n">
        <v>17</v>
      </c>
      <c r="C21" s="26" t="inlineStr">
        <is>
          <t>Equity in affiliates</t>
        </is>
      </c>
      <c r="D21" s="6" t="e">
        <f>IF(ISNA(MATCH(D$2,Inputs!$K$4:$AJ$4,0)),NA(),IF(SUMPRODUCT((Inputs!$A$5:$A$140=$B21)*ISNUMBER(INDEX(Inputs!$K$5:$AJ$140,0,MATCH(D$2,Inputs!$K$4:$AJ$4,0))))+SUMPRODUCT((Inputs!$C$5:$C$140=$B21)*ISNUMBER(INDEX(Inputs!$K$5:$AJ$140,0,MATCH(D$2,Inputs!$K$4:$AJ$4,0))))+SUMPRODUCT((Inputs!$E$5:$E$140=$B21)*ISNUMBER(INDEX(Inputs!$K$5:$AJ$140,0,MATCH(D$2,Inputs!$K$4:$AJ$4,0))))=0,NA(),SUMPRODUCT((Inputs!$A$5:$A$140=$B21)*Inputs!$B$5:$B$140*(((Inputs!$G$5:$G$140="moeda")+(Inputs!$G$5:$G$140="acoes"))*Inputs!$B$1+((Inputs!$G$5:$G$140&lt;&gt;"moeda")*(Inputs!$G$5:$G$140&lt;&gt;"acoes")))*INDEX(Inputs!$K$5:$AJ$140,0,MATCH(D$2,Inputs!$K$4:$AJ$4,0)))+SUMPRODUCT((Inputs!$C$5:$C$140=$B21)*Inputs!$D$5:$D$140*(((Inputs!$G$5:$G$140="moeda")+(Inputs!$G$5:$G$140="acoes"))*Inputs!$B$1+((Inputs!$G$5:$G$140&lt;&gt;"moeda")*(Inputs!$G$5:$G$140&lt;&gt;"acoes")))*INDEX(Inputs!$K$5:$AJ$140,0,MATCH(D$2,Inputs!$K$4:$AJ$4,0)))+SUMPRODUCT((Inputs!$E$5:$E$140=$B21)*Inputs!$F$5:$F$140*(((Inputs!$G$5:$G$140="moeda")+(Inputs!$G$5:$G$140="acoes"))*Inputs!$B$1+((Inputs!$G$5:$G$140&lt;&gt;"moeda")*(Inputs!$G$5:$G$140&lt;&gt;"acoes")))*INDEX(Inputs!$K$5:$AJ$140,0,MATCH(D$2,Inputs!$K$4:$AJ$4,0)))))</f>
        <v>#N/A</v>
      </c>
      <c r="E21" s="6" t="e">
        <f>IF(ISNA(MATCH(E$2,Inputs!$K$4:$AJ$4,0)),NA(),IF(SUMPRODUCT((Inputs!$A$5:$A$140=$B21)*ISNUMBER(INDEX(Inputs!$K$5:$AJ$140,0,MATCH(E$2,Inputs!$K$4:$AJ$4,0))))+SUMPRODUCT((Inputs!$C$5:$C$140=$B21)*ISNUMBER(INDEX(Inputs!$K$5:$AJ$140,0,MATCH(E$2,Inputs!$K$4:$AJ$4,0))))+SUMPRODUCT((Inputs!$E$5:$E$140=$B21)*ISNUMBER(INDEX(Inputs!$K$5:$AJ$140,0,MATCH(E$2,Inputs!$K$4:$AJ$4,0))))=0,NA(),SUMPRODUCT((Inputs!$A$5:$A$140=$B21)*Inputs!$B$5:$B$140*(((Inputs!$G$5:$G$140="moeda")+(Inputs!$G$5:$G$140="acoes"))*Inputs!$B$1+((Inputs!$G$5:$G$140&lt;&gt;"moeda")*(Inputs!$G$5:$G$140&lt;&gt;"acoes")))*INDEX(Inputs!$K$5:$AJ$140,0,MATCH(E$2,Inputs!$K$4:$AJ$4,0)))+SUMPRODUCT((Inputs!$C$5:$C$140=$B21)*Inputs!$D$5:$D$140*(((Inputs!$G$5:$G$140="moeda")+(Inputs!$G$5:$G$140="acoes"))*Inputs!$B$1+((Inputs!$G$5:$G$140&lt;&gt;"moeda")*(Inputs!$G$5:$G$140&lt;&gt;"acoes")))*INDEX(Inputs!$K$5:$AJ$140,0,MATCH(E$2,Inputs!$K$4:$AJ$4,0)))+SUMPRODUCT((Inputs!$E$5:$E$140=$B21)*Inputs!$F$5:$F$140*(((Inputs!$G$5:$G$140="moeda")+(Inputs!$G$5:$G$140="acoes"))*Inputs!$B$1+((Inputs!$G$5:$G$140&lt;&gt;"moeda")*(Inputs!$G$5:$G$140&lt;&gt;"acoes")))*INDEX(Inputs!$K$5:$AJ$140,0,MATCH(E$2,Inputs!$K$4:$AJ$4,0)))))</f>
        <v>#N/A</v>
      </c>
      <c r="F21" s="6" t="e">
        <f>IF(ISNA(MATCH(F$2,Inputs!$K$4:$AJ$4,0)),NA(),IF(SUMPRODUCT((Inputs!$A$5:$A$140=$B21)*ISNUMBER(INDEX(Inputs!$K$5:$AJ$140,0,MATCH(F$2,Inputs!$K$4:$AJ$4,0))))+SUMPRODUCT((Inputs!$C$5:$C$140=$B21)*ISNUMBER(INDEX(Inputs!$K$5:$AJ$140,0,MATCH(F$2,Inputs!$K$4:$AJ$4,0))))+SUMPRODUCT((Inputs!$E$5:$E$140=$B21)*ISNUMBER(INDEX(Inputs!$K$5:$AJ$140,0,MATCH(F$2,Inputs!$K$4:$AJ$4,0))))=0,NA(),SUMPRODUCT((Inputs!$A$5:$A$140=$B21)*Inputs!$B$5:$B$140*(((Inputs!$G$5:$G$140="moeda")+(Inputs!$G$5:$G$140="acoes"))*Inputs!$B$1+((Inputs!$G$5:$G$140&lt;&gt;"moeda")*(Inputs!$G$5:$G$140&lt;&gt;"acoes")))*INDEX(Inputs!$K$5:$AJ$140,0,MATCH(F$2,Inputs!$K$4:$AJ$4,0)))+SUMPRODUCT((Inputs!$C$5:$C$140=$B21)*Inputs!$D$5:$D$140*(((Inputs!$G$5:$G$140="moeda")+(Inputs!$G$5:$G$140="acoes"))*Inputs!$B$1+((Inputs!$G$5:$G$140&lt;&gt;"moeda")*(Inputs!$G$5:$G$140&lt;&gt;"acoes")))*INDEX(Inputs!$K$5:$AJ$140,0,MATCH(F$2,Inputs!$K$4:$AJ$4,0)))+SUMPRODUCT((Inputs!$E$5:$E$140=$B21)*Inputs!$F$5:$F$140*(((Inputs!$G$5:$G$140="moeda")+(Inputs!$G$5:$G$140="acoes"))*Inputs!$B$1+((Inputs!$G$5:$G$140&lt;&gt;"moeda")*(Inputs!$G$5:$G$140&lt;&gt;"acoes")))*INDEX(Inputs!$K$5:$AJ$140,0,MATCH(F$2,Inputs!$K$4:$AJ$4,0)))))</f>
        <v>#N/A</v>
      </c>
      <c r="G21" s="6" t="e">
        <f>IF(ISNA(MATCH(G$2,Inputs!$K$4:$AJ$4,0)),NA(),IF(SUMPRODUCT((Inputs!$A$5:$A$140=$B21)*ISNUMBER(INDEX(Inputs!$K$5:$AJ$140,0,MATCH(G$2,Inputs!$K$4:$AJ$4,0))))+SUMPRODUCT((Inputs!$C$5:$C$140=$B21)*ISNUMBER(INDEX(Inputs!$K$5:$AJ$140,0,MATCH(G$2,Inputs!$K$4:$AJ$4,0))))+SUMPRODUCT((Inputs!$E$5:$E$140=$B21)*ISNUMBER(INDEX(Inputs!$K$5:$AJ$140,0,MATCH(G$2,Inputs!$K$4:$AJ$4,0))))=0,NA(),SUMPRODUCT((Inputs!$A$5:$A$140=$B21)*Inputs!$B$5:$B$140*(((Inputs!$G$5:$G$140="moeda")+(Inputs!$G$5:$G$140="acoes"))*Inputs!$B$1+((Inputs!$G$5:$G$140&lt;&gt;"moeda")*(Inputs!$G$5:$G$140&lt;&gt;"acoes")))*INDEX(Inputs!$K$5:$AJ$140,0,MATCH(G$2,Inputs!$K$4:$AJ$4,0)))+SUMPRODUCT((Inputs!$C$5:$C$140=$B21)*Inputs!$D$5:$D$140*(((Inputs!$G$5:$G$140="moeda")+(Inputs!$G$5:$G$140="acoes"))*Inputs!$B$1+((Inputs!$G$5:$G$140&lt;&gt;"moeda")*(Inputs!$G$5:$G$140&lt;&gt;"acoes")))*INDEX(Inputs!$K$5:$AJ$140,0,MATCH(G$2,Inputs!$K$4:$AJ$4,0)))+SUMPRODUCT((Inputs!$E$5:$E$140=$B21)*Inputs!$F$5:$F$140*(((Inputs!$G$5:$G$140="moeda")+(Inputs!$G$5:$G$140="acoes"))*Inputs!$B$1+((Inputs!$G$5:$G$140&lt;&gt;"moeda")*(Inputs!$G$5:$G$140&lt;&gt;"acoes")))*INDEX(Inputs!$K$5:$AJ$140,0,MATCH(G$2,Inputs!$K$4:$AJ$4,0)))))</f>
        <v>#N/A</v>
      </c>
      <c r="H21" s="3" t="e">
        <f>G21</f>
        <v>#N/A</v>
      </c>
      <c r="I21" s="6" t="e">
        <f>IF(ISNA(MATCH(I$2,Inputs!$K$4:$AJ$4,0)),NA(),IF(SUMPRODUCT((Inputs!$A$5:$A$140=$B21)*ISNUMBER(INDEX(Inputs!$K$5:$AJ$140,0,MATCH(I$2,Inputs!$K$4:$AJ$4,0))))+SUMPRODUCT((Inputs!$C$5:$C$140=$B21)*ISNUMBER(INDEX(Inputs!$K$5:$AJ$140,0,MATCH(I$2,Inputs!$K$4:$AJ$4,0))))+SUMPRODUCT((Inputs!$E$5:$E$140=$B21)*ISNUMBER(INDEX(Inputs!$K$5:$AJ$140,0,MATCH(I$2,Inputs!$K$4:$AJ$4,0))))=0,NA(),SUMPRODUCT((Inputs!$A$5:$A$140=$B21)*Inputs!$B$5:$B$140*(((Inputs!$G$5:$G$140="moeda")+(Inputs!$G$5:$G$140="acoes"))*Inputs!$B$1+((Inputs!$G$5:$G$140&lt;&gt;"moeda")*(Inputs!$G$5:$G$140&lt;&gt;"acoes")))*INDEX(Inputs!$K$5:$AJ$140,0,MATCH(I$2,Inputs!$K$4:$AJ$4,0)))+SUMPRODUCT((Inputs!$C$5:$C$140=$B21)*Inputs!$D$5:$D$140*(((Inputs!$G$5:$G$140="moeda")+(Inputs!$G$5:$G$140="acoes"))*Inputs!$B$1+((Inputs!$G$5:$G$140&lt;&gt;"moeda")*(Inputs!$G$5:$G$140&lt;&gt;"acoes")))*INDEX(Inputs!$K$5:$AJ$140,0,MATCH(I$2,Inputs!$K$4:$AJ$4,0)))+SUMPRODUCT((Inputs!$E$5:$E$140=$B21)*Inputs!$F$5:$F$140*(((Inputs!$G$5:$G$140="moeda")+(Inputs!$G$5:$G$140="acoes"))*Inputs!$B$1+((Inputs!$G$5:$G$140&lt;&gt;"moeda")*(Inputs!$G$5:$G$140&lt;&gt;"acoes")))*INDEX(Inputs!$K$5:$AJ$140,0,MATCH(I$2,Inputs!$K$4:$AJ$4,0)))))</f>
        <v>#N/A</v>
      </c>
      <c r="J21" s="6" t="e">
        <f>IF(ISNA(MATCH(J$2,Inputs!$K$4:$AJ$4,0)),NA(),IF(SUMPRODUCT((Inputs!$A$5:$A$140=$B21)*ISNUMBER(INDEX(Inputs!$K$5:$AJ$140,0,MATCH(J$2,Inputs!$K$4:$AJ$4,0))))+SUMPRODUCT((Inputs!$C$5:$C$140=$B21)*ISNUMBER(INDEX(Inputs!$K$5:$AJ$140,0,MATCH(J$2,Inputs!$K$4:$AJ$4,0))))+SUMPRODUCT((Inputs!$E$5:$E$140=$B21)*ISNUMBER(INDEX(Inputs!$K$5:$AJ$140,0,MATCH(J$2,Inputs!$K$4:$AJ$4,0))))=0,NA(),SUMPRODUCT((Inputs!$A$5:$A$140=$B21)*Inputs!$B$5:$B$140*(((Inputs!$G$5:$G$140="moeda")+(Inputs!$G$5:$G$140="acoes"))*Inputs!$B$1+((Inputs!$G$5:$G$140&lt;&gt;"moeda")*(Inputs!$G$5:$G$140&lt;&gt;"acoes")))*INDEX(Inputs!$K$5:$AJ$140,0,MATCH(J$2,Inputs!$K$4:$AJ$4,0)))+SUMPRODUCT((Inputs!$C$5:$C$140=$B21)*Inputs!$D$5:$D$140*(((Inputs!$G$5:$G$140="moeda")+(Inputs!$G$5:$G$140="acoes"))*Inputs!$B$1+((Inputs!$G$5:$G$140&lt;&gt;"moeda")*(Inputs!$G$5:$G$140&lt;&gt;"acoes")))*INDEX(Inputs!$K$5:$AJ$140,0,MATCH(J$2,Inputs!$K$4:$AJ$4,0)))+SUMPRODUCT((Inputs!$E$5:$E$140=$B21)*Inputs!$F$5:$F$140*(((Inputs!$G$5:$G$140="moeda")+(Inputs!$G$5:$G$140="acoes"))*Inputs!$B$1+((Inputs!$G$5:$G$140&lt;&gt;"moeda")*(Inputs!$G$5:$G$140&lt;&gt;"acoes")))*INDEX(Inputs!$K$5:$AJ$140,0,MATCH(J$2,Inputs!$K$4:$AJ$4,0)))))</f>
        <v>#N/A</v>
      </c>
      <c r="K21" s="6" t="e">
        <f>IF(ISNA(MATCH(K$2,Inputs!$K$4:$AJ$4,0)),NA(),IF(SUMPRODUCT((Inputs!$A$5:$A$140=$B21)*ISNUMBER(INDEX(Inputs!$K$5:$AJ$140,0,MATCH(K$2,Inputs!$K$4:$AJ$4,0))))+SUMPRODUCT((Inputs!$C$5:$C$140=$B21)*ISNUMBER(INDEX(Inputs!$K$5:$AJ$140,0,MATCH(K$2,Inputs!$K$4:$AJ$4,0))))+SUMPRODUCT((Inputs!$E$5:$E$140=$B21)*ISNUMBER(INDEX(Inputs!$K$5:$AJ$140,0,MATCH(K$2,Inputs!$K$4:$AJ$4,0))))=0,NA(),SUMPRODUCT((Inputs!$A$5:$A$140=$B21)*Inputs!$B$5:$B$140*(((Inputs!$G$5:$G$140="moeda")+(Inputs!$G$5:$G$140="acoes"))*Inputs!$B$1+((Inputs!$G$5:$G$140&lt;&gt;"moeda")*(Inputs!$G$5:$G$140&lt;&gt;"acoes")))*INDEX(Inputs!$K$5:$AJ$140,0,MATCH(K$2,Inputs!$K$4:$AJ$4,0)))+SUMPRODUCT((Inputs!$C$5:$C$140=$B21)*Inputs!$D$5:$D$140*(((Inputs!$G$5:$G$140="moeda")+(Inputs!$G$5:$G$140="acoes"))*Inputs!$B$1+((Inputs!$G$5:$G$140&lt;&gt;"moeda")*(Inputs!$G$5:$G$140&lt;&gt;"acoes")))*INDEX(Inputs!$K$5:$AJ$140,0,MATCH(K$2,Inputs!$K$4:$AJ$4,0)))+SUMPRODUCT((Inputs!$E$5:$E$140=$B21)*Inputs!$F$5:$F$140*(((Inputs!$G$5:$G$140="moeda")+(Inputs!$G$5:$G$140="acoes"))*Inputs!$B$1+((Inputs!$G$5:$G$140&lt;&gt;"moeda")*(Inputs!$G$5:$G$140&lt;&gt;"acoes")))*INDEX(Inputs!$K$5:$AJ$140,0,MATCH(K$2,Inputs!$K$4:$AJ$4,0)))))</f>
        <v>#N/A</v>
      </c>
      <c r="L21" s="6" t="e">
        <f>IF(ISNA(MATCH(L$2,Inputs!$K$4:$AJ$4,0)),NA(),IF(SUMPRODUCT((Inputs!$A$5:$A$140=$B21)*ISNUMBER(INDEX(Inputs!$K$5:$AJ$140,0,MATCH(L$2,Inputs!$K$4:$AJ$4,0))))+SUMPRODUCT((Inputs!$C$5:$C$140=$B21)*ISNUMBER(INDEX(Inputs!$K$5:$AJ$140,0,MATCH(L$2,Inputs!$K$4:$AJ$4,0))))+SUMPRODUCT((Inputs!$E$5:$E$140=$B21)*ISNUMBER(INDEX(Inputs!$K$5:$AJ$140,0,MATCH(L$2,Inputs!$K$4:$AJ$4,0))))=0,NA(),SUMPRODUCT((Inputs!$A$5:$A$140=$B21)*Inputs!$B$5:$B$140*(((Inputs!$G$5:$G$140="moeda")+(Inputs!$G$5:$G$140="acoes"))*Inputs!$B$1+((Inputs!$G$5:$G$140&lt;&gt;"moeda")*(Inputs!$G$5:$G$140&lt;&gt;"acoes")))*INDEX(Inputs!$K$5:$AJ$140,0,MATCH(L$2,Inputs!$K$4:$AJ$4,0)))+SUMPRODUCT((Inputs!$C$5:$C$140=$B21)*Inputs!$D$5:$D$140*(((Inputs!$G$5:$G$140="moeda")+(Inputs!$G$5:$G$140="acoes"))*Inputs!$B$1+((Inputs!$G$5:$G$140&lt;&gt;"moeda")*(Inputs!$G$5:$G$140&lt;&gt;"acoes")))*INDEX(Inputs!$K$5:$AJ$140,0,MATCH(L$2,Inputs!$K$4:$AJ$4,0)))+SUMPRODUCT((Inputs!$E$5:$E$140=$B21)*Inputs!$F$5:$F$140*(((Inputs!$G$5:$G$140="moeda")+(Inputs!$G$5:$G$140="acoes"))*Inputs!$B$1+((Inputs!$G$5:$G$140&lt;&gt;"moeda")*(Inputs!$G$5:$G$140&lt;&gt;"acoes")))*INDEX(Inputs!$K$5:$AJ$140,0,MATCH(L$2,Inputs!$K$4:$AJ$4,0)))))</f>
        <v>#N/A</v>
      </c>
      <c r="M21" s="3" t="e">
        <f>L21</f>
        <v>#N/A</v>
      </c>
      <c r="N21" s="6" t="e">
        <f>IF(ISNA(MATCH(N$2,Inputs!$K$4:$AJ$4,0)),NA(),IF(SUMPRODUCT((Inputs!$A$5:$A$140=$B21)*ISNUMBER(INDEX(Inputs!$K$5:$AJ$140,0,MATCH(N$2,Inputs!$K$4:$AJ$4,0))))+SUMPRODUCT((Inputs!$C$5:$C$140=$B21)*ISNUMBER(INDEX(Inputs!$K$5:$AJ$140,0,MATCH(N$2,Inputs!$K$4:$AJ$4,0))))+SUMPRODUCT((Inputs!$E$5:$E$140=$B21)*ISNUMBER(INDEX(Inputs!$K$5:$AJ$140,0,MATCH(N$2,Inputs!$K$4:$AJ$4,0))))=0,NA(),SUMPRODUCT((Inputs!$A$5:$A$140=$B21)*Inputs!$B$5:$B$140*(((Inputs!$G$5:$G$140="moeda")+(Inputs!$G$5:$G$140="acoes"))*Inputs!$B$1+((Inputs!$G$5:$G$140&lt;&gt;"moeda")*(Inputs!$G$5:$G$140&lt;&gt;"acoes")))*INDEX(Inputs!$K$5:$AJ$140,0,MATCH(N$2,Inputs!$K$4:$AJ$4,0)))+SUMPRODUCT((Inputs!$C$5:$C$140=$B21)*Inputs!$D$5:$D$140*(((Inputs!$G$5:$G$140="moeda")+(Inputs!$G$5:$G$140="acoes"))*Inputs!$B$1+((Inputs!$G$5:$G$140&lt;&gt;"moeda")*(Inputs!$G$5:$G$140&lt;&gt;"acoes")))*INDEX(Inputs!$K$5:$AJ$140,0,MATCH(N$2,Inputs!$K$4:$AJ$4,0)))+SUMPRODUCT((Inputs!$E$5:$E$140=$B21)*Inputs!$F$5:$F$140*(((Inputs!$G$5:$G$140="moeda")+(Inputs!$G$5:$G$140="acoes"))*Inputs!$B$1+((Inputs!$G$5:$G$140&lt;&gt;"moeda")*(Inputs!$G$5:$G$140&lt;&gt;"acoes")))*INDEX(Inputs!$K$5:$AJ$140,0,MATCH(N$2,Inputs!$K$4:$AJ$4,0)))))</f>
        <v>#N/A</v>
      </c>
      <c r="O21" s="6" t="e">
        <f>IF(ISNA(MATCH(O$2,Inputs!$K$4:$AJ$4,0)),NA(),IF(SUMPRODUCT((Inputs!$A$5:$A$140=$B21)*ISNUMBER(INDEX(Inputs!$K$5:$AJ$140,0,MATCH(O$2,Inputs!$K$4:$AJ$4,0))))+SUMPRODUCT((Inputs!$C$5:$C$140=$B21)*ISNUMBER(INDEX(Inputs!$K$5:$AJ$140,0,MATCH(O$2,Inputs!$K$4:$AJ$4,0))))+SUMPRODUCT((Inputs!$E$5:$E$140=$B21)*ISNUMBER(INDEX(Inputs!$K$5:$AJ$140,0,MATCH(O$2,Inputs!$K$4:$AJ$4,0))))=0,NA(),SUMPRODUCT((Inputs!$A$5:$A$140=$B21)*Inputs!$B$5:$B$140*(((Inputs!$G$5:$G$140="moeda")+(Inputs!$G$5:$G$140="acoes"))*Inputs!$B$1+((Inputs!$G$5:$G$140&lt;&gt;"moeda")*(Inputs!$G$5:$G$140&lt;&gt;"acoes")))*INDEX(Inputs!$K$5:$AJ$140,0,MATCH(O$2,Inputs!$K$4:$AJ$4,0)))+SUMPRODUCT((Inputs!$C$5:$C$140=$B21)*Inputs!$D$5:$D$140*(((Inputs!$G$5:$G$140="moeda")+(Inputs!$G$5:$G$140="acoes"))*Inputs!$B$1+((Inputs!$G$5:$G$140&lt;&gt;"moeda")*(Inputs!$G$5:$G$140&lt;&gt;"acoes")))*INDEX(Inputs!$K$5:$AJ$140,0,MATCH(O$2,Inputs!$K$4:$AJ$4,0)))+SUMPRODUCT((Inputs!$E$5:$E$140=$B21)*Inputs!$F$5:$F$140*(((Inputs!$G$5:$G$140="moeda")+(Inputs!$G$5:$G$140="acoes"))*Inputs!$B$1+((Inputs!$G$5:$G$140&lt;&gt;"moeda")*(Inputs!$G$5:$G$140&lt;&gt;"acoes")))*INDEX(Inputs!$K$5:$AJ$140,0,MATCH(O$2,Inputs!$K$4:$AJ$4,0)))))</f>
        <v>#N/A</v>
      </c>
      <c r="P21" s="6" t="e">
        <f>IF(ISNA(MATCH(P$2,Inputs!$K$4:$AJ$4,0)),NA(),IF(SUMPRODUCT((Inputs!$A$5:$A$140=$B21)*ISNUMBER(INDEX(Inputs!$K$5:$AJ$140,0,MATCH(P$2,Inputs!$K$4:$AJ$4,0))))+SUMPRODUCT((Inputs!$C$5:$C$140=$B21)*ISNUMBER(INDEX(Inputs!$K$5:$AJ$140,0,MATCH(P$2,Inputs!$K$4:$AJ$4,0))))+SUMPRODUCT((Inputs!$E$5:$E$140=$B21)*ISNUMBER(INDEX(Inputs!$K$5:$AJ$140,0,MATCH(P$2,Inputs!$K$4:$AJ$4,0))))=0,NA(),SUMPRODUCT((Inputs!$A$5:$A$140=$B21)*Inputs!$B$5:$B$140*(((Inputs!$G$5:$G$140="moeda")+(Inputs!$G$5:$G$140="acoes"))*Inputs!$B$1+((Inputs!$G$5:$G$140&lt;&gt;"moeda")*(Inputs!$G$5:$G$140&lt;&gt;"acoes")))*INDEX(Inputs!$K$5:$AJ$140,0,MATCH(P$2,Inputs!$K$4:$AJ$4,0)))+SUMPRODUCT((Inputs!$C$5:$C$140=$B21)*Inputs!$D$5:$D$140*(((Inputs!$G$5:$G$140="moeda")+(Inputs!$G$5:$G$140="acoes"))*Inputs!$B$1+((Inputs!$G$5:$G$140&lt;&gt;"moeda")*(Inputs!$G$5:$G$140&lt;&gt;"acoes")))*INDEX(Inputs!$K$5:$AJ$140,0,MATCH(P$2,Inputs!$K$4:$AJ$4,0)))+SUMPRODUCT((Inputs!$E$5:$E$140=$B21)*Inputs!$F$5:$F$140*(((Inputs!$G$5:$G$140="moeda")+(Inputs!$G$5:$G$140="acoes"))*Inputs!$B$1+((Inputs!$G$5:$G$140&lt;&gt;"moeda")*(Inputs!$G$5:$G$140&lt;&gt;"acoes")))*INDEX(Inputs!$K$5:$AJ$140,0,MATCH(P$2,Inputs!$K$4:$AJ$4,0)))))</f>
        <v>#N/A</v>
      </c>
      <c r="Q21" s="6" t="e">
        <f>IF(ISNA(MATCH(Q$2,Inputs!$K$4:$AJ$4,0)),NA(),IF(SUMPRODUCT((Inputs!$A$5:$A$140=$B21)*ISNUMBER(INDEX(Inputs!$K$5:$AJ$140,0,MATCH(Q$2,Inputs!$K$4:$AJ$4,0))))+SUMPRODUCT((Inputs!$C$5:$C$140=$B21)*ISNUMBER(INDEX(Inputs!$K$5:$AJ$140,0,MATCH(Q$2,Inputs!$K$4:$AJ$4,0))))+SUMPRODUCT((Inputs!$E$5:$E$140=$B21)*ISNUMBER(INDEX(Inputs!$K$5:$AJ$140,0,MATCH(Q$2,Inputs!$K$4:$AJ$4,0))))=0,NA(),SUMPRODUCT((Inputs!$A$5:$A$140=$B21)*Inputs!$B$5:$B$140*(((Inputs!$G$5:$G$140="moeda")+(Inputs!$G$5:$G$140="acoes"))*Inputs!$B$1+((Inputs!$G$5:$G$140&lt;&gt;"moeda")*(Inputs!$G$5:$G$140&lt;&gt;"acoes")))*INDEX(Inputs!$K$5:$AJ$140,0,MATCH(Q$2,Inputs!$K$4:$AJ$4,0)))+SUMPRODUCT((Inputs!$C$5:$C$140=$B21)*Inputs!$D$5:$D$140*(((Inputs!$G$5:$G$140="moeda")+(Inputs!$G$5:$G$140="acoes"))*Inputs!$B$1+((Inputs!$G$5:$G$140&lt;&gt;"moeda")*(Inputs!$G$5:$G$140&lt;&gt;"acoes")))*INDEX(Inputs!$K$5:$AJ$140,0,MATCH(Q$2,Inputs!$K$4:$AJ$4,0)))+SUMPRODUCT((Inputs!$E$5:$E$140=$B21)*Inputs!$F$5:$F$140*(((Inputs!$G$5:$G$140="moeda")+(Inputs!$G$5:$G$140="acoes"))*Inputs!$B$1+((Inputs!$G$5:$G$140&lt;&gt;"moeda")*(Inputs!$G$5:$G$140&lt;&gt;"acoes")))*INDEX(Inputs!$K$5:$AJ$140,0,MATCH(Q$2,Inputs!$K$4:$AJ$4,0)))))</f>
        <v>#N/A</v>
      </c>
      <c r="R21" s="3" t="e">
        <f>Q21</f>
        <v>#N/A</v>
      </c>
      <c r="S21" s="6" t="e">
        <f>IF(ISNA(MATCH(S$2,Inputs!$K$4:$AJ$4,0)),NA(),IF(SUMPRODUCT((Inputs!$A$5:$A$140=$B21)*ISNUMBER(INDEX(Inputs!$K$5:$AJ$140,0,MATCH(S$2,Inputs!$K$4:$AJ$4,0))))+SUMPRODUCT((Inputs!$C$5:$C$140=$B21)*ISNUMBER(INDEX(Inputs!$K$5:$AJ$140,0,MATCH(S$2,Inputs!$K$4:$AJ$4,0))))+SUMPRODUCT((Inputs!$E$5:$E$140=$B21)*ISNUMBER(INDEX(Inputs!$K$5:$AJ$140,0,MATCH(S$2,Inputs!$K$4:$AJ$4,0))))=0,NA(),SUMPRODUCT((Inputs!$A$5:$A$140=$B21)*Inputs!$B$5:$B$140*(((Inputs!$G$5:$G$140="moeda")+(Inputs!$G$5:$G$140="acoes"))*Inputs!$B$1+((Inputs!$G$5:$G$140&lt;&gt;"moeda")*(Inputs!$G$5:$G$140&lt;&gt;"acoes")))*INDEX(Inputs!$K$5:$AJ$140,0,MATCH(S$2,Inputs!$K$4:$AJ$4,0)))+SUMPRODUCT((Inputs!$C$5:$C$140=$B21)*Inputs!$D$5:$D$140*(((Inputs!$G$5:$G$140="moeda")+(Inputs!$G$5:$G$140="acoes"))*Inputs!$B$1+((Inputs!$G$5:$G$140&lt;&gt;"moeda")*(Inputs!$G$5:$G$140&lt;&gt;"acoes")))*INDEX(Inputs!$K$5:$AJ$140,0,MATCH(S$2,Inputs!$K$4:$AJ$4,0)))+SUMPRODUCT((Inputs!$E$5:$E$140=$B21)*Inputs!$F$5:$F$140*(((Inputs!$G$5:$G$140="moeda")+(Inputs!$G$5:$G$140="acoes"))*Inputs!$B$1+((Inputs!$G$5:$G$140&lt;&gt;"moeda")*(Inputs!$G$5:$G$140&lt;&gt;"acoes")))*INDEX(Inputs!$K$5:$AJ$140,0,MATCH(S$2,Inputs!$K$4:$AJ$4,0)))))</f>
        <v>#N/A</v>
      </c>
      <c r="T21" s="6" t="e">
        <f>IF(ISNA(MATCH(T$2,Inputs!$K$4:$AJ$4,0)),NA(),IF(SUMPRODUCT((Inputs!$A$5:$A$140=$B21)*ISNUMBER(INDEX(Inputs!$K$5:$AJ$140,0,MATCH(T$2,Inputs!$K$4:$AJ$4,0))))+SUMPRODUCT((Inputs!$C$5:$C$140=$B21)*ISNUMBER(INDEX(Inputs!$K$5:$AJ$140,0,MATCH(T$2,Inputs!$K$4:$AJ$4,0))))+SUMPRODUCT((Inputs!$E$5:$E$140=$B21)*ISNUMBER(INDEX(Inputs!$K$5:$AJ$140,0,MATCH(T$2,Inputs!$K$4:$AJ$4,0))))=0,NA(),SUMPRODUCT((Inputs!$A$5:$A$140=$B21)*Inputs!$B$5:$B$140*(((Inputs!$G$5:$G$140="moeda")+(Inputs!$G$5:$G$140="acoes"))*Inputs!$B$1+((Inputs!$G$5:$G$140&lt;&gt;"moeda")*(Inputs!$G$5:$G$140&lt;&gt;"acoes")))*INDEX(Inputs!$K$5:$AJ$140,0,MATCH(T$2,Inputs!$K$4:$AJ$4,0)))+SUMPRODUCT((Inputs!$C$5:$C$140=$B21)*Inputs!$D$5:$D$140*(((Inputs!$G$5:$G$140="moeda")+(Inputs!$G$5:$G$140="acoes"))*Inputs!$B$1+((Inputs!$G$5:$G$140&lt;&gt;"moeda")*(Inputs!$G$5:$G$140&lt;&gt;"acoes")))*INDEX(Inputs!$K$5:$AJ$140,0,MATCH(T$2,Inputs!$K$4:$AJ$4,0)))+SUMPRODUCT((Inputs!$E$5:$E$140=$B21)*Inputs!$F$5:$F$140*(((Inputs!$G$5:$G$140="moeda")+(Inputs!$G$5:$G$140="acoes"))*Inputs!$B$1+((Inputs!$G$5:$G$140&lt;&gt;"moeda")*(Inputs!$G$5:$G$140&lt;&gt;"acoes")))*INDEX(Inputs!$K$5:$AJ$140,0,MATCH(T$2,Inputs!$K$4:$AJ$4,0)))))</f>
        <v>#N/A</v>
      </c>
      <c r="U21" s="6" t="e">
        <f>IF(ISNA(MATCH(U$2,Inputs!$K$4:$AJ$4,0)),NA(),IF(SUMPRODUCT((Inputs!$A$5:$A$140=$B21)*ISNUMBER(INDEX(Inputs!$K$5:$AJ$140,0,MATCH(U$2,Inputs!$K$4:$AJ$4,0))))+SUMPRODUCT((Inputs!$C$5:$C$140=$B21)*ISNUMBER(INDEX(Inputs!$K$5:$AJ$140,0,MATCH(U$2,Inputs!$K$4:$AJ$4,0))))+SUMPRODUCT((Inputs!$E$5:$E$140=$B21)*ISNUMBER(INDEX(Inputs!$K$5:$AJ$140,0,MATCH(U$2,Inputs!$K$4:$AJ$4,0))))=0,NA(),SUMPRODUCT((Inputs!$A$5:$A$140=$B21)*Inputs!$B$5:$B$140*(((Inputs!$G$5:$G$140="moeda")+(Inputs!$G$5:$G$140="acoes"))*Inputs!$B$1+((Inputs!$G$5:$G$140&lt;&gt;"moeda")*(Inputs!$G$5:$G$140&lt;&gt;"acoes")))*INDEX(Inputs!$K$5:$AJ$140,0,MATCH(U$2,Inputs!$K$4:$AJ$4,0)))+SUMPRODUCT((Inputs!$C$5:$C$140=$B21)*Inputs!$D$5:$D$140*(((Inputs!$G$5:$G$140="moeda")+(Inputs!$G$5:$G$140="acoes"))*Inputs!$B$1+((Inputs!$G$5:$G$140&lt;&gt;"moeda")*(Inputs!$G$5:$G$140&lt;&gt;"acoes")))*INDEX(Inputs!$K$5:$AJ$140,0,MATCH(U$2,Inputs!$K$4:$AJ$4,0)))+SUMPRODUCT((Inputs!$E$5:$E$140=$B21)*Inputs!$F$5:$F$140*(((Inputs!$G$5:$G$140="moeda")+(Inputs!$G$5:$G$140="acoes"))*Inputs!$B$1+((Inputs!$G$5:$G$140&lt;&gt;"moeda")*(Inputs!$G$5:$G$140&lt;&gt;"acoes")))*INDEX(Inputs!$K$5:$AJ$140,0,MATCH(U$2,Inputs!$K$4:$AJ$4,0)))))</f>
        <v>#N/A</v>
      </c>
      <c r="V21" s="6" t="e">
        <f>IF(ISNA(MATCH(V$2,Inputs!$K$4:$AJ$4,0)),NA(),IF(SUMPRODUCT((Inputs!$A$5:$A$140=$B21)*ISNUMBER(INDEX(Inputs!$K$5:$AJ$140,0,MATCH(V$2,Inputs!$K$4:$AJ$4,0))))+SUMPRODUCT((Inputs!$C$5:$C$140=$B21)*ISNUMBER(INDEX(Inputs!$K$5:$AJ$140,0,MATCH(V$2,Inputs!$K$4:$AJ$4,0))))+SUMPRODUCT((Inputs!$E$5:$E$140=$B21)*ISNUMBER(INDEX(Inputs!$K$5:$AJ$140,0,MATCH(V$2,Inputs!$K$4:$AJ$4,0))))=0,NA(),SUMPRODUCT((Inputs!$A$5:$A$140=$B21)*Inputs!$B$5:$B$140*(((Inputs!$G$5:$G$140="moeda")+(Inputs!$G$5:$G$140="acoes"))*Inputs!$B$1+((Inputs!$G$5:$G$140&lt;&gt;"moeda")*(Inputs!$G$5:$G$140&lt;&gt;"acoes")))*INDEX(Inputs!$K$5:$AJ$140,0,MATCH(V$2,Inputs!$K$4:$AJ$4,0)))+SUMPRODUCT((Inputs!$C$5:$C$140=$B21)*Inputs!$D$5:$D$140*(((Inputs!$G$5:$G$140="moeda")+(Inputs!$G$5:$G$140="acoes"))*Inputs!$B$1+((Inputs!$G$5:$G$140&lt;&gt;"moeda")*(Inputs!$G$5:$G$140&lt;&gt;"acoes")))*INDEX(Inputs!$K$5:$AJ$140,0,MATCH(V$2,Inputs!$K$4:$AJ$4,0)))+SUMPRODUCT((Inputs!$E$5:$E$140=$B21)*Inputs!$F$5:$F$140*(((Inputs!$G$5:$G$140="moeda")+(Inputs!$G$5:$G$140="acoes"))*Inputs!$B$1+((Inputs!$G$5:$G$140&lt;&gt;"moeda")*(Inputs!$G$5:$G$140&lt;&gt;"acoes")))*INDEX(Inputs!$K$5:$AJ$140,0,MATCH(V$2,Inputs!$K$4:$AJ$4,0)))))</f>
        <v>#N/A</v>
      </c>
      <c r="W21" s="3" t="e">
        <f>V21</f>
        <v>#N/A</v>
      </c>
      <c r="X21" s="6" t="e">
        <f>IF(ISNA(MATCH(X$2,Inputs!$K$4:$AJ$4,0)),NA(),IF(SUMPRODUCT((Inputs!$A$5:$A$140=$B21)*ISNUMBER(INDEX(Inputs!$K$5:$AJ$140,0,MATCH(X$2,Inputs!$K$4:$AJ$4,0))))+SUMPRODUCT((Inputs!$C$5:$C$140=$B21)*ISNUMBER(INDEX(Inputs!$K$5:$AJ$140,0,MATCH(X$2,Inputs!$K$4:$AJ$4,0))))+SUMPRODUCT((Inputs!$E$5:$E$140=$B21)*ISNUMBER(INDEX(Inputs!$K$5:$AJ$140,0,MATCH(X$2,Inputs!$K$4:$AJ$4,0))))=0,NA(),SUMPRODUCT((Inputs!$A$5:$A$140=$B21)*Inputs!$B$5:$B$140*(((Inputs!$G$5:$G$140="moeda")+(Inputs!$G$5:$G$140="acoes"))*Inputs!$B$1+((Inputs!$G$5:$G$140&lt;&gt;"moeda")*(Inputs!$G$5:$G$140&lt;&gt;"acoes")))*INDEX(Inputs!$K$5:$AJ$140,0,MATCH(X$2,Inputs!$K$4:$AJ$4,0)))+SUMPRODUCT((Inputs!$C$5:$C$140=$B21)*Inputs!$D$5:$D$140*(((Inputs!$G$5:$G$140="moeda")+(Inputs!$G$5:$G$140="acoes"))*Inputs!$B$1+((Inputs!$G$5:$G$140&lt;&gt;"moeda")*(Inputs!$G$5:$G$140&lt;&gt;"acoes")))*INDEX(Inputs!$K$5:$AJ$140,0,MATCH(X$2,Inputs!$K$4:$AJ$4,0)))+SUMPRODUCT((Inputs!$E$5:$E$140=$B21)*Inputs!$F$5:$F$140*(((Inputs!$G$5:$G$140="moeda")+(Inputs!$G$5:$G$140="acoes"))*Inputs!$B$1+((Inputs!$G$5:$G$140&lt;&gt;"moeda")*(Inputs!$G$5:$G$140&lt;&gt;"acoes")))*INDEX(Inputs!$K$5:$AJ$140,0,MATCH(X$2,Inputs!$K$4:$AJ$4,0)))))</f>
        <v>#N/A</v>
      </c>
      <c r="Y21" s="6" t="e">
        <f>IF(ISNA(MATCH(Y$2,Inputs!$K$4:$AJ$4,0)),NA(),IF(SUMPRODUCT((Inputs!$A$5:$A$140=$B21)*ISNUMBER(INDEX(Inputs!$K$5:$AJ$140,0,MATCH(Y$2,Inputs!$K$4:$AJ$4,0))))+SUMPRODUCT((Inputs!$C$5:$C$140=$B21)*ISNUMBER(INDEX(Inputs!$K$5:$AJ$140,0,MATCH(Y$2,Inputs!$K$4:$AJ$4,0))))+SUMPRODUCT((Inputs!$E$5:$E$140=$B21)*ISNUMBER(INDEX(Inputs!$K$5:$AJ$140,0,MATCH(Y$2,Inputs!$K$4:$AJ$4,0))))=0,NA(),SUMPRODUCT((Inputs!$A$5:$A$140=$B21)*Inputs!$B$5:$B$140*(((Inputs!$G$5:$G$140="moeda")+(Inputs!$G$5:$G$140="acoes"))*Inputs!$B$1+((Inputs!$G$5:$G$140&lt;&gt;"moeda")*(Inputs!$G$5:$G$140&lt;&gt;"acoes")))*INDEX(Inputs!$K$5:$AJ$140,0,MATCH(Y$2,Inputs!$K$4:$AJ$4,0)))+SUMPRODUCT((Inputs!$C$5:$C$140=$B21)*Inputs!$D$5:$D$140*(((Inputs!$G$5:$G$140="moeda")+(Inputs!$G$5:$G$140="acoes"))*Inputs!$B$1+((Inputs!$G$5:$G$140&lt;&gt;"moeda")*(Inputs!$G$5:$G$140&lt;&gt;"acoes")))*INDEX(Inputs!$K$5:$AJ$140,0,MATCH(Y$2,Inputs!$K$4:$AJ$4,0)))+SUMPRODUCT((Inputs!$E$5:$E$140=$B21)*Inputs!$F$5:$F$140*(((Inputs!$G$5:$G$140="moeda")+(Inputs!$G$5:$G$140="acoes"))*Inputs!$B$1+((Inputs!$G$5:$G$140&lt;&gt;"moeda")*(Inputs!$G$5:$G$140&lt;&gt;"acoes")))*INDEX(Inputs!$K$5:$AJ$140,0,MATCH(Y$2,Inputs!$K$4:$AJ$4,0)))))</f>
        <v>#N/A</v>
      </c>
      <c r="Z21" s="6" t="e">
        <f>IF(ISNA(MATCH(Z$2,Inputs!$K$4:$AJ$4,0)),NA(),IF(SUMPRODUCT((Inputs!$A$5:$A$140=$B21)*ISNUMBER(INDEX(Inputs!$K$5:$AJ$140,0,MATCH(Z$2,Inputs!$K$4:$AJ$4,0))))+SUMPRODUCT((Inputs!$C$5:$C$140=$B21)*ISNUMBER(INDEX(Inputs!$K$5:$AJ$140,0,MATCH(Z$2,Inputs!$K$4:$AJ$4,0))))+SUMPRODUCT((Inputs!$E$5:$E$140=$B21)*ISNUMBER(INDEX(Inputs!$K$5:$AJ$140,0,MATCH(Z$2,Inputs!$K$4:$AJ$4,0))))=0,NA(),SUMPRODUCT((Inputs!$A$5:$A$140=$B21)*Inputs!$B$5:$B$140*(((Inputs!$G$5:$G$140="moeda")+(Inputs!$G$5:$G$140="acoes"))*Inputs!$B$1+((Inputs!$G$5:$G$140&lt;&gt;"moeda")*(Inputs!$G$5:$G$140&lt;&gt;"acoes")))*INDEX(Inputs!$K$5:$AJ$140,0,MATCH(Z$2,Inputs!$K$4:$AJ$4,0)))+SUMPRODUCT((Inputs!$C$5:$C$140=$B21)*Inputs!$D$5:$D$140*(((Inputs!$G$5:$G$140="moeda")+(Inputs!$G$5:$G$140="acoes"))*Inputs!$B$1+((Inputs!$G$5:$G$140&lt;&gt;"moeda")*(Inputs!$G$5:$G$140&lt;&gt;"acoes")))*INDEX(Inputs!$K$5:$AJ$140,0,MATCH(Z$2,Inputs!$K$4:$AJ$4,0)))+SUMPRODUCT((Inputs!$E$5:$E$140=$B21)*Inputs!$F$5:$F$140*(((Inputs!$G$5:$G$140="moeda")+(Inputs!$G$5:$G$140="acoes"))*Inputs!$B$1+((Inputs!$G$5:$G$140&lt;&gt;"moeda")*(Inputs!$G$5:$G$140&lt;&gt;"acoes")))*INDEX(Inputs!$K$5:$AJ$140,0,MATCH(Z$2,Inputs!$K$4:$AJ$4,0)))))</f>
        <v>#N/A</v>
      </c>
      <c r="AA21" s="6" t="e">
        <f>IF(ISNA(MATCH(AA$2,Inputs!$K$4:$AJ$4,0)),NA(),IF(SUMPRODUCT((Inputs!$A$5:$A$140=$B21)*ISNUMBER(INDEX(Inputs!$K$5:$AJ$140,0,MATCH(AA$2,Inputs!$K$4:$AJ$4,0))))+SUMPRODUCT((Inputs!$C$5:$C$140=$B21)*ISNUMBER(INDEX(Inputs!$K$5:$AJ$140,0,MATCH(AA$2,Inputs!$K$4:$AJ$4,0))))+SUMPRODUCT((Inputs!$E$5:$E$140=$B21)*ISNUMBER(INDEX(Inputs!$K$5:$AJ$140,0,MATCH(AA$2,Inputs!$K$4:$AJ$4,0))))=0,NA(),SUMPRODUCT((Inputs!$A$5:$A$140=$B21)*Inputs!$B$5:$B$140*(((Inputs!$G$5:$G$140="moeda")+(Inputs!$G$5:$G$140="acoes"))*Inputs!$B$1+((Inputs!$G$5:$G$140&lt;&gt;"moeda")*(Inputs!$G$5:$G$140&lt;&gt;"acoes")))*INDEX(Inputs!$K$5:$AJ$140,0,MATCH(AA$2,Inputs!$K$4:$AJ$4,0)))+SUMPRODUCT((Inputs!$C$5:$C$140=$B21)*Inputs!$D$5:$D$140*(((Inputs!$G$5:$G$140="moeda")+(Inputs!$G$5:$G$140="acoes"))*Inputs!$B$1+((Inputs!$G$5:$G$140&lt;&gt;"moeda")*(Inputs!$G$5:$G$140&lt;&gt;"acoes")))*INDEX(Inputs!$K$5:$AJ$140,0,MATCH(AA$2,Inputs!$K$4:$AJ$4,0)))+SUMPRODUCT((Inputs!$E$5:$E$140=$B21)*Inputs!$F$5:$F$140*(((Inputs!$G$5:$G$140="moeda")+(Inputs!$G$5:$G$140="acoes"))*Inputs!$B$1+((Inputs!$G$5:$G$140&lt;&gt;"moeda")*(Inputs!$G$5:$G$140&lt;&gt;"acoes")))*INDEX(Inputs!$K$5:$AJ$140,0,MATCH(AA$2,Inputs!$K$4:$AJ$4,0)))))</f>
        <v>#N/A</v>
      </c>
      <c r="AB21" s="3" t="e">
        <f>AA21</f>
        <v>#N/A</v>
      </c>
      <c r="AC21" s="6" t="e">
        <f>IF(ISNA(MATCH(AC$2,Inputs!$K$4:$AJ$4,0)),NA(),IF(SUMPRODUCT((Inputs!$A$5:$A$140=$B21)*ISNUMBER(INDEX(Inputs!$K$5:$AJ$140,0,MATCH(AC$2,Inputs!$K$4:$AJ$4,0))))+SUMPRODUCT((Inputs!$C$5:$C$140=$B21)*ISNUMBER(INDEX(Inputs!$K$5:$AJ$140,0,MATCH(AC$2,Inputs!$K$4:$AJ$4,0))))+SUMPRODUCT((Inputs!$E$5:$E$140=$B21)*ISNUMBER(INDEX(Inputs!$K$5:$AJ$140,0,MATCH(AC$2,Inputs!$K$4:$AJ$4,0))))=0,NA(),SUMPRODUCT((Inputs!$A$5:$A$140=$B21)*Inputs!$B$5:$B$140*(((Inputs!$G$5:$G$140="moeda")+(Inputs!$G$5:$G$140="acoes"))*Inputs!$B$1+((Inputs!$G$5:$G$140&lt;&gt;"moeda")*(Inputs!$G$5:$G$140&lt;&gt;"acoes")))*INDEX(Inputs!$K$5:$AJ$140,0,MATCH(AC$2,Inputs!$K$4:$AJ$4,0)))+SUMPRODUCT((Inputs!$C$5:$C$140=$B21)*Inputs!$D$5:$D$140*(((Inputs!$G$5:$G$140="moeda")+(Inputs!$G$5:$G$140="acoes"))*Inputs!$B$1+((Inputs!$G$5:$G$140&lt;&gt;"moeda")*(Inputs!$G$5:$G$140&lt;&gt;"acoes")))*INDEX(Inputs!$K$5:$AJ$140,0,MATCH(AC$2,Inputs!$K$4:$AJ$4,0)))+SUMPRODUCT((Inputs!$E$5:$E$140=$B21)*Inputs!$F$5:$F$140*(((Inputs!$G$5:$G$140="moeda")+(Inputs!$G$5:$G$140="acoes"))*Inputs!$B$1+((Inputs!$G$5:$G$140&lt;&gt;"moeda")*(Inputs!$G$5:$G$140&lt;&gt;"acoes")))*INDEX(Inputs!$K$5:$AJ$140,0,MATCH(AC$2,Inputs!$K$4:$AJ$4,0)))))</f>
        <v>#N/A</v>
      </c>
      <c r="AD21" s="6" t="e">
        <f>IF(ISNA(MATCH(AD$2,Inputs!$K$4:$AJ$4,0)),NA(),IF(SUMPRODUCT((Inputs!$A$5:$A$140=$B21)*ISNUMBER(INDEX(Inputs!$K$5:$AJ$140,0,MATCH(AD$2,Inputs!$K$4:$AJ$4,0))))+SUMPRODUCT((Inputs!$C$5:$C$140=$B21)*ISNUMBER(INDEX(Inputs!$K$5:$AJ$140,0,MATCH(AD$2,Inputs!$K$4:$AJ$4,0))))+SUMPRODUCT((Inputs!$E$5:$E$140=$B21)*ISNUMBER(INDEX(Inputs!$K$5:$AJ$140,0,MATCH(AD$2,Inputs!$K$4:$AJ$4,0))))=0,NA(),SUMPRODUCT((Inputs!$A$5:$A$140=$B21)*Inputs!$B$5:$B$140*(((Inputs!$G$5:$G$140="moeda")+(Inputs!$G$5:$G$140="acoes"))*Inputs!$B$1+((Inputs!$G$5:$G$140&lt;&gt;"moeda")*(Inputs!$G$5:$G$140&lt;&gt;"acoes")))*INDEX(Inputs!$K$5:$AJ$140,0,MATCH(AD$2,Inputs!$K$4:$AJ$4,0)))+SUMPRODUCT((Inputs!$C$5:$C$140=$B21)*Inputs!$D$5:$D$140*(((Inputs!$G$5:$G$140="moeda")+(Inputs!$G$5:$G$140="acoes"))*Inputs!$B$1+((Inputs!$G$5:$G$140&lt;&gt;"moeda")*(Inputs!$G$5:$G$140&lt;&gt;"acoes")))*INDEX(Inputs!$K$5:$AJ$140,0,MATCH(AD$2,Inputs!$K$4:$AJ$4,0)))+SUMPRODUCT((Inputs!$E$5:$E$140=$B21)*Inputs!$F$5:$F$140*(((Inputs!$G$5:$G$140="moeda")+(Inputs!$G$5:$G$140="acoes"))*Inputs!$B$1+((Inputs!$G$5:$G$140&lt;&gt;"moeda")*(Inputs!$G$5:$G$140&lt;&gt;"acoes")))*INDEX(Inputs!$K$5:$AJ$140,0,MATCH(AD$2,Inputs!$K$4:$AJ$4,0)))))</f>
        <v>#N/A</v>
      </c>
      <c r="AE21" s="6" t="e">
        <f>IF(ISNA(MATCH(AE$2,Inputs!$K$4:$AJ$4,0)),NA(),IF(SUMPRODUCT((Inputs!$A$5:$A$140=$B21)*ISNUMBER(INDEX(Inputs!$K$5:$AJ$140,0,MATCH(AE$2,Inputs!$K$4:$AJ$4,0))))+SUMPRODUCT((Inputs!$C$5:$C$140=$B21)*ISNUMBER(INDEX(Inputs!$K$5:$AJ$140,0,MATCH(AE$2,Inputs!$K$4:$AJ$4,0))))+SUMPRODUCT((Inputs!$E$5:$E$140=$B21)*ISNUMBER(INDEX(Inputs!$K$5:$AJ$140,0,MATCH(AE$2,Inputs!$K$4:$AJ$4,0))))=0,NA(),SUMPRODUCT((Inputs!$A$5:$A$140=$B21)*Inputs!$B$5:$B$140*(((Inputs!$G$5:$G$140="moeda")+(Inputs!$G$5:$G$140="acoes"))*Inputs!$B$1+((Inputs!$G$5:$G$140&lt;&gt;"moeda")*(Inputs!$G$5:$G$140&lt;&gt;"acoes")))*INDEX(Inputs!$K$5:$AJ$140,0,MATCH(AE$2,Inputs!$K$4:$AJ$4,0)))+SUMPRODUCT((Inputs!$C$5:$C$140=$B21)*Inputs!$D$5:$D$140*(((Inputs!$G$5:$G$140="moeda")+(Inputs!$G$5:$G$140="acoes"))*Inputs!$B$1+((Inputs!$G$5:$G$140&lt;&gt;"moeda")*(Inputs!$G$5:$G$140&lt;&gt;"acoes")))*INDEX(Inputs!$K$5:$AJ$140,0,MATCH(AE$2,Inputs!$K$4:$AJ$4,0)))+SUMPRODUCT((Inputs!$E$5:$E$140=$B21)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21" s="6" t="e">
        <f>IF(ISNA(MATCH(AF$2,Inputs!$K$4:$AJ$4,0)),NA(),IF(SUMPRODUCT((Inputs!$A$5:$A$140=$B21)*ISNUMBER(INDEX(Inputs!$K$5:$AJ$140,0,MATCH(AF$2,Inputs!$K$4:$AJ$4,0))))+SUMPRODUCT((Inputs!$C$5:$C$140=$B21)*ISNUMBER(INDEX(Inputs!$K$5:$AJ$140,0,MATCH(AF$2,Inputs!$K$4:$AJ$4,0))))+SUMPRODUCT((Inputs!$E$5:$E$140=$B21)*ISNUMBER(INDEX(Inputs!$K$5:$AJ$140,0,MATCH(AF$2,Inputs!$K$4:$AJ$4,0))))=0,NA(),SUMPRODUCT((Inputs!$A$5:$A$140=$B21)*Inputs!$B$5:$B$140*(((Inputs!$G$5:$G$140="moeda")+(Inputs!$G$5:$G$140="acoes"))*Inputs!$B$1+((Inputs!$G$5:$G$140&lt;&gt;"moeda")*(Inputs!$G$5:$G$140&lt;&gt;"acoes")))*INDEX(Inputs!$K$5:$AJ$140,0,MATCH(AF$2,Inputs!$K$4:$AJ$4,0)))+SUMPRODUCT((Inputs!$C$5:$C$140=$B21)*Inputs!$D$5:$D$140*(((Inputs!$G$5:$G$140="moeda")+(Inputs!$G$5:$G$140="acoes"))*Inputs!$B$1+((Inputs!$G$5:$G$140&lt;&gt;"moeda")*(Inputs!$G$5:$G$140&lt;&gt;"acoes")))*INDEX(Inputs!$K$5:$AJ$140,0,MATCH(AF$2,Inputs!$K$4:$AJ$4,0)))+SUMPRODUCT((Inputs!$E$5:$E$140=$B21)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21" s="3" t="e">
        <f>AF21</f>
        <v>#N/A</v>
      </c>
      <c r="AH21" s="6" t="e">
        <f>IF(ISNA(MATCH(AH$2,Inputs!$K$4:$AJ$4,0)),NA(),IF(SUMPRODUCT((Inputs!$A$5:$A$140=$B21)*ISNUMBER(INDEX(Inputs!$K$5:$AJ$140,0,MATCH(AH$2,Inputs!$K$4:$AJ$4,0))))+SUMPRODUCT((Inputs!$C$5:$C$140=$B21)*ISNUMBER(INDEX(Inputs!$K$5:$AJ$140,0,MATCH(AH$2,Inputs!$K$4:$AJ$4,0))))+SUMPRODUCT((Inputs!$E$5:$E$140=$B21)*ISNUMBER(INDEX(Inputs!$K$5:$AJ$140,0,MATCH(AH$2,Inputs!$K$4:$AJ$4,0))))=0,NA(),SUMPRODUCT((Inputs!$A$5:$A$140=$B21)*Inputs!$B$5:$B$140*(((Inputs!$G$5:$G$140="moeda")+(Inputs!$G$5:$G$140="acoes"))*Inputs!$B$1+((Inputs!$G$5:$G$140&lt;&gt;"moeda")*(Inputs!$G$5:$G$140&lt;&gt;"acoes")))*INDEX(Inputs!$K$5:$AJ$140,0,MATCH(AH$2,Inputs!$K$4:$AJ$4,0)))+SUMPRODUCT((Inputs!$C$5:$C$140=$B21)*Inputs!$D$5:$D$140*(((Inputs!$G$5:$G$140="moeda")+(Inputs!$G$5:$G$140="acoes"))*Inputs!$B$1+((Inputs!$G$5:$G$140&lt;&gt;"moeda")*(Inputs!$G$5:$G$140&lt;&gt;"acoes")))*INDEX(Inputs!$K$5:$AJ$140,0,MATCH(AH$2,Inputs!$K$4:$AJ$4,0)))+SUMPRODUCT((Inputs!$E$5:$E$140=$B21)*Inputs!$F$5:$F$140*(((Inputs!$G$5:$G$140="moeda")+(Inputs!$G$5:$G$140="acoes"))*Inputs!$B$1+((Inputs!$G$5:$G$140&lt;&gt;"moeda")*(Inputs!$G$5:$G$140&lt;&gt;"acoes")))*INDEX(Inputs!$K$5:$AJ$140,0,MATCH(AH$2,Inputs!$K$4:$AJ$4,0)))))</f>
        <v>#N/A</v>
      </c>
      <c r="AI21" s="6" t="e">
        <f>IF(ISNA(MATCH(AI$2,Inputs!$K$4:$AJ$4,0)),NA(),IF(SUMPRODUCT((Inputs!$A$5:$A$140=$B21)*ISNUMBER(INDEX(Inputs!$K$5:$AJ$140,0,MATCH(AI$2,Inputs!$K$4:$AJ$4,0))))+SUMPRODUCT((Inputs!$C$5:$C$140=$B21)*ISNUMBER(INDEX(Inputs!$K$5:$AJ$140,0,MATCH(AI$2,Inputs!$K$4:$AJ$4,0))))+SUMPRODUCT((Inputs!$E$5:$E$140=$B21)*ISNUMBER(INDEX(Inputs!$K$5:$AJ$140,0,MATCH(AI$2,Inputs!$K$4:$AJ$4,0))))=0,NA(),SUMPRODUCT((Inputs!$A$5:$A$140=$B21)*Inputs!$B$5:$B$140*(((Inputs!$G$5:$G$140="moeda")+(Inputs!$G$5:$G$140="acoes"))*Inputs!$B$1+((Inputs!$G$5:$G$140&lt;&gt;"moeda")*(Inputs!$G$5:$G$140&lt;&gt;"acoes")))*INDEX(Inputs!$K$5:$AJ$140,0,MATCH(AI$2,Inputs!$K$4:$AJ$4,0)))+SUMPRODUCT((Inputs!$C$5:$C$140=$B21)*Inputs!$D$5:$D$140*(((Inputs!$G$5:$G$140="moeda")+(Inputs!$G$5:$G$140="acoes"))*Inputs!$B$1+((Inputs!$G$5:$G$140&lt;&gt;"moeda")*(Inputs!$G$5:$G$140&lt;&gt;"acoes")))*INDEX(Inputs!$K$5:$AJ$140,0,MATCH(AI$2,Inputs!$K$4:$AJ$4,0)))+SUMPRODUCT((Inputs!$E$5:$E$140=$B21)*Inputs!$F$5:$F$140*(((Inputs!$G$5:$G$140="moeda")+(Inputs!$G$5:$G$140="acoes"))*Inputs!$B$1+((Inputs!$G$5:$G$140&lt;&gt;"moeda")*(Inputs!$G$5:$G$140&lt;&gt;"acoes")))*INDEX(Inputs!$K$5:$AJ$140,0,MATCH(AI$2,Inputs!$K$4:$AJ$4,0)))))</f>
        <v>#N/A</v>
      </c>
      <c r="AJ21" s="6" t="e">
        <f>IF(ISNA(MATCH(AJ$2,Inputs!$K$4:$AJ$4,0)),NA(),IF(SUMPRODUCT((Inputs!$A$5:$A$140=$B21)*ISNUMBER(INDEX(Inputs!$K$5:$AJ$140,0,MATCH(AJ$2,Inputs!$K$4:$AJ$4,0))))+SUMPRODUCT((Inputs!$C$5:$C$140=$B21)*ISNUMBER(INDEX(Inputs!$K$5:$AJ$140,0,MATCH(AJ$2,Inputs!$K$4:$AJ$4,0))))+SUMPRODUCT((Inputs!$E$5:$E$140=$B21)*ISNUMBER(INDEX(Inputs!$K$5:$AJ$140,0,MATCH(AJ$2,Inputs!$K$4:$AJ$4,0))))=0,NA(),SUMPRODUCT((Inputs!$A$5:$A$140=$B21)*Inputs!$B$5:$B$140*(((Inputs!$G$5:$G$140="moeda")+(Inputs!$G$5:$G$140="acoes"))*Inputs!$B$1+((Inputs!$G$5:$G$140&lt;&gt;"moeda")*(Inputs!$G$5:$G$140&lt;&gt;"acoes")))*INDEX(Inputs!$K$5:$AJ$140,0,MATCH(AJ$2,Inputs!$K$4:$AJ$4,0)))+SUMPRODUCT((Inputs!$C$5:$C$140=$B21)*Inputs!$D$5:$D$140*(((Inputs!$G$5:$G$140="moeda")+(Inputs!$G$5:$G$140="acoes"))*Inputs!$B$1+((Inputs!$G$5:$G$140&lt;&gt;"moeda")*(Inputs!$G$5:$G$140&lt;&gt;"acoes")))*INDEX(Inputs!$K$5:$AJ$140,0,MATCH(AJ$2,Inputs!$K$4:$AJ$4,0)))+SUMPRODUCT((Inputs!$E$5:$E$140=$B21)*Inputs!$F$5:$F$140*(((Inputs!$G$5:$G$140="moeda")+(Inputs!$G$5:$G$140="acoes"))*Inputs!$B$1+((Inputs!$G$5:$G$140&lt;&gt;"moeda")*(Inputs!$G$5:$G$140&lt;&gt;"acoes")))*INDEX(Inputs!$K$5:$AJ$140,0,MATCH(AJ$2,Inputs!$K$4:$AJ$4,0)))))</f>
        <v>#N/A</v>
      </c>
      <c r="AK21" s="6" t="e">
        <f>IF(ISNA(MATCH(AK$2,Inputs!$K$4:$AJ$4,0)),NA(),IF(SUMPRODUCT((Inputs!$A$5:$A$140=$B21)*ISNUMBER(INDEX(Inputs!$K$5:$AJ$140,0,MATCH(AK$2,Inputs!$K$4:$AJ$4,0))))+SUMPRODUCT((Inputs!$C$5:$C$140=$B21)*ISNUMBER(INDEX(Inputs!$K$5:$AJ$140,0,MATCH(AK$2,Inputs!$K$4:$AJ$4,0))))+SUMPRODUCT((Inputs!$E$5:$E$140=$B21)*ISNUMBER(INDEX(Inputs!$K$5:$AJ$140,0,MATCH(AK$2,Inputs!$K$4:$AJ$4,0))))=0,NA(),SUMPRODUCT((Inputs!$A$5:$A$140=$B21)*Inputs!$B$5:$B$140*(((Inputs!$G$5:$G$140="moeda")+(Inputs!$G$5:$G$140="acoes"))*Inputs!$B$1+((Inputs!$G$5:$G$140&lt;&gt;"moeda")*(Inputs!$G$5:$G$140&lt;&gt;"acoes")))*INDEX(Inputs!$K$5:$AJ$140,0,MATCH(AK$2,Inputs!$K$4:$AJ$4,0)))+SUMPRODUCT((Inputs!$C$5:$C$140=$B21)*Inputs!$D$5:$D$140*(((Inputs!$G$5:$G$140="moeda")+(Inputs!$G$5:$G$140="acoes"))*Inputs!$B$1+((Inputs!$G$5:$G$140&lt;&gt;"moeda")*(Inputs!$G$5:$G$140&lt;&gt;"acoes")))*INDEX(Inputs!$K$5:$AJ$140,0,MATCH(AK$2,Inputs!$K$4:$AJ$4,0)))+SUMPRODUCT((Inputs!$E$5:$E$140=$B21)*Inputs!$F$5:$F$140*(((Inputs!$G$5:$G$140="moeda")+(Inputs!$G$5:$G$140="acoes"))*Inputs!$B$1+((Inputs!$G$5:$G$140&lt;&gt;"moeda")*(Inputs!$G$5:$G$140&lt;&gt;"acoes")))*INDEX(Inputs!$K$5:$AJ$140,0,MATCH(AK$2,Inputs!$K$4:$AJ$4,0)))))</f>
        <v>#N/A</v>
      </c>
      <c r="AL21" s="3" t="e">
        <f>AK21</f>
        <v>#N/A</v>
      </c>
    </row>
    <row r="22">
      <c r="B22" s="46" t="n">
        <v>18</v>
      </c>
      <c r="C22" s="26" t="inlineStr">
        <is>
          <t>PP&amp;E</t>
        </is>
      </c>
      <c r="D22" s="6">
        <f>IF(ISNA(MATCH(D$2,Inputs!$K$4:$AJ$4,0)),NA(),IF(SUMPRODUCT((Inputs!$A$5:$A$140=$B22)*ISNUMBER(INDEX(Inputs!$K$5:$AJ$140,0,MATCH(D$2,Inputs!$K$4:$AJ$4,0))))+SUMPRODUCT((Inputs!$C$5:$C$140=$B22)*ISNUMBER(INDEX(Inputs!$K$5:$AJ$140,0,MATCH(D$2,Inputs!$K$4:$AJ$4,0))))+SUMPRODUCT((Inputs!$E$5:$E$140=$B22)*ISNUMBER(INDEX(Inputs!$K$5:$AJ$140,0,MATCH(D$2,Inputs!$K$4:$AJ$4,0))))=0,NA(),SUMPRODUCT((Inputs!$A$5:$A$140=$B22)*Inputs!$B$5:$B$140*(((Inputs!$G$5:$G$140="moeda")+(Inputs!$G$5:$G$140="acoes"))*Inputs!$B$1+((Inputs!$G$5:$G$140&lt;&gt;"moeda")*(Inputs!$G$5:$G$140&lt;&gt;"acoes")))*INDEX(Inputs!$K$5:$AJ$140,0,MATCH(D$2,Inputs!$K$4:$AJ$4,0)))+SUMPRODUCT((Inputs!$C$5:$C$140=$B22)*Inputs!$D$5:$D$140*(((Inputs!$G$5:$G$140="moeda")+(Inputs!$G$5:$G$140="acoes"))*Inputs!$B$1+((Inputs!$G$5:$G$140&lt;&gt;"moeda")*(Inputs!$G$5:$G$140&lt;&gt;"acoes")))*INDEX(Inputs!$K$5:$AJ$140,0,MATCH(D$2,Inputs!$K$4:$AJ$4,0)))+SUMPRODUCT((Inputs!$E$5:$E$140=$B22)*Inputs!$F$5:$F$140*(((Inputs!$G$5:$G$140="moeda")+(Inputs!$G$5:$G$140="acoes"))*Inputs!$B$1+((Inputs!$G$5:$G$140&lt;&gt;"moeda")*(Inputs!$G$5:$G$140&lt;&gt;"acoes")))*INDEX(Inputs!$K$5:$AJ$140,0,MATCH(D$2,Inputs!$K$4:$AJ$4,0)))))</f>
        <v>2268</v>
      </c>
      <c r="E22" s="6">
        <f>IF(ISNA(MATCH(E$2,Inputs!$K$4:$AJ$4,0)),NA(),IF(SUMPRODUCT((Inputs!$A$5:$A$140=$B22)*ISNUMBER(INDEX(Inputs!$K$5:$AJ$140,0,MATCH(E$2,Inputs!$K$4:$AJ$4,0))))+SUMPRODUCT((Inputs!$C$5:$C$140=$B22)*ISNUMBER(INDEX(Inputs!$K$5:$AJ$140,0,MATCH(E$2,Inputs!$K$4:$AJ$4,0))))+SUMPRODUCT((Inputs!$E$5:$E$140=$B22)*ISNUMBER(INDEX(Inputs!$K$5:$AJ$140,0,MATCH(E$2,Inputs!$K$4:$AJ$4,0))))=0,NA(),SUMPRODUCT((Inputs!$A$5:$A$140=$B22)*Inputs!$B$5:$B$140*(((Inputs!$G$5:$G$140="moeda")+(Inputs!$G$5:$G$140="acoes"))*Inputs!$B$1+((Inputs!$G$5:$G$140&lt;&gt;"moeda")*(Inputs!$G$5:$G$140&lt;&gt;"acoes")))*INDEX(Inputs!$K$5:$AJ$140,0,MATCH(E$2,Inputs!$K$4:$AJ$4,0)))+SUMPRODUCT((Inputs!$C$5:$C$140=$B22)*Inputs!$D$5:$D$140*(((Inputs!$G$5:$G$140="moeda")+(Inputs!$G$5:$G$140="acoes"))*Inputs!$B$1+((Inputs!$G$5:$G$140&lt;&gt;"moeda")*(Inputs!$G$5:$G$140&lt;&gt;"acoes")))*INDEX(Inputs!$K$5:$AJ$140,0,MATCH(E$2,Inputs!$K$4:$AJ$4,0)))+SUMPRODUCT((Inputs!$E$5:$E$140=$B22)*Inputs!$F$5:$F$140*(((Inputs!$G$5:$G$140="moeda")+(Inputs!$G$5:$G$140="acoes"))*Inputs!$B$1+((Inputs!$G$5:$G$140&lt;&gt;"moeda")*(Inputs!$G$5:$G$140&lt;&gt;"acoes")))*INDEX(Inputs!$K$5:$AJ$140,0,MATCH(E$2,Inputs!$K$4:$AJ$4,0)))))</f>
        <v>2364</v>
      </c>
      <c r="F22" s="6">
        <f>IF(ISNA(MATCH(F$2,Inputs!$K$4:$AJ$4,0)),NA(),IF(SUMPRODUCT((Inputs!$A$5:$A$140=$B22)*ISNUMBER(INDEX(Inputs!$K$5:$AJ$140,0,MATCH(F$2,Inputs!$K$4:$AJ$4,0))))+SUMPRODUCT((Inputs!$C$5:$C$140=$B22)*ISNUMBER(INDEX(Inputs!$K$5:$AJ$140,0,MATCH(F$2,Inputs!$K$4:$AJ$4,0))))+SUMPRODUCT((Inputs!$E$5:$E$140=$B22)*ISNUMBER(INDEX(Inputs!$K$5:$AJ$140,0,MATCH(F$2,Inputs!$K$4:$AJ$4,0))))=0,NA(),SUMPRODUCT((Inputs!$A$5:$A$140=$B22)*Inputs!$B$5:$B$140*(((Inputs!$G$5:$G$140="moeda")+(Inputs!$G$5:$G$140="acoes"))*Inputs!$B$1+((Inputs!$G$5:$G$140&lt;&gt;"moeda")*(Inputs!$G$5:$G$140&lt;&gt;"acoes")))*INDEX(Inputs!$K$5:$AJ$140,0,MATCH(F$2,Inputs!$K$4:$AJ$4,0)))+SUMPRODUCT((Inputs!$C$5:$C$140=$B22)*Inputs!$D$5:$D$140*(((Inputs!$G$5:$G$140="moeda")+(Inputs!$G$5:$G$140="acoes"))*Inputs!$B$1+((Inputs!$G$5:$G$140&lt;&gt;"moeda")*(Inputs!$G$5:$G$140&lt;&gt;"acoes")))*INDEX(Inputs!$K$5:$AJ$140,0,MATCH(F$2,Inputs!$K$4:$AJ$4,0)))+SUMPRODUCT((Inputs!$E$5:$E$140=$B22)*Inputs!$F$5:$F$140*(((Inputs!$G$5:$G$140="moeda")+(Inputs!$G$5:$G$140="acoes"))*Inputs!$B$1+((Inputs!$G$5:$G$140&lt;&gt;"moeda")*(Inputs!$G$5:$G$140&lt;&gt;"acoes")))*INDEX(Inputs!$K$5:$AJ$140,0,MATCH(F$2,Inputs!$K$4:$AJ$4,0)))))</f>
        <v>2509</v>
      </c>
      <c r="G22" s="6">
        <f>IF(ISNA(MATCH(G$2,Inputs!$K$4:$AJ$4,0)),NA(),IF(SUMPRODUCT((Inputs!$A$5:$A$140=$B22)*ISNUMBER(INDEX(Inputs!$K$5:$AJ$140,0,MATCH(G$2,Inputs!$K$4:$AJ$4,0))))+SUMPRODUCT((Inputs!$C$5:$C$140=$B22)*ISNUMBER(INDEX(Inputs!$K$5:$AJ$140,0,MATCH(G$2,Inputs!$K$4:$AJ$4,0))))+SUMPRODUCT((Inputs!$E$5:$E$140=$B22)*ISNUMBER(INDEX(Inputs!$K$5:$AJ$140,0,MATCH(G$2,Inputs!$K$4:$AJ$4,0))))=0,NA(),SUMPRODUCT((Inputs!$A$5:$A$140=$B22)*Inputs!$B$5:$B$140*(((Inputs!$G$5:$G$140="moeda")+(Inputs!$G$5:$G$140="acoes"))*Inputs!$B$1+((Inputs!$G$5:$G$140&lt;&gt;"moeda")*(Inputs!$G$5:$G$140&lt;&gt;"acoes")))*INDEX(Inputs!$K$5:$AJ$140,0,MATCH(G$2,Inputs!$K$4:$AJ$4,0)))+SUMPRODUCT((Inputs!$C$5:$C$140=$B22)*Inputs!$D$5:$D$140*(((Inputs!$G$5:$G$140="moeda")+(Inputs!$G$5:$G$140="acoes"))*Inputs!$B$1+((Inputs!$G$5:$G$140&lt;&gt;"moeda")*(Inputs!$G$5:$G$140&lt;&gt;"acoes")))*INDEX(Inputs!$K$5:$AJ$140,0,MATCH(G$2,Inputs!$K$4:$AJ$4,0)))+SUMPRODUCT((Inputs!$E$5:$E$140=$B22)*Inputs!$F$5:$F$140*(((Inputs!$G$5:$G$140="moeda")+(Inputs!$G$5:$G$140="acoes"))*Inputs!$B$1+((Inputs!$G$5:$G$140&lt;&gt;"moeda")*(Inputs!$G$5:$G$140&lt;&gt;"acoes")))*INDEX(Inputs!$K$5:$AJ$140,0,MATCH(G$2,Inputs!$K$4:$AJ$4,0)))))</f>
        <v>2778</v>
      </c>
      <c r="H22" s="3">
        <f>G22</f>
        <v>2778</v>
      </c>
      <c r="I22" s="6">
        <f>IF(ISNA(MATCH(I$2,Inputs!$K$4:$AJ$4,0)),NA(),IF(SUMPRODUCT((Inputs!$A$5:$A$140=$B22)*ISNUMBER(INDEX(Inputs!$K$5:$AJ$140,0,MATCH(I$2,Inputs!$K$4:$AJ$4,0))))+SUMPRODUCT((Inputs!$C$5:$C$140=$B22)*ISNUMBER(INDEX(Inputs!$K$5:$AJ$140,0,MATCH(I$2,Inputs!$K$4:$AJ$4,0))))+SUMPRODUCT((Inputs!$E$5:$E$140=$B22)*ISNUMBER(INDEX(Inputs!$K$5:$AJ$140,0,MATCH(I$2,Inputs!$K$4:$AJ$4,0))))=0,NA(),SUMPRODUCT((Inputs!$A$5:$A$140=$B22)*Inputs!$B$5:$B$140*(((Inputs!$G$5:$G$140="moeda")+(Inputs!$G$5:$G$140="acoes"))*Inputs!$B$1+((Inputs!$G$5:$G$140&lt;&gt;"moeda")*(Inputs!$G$5:$G$140&lt;&gt;"acoes")))*INDEX(Inputs!$K$5:$AJ$140,0,MATCH(I$2,Inputs!$K$4:$AJ$4,0)))+SUMPRODUCT((Inputs!$C$5:$C$140=$B22)*Inputs!$D$5:$D$140*(((Inputs!$G$5:$G$140="moeda")+(Inputs!$G$5:$G$140="acoes"))*Inputs!$B$1+((Inputs!$G$5:$G$140&lt;&gt;"moeda")*(Inputs!$G$5:$G$140&lt;&gt;"acoes")))*INDEX(Inputs!$K$5:$AJ$140,0,MATCH(I$2,Inputs!$K$4:$AJ$4,0)))+SUMPRODUCT((Inputs!$E$5:$E$140=$B22)*Inputs!$F$5:$F$140*(((Inputs!$G$5:$G$140="moeda")+(Inputs!$G$5:$G$140="acoes"))*Inputs!$B$1+((Inputs!$G$5:$G$140&lt;&gt;"moeda")*(Inputs!$G$5:$G$140&lt;&gt;"acoes")))*INDEX(Inputs!$K$5:$AJ$140,0,MATCH(I$2,Inputs!$K$4:$AJ$4,0)))))</f>
        <v>2916</v>
      </c>
      <c r="J22" s="6">
        <f>IF(ISNA(MATCH(J$2,Inputs!$K$4:$AJ$4,0)),NA(),IF(SUMPRODUCT((Inputs!$A$5:$A$140=$B22)*ISNUMBER(INDEX(Inputs!$K$5:$AJ$140,0,MATCH(J$2,Inputs!$K$4:$AJ$4,0))))+SUMPRODUCT((Inputs!$C$5:$C$140=$B22)*ISNUMBER(INDEX(Inputs!$K$5:$AJ$140,0,MATCH(J$2,Inputs!$K$4:$AJ$4,0))))+SUMPRODUCT((Inputs!$E$5:$E$140=$B22)*ISNUMBER(INDEX(Inputs!$K$5:$AJ$140,0,MATCH(J$2,Inputs!$K$4:$AJ$4,0))))=0,NA(),SUMPRODUCT((Inputs!$A$5:$A$140=$B22)*Inputs!$B$5:$B$140*(((Inputs!$G$5:$G$140="moeda")+(Inputs!$G$5:$G$140="acoes"))*Inputs!$B$1+((Inputs!$G$5:$G$140&lt;&gt;"moeda")*(Inputs!$G$5:$G$140&lt;&gt;"acoes")))*INDEX(Inputs!$K$5:$AJ$140,0,MATCH(J$2,Inputs!$K$4:$AJ$4,0)))+SUMPRODUCT((Inputs!$C$5:$C$140=$B22)*Inputs!$D$5:$D$140*(((Inputs!$G$5:$G$140="moeda")+(Inputs!$G$5:$G$140="acoes"))*Inputs!$B$1+((Inputs!$G$5:$G$140&lt;&gt;"moeda")*(Inputs!$G$5:$G$140&lt;&gt;"acoes")))*INDEX(Inputs!$K$5:$AJ$140,0,MATCH(J$2,Inputs!$K$4:$AJ$4,0)))+SUMPRODUCT((Inputs!$E$5:$E$140=$B22)*Inputs!$F$5:$F$140*(((Inputs!$G$5:$G$140="moeda")+(Inputs!$G$5:$G$140="acoes"))*Inputs!$B$1+((Inputs!$G$5:$G$140&lt;&gt;"moeda")*(Inputs!$G$5:$G$140&lt;&gt;"acoes")))*INDEX(Inputs!$K$5:$AJ$140,0,MATCH(J$2,Inputs!$K$4:$AJ$4,0)))))</f>
        <v>3233</v>
      </c>
      <c r="K22" s="6">
        <f>IF(ISNA(MATCH(K$2,Inputs!$K$4:$AJ$4,0)),NA(),IF(SUMPRODUCT((Inputs!$A$5:$A$140=$B22)*ISNUMBER(INDEX(Inputs!$K$5:$AJ$140,0,MATCH(K$2,Inputs!$K$4:$AJ$4,0))))+SUMPRODUCT((Inputs!$C$5:$C$140=$B22)*ISNUMBER(INDEX(Inputs!$K$5:$AJ$140,0,MATCH(K$2,Inputs!$K$4:$AJ$4,0))))+SUMPRODUCT((Inputs!$E$5:$E$140=$B22)*ISNUMBER(INDEX(Inputs!$K$5:$AJ$140,0,MATCH(K$2,Inputs!$K$4:$AJ$4,0))))=0,NA(),SUMPRODUCT((Inputs!$A$5:$A$140=$B22)*Inputs!$B$5:$B$140*(((Inputs!$G$5:$G$140="moeda")+(Inputs!$G$5:$G$140="acoes"))*Inputs!$B$1+((Inputs!$G$5:$G$140&lt;&gt;"moeda")*(Inputs!$G$5:$G$140&lt;&gt;"acoes")))*INDEX(Inputs!$K$5:$AJ$140,0,MATCH(K$2,Inputs!$K$4:$AJ$4,0)))+SUMPRODUCT((Inputs!$C$5:$C$140=$B22)*Inputs!$D$5:$D$140*(((Inputs!$G$5:$G$140="moeda")+(Inputs!$G$5:$G$140="acoes"))*Inputs!$B$1+((Inputs!$G$5:$G$140&lt;&gt;"moeda")*(Inputs!$G$5:$G$140&lt;&gt;"acoes")))*INDEX(Inputs!$K$5:$AJ$140,0,MATCH(K$2,Inputs!$K$4:$AJ$4,0)))+SUMPRODUCT((Inputs!$E$5:$E$140=$B22)*Inputs!$F$5:$F$140*(((Inputs!$G$5:$G$140="moeda")+(Inputs!$G$5:$G$140="acoes"))*Inputs!$B$1+((Inputs!$G$5:$G$140&lt;&gt;"moeda")*(Inputs!$G$5:$G$140&lt;&gt;"acoes")))*INDEX(Inputs!$K$5:$AJ$140,0,MATCH(K$2,Inputs!$K$4:$AJ$4,0)))))</f>
        <v>3774</v>
      </c>
      <c r="L22" s="6">
        <f>IF(ISNA(MATCH(L$2,Inputs!$K$4:$AJ$4,0)),NA(),IF(SUMPRODUCT((Inputs!$A$5:$A$140=$B22)*ISNUMBER(INDEX(Inputs!$K$5:$AJ$140,0,MATCH(L$2,Inputs!$K$4:$AJ$4,0))))+SUMPRODUCT((Inputs!$C$5:$C$140=$B22)*ISNUMBER(INDEX(Inputs!$K$5:$AJ$140,0,MATCH(L$2,Inputs!$K$4:$AJ$4,0))))+SUMPRODUCT((Inputs!$E$5:$E$140=$B22)*ISNUMBER(INDEX(Inputs!$K$5:$AJ$140,0,MATCH(L$2,Inputs!$K$4:$AJ$4,0))))=0,NA(),SUMPRODUCT((Inputs!$A$5:$A$140=$B22)*Inputs!$B$5:$B$140*(((Inputs!$G$5:$G$140="moeda")+(Inputs!$G$5:$G$140="acoes"))*Inputs!$B$1+((Inputs!$G$5:$G$140&lt;&gt;"moeda")*(Inputs!$G$5:$G$140&lt;&gt;"acoes")))*INDEX(Inputs!$K$5:$AJ$140,0,MATCH(L$2,Inputs!$K$4:$AJ$4,0)))+SUMPRODUCT((Inputs!$C$5:$C$140=$B22)*Inputs!$D$5:$D$140*(((Inputs!$G$5:$G$140="moeda")+(Inputs!$G$5:$G$140="acoes"))*Inputs!$B$1+((Inputs!$G$5:$G$140&lt;&gt;"moeda")*(Inputs!$G$5:$G$140&lt;&gt;"acoes")))*INDEX(Inputs!$K$5:$AJ$140,0,MATCH(L$2,Inputs!$K$4:$AJ$4,0)))+SUMPRODUCT((Inputs!$E$5:$E$140=$B22)*Inputs!$F$5:$F$140*(((Inputs!$G$5:$G$140="moeda")+(Inputs!$G$5:$G$140="acoes"))*Inputs!$B$1+((Inputs!$G$5:$G$140&lt;&gt;"moeda")*(Inputs!$G$5:$G$140&lt;&gt;"acoes")))*INDEX(Inputs!$K$5:$AJ$140,0,MATCH(L$2,Inputs!$K$4:$AJ$4,0)))))</f>
        <v>3807</v>
      </c>
      <c r="M22" s="3">
        <f>L22</f>
        <v>3807</v>
      </c>
      <c r="N22" s="6">
        <f>IF(ISNA(MATCH(N$2,Inputs!$K$4:$AJ$4,0)),NA(),IF(SUMPRODUCT((Inputs!$A$5:$A$140=$B22)*ISNUMBER(INDEX(Inputs!$K$5:$AJ$140,0,MATCH(N$2,Inputs!$K$4:$AJ$4,0))))+SUMPRODUCT((Inputs!$C$5:$C$140=$B22)*ISNUMBER(INDEX(Inputs!$K$5:$AJ$140,0,MATCH(N$2,Inputs!$K$4:$AJ$4,0))))+SUMPRODUCT((Inputs!$E$5:$E$140=$B22)*ISNUMBER(INDEX(Inputs!$K$5:$AJ$140,0,MATCH(N$2,Inputs!$K$4:$AJ$4,0))))=0,NA(),SUMPRODUCT((Inputs!$A$5:$A$140=$B22)*Inputs!$B$5:$B$140*(((Inputs!$G$5:$G$140="moeda")+(Inputs!$G$5:$G$140="acoes"))*Inputs!$B$1+((Inputs!$G$5:$G$140&lt;&gt;"moeda")*(Inputs!$G$5:$G$140&lt;&gt;"acoes")))*INDEX(Inputs!$K$5:$AJ$140,0,MATCH(N$2,Inputs!$K$4:$AJ$4,0)))+SUMPRODUCT((Inputs!$C$5:$C$140=$B22)*Inputs!$D$5:$D$140*(((Inputs!$G$5:$G$140="moeda")+(Inputs!$G$5:$G$140="acoes"))*Inputs!$B$1+((Inputs!$G$5:$G$140&lt;&gt;"moeda")*(Inputs!$G$5:$G$140&lt;&gt;"acoes")))*INDEX(Inputs!$K$5:$AJ$140,0,MATCH(N$2,Inputs!$K$4:$AJ$4,0)))+SUMPRODUCT((Inputs!$E$5:$E$140=$B22)*Inputs!$F$5:$F$140*(((Inputs!$G$5:$G$140="moeda")+(Inputs!$G$5:$G$140="acoes"))*Inputs!$B$1+((Inputs!$G$5:$G$140&lt;&gt;"moeda")*(Inputs!$G$5:$G$140&lt;&gt;"acoes")))*INDEX(Inputs!$K$5:$AJ$140,0,MATCH(N$2,Inputs!$K$4:$AJ$4,0)))))</f>
        <v>3740</v>
      </c>
      <c r="O22" s="6">
        <f>IF(ISNA(MATCH(O$2,Inputs!$K$4:$AJ$4,0)),NA(),IF(SUMPRODUCT((Inputs!$A$5:$A$140=$B22)*ISNUMBER(INDEX(Inputs!$K$5:$AJ$140,0,MATCH(O$2,Inputs!$K$4:$AJ$4,0))))+SUMPRODUCT((Inputs!$C$5:$C$140=$B22)*ISNUMBER(INDEX(Inputs!$K$5:$AJ$140,0,MATCH(O$2,Inputs!$K$4:$AJ$4,0))))+SUMPRODUCT((Inputs!$E$5:$E$140=$B22)*ISNUMBER(INDEX(Inputs!$K$5:$AJ$140,0,MATCH(O$2,Inputs!$K$4:$AJ$4,0))))=0,NA(),SUMPRODUCT((Inputs!$A$5:$A$140=$B22)*Inputs!$B$5:$B$140*(((Inputs!$G$5:$G$140="moeda")+(Inputs!$G$5:$G$140="acoes"))*Inputs!$B$1+((Inputs!$G$5:$G$140&lt;&gt;"moeda")*(Inputs!$G$5:$G$140&lt;&gt;"acoes")))*INDEX(Inputs!$K$5:$AJ$140,0,MATCH(O$2,Inputs!$K$4:$AJ$4,0)))+SUMPRODUCT((Inputs!$C$5:$C$140=$B22)*Inputs!$D$5:$D$140*(((Inputs!$G$5:$G$140="moeda")+(Inputs!$G$5:$G$140="acoes"))*Inputs!$B$1+((Inputs!$G$5:$G$140&lt;&gt;"moeda")*(Inputs!$G$5:$G$140&lt;&gt;"acoes")))*INDEX(Inputs!$K$5:$AJ$140,0,MATCH(O$2,Inputs!$K$4:$AJ$4,0)))+SUMPRODUCT((Inputs!$E$5:$E$140=$B22)*Inputs!$F$5:$F$140*(((Inputs!$G$5:$G$140="moeda")+(Inputs!$G$5:$G$140="acoes"))*Inputs!$B$1+((Inputs!$G$5:$G$140&lt;&gt;"moeda")*(Inputs!$G$5:$G$140&lt;&gt;"acoes")))*INDEX(Inputs!$K$5:$AJ$140,0,MATCH(O$2,Inputs!$K$4:$AJ$4,0)))))</f>
        <v>3799</v>
      </c>
      <c r="P22" s="6">
        <f>IF(ISNA(MATCH(P$2,Inputs!$K$4:$AJ$4,0)),NA(),IF(SUMPRODUCT((Inputs!$A$5:$A$140=$B22)*ISNUMBER(INDEX(Inputs!$K$5:$AJ$140,0,MATCH(P$2,Inputs!$K$4:$AJ$4,0))))+SUMPRODUCT((Inputs!$C$5:$C$140=$B22)*ISNUMBER(INDEX(Inputs!$K$5:$AJ$140,0,MATCH(P$2,Inputs!$K$4:$AJ$4,0))))+SUMPRODUCT((Inputs!$E$5:$E$140=$B22)*ISNUMBER(INDEX(Inputs!$K$5:$AJ$140,0,MATCH(P$2,Inputs!$K$4:$AJ$4,0))))=0,NA(),SUMPRODUCT((Inputs!$A$5:$A$140=$B22)*Inputs!$B$5:$B$140*(((Inputs!$G$5:$G$140="moeda")+(Inputs!$G$5:$G$140="acoes"))*Inputs!$B$1+((Inputs!$G$5:$G$140&lt;&gt;"moeda")*(Inputs!$G$5:$G$140&lt;&gt;"acoes")))*INDEX(Inputs!$K$5:$AJ$140,0,MATCH(P$2,Inputs!$K$4:$AJ$4,0)))+SUMPRODUCT((Inputs!$C$5:$C$140=$B22)*Inputs!$D$5:$D$140*(((Inputs!$G$5:$G$140="moeda")+(Inputs!$G$5:$G$140="acoes"))*Inputs!$B$1+((Inputs!$G$5:$G$140&lt;&gt;"moeda")*(Inputs!$G$5:$G$140&lt;&gt;"acoes")))*INDEX(Inputs!$K$5:$AJ$140,0,MATCH(P$2,Inputs!$K$4:$AJ$4,0)))+SUMPRODUCT((Inputs!$E$5:$E$140=$B22)*Inputs!$F$5:$F$140*(((Inputs!$G$5:$G$140="moeda")+(Inputs!$G$5:$G$140="acoes"))*Inputs!$B$1+((Inputs!$G$5:$G$140&lt;&gt;"moeda")*(Inputs!$G$5:$G$140&lt;&gt;"acoes")))*INDEX(Inputs!$K$5:$AJ$140,0,MATCH(P$2,Inputs!$K$4:$AJ$4,0)))))</f>
        <v>3844</v>
      </c>
      <c r="Q22" s="6">
        <f>IF(ISNA(MATCH(Q$2,Inputs!$K$4:$AJ$4,0)),NA(),IF(SUMPRODUCT((Inputs!$A$5:$A$140=$B22)*ISNUMBER(INDEX(Inputs!$K$5:$AJ$140,0,MATCH(Q$2,Inputs!$K$4:$AJ$4,0))))+SUMPRODUCT((Inputs!$C$5:$C$140=$B22)*ISNUMBER(INDEX(Inputs!$K$5:$AJ$140,0,MATCH(Q$2,Inputs!$K$4:$AJ$4,0))))+SUMPRODUCT((Inputs!$E$5:$E$140=$B22)*ISNUMBER(INDEX(Inputs!$K$5:$AJ$140,0,MATCH(Q$2,Inputs!$K$4:$AJ$4,0))))=0,NA(),SUMPRODUCT((Inputs!$A$5:$A$140=$B22)*Inputs!$B$5:$B$140*(((Inputs!$G$5:$G$140="moeda")+(Inputs!$G$5:$G$140="acoes"))*Inputs!$B$1+((Inputs!$G$5:$G$140&lt;&gt;"moeda")*(Inputs!$G$5:$G$140&lt;&gt;"acoes")))*INDEX(Inputs!$K$5:$AJ$140,0,MATCH(Q$2,Inputs!$K$4:$AJ$4,0)))+SUMPRODUCT((Inputs!$C$5:$C$140=$B22)*Inputs!$D$5:$D$140*(((Inputs!$G$5:$G$140="moeda")+(Inputs!$G$5:$G$140="acoes"))*Inputs!$B$1+((Inputs!$G$5:$G$140&lt;&gt;"moeda")*(Inputs!$G$5:$G$140&lt;&gt;"acoes")))*INDEX(Inputs!$K$5:$AJ$140,0,MATCH(Q$2,Inputs!$K$4:$AJ$4,0)))+SUMPRODUCT((Inputs!$E$5:$E$140=$B22)*Inputs!$F$5:$F$140*(((Inputs!$G$5:$G$140="moeda")+(Inputs!$G$5:$G$140="acoes"))*Inputs!$B$1+((Inputs!$G$5:$G$140&lt;&gt;"moeda")*(Inputs!$G$5:$G$140&lt;&gt;"acoes")))*INDEX(Inputs!$K$5:$AJ$140,0,MATCH(Q$2,Inputs!$K$4:$AJ$4,0)))))</f>
        <v>3914</v>
      </c>
      <c r="R22" s="3">
        <f>Q22</f>
        <v>3914</v>
      </c>
      <c r="S22" s="6">
        <f>IF(ISNA(MATCH(S$2,Inputs!$K$4:$AJ$4,0)),NA(),IF(SUMPRODUCT((Inputs!$A$5:$A$140=$B22)*ISNUMBER(INDEX(Inputs!$K$5:$AJ$140,0,MATCH(S$2,Inputs!$K$4:$AJ$4,0))))+SUMPRODUCT((Inputs!$C$5:$C$140=$B22)*ISNUMBER(INDEX(Inputs!$K$5:$AJ$140,0,MATCH(S$2,Inputs!$K$4:$AJ$4,0))))+SUMPRODUCT((Inputs!$E$5:$E$140=$B22)*ISNUMBER(INDEX(Inputs!$K$5:$AJ$140,0,MATCH(S$2,Inputs!$K$4:$AJ$4,0))))=0,NA(),SUMPRODUCT((Inputs!$A$5:$A$140=$B22)*Inputs!$B$5:$B$140*(((Inputs!$G$5:$G$140="moeda")+(Inputs!$G$5:$G$140="acoes"))*Inputs!$B$1+((Inputs!$G$5:$G$140&lt;&gt;"moeda")*(Inputs!$G$5:$G$140&lt;&gt;"acoes")))*INDEX(Inputs!$K$5:$AJ$140,0,MATCH(S$2,Inputs!$K$4:$AJ$4,0)))+SUMPRODUCT((Inputs!$C$5:$C$140=$B22)*Inputs!$D$5:$D$140*(((Inputs!$G$5:$G$140="moeda")+(Inputs!$G$5:$G$140="acoes"))*Inputs!$B$1+((Inputs!$G$5:$G$140&lt;&gt;"moeda")*(Inputs!$G$5:$G$140&lt;&gt;"acoes")))*INDEX(Inputs!$K$5:$AJ$140,0,MATCH(S$2,Inputs!$K$4:$AJ$4,0)))+SUMPRODUCT((Inputs!$E$5:$E$140=$B22)*Inputs!$F$5:$F$140*(((Inputs!$G$5:$G$140="moeda")+(Inputs!$G$5:$G$140="acoes"))*Inputs!$B$1+((Inputs!$G$5:$G$140&lt;&gt;"moeda")*(Inputs!$G$5:$G$140&lt;&gt;"acoes")))*INDEX(Inputs!$K$5:$AJ$140,0,MATCH(S$2,Inputs!$K$4:$AJ$4,0)))))</f>
        <v>4006</v>
      </c>
      <c r="T22" s="6">
        <f>IF(ISNA(MATCH(T$2,Inputs!$K$4:$AJ$4,0)),NA(),IF(SUMPRODUCT((Inputs!$A$5:$A$140=$B22)*ISNUMBER(INDEX(Inputs!$K$5:$AJ$140,0,MATCH(T$2,Inputs!$K$4:$AJ$4,0))))+SUMPRODUCT((Inputs!$C$5:$C$140=$B22)*ISNUMBER(INDEX(Inputs!$K$5:$AJ$140,0,MATCH(T$2,Inputs!$K$4:$AJ$4,0))))+SUMPRODUCT((Inputs!$E$5:$E$140=$B22)*ISNUMBER(INDEX(Inputs!$K$5:$AJ$140,0,MATCH(T$2,Inputs!$K$4:$AJ$4,0))))=0,NA(),SUMPRODUCT((Inputs!$A$5:$A$140=$B22)*Inputs!$B$5:$B$140*(((Inputs!$G$5:$G$140="moeda")+(Inputs!$G$5:$G$140="acoes"))*Inputs!$B$1+((Inputs!$G$5:$G$140&lt;&gt;"moeda")*(Inputs!$G$5:$G$140&lt;&gt;"acoes")))*INDEX(Inputs!$K$5:$AJ$140,0,MATCH(T$2,Inputs!$K$4:$AJ$4,0)))+SUMPRODUCT((Inputs!$C$5:$C$140=$B22)*Inputs!$D$5:$D$140*(((Inputs!$G$5:$G$140="moeda")+(Inputs!$G$5:$G$140="acoes"))*Inputs!$B$1+((Inputs!$G$5:$G$140&lt;&gt;"moeda")*(Inputs!$G$5:$G$140&lt;&gt;"acoes")))*INDEX(Inputs!$K$5:$AJ$140,0,MATCH(T$2,Inputs!$K$4:$AJ$4,0)))+SUMPRODUCT((Inputs!$E$5:$E$140=$B22)*Inputs!$F$5:$F$140*(((Inputs!$G$5:$G$140="moeda")+(Inputs!$G$5:$G$140="acoes"))*Inputs!$B$1+((Inputs!$G$5:$G$140&lt;&gt;"moeda")*(Inputs!$G$5:$G$140&lt;&gt;"acoes")))*INDEX(Inputs!$K$5:$AJ$140,0,MATCH(T$2,Inputs!$K$4:$AJ$4,0)))))</f>
        <v>4885</v>
      </c>
      <c r="U22" s="6">
        <f>IF(ISNA(MATCH(U$2,Inputs!$K$4:$AJ$4,0)),NA(),IF(SUMPRODUCT((Inputs!$A$5:$A$140=$B22)*ISNUMBER(INDEX(Inputs!$K$5:$AJ$140,0,MATCH(U$2,Inputs!$K$4:$AJ$4,0))))+SUMPRODUCT((Inputs!$C$5:$C$140=$B22)*ISNUMBER(INDEX(Inputs!$K$5:$AJ$140,0,MATCH(U$2,Inputs!$K$4:$AJ$4,0))))+SUMPRODUCT((Inputs!$E$5:$E$140=$B22)*ISNUMBER(INDEX(Inputs!$K$5:$AJ$140,0,MATCH(U$2,Inputs!$K$4:$AJ$4,0))))=0,NA(),SUMPRODUCT((Inputs!$A$5:$A$140=$B22)*Inputs!$B$5:$B$140*(((Inputs!$G$5:$G$140="moeda")+(Inputs!$G$5:$G$140="acoes"))*Inputs!$B$1+((Inputs!$G$5:$G$140&lt;&gt;"moeda")*(Inputs!$G$5:$G$140&lt;&gt;"acoes")))*INDEX(Inputs!$K$5:$AJ$140,0,MATCH(U$2,Inputs!$K$4:$AJ$4,0)))+SUMPRODUCT((Inputs!$C$5:$C$140=$B22)*Inputs!$D$5:$D$140*(((Inputs!$G$5:$G$140="moeda")+(Inputs!$G$5:$G$140="acoes"))*Inputs!$B$1+((Inputs!$G$5:$G$140&lt;&gt;"moeda")*(Inputs!$G$5:$G$140&lt;&gt;"acoes")))*INDEX(Inputs!$K$5:$AJ$140,0,MATCH(U$2,Inputs!$K$4:$AJ$4,0)))+SUMPRODUCT((Inputs!$E$5:$E$140=$B22)*Inputs!$F$5:$F$140*(((Inputs!$G$5:$G$140="moeda")+(Inputs!$G$5:$G$140="acoes"))*Inputs!$B$1+((Inputs!$G$5:$G$140&lt;&gt;"moeda")*(Inputs!$G$5:$G$140&lt;&gt;"acoes")))*INDEX(Inputs!$K$5:$AJ$140,0,MATCH(U$2,Inputs!$K$4:$AJ$4,0)))))</f>
        <v>5343</v>
      </c>
      <c r="V22" s="6">
        <f>IF(ISNA(MATCH(V$2,Inputs!$K$4:$AJ$4,0)),NA(),IF(SUMPRODUCT((Inputs!$A$5:$A$140=$B22)*ISNUMBER(INDEX(Inputs!$K$5:$AJ$140,0,MATCH(V$2,Inputs!$K$4:$AJ$4,0))))+SUMPRODUCT((Inputs!$C$5:$C$140=$B22)*ISNUMBER(INDEX(Inputs!$K$5:$AJ$140,0,MATCH(V$2,Inputs!$K$4:$AJ$4,0))))+SUMPRODUCT((Inputs!$E$5:$E$140=$B22)*ISNUMBER(INDEX(Inputs!$K$5:$AJ$140,0,MATCH(V$2,Inputs!$K$4:$AJ$4,0))))=0,NA(),SUMPRODUCT((Inputs!$A$5:$A$140=$B22)*Inputs!$B$5:$B$140*(((Inputs!$G$5:$G$140="moeda")+(Inputs!$G$5:$G$140="acoes"))*Inputs!$B$1+((Inputs!$G$5:$G$140&lt;&gt;"moeda")*(Inputs!$G$5:$G$140&lt;&gt;"acoes")))*INDEX(Inputs!$K$5:$AJ$140,0,MATCH(V$2,Inputs!$K$4:$AJ$4,0)))+SUMPRODUCT((Inputs!$C$5:$C$140=$B22)*Inputs!$D$5:$D$140*(((Inputs!$G$5:$G$140="moeda")+(Inputs!$G$5:$G$140="acoes"))*Inputs!$B$1+((Inputs!$G$5:$G$140&lt;&gt;"moeda")*(Inputs!$G$5:$G$140&lt;&gt;"acoes")))*INDEX(Inputs!$K$5:$AJ$140,0,MATCH(V$2,Inputs!$K$4:$AJ$4,0)))+SUMPRODUCT((Inputs!$E$5:$E$140=$B22)*Inputs!$F$5:$F$140*(((Inputs!$G$5:$G$140="moeda")+(Inputs!$G$5:$G$140="acoes"))*Inputs!$B$1+((Inputs!$G$5:$G$140&lt;&gt;"moeda")*(Inputs!$G$5:$G$140&lt;&gt;"acoes")))*INDEX(Inputs!$K$5:$AJ$140,0,MATCH(V$2,Inputs!$K$4:$AJ$4,0)))))</f>
        <v>6283</v>
      </c>
      <c r="W22" s="3">
        <f>V22</f>
        <v>6283</v>
      </c>
      <c r="X22" s="6">
        <f>IF(ISNA(MATCH(X$2,Inputs!$K$4:$AJ$4,0)),NA(),IF(SUMPRODUCT((Inputs!$A$5:$A$140=$B22)*ISNUMBER(INDEX(Inputs!$K$5:$AJ$140,0,MATCH(X$2,Inputs!$K$4:$AJ$4,0))))+SUMPRODUCT((Inputs!$C$5:$C$140=$B22)*ISNUMBER(INDEX(Inputs!$K$5:$AJ$140,0,MATCH(X$2,Inputs!$K$4:$AJ$4,0))))+SUMPRODUCT((Inputs!$E$5:$E$140=$B22)*ISNUMBER(INDEX(Inputs!$K$5:$AJ$140,0,MATCH(X$2,Inputs!$K$4:$AJ$4,0))))=0,NA(),SUMPRODUCT((Inputs!$A$5:$A$140=$B22)*Inputs!$B$5:$B$140*(((Inputs!$G$5:$G$140="moeda")+(Inputs!$G$5:$G$140="acoes"))*Inputs!$B$1+((Inputs!$G$5:$G$140&lt;&gt;"moeda")*(Inputs!$G$5:$G$140&lt;&gt;"acoes")))*INDEX(Inputs!$K$5:$AJ$140,0,MATCH(X$2,Inputs!$K$4:$AJ$4,0)))+SUMPRODUCT((Inputs!$C$5:$C$140=$B22)*Inputs!$D$5:$D$140*(((Inputs!$G$5:$G$140="moeda")+(Inputs!$G$5:$G$140="acoes"))*Inputs!$B$1+((Inputs!$G$5:$G$140&lt;&gt;"moeda")*(Inputs!$G$5:$G$140&lt;&gt;"acoes")))*INDEX(Inputs!$K$5:$AJ$140,0,MATCH(X$2,Inputs!$K$4:$AJ$4,0)))+SUMPRODUCT((Inputs!$E$5:$E$140=$B22)*Inputs!$F$5:$F$140*(((Inputs!$G$5:$G$140="moeda")+(Inputs!$G$5:$G$140="acoes"))*Inputs!$B$1+((Inputs!$G$5:$G$140&lt;&gt;"moeda")*(Inputs!$G$5:$G$140&lt;&gt;"acoes")))*INDEX(Inputs!$K$5:$AJ$140,0,MATCH(X$2,Inputs!$K$4:$AJ$4,0)))))</f>
        <v>7136</v>
      </c>
      <c r="Y22" s="6">
        <f>IF(ISNA(MATCH(Y$2,Inputs!$K$4:$AJ$4,0)),NA(),IF(SUMPRODUCT((Inputs!$A$5:$A$140=$B22)*ISNUMBER(INDEX(Inputs!$K$5:$AJ$140,0,MATCH(Y$2,Inputs!$K$4:$AJ$4,0))))+SUMPRODUCT((Inputs!$C$5:$C$140=$B22)*ISNUMBER(INDEX(Inputs!$K$5:$AJ$140,0,MATCH(Y$2,Inputs!$K$4:$AJ$4,0))))+SUMPRODUCT((Inputs!$E$5:$E$140=$B22)*ISNUMBER(INDEX(Inputs!$K$5:$AJ$140,0,MATCH(Y$2,Inputs!$K$4:$AJ$4,0))))=0,NA(),SUMPRODUCT((Inputs!$A$5:$A$140=$B22)*Inputs!$B$5:$B$140*(((Inputs!$G$5:$G$140="moeda")+(Inputs!$G$5:$G$140="acoes"))*Inputs!$B$1+((Inputs!$G$5:$G$140&lt;&gt;"moeda")*(Inputs!$G$5:$G$140&lt;&gt;"acoes")))*INDEX(Inputs!$K$5:$AJ$140,0,MATCH(Y$2,Inputs!$K$4:$AJ$4,0)))+SUMPRODUCT((Inputs!$C$5:$C$140=$B22)*Inputs!$D$5:$D$140*(((Inputs!$G$5:$G$140="moeda")+(Inputs!$G$5:$G$140="acoes"))*Inputs!$B$1+((Inputs!$G$5:$G$140&lt;&gt;"moeda")*(Inputs!$G$5:$G$140&lt;&gt;"acoes")))*INDEX(Inputs!$K$5:$AJ$140,0,MATCH(Y$2,Inputs!$K$4:$AJ$4,0)))+SUMPRODUCT((Inputs!$E$5:$E$140=$B22)*Inputs!$F$5:$F$140*(((Inputs!$G$5:$G$140="moeda")+(Inputs!$G$5:$G$140="acoes"))*Inputs!$B$1+((Inputs!$G$5:$G$140&lt;&gt;"moeda")*(Inputs!$G$5:$G$140&lt;&gt;"acoes")))*INDEX(Inputs!$K$5:$AJ$140,0,MATCH(Y$2,Inputs!$K$4:$AJ$4,0)))))</f>
        <v>9141</v>
      </c>
      <c r="Z22" s="6">
        <f>IF(ISNA(MATCH(Z$2,Inputs!$K$4:$AJ$4,0)),NA(),IF(SUMPRODUCT((Inputs!$A$5:$A$140=$B22)*ISNUMBER(INDEX(Inputs!$K$5:$AJ$140,0,MATCH(Z$2,Inputs!$K$4:$AJ$4,0))))+SUMPRODUCT((Inputs!$C$5:$C$140=$B22)*ISNUMBER(INDEX(Inputs!$K$5:$AJ$140,0,MATCH(Z$2,Inputs!$K$4:$AJ$4,0))))+SUMPRODUCT((Inputs!$E$5:$E$140=$B22)*ISNUMBER(INDEX(Inputs!$K$5:$AJ$140,0,MATCH(Z$2,Inputs!$K$4:$AJ$4,0))))=0,NA(),SUMPRODUCT((Inputs!$A$5:$A$140=$B22)*Inputs!$B$5:$B$140*(((Inputs!$G$5:$G$140="moeda")+(Inputs!$G$5:$G$140="acoes"))*Inputs!$B$1+((Inputs!$G$5:$G$140&lt;&gt;"moeda")*(Inputs!$G$5:$G$140&lt;&gt;"acoes")))*INDEX(Inputs!$K$5:$AJ$140,0,MATCH(Z$2,Inputs!$K$4:$AJ$4,0)))+SUMPRODUCT((Inputs!$C$5:$C$140=$B22)*Inputs!$D$5:$D$140*(((Inputs!$G$5:$G$140="moeda")+(Inputs!$G$5:$G$140="acoes"))*Inputs!$B$1+((Inputs!$G$5:$G$140&lt;&gt;"moeda")*(Inputs!$G$5:$G$140&lt;&gt;"acoes")))*INDEX(Inputs!$K$5:$AJ$140,0,MATCH(Z$2,Inputs!$K$4:$AJ$4,0)))+SUMPRODUCT((Inputs!$E$5:$E$140=$B22)*Inputs!$F$5:$F$140*(((Inputs!$G$5:$G$140="moeda")+(Inputs!$G$5:$G$140="acoes"))*Inputs!$B$1+((Inputs!$G$5:$G$140&lt;&gt;"moeda")*(Inputs!$G$5:$G$140&lt;&gt;"acoes")))*INDEX(Inputs!$K$5:$AJ$140,0,MATCH(Z$2,Inputs!$K$4:$AJ$4,0)))))</f>
        <v>9780</v>
      </c>
      <c r="AA22" s="6">
        <f>IF(ISNA(MATCH(AA$2,Inputs!$K$4:$AJ$4,0)),NA(),IF(SUMPRODUCT((Inputs!$A$5:$A$140=$B22)*ISNUMBER(INDEX(Inputs!$K$5:$AJ$140,0,MATCH(AA$2,Inputs!$K$4:$AJ$4,0))))+SUMPRODUCT((Inputs!$C$5:$C$140=$B22)*ISNUMBER(INDEX(Inputs!$K$5:$AJ$140,0,MATCH(AA$2,Inputs!$K$4:$AJ$4,0))))+SUMPRODUCT((Inputs!$E$5:$E$140=$B22)*ISNUMBER(INDEX(Inputs!$K$5:$AJ$140,0,MATCH(AA$2,Inputs!$K$4:$AJ$4,0))))=0,NA(),SUMPRODUCT((Inputs!$A$5:$A$140=$B22)*Inputs!$B$5:$B$140*(((Inputs!$G$5:$G$140="moeda")+(Inputs!$G$5:$G$140="acoes"))*Inputs!$B$1+((Inputs!$G$5:$G$140&lt;&gt;"moeda")*(Inputs!$G$5:$G$140&lt;&gt;"acoes")))*INDEX(Inputs!$K$5:$AJ$140,0,MATCH(AA$2,Inputs!$K$4:$AJ$4,0)))+SUMPRODUCT((Inputs!$C$5:$C$140=$B22)*Inputs!$D$5:$D$140*(((Inputs!$G$5:$G$140="moeda")+(Inputs!$G$5:$G$140="acoes"))*Inputs!$B$1+((Inputs!$G$5:$G$140&lt;&gt;"moeda")*(Inputs!$G$5:$G$140&lt;&gt;"acoes")))*INDEX(Inputs!$K$5:$AJ$140,0,MATCH(AA$2,Inputs!$K$4:$AJ$4,0)))+SUMPRODUCT((Inputs!$E$5:$E$140=$B22)*Inputs!$F$5:$F$140*(((Inputs!$G$5:$G$140="moeda")+(Inputs!$G$5:$G$140="acoes"))*Inputs!$B$1+((Inputs!$G$5:$G$140&lt;&gt;"moeda")*(Inputs!$G$5:$G$140&lt;&gt;"acoes")))*INDEX(Inputs!$K$5:$AJ$140,0,MATCH(AA$2,Inputs!$K$4:$AJ$4,0)))))</f>
        <v>10383</v>
      </c>
      <c r="AB22" s="3">
        <f>AA22</f>
        <v>10383</v>
      </c>
      <c r="AC22" s="6">
        <f>IF(ISNA(MATCH(AC$2,Inputs!$K$4:$AJ$4,0)),NA(),IF(SUMPRODUCT((Inputs!$A$5:$A$140=$B22)*ISNUMBER(INDEX(Inputs!$K$5:$AJ$140,0,MATCH(AC$2,Inputs!$K$4:$AJ$4,0))))+SUMPRODUCT((Inputs!$C$5:$C$140=$B22)*ISNUMBER(INDEX(Inputs!$K$5:$AJ$140,0,MATCH(AC$2,Inputs!$K$4:$AJ$4,0))))+SUMPRODUCT((Inputs!$E$5:$E$140=$B22)*ISNUMBER(INDEX(Inputs!$K$5:$AJ$140,0,MATCH(AC$2,Inputs!$K$4:$AJ$4,0))))=0,NA(),SUMPRODUCT((Inputs!$A$5:$A$140=$B22)*Inputs!$B$5:$B$140*(((Inputs!$G$5:$G$140="moeda")+(Inputs!$G$5:$G$140="acoes"))*Inputs!$B$1+((Inputs!$G$5:$G$140&lt;&gt;"moeda")*(Inputs!$G$5:$G$140&lt;&gt;"acoes")))*INDEX(Inputs!$K$5:$AJ$140,0,MATCH(AC$2,Inputs!$K$4:$AJ$4,0)))+SUMPRODUCT((Inputs!$C$5:$C$140=$B22)*Inputs!$D$5:$D$140*(((Inputs!$G$5:$G$140="moeda")+(Inputs!$G$5:$G$140="acoes"))*Inputs!$B$1+((Inputs!$G$5:$G$140&lt;&gt;"moeda")*(Inputs!$G$5:$G$140&lt;&gt;"acoes")))*INDEX(Inputs!$K$5:$AJ$140,0,MATCH(AC$2,Inputs!$K$4:$AJ$4,0)))+SUMPRODUCT((Inputs!$E$5:$E$140=$B22)*Inputs!$F$5:$F$140*(((Inputs!$G$5:$G$140="moeda")+(Inputs!$G$5:$G$140="acoes"))*Inputs!$B$1+((Inputs!$G$5:$G$140&lt;&gt;"moeda")*(Inputs!$G$5:$G$140&lt;&gt;"acoes")))*INDEX(Inputs!$K$5:$AJ$140,0,MATCH(AC$2,Inputs!$K$4:$AJ$4,0)))))</f>
        <v>12403</v>
      </c>
      <c r="AD22" s="6">
        <f>IF(ISNA(MATCH(AD$2,Inputs!$K$4:$AJ$4,0)),NA(),IF(SUMPRODUCT((Inputs!$A$5:$A$140=$B22)*ISNUMBER(INDEX(Inputs!$K$5:$AJ$140,0,MATCH(AD$2,Inputs!$K$4:$AJ$4,0))))+SUMPRODUCT((Inputs!$C$5:$C$140=$B22)*ISNUMBER(INDEX(Inputs!$K$5:$AJ$140,0,MATCH(AD$2,Inputs!$K$4:$AJ$4,0))))+SUMPRODUCT((Inputs!$E$5:$E$140=$B22)*ISNUMBER(INDEX(Inputs!$K$5:$AJ$140,0,MATCH(AD$2,Inputs!$K$4:$AJ$4,0))))=0,NA(),SUMPRODUCT((Inputs!$A$5:$A$140=$B22)*Inputs!$B$5:$B$140*(((Inputs!$G$5:$G$140="moeda")+(Inputs!$G$5:$G$140="acoes"))*Inputs!$B$1+((Inputs!$G$5:$G$140&lt;&gt;"moeda")*(Inputs!$G$5:$G$140&lt;&gt;"acoes")))*INDEX(Inputs!$K$5:$AJ$140,0,MATCH(AD$2,Inputs!$K$4:$AJ$4,0)))+SUMPRODUCT((Inputs!$C$5:$C$140=$B22)*Inputs!$D$5:$D$140*(((Inputs!$G$5:$G$140="moeda")+(Inputs!$G$5:$G$140="acoes"))*Inputs!$B$1+((Inputs!$G$5:$G$140&lt;&gt;"moeda")*(Inputs!$G$5:$G$140&lt;&gt;"acoes")))*INDEX(Inputs!$K$5:$AJ$140,0,MATCH(AD$2,Inputs!$K$4:$AJ$4,0)))+SUMPRODUCT((Inputs!$E$5:$E$140=$B22)*Inputs!$F$5:$F$140*(((Inputs!$G$5:$G$140="moeda")+(Inputs!$G$5:$G$140="acoes"))*Inputs!$B$1+((Inputs!$G$5:$G$140&lt;&gt;"moeda")*(Inputs!$G$5:$G$140&lt;&gt;"acoes")))*INDEX(Inputs!$K$5:$AJ$140,0,MATCH(AD$2,Inputs!$K$4:$AJ$4,0)))))</f>
        <v>14285</v>
      </c>
      <c r="AE22" s="6" t="e">
        <f>IF(ISNA(MATCH(AE$2,Inputs!$K$4:$AJ$4,0)),NA(),IF(SUMPRODUCT((Inputs!$A$5:$A$140=$B22)*ISNUMBER(INDEX(Inputs!$K$5:$AJ$140,0,MATCH(AE$2,Inputs!$K$4:$AJ$4,0))))+SUMPRODUCT((Inputs!$C$5:$C$140=$B22)*ISNUMBER(INDEX(Inputs!$K$5:$AJ$140,0,MATCH(AE$2,Inputs!$K$4:$AJ$4,0))))+SUMPRODUCT((Inputs!$E$5:$E$140=$B22)*ISNUMBER(INDEX(Inputs!$K$5:$AJ$140,0,MATCH(AE$2,Inputs!$K$4:$AJ$4,0))))=0,NA(),SUMPRODUCT((Inputs!$A$5:$A$140=$B22)*Inputs!$B$5:$B$140*(((Inputs!$G$5:$G$140="moeda")+(Inputs!$G$5:$G$140="acoes"))*Inputs!$B$1+((Inputs!$G$5:$G$140&lt;&gt;"moeda")*(Inputs!$G$5:$G$140&lt;&gt;"acoes")))*INDEX(Inputs!$K$5:$AJ$140,0,MATCH(AE$2,Inputs!$K$4:$AJ$4,0)))+SUMPRODUCT((Inputs!$C$5:$C$140=$B22)*Inputs!$D$5:$D$140*(((Inputs!$G$5:$G$140="moeda")+(Inputs!$G$5:$G$140="acoes"))*Inputs!$B$1+((Inputs!$G$5:$G$140&lt;&gt;"moeda")*(Inputs!$G$5:$G$140&lt;&gt;"acoes")))*INDEX(Inputs!$K$5:$AJ$140,0,MATCH(AE$2,Inputs!$K$4:$AJ$4,0)))+SUMPRODUCT((Inputs!$E$5:$E$140=$B22)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22" s="6" t="e">
        <f>IF(ISNA(MATCH(AF$2,Inputs!$K$4:$AJ$4,0)),NA(),IF(SUMPRODUCT((Inputs!$A$5:$A$140=$B22)*ISNUMBER(INDEX(Inputs!$K$5:$AJ$140,0,MATCH(AF$2,Inputs!$K$4:$AJ$4,0))))+SUMPRODUCT((Inputs!$C$5:$C$140=$B22)*ISNUMBER(INDEX(Inputs!$K$5:$AJ$140,0,MATCH(AF$2,Inputs!$K$4:$AJ$4,0))))+SUMPRODUCT((Inputs!$E$5:$E$140=$B22)*ISNUMBER(INDEX(Inputs!$K$5:$AJ$140,0,MATCH(AF$2,Inputs!$K$4:$AJ$4,0))))=0,NA(),SUMPRODUCT((Inputs!$A$5:$A$140=$B22)*Inputs!$B$5:$B$140*(((Inputs!$G$5:$G$140="moeda")+(Inputs!$G$5:$G$140="acoes"))*Inputs!$B$1+((Inputs!$G$5:$G$140&lt;&gt;"moeda")*(Inputs!$G$5:$G$140&lt;&gt;"acoes")))*INDEX(Inputs!$K$5:$AJ$140,0,MATCH(AF$2,Inputs!$K$4:$AJ$4,0)))+SUMPRODUCT((Inputs!$C$5:$C$140=$B22)*Inputs!$D$5:$D$140*(((Inputs!$G$5:$G$140="moeda")+(Inputs!$G$5:$G$140="acoes"))*Inputs!$B$1+((Inputs!$G$5:$G$140&lt;&gt;"moeda")*(Inputs!$G$5:$G$140&lt;&gt;"acoes")))*INDEX(Inputs!$K$5:$AJ$140,0,MATCH(AF$2,Inputs!$K$4:$AJ$4,0)))+SUMPRODUCT((Inputs!$E$5:$E$140=$B22)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22" s="3" t="e">
        <f>AF22</f>
        <v>#N/A</v>
      </c>
      <c r="AH22" s="6">
        <f>IF(ISNA(MATCH(AH$2,Inputs!$K$4:$AJ$4,0)),NA(),IF(SUMPRODUCT((Inputs!$A$5:$A$140=$B22)*ISNUMBER(INDEX(Inputs!$K$5:$AJ$140,0,MATCH(AH$2,Inputs!$K$4:$AJ$4,0))))+SUMPRODUCT((Inputs!$C$5:$C$140=$B22)*ISNUMBER(INDEX(Inputs!$K$5:$AJ$140,0,MATCH(AH$2,Inputs!$K$4:$AJ$4,0))))+SUMPRODUCT((Inputs!$E$5:$E$140=$B22)*ISNUMBER(INDEX(Inputs!$K$5:$AJ$140,0,MATCH(AH$2,Inputs!$K$4:$AJ$4,0))))=0,NA(),SUMPRODUCT((Inputs!$A$5:$A$140=$B22)*Inputs!$B$5:$B$140*(((Inputs!$G$5:$G$140="moeda")+(Inputs!$G$5:$G$140="acoes"))*Inputs!$B$1+((Inputs!$G$5:$G$140&lt;&gt;"moeda")*(Inputs!$G$5:$G$140&lt;&gt;"acoes")))*INDEX(Inputs!$K$5:$AJ$140,0,MATCH(AH$2,Inputs!$K$4:$AJ$4,0)))+SUMPRODUCT((Inputs!$C$5:$C$140=$B22)*Inputs!$D$5:$D$140*(((Inputs!$G$5:$G$140="moeda")+(Inputs!$G$5:$G$140="acoes"))*Inputs!$B$1+((Inputs!$G$5:$G$140&lt;&gt;"moeda")*(Inputs!$G$5:$G$140&lt;&gt;"acoes")))*INDEX(Inputs!$K$5:$AJ$140,0,MATCH(AH$2,Inputs!$K$4:$AJ$4,0)))+SUMPRODUCT((Inputs!$E$5:$E$140=$B22)*Inputs!$F$5:$F$140*(((Inputs!$G$5:$G$140="moeda")+(Inputs!$G$5:$G$140="acoes"))*Inputs!$B$1+((Inputs!$G$5:$G$140&lt;&gt;"moeda")*(Inputs!$G$5:$G$140&lt;&gt;"acoes")))*INDEX(Inputs!$K$5:$AJ$140,0,MATCH(AH$2,Inputs!$K$4:$AJ$4,0)))))</f>
        <v>1715</v>
      </c>
      <c r="AI22" s="6">
        <f>IF(ISNA(MATCH(AI$2,Inputs!$K$4:$AJ$4,0)),NA(),IF(SUMPRODUCT((Inputs!$A$5:$A$140=$B22)*ISNUMBER(INDEX(Inputs!$K$5:$AJ$140,0,MATCH(AI$2,Inputs!$K$4:$AJ$4,0))))+SUMPRODUCT((Inputs!$C$5:$C$140=$B22)*ISNUMBER(INDEX(Inputs!$K$5:$AJ$140,0,MATCH(AI$2,Inputs!$K$4:$AJ$4,0))))+SUMPRODUCT((Inputs!$E$5:$E$140=$B22)*ISNUMBER(INDEX(Inputs!$K$5:$AJ$140,0,MATCH(AI$2,Inputs!$K$4:$AJ$4,0))))=0,NA(),SUMPRODUCT((Inputs!$A$5:$A$140=$B22)*Inputs!$B$5:$B$140*(((Inputs!$G$5:$G$140="moeda")+(Inputs!$G$5:$G$140="acoes"))*Inputs!$B$1+((Inputs!$G$5:$G$140&lt;&gt;"moeda")*(Inputs!$G$5:$G$140&lt;&gt;"acoes")))*INDEX(Inputs!$K$5:$AJ$140,0,MATCH(AI$2,Inputs!$K$4:$AJ$4,0)))+SUMPRODUCT((Inputs!$C$5:$C$140=$B22)*Inputs!$D$5:$D$140*(((Inputs!$G$5:$G$140="moeda")+(Inputs!$G$5:$G$140="acoes"))*Inputs!$B$1+((Inputs!$G$5:$G$140&lt;&gt;"moeda")*(Inputs!$G$5:$G$140&lt;&gt;"acoes")))*INDEX(Inputs!$K$5:$AJ$140,0,MATCH(AI$2,Inputs!$K$4:$AJ$4,0)))+SUMPRODUCT((Inputs!$E$5:$E$140=$B22)*Inputs!$F$5:$F$140*(((Inputs!$G$5:$G$140="moeda")+(Inputs!$G$5:$G$140="acoes"))*Inputs!$B$1+((Inputs!$G$5:$G$140&lt;&gt;"moeda")*(Inputs!$G$5:$G$140&lt;&gt;"acoes")))*INDEX(Inputs!$K$5:$AJ$140,0,MATCH(AI$2,Inputs!$K$4:$AJ$4,0)))))</f>
        <v>1964</v>
      </c>
      <c r="AJ22" s="6">
        <f>IF(ISNA(MATCH(AJ$2,Inputs!$K$4:$AJ$4,0)),NA(),IF(SUMPRODUCT((Inputs!$A$5:$A$140=$B22)*ISNUMBER(INDEX(Inputs!$K$5:$AJ$140,0,MATCH(AJ$2,Inputs!$K$4:$AJ$4,0))))+SUMPRODUCT((Inputs!$C$5:$C$140=$B22)*ISNUMBER(INDEX(Inputs!$K$5:$AJ$140,0,MATCH(AJ$2,Inputs!$K$4:$AJ$4,0))))+SUMPRODUCT((Inputs!$E$5:$E$140=$B22)*ISNUMBER(INDEX(Inputs!$K$5:$AJ$140,0,MATCH(AJ$2,Inputs!$K$4:$AJ$4,0))))=0,NA(),SUMPRODUCT((Inputs!$A$5:$A$140=$B22)*Inputs!$B$5:$B$140*(((Inputs!$G$5:$G$140="moeda")+(Inputs!$G$5:$G$140="acoes"))*Inputs!$B$1+((Inputs!$G$5:$G$140&lt;&gt;"moeda")*(Inputs!$G$5:$G$140&lt;&gt;"acoes")))*INDEX(Inputs!$K$5:$AJ$140,0,MATCH(AJ$2,Inputs!$K$4:$AJ$4,0)))+SUMPRODUCT((Inputs!$C$5:$C$140=$B22)*Inputs!$D$5:$D$140*(((Inputs!$G$5:$G$140="moeda")+(Inputs!$G$5:$G$140="acoes"))*Inputs!$B$1+((Inputs!$G$5:$G$140&lt;&gt;"moeda")*(Inputs!$G$5:$G$140&lt;&gt;"acoes")))*INDEX(Inputs!$K$5:$AJ$140,0,MATCH(AJ$2,Inputs!$K$4:$AJ$4,0)))+SUMPRODUCT((Inputs!$E$5:$E$140=$B22)*Inputs!$F$5:$F$140*(((Inputs!$G$5:$G$140="moeda")+(Inputs!$G$5:$G$140="acoes"))*Inputs!$B$1+((Inputs!$G$5:$G$140&lt;&gt;"moeda")*(Inputs!$G$5:$G$140&lt;&gt;"acoes")))*INDEX(Inputs!$K$5:$AJ$140,0,MATCH(AJ$2,Inputs!$K$4:$AJ$4,0)))))</f>
        <v>2059</v>
      </c>
      <c r="AK22" s="6">
        <f>IF(ISNA(MATCH(AK$2,Inputs!$K$4:$AJ$4,0)),NA(),IF(SUMPRODUCT((Inputs!$A$5:$A$140=$B22)*ISNUMBER(INDEX(Inputs!$K$5:$AJ$140,0,MATCH(AK$2,Inputs!$K$4:$AJ$4,0))))+SUMPRODUCT((Inputs!$C$5:$C$140=$B22)*ISNUMBER(INDEX(Inputs!$K$5:$AJ$140,0,MATCH(AK$2,Inputs!$K$4:$AJ$4,0))))+SUMPRODUCT((Inputs!$E$5:$E$140=$B22)*ISNUMBER(INDEX(Inputs!$K$5:$AJ$140,0,MATCH(AK$2,Inputs!$K$4:$AJ$4,0))))=0,NA(),SUMPRODUCT((Inputs!$A$5:$A$140=$B22)*Inputs!$B$5:$B$140*(((Inputs!$G$5:$G$140="moeda")+(Inputs!$G$5:$G$140="acoes"))*Inputs!$B$1+((Inputs!$G$5:$G$140&lt;&gt;"moeda")*(Inputs!$G$5:$G$140&lt;&gt;"acoes")))*INDEX(Inputs!$K$5:$AJ$140,0,MATCH(AK$2,Inputs!$K$4:$AJ$4,0)))+SUMPRODUCT((Inputs!$C$5:$C$140=$B22)*Inputs!$D$5:$D$140*(((Inputs!$G$5:$G$140="moeda")+(Inputs!$G$5:$G$140="acoes"))*Inputs!$B$1+((Inputs!$G$5:$G$140&lt;&gt;"moeda")*(Inputs!$G$5:$G$140&lt;&gt;"acoes")))*INDEX(Inputs!$K$5:$AJ$140,0,MATCH(AK$2,Inputs!$K$4:$AJ$4,0)))+SUMPRODUCT((Inputs!$E$5:$E$140=$B22)*Inputs!$F$5:$F$140*(((Inputs!$G$5:$G$140="moeda")+(Inputs!$G$5:$G$140="acoes"))*Inputs!$B$1+((Inputs!$G$5:$G$140&lt;&gt;"moeda")*(Inputs!$G$5:$G$140&lt;&gt;"acoes")))*INDEX(Inputs!$K$5:$AJ$140,0,MATCH(AK$2,Inputs!$K$4:$AJ$4,0)))))</f>
        <v>2149</v>
      </c>
      <c r="AL22" s="3">
        <f>AK22</f>
        <v>2149</v>
      </c>
    </row>
    <row r="23">
      <c r="B23" s="46" t="n">
        <v>19</v>
      </c>
      <c r="C23" s="26" t="inlineStr">
        <is>
          <t>Right-of-use-assets</t>
        </is>
      </c>
      <c r="D23" s="6">
        <f>IF(ISNA(MATCH(D$2,Inputs!$K$4:$AJ$4,0)),NA(),IF(SUMPRODUCT((Inputs!$A$5:$A$140=$B23)*ISNUMBER(INDEX(Inputs!$K$5:$AJ$140,0,MATCH(D$2,Inputs!$K$4:$AJ$4,0))))+SUMPRODUCT((Inputs!$C$5:$C$140=$B23)*ISNUMBER(INDEX(Inputs!$K$5:$AJ$140,0,MATCH(D$2,Inputs!$K$4:$AJ$4,0))))+SUMPRODUCT((Inputs!$E$5:$E$140=$B23)*ISNUMBER(INDEX(Inputs!$K$5:$AJ$140,0,MATCH(D$2,Inputs!$K$4:$AJ$4,0))))=0,NA(),SUMPRODUCT((Inputs!$A$5:$A$140=$B23)*Inputs!$B$5:$B$140*(((Inputs!$G$5:$G$140="moeda")+(Inputs!$G$5:$G$140="acoes"))*Inputs!$B$1+((Inputs!$G$5:$G$140&lt;&gt;"moeda")*(Inputs!$G$5:$G$140&lt;&gt;"acoes")))*INDEX(Inputs!$K$5:$AJ$140,0,MATCH(D$2,Inputs!$K$4:$AJ$4,0)))+SUMPRODUCT((Inputs!$C$5:$C$140=$B23)*Inputs!$D$5:$D$140*(((Inputs!$G$5:$G$140="moeda")+(Inputs!$G$5:$G$140="acoes"))*Inputs!$B$1+((Inputs!$G$5:$G$140&lt;&gt;"moeda")*(Inputs!$G$5:$G$140&lt;&gt;"acoes")))*INDEX(Inputs!$K$5:$AJ$140,0,MATCH(D$2,Inputs!$K$4:$AJ$4,0)))+SUMPRODUCT((Inputs!$E$5:$E$140=$B23)*Inputs!$F$5:$F$140*(((Inputs!$G$5:$G$140="moeda")+(Inputs!$G$5:$G$140="acoes"))*Inputs!$B$1+((Inputs!$G$5:$G$140&lt;&gt;"moeda")*(Inputs!$G$5:$G$140&lt;&gt;"acoes")))*INDEX(Inputs!$K$5:$AJ$140,0,MATCH(D$2,Inputs!$K$4:$AJ$4,0)))))</f>
        <v>727</v>
      </c>
      <c r="E23" s="6">
        <f>IF(ISNA(MATCH(E$2,Inputs!$K$4:$AJ$4,0)),NA(),IF(SUMPRODUCT((Inputs!$A$5:$A$140=$B23)*ISNUMBER(INDEX(Inputs!$K$5:$AJ$140,0,MATCH(E$2,Inputs!$K$4:$AJ$4,0))))+SUMPRODUCT((Inputs!$C$5:$C$140=$B23)*ISNUMBER(INDEX(Inputs!$K$5:$AJ$140,0,MATCH(E$2,Inputs!$K$4:$AJ$4,0))))+SUMPRODUCT((Inputs!$E$5:$E$140=$B23)*ISNUMBER(INDEX(Inputs!$K$5:$AJ$140,0,MATCH(E$2,Inputs!$K$4:$AJ$4,0))))=0,NA(),SUMPRODUCT((Inputs!$A$5:$A$140=$B23)*Inputs!$B$5:$B$140*(((Inputs!$G$5:$G$140="moeda")+(Inputs!$G$5:$G$140="acoes"))*Inputs!$B$1+((Inputs!$G$5:$G$140&lt;&gt;"moeda")*(Inputs!$G$5:$G$140&lt;&gt;"acoes")))*INDEX(Inputs!$K$5:$AJ$140,0,MATCH(E$2,Inputs!$K$4:$AJ$4,0)))+SUMPRODUCT((Inputs!$C$5:$C$140=$B23)*Inputs!$D$5:$D$140*(((Inputs!$G$5:$G$140="moeda")+(Inputs!$G$5:$G$140="acoes"))*Inputs!$B$1+((Inputs!$G$5:$G$140&lt;&gt;"moeda")*(Inputs!$G$5:$G$140&lt;&gt;"acoes")))*INDEX(Inputs!$K$5:$AJ$140,0,MATCH(E$2,Inputs!$K$4:$AJ$4,0)))+SUMPRODUCT((Inputs!$E$5:$E$140=$B23)*Inputs!$F$5:$F$140*(((Inputs!$G$5:$G$140="moeda")+(Inputs!$G$5:$G$140="acoes"))*Inputs!$B$1+((Inputs!$G$5:$G$140&lt;&gt;"moeda")*(Inputs!$G$5:$G$140&lt;&gt;"acoes")))*INDEX(Inputs!$K$5:$AJ$140,0,MATCH(E$2,Inputs!$K$4:$AJ$4,0)))))</f>
        <v>801</v>
      </c>
      <c r="F23" s="6">
        <f>IF(ISNA(MATCH(F$2,Inputs!$K$4:$AJ$4,0)),NA(),IF(SUMPRODUCT((Inputs!$A$5:$A$140=$B23)*ISNUMBER(INDEX(Inputs!$K$5:$AJ$140,0,MATCH(F$2,Inputs!$K$4:$AJ$4,0))))+SUMPRODUCT((Inputs!$C$5:$C$140=$B23)*ISNUMBER(INDEX(Inputs!$K$5:$AJ$140,0,MATCH(F$2,Inputs!$K$4:$AJ$4,0))))+SUMPRODUCT((Inputs!$E$5:$E$140=$B23)*ISNUMBER(INDEX(Inputs!$K$5:$AJ$140,0,MATCH(F$2,Inputs!$K$4:$AJ$4,0))))=0,NA(),SUMPRODUCT((Inputs!$A$5:$A$140=$B23)*Inputs!$B$5:$B$140*(((Inputs!$G$5:$G$140="moeda")+(Inputs!$G$5:$G$140="acoes"))*Inputs!$B$1+((Inputs!$G$5:$G$140&lt;&gt;"moeda")*(Inputs!$G$5:$G$140&lt;&gt;"acoes")))*INDEX(Inputs!$K$5:$AJ$140,0,MATCH(F$2,Inputs!$K$4:$AJ$4,0)))+SUMPRODUCT((Inputs!$C$5:$C$140=$B23)*Inputs!$D$5:$D$140*(((Inputs!$G$5:$G$140="moeda")+(Inputs!$G$5:$G$140="acoes"))*Inputs!$B$1+((Inputs!$G$5:$G$140&lt;&gt;"moeda")*(Inputs!$G$5:$G$140&lt;&gt;"acoes")))*INDEX(Inputs!$K$5:$AJ$140,0,MATCH(F$2,Inputs!$K$4:$AJ$4,0)))+SUMPRODUCT((Inputs!$E$5:$E$140=$B23)*Inputs!$F$5:$F$140*(((Inputs!$G$5:$G$140="moeda")+(Inputs!$G$5:$G$140="acoes"))*Inputs!$B$1+((Inputs!$G$5:$G$140&lt;&gt;"moeda")*(Inputs!$G$5:$G$140&lt;&gt;"acoes")))*INDEX(Inputs!$K$5:$AJ$140,0,MATCH(F$2,Inputs!$K$4:$AJ$4,0)))))</f>
        <v>830</v>
      </c>
      <c r="G23" s="6">
        <f>IF(ISNA(MATCH(G$2,Inputs!$K$4:$AJ$4,0)),NA(),IF(SUMPRODUCT((Inputs!$A$5:$A$140=$B23)*ISNUMBER(INDEX(Inputs!$K$5:$AJ$140,0,MATCH(G$2,Inputs!$K$4:$AJ$4,0))))+SUMPRODUCT((Inputs!$C$5:$C$140=$B23)*ISNUMBER(INDEX(Inputs!$K$5:$AJ$140,0,MATCH(G$2,Inputs!$K$4:$AJ$4,0))))+SUMPRODUCT((Inputs!$E$5:$E$140=$B23)*ISNUMBER(INDEX(Inputs!$K$5:$AJ$140,0,MATCH(G$2,Inputs!$K$4:$AJ$4,0))))=0,NA(),SUMPRODUCT((Inputs!$A$5:$A$140=$B23)*Inputs!$B$5:$B$140*(((Inputs!$G$5:$G$140="moeda")+(Inputs!$G$5:$G$140="acoes"))*Inputs!$B$1+((Inputs!$G$5:$G$140&lt;&gt;"moeda")*(Inputs!$G$5:$G$140&lt;&gt;"acoes")))*INDEX(Inputs!$K$5:$AJ$140,0,MATCH(G$2,Inputs!$K$4:$AJ$4,0)))+SUMPRODUCT((Inputs!$C$5:$C$140=$B23)*Inputs!$D$5:$D$140*(((Inputs!$G$5:$G$140="moeda")+(Inputs!$G$5:$G$140="acoes"))*Inputs!$B$1+((Inputs!$G$5:$G$140&lt;&gt;"moeda")*(Inputs!$G$5:$G$140&lt;&gt;"acoes")))*INDEX(Inputs!$K$5:$AJ$140,0,MATCH(G$2,Inputs!$K$4:$AJ$4,0)))+SUMPRODUCT((Inputs!$E$5:$E$140=$B23)*Inputs!$F$5:$F$140*(((Inputs!$G$5:$G$140="moeda")+(Inputs!$G$5:$G$140="acoes"))*Inputs!$B$1+((Inputs!$G$5:$G$140&lt;&gt;"moeda")*(Inputs!$G$5:$G$140&lt;&gt;"acoes")))*INDEX(Inputs!$K$5:$AJ$140,0,MATCH(G$2,Inputs!$K$4:$AJ$4,0)))))</f>
        <v>829</v>
      </c>
      <c r="H23" s="3">
        <f>G23</f>
        <v>829</v>
      </c>
      <c r="I23" s="6">
        <f>IF(ISNA(MATCH(I$2,Inputs!$K$4:$AJ$4,0)),NA(),IF(SUMPRODUCT((Inputs!$A$5:$A$140=$B23)*ISNUMBER(INDEX(Inputs!$K$5:$AJ$140,0,MATCH(I$2,Inputs!$K$4:$AJ$4,0))))+SUMPRODUCT((Inputs!$C$5:$C$140=$B23)*ISNUMBER(INDEX(Inputs!$K$5:$AJ$140,0,MATCH(I$2,Inputs!$K$4:$AJ$4,0))))+SUMPRODUCT((Inputs!$E$5:$E$140=$B23)*ISNUMBER(INDEX(Inputs!$K$5:$AJ$140,0,MATCH(I$2,Inputs!$K$4:$AJ$4,0))))=0,NA(),SUMPRODUCT((Inputs!$A$5:$A$140=$B23)*Inputs!$B$5:$B$140*(((Inputs!$G$5:$G$140="moeda")+(Inputs!$G$5:$G$140="acoes"))*Inputs!$B$1+((Inputs!$G$5:$G$140&lt;&gt;"moeda")*(Inputs!$G$5:$G$140&lt;&gt;"acoes")))*INDEX(Inputs!$K$5:$AJ$140,0,MATCH(I$2,Inputs!$K$4:$AJ$4,0)))+SUMPRODUCT((Inputs!$C$5:$C$140=$B23)*Inputs!$D$5:$D$140*(((Inputs!$G$5:$G$140="moeda")+(Inputs!$G$5:$G$140="acoes"))*Inputs!$B$1+((Inputs!$G$5:$G$140&lt;&gt;"moeda")*(Inputs!$G$5:$G$140&lt;&gt;"acoes")))*INDEX(Inputs!$K$5:$AJ$140,0,MATCH(I$2,Inputs!$K$4:$AJ$4,0)))+SUMPRODUCT((Inputs!$E$5:$E$140=$B23)*Inputs!$F$5:$F$140*(((Inputs!$G$5:$G$140="moeda")+(Inputs!$G$5:$G$140="acoes"))*Inputs!$B$1+((Inputs!$G$5:$G$140&lt;&gt;"moeda")*(Inputs!$G$5:$G$140&lt;&gt;"acoes")))*INDEX(Inputs!$K$5:$AJ$140,0,MATCH(I$2,Inputs!$K$4:$AJ$4,0)))))</f>
        <v>856</v>
      </c>
      <c r="J23" s="6">
        <f>IF(ISNA(MATCH(J$2,Inputs!$K$4:$AJ$4,0)),NA(),IF(SUMPRODUCT((Inputs!$A$5:$A$140=$B23)*ISNUMBER(INDEX(Inputs!$K$5:$AJ$140,0,MATCH(J$2,Inputs!$K$4:$AJ$4,0))))+SUMPRODUCT((Inputs!$C$5:$C$140=$B23)*ISNUMBER(INDEX(Inputs!$K$5:$AJ$140,0,MATCH(J$2,Inputs!$K$4:$AJ$4,0))))+SUMPRODUCT((Inputs!$E$5:$E$140=$B23)*ISNUMBER(INDEX(Inputs!$K$5:$AJ$140,0,MATCH(J$2,Inputs!$K$4:$AJ$4,0))))=0,NA(),SUMPRODUCT((Inputs!$A$5:$A$140=$B23)*Inputs!$B$5:$B$140*(((Inputs!$G$5:$G$140="moeda")+(Inputs!$G$5:$G$140="acoes"))*Inputs!$B$1+((Inputs!$G$5:$G$140&lt;&gt;"moeda")*(Inputs!$G$5:$G$140&lt;&gt;"acoes")))*INDEX(Inputs!$K$5:$AJ$140,0,MATCH(J$2,Inputs!$K$4:$AJ$4,0)))+SUMPRODUCT((Inputs!$C$5:$C$140=$B23)*Inputs!$D$5:$D$140*(((Inputs!$G$5:$G$140="moeda")+(Inputs!$G$5:$G$140="acoes"))*Inputs!$B$1+((Inputs!$G$5:$G$140&lt;&gt;"moeda")*(Inputs!$G$5:$G$140&lt;&gt;"acoes")))*INDEX(Inputs!$K$5:$AJ$140,0,MATCH(J$2,Inputs!$K$4:$AJ$4,0)))+SUMPRODUCT((Inputs!$E$5:$E$140=$B23)*Inputs!$F$5:$F$140*(((Inputs!$G$5:$G$140="moeda")+(Inputs!$G$5:$G$140="acoes"))*Inputs!$B$1+((Inputs!$G$5:$G$140&lt;&gt;"moeda")*(Inputs!$G$5:$G$140&lt;&gt;"acoes")))*INDEX(Inputs!$K$5:$AJ$140,0,MATCH(J$2,Inputs!$K$4:$AJ$4,0)))))</f>
        <v>852</v>
      </c>
      <c r="K23" s="6">
        <f>IF(ISNA(MATCH(K$2,Inputs!$K$4:$AJ$4,0)),NA(),IF(SUMPRODUCT((Inputs!$A$5:$A$140=$B23)*ISNUMBER(INDEX(Inputs!$K$5:$AJ$140,0,MATCH(K$2,Inputs!$K$4:$AJ$4,0))))+SUMPRODUCT((Inputs!$C$5:$C$140=$B23)*ISNUMBER(INDEX(Inputs!$K$5:$AJ$140,0,MATCH(K$2,Inputs!$K$4:$AJ$4,0))))+SUMPRODUCT((Inputs!$E$5:$E$140=$B23)*ISNUMBER(INDEX(Inputs!$K$5:$AJ$140,0,MATCH(K$2,Inputs!$K$4:$AJ$4,0))))=0,NA(),SUMPRODUCT((Inputs!$A$5:$A$140=$B23)*Inputs!$B$5:$B$140*(((Inputs!$G$5:$G$140="moeda")+(Inputs!$G$5:$G$140="acoes"))*Inputs!$B$1+((Inputs!$G$5:$G$140&lt;&gt;"moeda")*(Inputs!$G$5:$G$140&lt;&gt;"acoes")))*INDEX(Inputs!$K$5:$AJ$140,0,MATCH(K$2,Inputs!$K$4:$AJ$4,0)))+SUMPRODUCT((Inputs!$C$5:$C$140=$B23)*Inputs!$D$5:$D$140*(((Inputs!$G$5:$G$140="moeda")+(Inputs!$G$5:$G$140="acoes"))*Inputs!$B$1+((Inputs!$G$5:$G$140&lt;&gt;"moeda")*(Inputs!$G$5:$G$140&lt;&gt;"acoes")))*INDEX(Inputs!$K$5:$AJ$140,0,MATCH(K$2,Inputs!$K$4:$AJ$4,0)))+SUMPRODUCT((Inputs!$E$5:$E$140=$B23)*Inputs!$F$5:$F$140*(((Inputs!$G$5:$G$140="moeda")+(Inputs!$G$5:$G$140="acoes"))*Inputs!$B$1+((Inputs!$G$5:$G$140&lt;&gt;"moeda")*(Inputs!$G$5:$G$140&lt;&gt;"acoes")))*INDEX(Inputs!$K$5:$AJ$140,0,MATCH(K$2,Inputs!$K$4:$AJ$4,0)))))</f>
        <v>927</v>
      </c>
      <c r="L23" s="6">
        <f>IF(ISNA(MATCH(L$2,Inputs!$K$4:$AJ$4,0)),NA(),IF(SUMPRODUCT((Inputs!$A$5:$A$140=$B23)*ISNUMBER(INDEX(Inputs!$K$5:$AJ$140,0,MATCH(L$2,Inputs!$K$4:$AJ$4,0))))+SUMPRODUCT((Inputs!$C$5:$C$140=$B23)*ISNUMBER(INDEX(Inputs!$K$5:$AJ$140,0,MATCH(L$2,Inputs!$K$4:$AJ$4,0))))+SUMPRODUCT((Inputs!$E$5:$E$140=$B23)*ISNUMBER(INDEX(Inputs!$K$5:$AJ$140,0,MATCH(L$2,Inputs!$K$4:$AJ$4,0))))=0,NA(),SUMPRODUCT((Inputs!$A$5:$A$140=$B23)*Inputs!$B$5:$B$140*(((Inputs!$G$5:$G$140="moeda")+(Inputs!$G$5:$G$140="acoes"))*Inputs!$B$1+((Inputs!$G$5:$G$140&lt;&gt;"moeda")*(Inputs!$G$5:$G$140&lt;&gt;"acoes")))*INDEX(Inputs!$K$5:$AJ$140,0,MATCH(L$2,Inputs!$K$4:$AJ$4,0)))+SUMPRODUCT((Inputs!$C$5:$C$140=$B23)*Inputs!$D$5:$D$140*(((Inputs!$G$5:$G$140="moeda")+(Inputs!$G$5:$G$140="acoes"))*Inputs!$B$1+((Inputs!$G$5:$G$140&lt;&gt;"moeda")*(Inputs!$G$5:$G$140&lt;&gt;"acoes")))*INDEX(Inputs!$K$5:$AJ$140,0,MATCH(L$2,Inputs!$K$4:$AJ$4,0)))+SUMPRODUCT((Inputs!$E$5:$E$140=$B23)*Inputs!$F$5:$F$140*(((Inputs!$G$5:$G$140="moeda")+(Inputs!$G$5:$G$140="acoes"))*Inputs!$B$1+((Inputs!$G$5:$G$140&lt;&gt;"moeda")*(Inputs!$G$5:$G$140&lt;&gt;"acoes")))*INDEX(Inputs!$K$5:$AJ$140,0,MATCH(L$2,Inputs!$K$4:$AJ$4,0)))))</f>
        <v>1038</v>
      </c>
      <c r="M23" s="3">
        <f>L23</f>
        <v>1038</v>
      </c>
      <c r="N23" s="6">
        <f>IF(ISNA(MATCH(N$2,Inputs!$K$4:$AJ$4,0)),NA(),IF(SUMPRODUCT((Inputs!$A$5:$A$140=$B23)*ISNUMBER(INDEX(Inputs!$K$5:$AJ$140,0,MATCH(N$2,Inputs!$K$4:$AJ$4,0))))+SUMPRODUCT((Inputs!$C$5:$C$140=$B23)*ISNUMBER(INDEX(Inputs!$K$5:$AJ$140,0,MATCH(N$2,Inputs!$K$4:$AJ$4,0))))+SUMPRODUCT((Inputs!$E$5:$E$140=$B23)*ISNUMBER(INDEX(Inputs!$K$5:$AJ$140,0,MATCH(N$2,Inputs!$K$4:$AJ$4,0))))=0,NA(),SUMPRODUCT((Inputs!$A$5:$A$140=$B23)*Inputs!$B$5:$B$140*(((Inputs!$G$5:$G$140="moeda")+(Inputs!$G$5:$G$140="acoes"))*Inputs!$B$1+((Inputs!$G$5:$G$140&lt;&gt;"moeda")*(Inputs!$G$5:$G$140&lt;&gt;"acoes")))*INDEX(Inputs!$K$5:$AJ$140,0,MATCH(N$2,Inputs!$K$4:$AJ$4,0)))+SUMPRODUCT((Inputs!$C$5:$C$140=$B23)*Inputs!$D$5:$D$140*(((Inputs!$G$5:$G$140="moeda")+(Inputs!$G$5:$G$140="acoes"))*Inputs!$B$1+((Inputs!$G$5:$G$140&lt;&gt;"moeda")*(Inputs!$G$5:$G$140&lt;&gt;"acoes")))*INDEX(Inputs!$K$5:$AJ$140,0,MATCH(N$2,Inputs!$K$4:$AJ$4,0)))+SUMPRODUCT((Inputs!$E$5:$E$140=$B23)*Inputs!$F$5:$F$140*(((Inputs!$G$5:$G$140="moeda")+(Inputs!$G$5:$G$140="acoes"))*Inputs!$B$1+((Inputs!$G$5:$G$140&lt;&gt;"moeda")*(Inputs!$G$5:$G$140&lt;&gt;"acoes")))*INDEX(Inputs!$K$5:$AJ$140,0,MATCH(N$2,Inputs!$K$4:$AJ$4,0)))))</f>
        <v>1094</v>
      </c>
      <c r="O23" s="6">
        <f>IF(ISNA(MATCH(O$2,Inputs!$K$4:$AJ$4,0)),NA(),IF(SUMPRODUCT((Inputs!$A$5:$A$140=$B23)*ISNUMBER(INDEX(Inputs!$K$5:$AJ$140,0,MATCH(O$2,Inputs!$K$4:$AJ$4,0))))+SUMPRODUCT((Inputs!$C$5:$C$140=$B23)*ISNUMBER(INDEX(Inputs!$K$5:$AJ$140,0,MATCH(O$2,Inputs!$K$4:$AJ$4,0))))+SUMPRODUCT((Inputs!$E$5:$E$140=$B23)*ISNUMBER(INDEX(Inputs!$K$5:$AJ$140,0,MATCH(O$2,Inputs!$K$4:$AJ$4,0))))=0,NA(),SUMPRODUCT((Inputs!$A$5:$A$140=$B23)*Inputs!$B$5:$B$140*(((Inputs!$G$5:$G$140="moeda")+(Inputs!$G$5:$G$140="acoes"))*Inputs!$B$1+((Inputs!$G$5:$G$140&lt;&gt;"moeda")*(Inputs!$G$5:$G$140&lt;&gt;"acoes")))*INDEX(Inputs!$K$5:$AJ$140,0,MATCH(O$2,Inputs!$K$4:$AJ$4,0)))+SUMPRODUCT((Inputs!$C$5:$C$140=$B23)*Inputs!$D$5:$D$140*(((Inputs!$G$5:$G$140="moeda")+(Inputs!$G$5:$G$140="acoes"))*Inputs!$B$1+((Inputs!$G$5:$G$140&lt;&gt;"moeda")*(Inputs!$G$5:$G$140&lt;&gt;"acoes")))*INDEX(Inputs!$K$5:$AJ$140,0,MATCH(O$2,Inputs!$K$4:$AJ$4,0)))+SUMPRODUCT((Inputs!$E$5:$E$140=$B23)*Inputs!$F$5:$F$140*(((Inputs!$G$5:$G$140="moeda")+(Inputs!$G$5:$G$140="acoes"))*Inputs!$B$1+((Inputs!$G$5:$G$140&lt;&gt;"moeda")*(Inputs!$G$5:$G$140&lt;&gt;"acoes")))*INDEX(Inputs!$K$5:$AJ$140,0,MATCH(O$2,Inputs!$K$4:$AJ$4,0)))))</f>
        <v>1235</v>
      </c>
      <c r="P23" s="6">
        <f>IF(ISNA(MATCH(P$2,Inputs!$K$4:$AJ$4,0)),NA(),IF(SUMPRODUCT((Inputs!$A$5:$A$140=$B23)*ISNUMBER(INDEX(Inputs!$K$5:$AJ$140,0,MATCH(P$2,Inputs!$K$4:$AJ$4,0))))+SUMPRODUCT((Inputs!$C$5:$C$140=$B23)*ISNUMBER(INDEX(Inputs!$K$5:$AJ$140,0,MATCH(P$2,Inputs!$K$4:$AJ$4,0))))+SUMPRODUCT((Inputs!$E$5:$E$140=$B23)*ISNUMBER(INDEX(Inputs!$K$5:$AJ$140,0,MATCH(P$2,Inputs!$K$4:$AJ$4,0))))=0,NA(),SUMPRODUCT((Inputs!$A$5:$A$140=$B23)*Inputs!$B$5:$B$140*(((Inputs!$G$5:$G$140="moeda")+(Inputs!$G$5:$G$140="acoes"))*Inputs!$B$1+((Inputs!$G$5:$G$140&lt;&gt;"moeda")*(Inputs!$G$5:$G$140&lt;&gt;"acoes")))*INDEX(Inputs!$K$5:$AJ$140,0,MATCH(P$2,Inputs!$K$4:$AJ$4,0)))+SUMPRODUCT((Inputs!$C$5:$C$140=$B23)*Inputs!$D$5:$D$140*(((Inputs!$G$5:$G$140="moeda")+(Inputs!$G$5:$G$140="acoes"))*Inputs!$B$1+((Inputs!$G$5:$G$140&lt;&gt;"moeda")*(Inputs!$G$5:$G$140&lt;&gt;"acoes")))*INDEX(Inputs!$K$5:$AJ$140,0,MATCH(P$2,Inputs!$K$4:$AJ$4,0)))+SUMPRODUCT((Inputs!$E$5:$E$140=$B23)*Inputs!$F$5:$F$140*(((Inputs!$G$5:$G$140="moeda")+(Inputs!$G$5:$G$140="acoes"))*Inputs!$B$1+((Inputs!$G$5:$G$140&lt;&gt;"moeda")*(Inputs!$G$5:$G$140&lt;&gt;"acoes")))*INDEX(Inputs!$K$5:$AJ$140,0,MATCH(P$2,Inputs!$K$4:$AJ$4,0)))))</f>
        <v>1316</v>
      </c>
      <c r="Q23" s="6">
        <f>IF(ISNA(MATCH(Q$2,Inputs!$K$4:$AJ$4,0)),NA(),IF(SUMPRODUCT((Inputs!$A$5:$A$140=$B23)*ISNUMBER(INDEX(Inputs!$K$5:$AJ$140,0,MATCH(Q$2,Inputs!$K$4:$AJ$4,0))))+SUMPRODUCT((Inputs!$C$5:$C$140=$B23)*ISNUMBER(INDEX(Inputs!$K$5:$AJ$140,0,MATCH(Q$2,Inputs!$K$4:$AJ$4,0))))+SUMPRODUCT((Inputs!$E$5:$E$140=$B23)*ISNUMBER(INDEX(Inputs!$K$5:$AJ$140,0,MATCH(Q$2,Inputs!$K$4:$AJ$4,0))))=0,NA(),SUMPRODUCT((Inputs!$A$5:$A$140=$B23)*Inputs!$B$5:$B$140*(((Inputs!$G$5:$G$140="moeda")+(Inputs!$G$5:$G$140="acoes"))*Inputs!$B$1+((Inputs!$G$5:$G$140&lt;&gt;"moeda")*(Inputs!$G$5:$G$140&lt;&gt;"acoes")))*INDEX(Inputs!$K$5:$AJ$140,0,MATCH(Q$2,Inputs!$K$4:$AJ$4,0)))+SUMPRODUCT((Inputs!$C$5:$C$140=$B23)*Inputs!$D$5:$D$140*(((Inputs!$G$5:$G$140="moeda")+(Inputs!$G$5:$G$140="acoes"))*Inputs!$B$1+((Inputs!$G$5:$G$140&lt;&gt;"moeda")*(Inputs!$G$5:$G$140&lt;&gt;"acoes")))*INDEX(Inputs!$K$5:$AJ$140,0,MATCH(Q$2,Inputs!$K$4:$AJ$4,0)))+SUMPRODUCT((Inputs!$E$5:$E$140=$B23)*Inputs!$F$5:$F$140*(((Inputs!$G$5:$G$140="moeda")+(Inputs!$G$5:$G$140="acoes"))*Inputs!$B$1+((Inputs!$G$5:$G$140&lt;&gt;"moeda")*(Inputs!$G$5:$G$140&lt;&gt;"acoes")))*INDEX(Inputs!$K$5:$AJ$140,0,MATCH(Q$2,Inputs!$K$4:$AJ$4,0)))))</f>
        <v>1346</v>
      </c>
      <c r="R23" s="3">
        <f>Q23</f>
        <v>1346</v>
      </c>
      <c r="S23" s="6">
        <f>IF(ISNA(MATCH(S$2,Inputs!$K$4:$AJ$4,0)),NA(),IF(SUMPRODUCT((Inputs!$A$5:$A$140=$B23)*ISNUMBER(INDEX(Inputs!$K$5:$AJ$140,0,MATCH(S$2,Inputs!$K$4:$AJ$4,0))))+SUMPRODUCT((Inputs!$C$5:$C$140=$B23)*ISNUMBER(INDEX(Inputs!$K$5:$AJ$140,0,MATCH(S$2,Inputs!$K$4:$AJ$4,0))))+SUMPRODUCT((Inputs!$E$5:$E$140=$B23)*ISNUMBER(INDEX(Inputs!$K$5:$AJ$140,0,MATCH(S$2,Inputs!$K$4:$AJ$4,0))))=0,NA(),SUMPRODUCT((Inputs!$A$5:$A$140=$B23)*Inputs!$B$5:$B$140*(((Inputs!$G$5:$G$140="moeda")+(Inputs!$G$5:$G$140="acoes"))*Inputs!$B$1+((Inputs!$G$5:$G$140&lt;&gt;"moeda")*(Inputs!$G$5:$G$140&lt;&gt;"acoes")))*INDEX(Inputs!$K$5:$AJ$140,0,MATCH(S$2,Inputs!$K$4:$AJ$4,0)))+SUMPRODUCT((Inputs!$C$5:$C$140=$B23)*Inputs!$D$5:$D$140*(((Inputs!$G$5:$G$140="moeda")+(Inputs!$G$5:$G$140="acoes"))*Inputs!$B$1+((Inputs!$G$5:$G$140&lt;&gt;"moeda")*(Inputs!$G$5:$G$140&lt;&gt;"acoes")))*INDEX(Inputs!$K$5:$AJ$140,0,MATCH(S$2,Inputs!$K$4:$AJ$4,0)))+SUMPRODUCT((Inputs!$E$5:$E$140=$B23)*Inputs!$F$5:$F$140*(((Inputs!$G$5:$G$140="moeda")+(Inputs!$G$5:$G$140="acoes"))*Inputs!$B$1+((Inputs!$G$5:$G$140&lt;&gt;"moeda")*(Inputs!$G$5:$G$140&lt;&gt;"acoes")))*INDEX(Inputs!$K$5:$AJ$140,0,MATCH(S$2,Inputs!$K$4:$AJ$4,0)))))</f>
        <v>1532</v>
      </c>
      <c r="T23" s="6">
        <f>IF(ISNA(MATCH(T$2,Inputs!$K$4:$AJ$4,0)),NA(),IF(SUMPRODUCT((Inputs!$A$5:$A$140=$B23)*ISNUMBER(INDEX(Inputs!$K$5:$AJ$140,0,MATCH(T$2,Inputs!$K$4:$AJ$4,0))))+SUMPRODUCT((Inputs!$C$5:$C$140=$B23)*ISNUMBER(INDEX(Inputs!$K$5:$AJ$140,0,MATCH(T$2,Inputs!$K$4:$AJ$4,0))))+SUMPRODUCT((Inputs!$E$5:$E$140=$B23)*ISNUMBER(INDEX(Inputs!$K$5:$AJ$140,0,MATCH(T$2,Inputs!$K$4:$AJ$4,0))))=0,NA(),SUMPRODUCT((Inputs!$A$5:$A$140=$B23)*Inputs!$B$5:$B$140*(((Inputs!$G$5:$G$140="moeda")+(Inputs!$G$5:$G$140="acoes"))*Inputs!$B$1+((Inputs!$G$5:$G$140&lt;&gt;"moeda")*(Inputs!$G$5:$G$140&lt;&gt;"acoes")))*INDEX(Inputs!$K$5:$AJ$140,0,MATCH(T$2,Inputs!$K$4:$AJ$4,0)))+SUMPRODUCT((Inputs!$C$5:$C$140=$B23)*Inputs!$D$5:$D$140*(((Inputs!$G$5:$G$140="moeda")+(Inputs!$G$5:$G$140="acoes"))*Inputs!$B$1+((Inputs!$G$5:$G$140&lt;&gt;"moeda")*(Inputs!$G$5:$G$140&lt;&gt;"acoes")))*INDEX(Inputs!$K$5:$AJ$140,0,MATCH(T$2,Inputs!$K$4:$AJ$4,0)))+SUMPRODUCT((Inputs!$E$5:$E$140=$B23)*Inputs!$F$5:$F$140*(((Inputs!$G$5:$G$140="moeda")+(Inputs!$G$5:$G$140="acoes"))*Inputs!$B$1+((Inputs!$G$5:$G$140&lt;&gt;"moeda")*(Inputs!$G$5:$G$140&lt;&gt;"acoes")))*INDEX(Inputs!$K$5:$AJ$140,0,MATCH(T$2,Inputs!$K$4:$AJ$4,0)))))</f>
        <v>1556</v>
      </c>
      <c r="U23" s="6">
        <f>IF(ISNA(MATCH(U$2,Inputs!$K$4:$AJ$4,0)),NA(),IF(SUMPRODUCT((Inputs!$A$5:$A$140=$B23)*ISNUMBER(INDEX(Inputs!$K$5:$AJ$140,0,MATCH(U$2,Inputs!$K$4:$AJ$4,0))))+SUMPRODUCT((Inputs!$C$5:$C$140=$B23)*ISNUMBER(INDEX(Inputs!$K$5:$AJ$140,0,MATCH(U$2,Inputs!$K$4:$AJ$4,0))))+SUMPRODUCT((Inputs!$E$5:$E$140=$B23)*ISNUMBER(INDEX(Inputs!$K$5:$AJ$140,0,MATCH(U$2,Inputs!$K$4:$AJ$4,0))))=0,NA(),SUMPRODUCT((Inputs!$A$5:$A$140=$B23)*Inputs!$B$5:$B$140*(((Inputs!$G$5:$G$140="moeda")+(Inputs!$G$5:$G$140="acoes"))*Inputs!$B$1+((Inputs!$G$5:$G$140&lt;&gt;"moeda")*(Inputs!$G$5:$G$140&lt;&gt;"acoes")))*INDEX(Inputs!$K$5:$AJ$140,0,MATCH(U$2,Inputs!$K$4:$AJ$4,0)))+SUMPRODUCT((Inputs!$C$5:$C$140=$B23)*Inputs!$D$5:$D$140*(((Inputs!$G$5:$G$140="moeda")+(Inputs!$G$5:$G$140="acoes"))*Inputs!$B$1+((Inputs!$G$5:$G$140&lt;&gt;"moeda")*(Inputs!$G$5:$G$140&lt;&gt;"acoes")))*INDEX(Inputs!$K$5:$AJ$140,0,MATCH(U$2,Inputs!$K$4:$AJ$4,0)))+SUMPRODUCT((Inputs!$E$5:$E$140=$B23)*Inputs!$F$5:$F$140*(((Inputs!$G$5:$G$140="moeda")+(Inputs!$G$5:$G$140="acoes"))*Inputs!$B$1+((Inputs!$G$5:$G$140&lt;&gt;"moeda")*(Inputs!$G$5:$G$140&lt;&gt;"acoes")))*INDEX(Inputs!$K$5:$AJ$140,0,MATCH(U$2,Inputs!$K$4:$AJ$4,0)))))</f>
        <v>1755</v>
      </c>
      <c r="V23" s="6">
        <f>IF(ISNA(MATCH(V$2,Inputs!$K$4:$AJ$4,0)),NA(),IF(SUMPRODUCT((Inputs!$A$5:$A$140=$B23)*ISNUMBER(INDEX(Inputs!$K$5:$AJ$140,0,MATCH(V$2,Inputs!$K$4:$AJ$4,0))))+SUMPRODUCT((Inputs!$C$5:$C$140=$B23)*ISNUMBER(INDEX(Inputs!$K$5:$AJ$140,0,MATCH(V$2,Inputs!$K$4:$AJ$4,0))))+SUMPRODUCT((Inputs!$E$5:$E$140=$B23)*ISNUMBER(INDEX(Inputs!$K$5:$AJ$140,0,MATCH(V$2,Inputs!$K$4:$AJ$4,0))))=0,NA(),SUMPRODUCT((Inputs!$A$5:$A$140=$B23)*Inputs!$B$5:$B$140*(((Inputs!$G$5:$G$140="moeda")+(Inputs!$G$5:$G$140="acoes"))*Inputs!$B$1+((Inputs!$G$5:$G$140&lt;&gt;"moeda")*(Inputs!$G$5:$G$140&lt;&gt;"acoes")))*INDEX(Inputs!$K$5:$AJ$140,0,MATCH(V$2,Inputs!$K$4:$AJ$4,0)))+SUMPRODUCT((Inputs!$C$5:$C$140=$B23)*Inputs!$D$5:$D$140*(((Inputs!$G$5:$G$140="moeda")+(Inputs!$G$5:$G$140="acoes"))*Inputs!$B$1+((Inputs!$G$5:$G$140&lt;&gt;"moeda")*(Inputs!$G$5:$G$140&lt;&gt;"acoes")))*INDEX(Inputs!$K$5:$AJ$140,0,MATCH(V$2,Inputs!$K$4:$AJ$4,0)))+SUMPRODUCT((Inputs!$E$5:$E$140=$B23)*Inputs!$F$5:$F$140*(((Inputs!$G$5:$G$140="moeda")+(Inputs!$G$5:$G$140="acoes"))*Inputs!$B$1+((Inputs!$G$5:$G$140&lt;&gt;"moeda")*(Inputs!$G$5:$G$140&lt;&gt;"acoes")))*INDEX(Inputs!$K$5:$AJ$140,0,MATCH(V$2,Inputs!$K$4:$AJ$4,0)))))</f>
        <v>1793</v>
      </c>
      <c r="W23" s="3">
        <f>V23</f>
        <v>1793</v>
      </c>
      <c r="X23" s="6">
        <f>IF(ISNA(MATCH(X$2,Inputs!$K$4:$AJ$4,0)),NA(),IF(SUMPRODUCT((Inputs!$A$5:$A$140=$B23)*ISNUMBER(INDEX(Inputs!$K$5:$AJ$140,0,MATCH(X$2,Inputs!$K$4:$AJ$4,0))))+SUMPRODUCT((Inputs!$C$5:$C$140=$B23)*ISNUMBER(INDEX(Inputs!$K$5:$AJ$140,0,MATCH(X$2,Inputs!$K$4:$AJ$4,0))))+SUMPRODUCT((Inputs!$E$5:$E$140=$B23)*ISNUMBER(INDEX(Inputs!$K$5:$AJ$140,0,MATCH(X$2,Inputs!$K$4:$AJ$4,0))))=0,NA(),SUMPRODUCT((Inputs!$A$5:$A$140=$B23)*Inputs!$B$5:$B$140*(((Inputs!$G$5:$G$140="moeda")+(Inputs!$G$5:$G$140="acoes"))*Inputs!$B$1+((Inputs!$G$5:$G$140&lt;&gt;"moeda")*(Inputs!$G$5:$G$140&lt;&gt;"acoes")))*INDEX(Inputs!$K$5:$AJ$140,0,MATCH(X$2,Inputs!$K$4:$AJ$4,0)))+SUMPRODUCT((Inputs!$C$5:$C$140=$B23)*Inputs!$D$5:$D$140*(((Inputs!$G$5:$G$140="moeda")+(Inputs!$G$5:$G$140="acoes"))*Inputs!$B$1+((Inputs!$G$5:$G$140&lt;&gt;"moeda")*(Inputs!$G$5:$G$140&lt;&gt;"acoes")))*INDEX(Inputs!$K$5:$AJ$140,0,MATCH(X$2,Inputs!$K$4:$AJ$4,0)))+SUMPRODUCT((Inputs!$E$5:$E$140=$B23)*Inputs!$F$5:$F$140*(((Inputs!$G$5:$G$140="moeda")+(Inputs!$G$5:$G$140="acoes"))*Inputs!$B$1+((Inputs!$G$5:$G$140&lt;&gt;"moeda")*(Inputs!$G$5:$G$140&lt;&gt;"acoes")))*INDEX(Inputs!$K$5:$AJ$140,0,MATCH(X$2,Inputs!$K$4:$AJ$4,0)))))</f>
        <v>1810</v>
      </c>
      <c r="Y23" s="6">
        <f>IF(ISNA(MATCH(Y$2,Inputs!$K$4:$AJ$4,0)),NA(),IF(SUMPRODUCT((Inputs!$A$5:$A$140=$B23)*ISNUMBER(INDEX(Inputs!$K$5:$AJ$140,0,MATCH(Y$2,Inputs!$K$4:$AJ$4,0))))+SUMPRODUCT((Inputs!$C$5:$C$140=$B23)*ISNUMBER(INDEX(Inputs!$K$5:$AJ$140,0,MATCH(Y$2,Inputs!$K$4:$AJ$4,0))))+SUMPRODUCT((Inputs!$E$5:$E$140=$B23)*ISNUMBER(INDEX(Inputs!$K$5:$AJ$140,0,MATCH(Y$2,Inputs!$K$4:$AJ$4,0))))=0,NA(),SUMPRODUCT((Inputs!$A$5:$A$140=$B23)*Inputs!$B$5:$B$140*(((Inputs!$G$5:$G$140="moeda")+(Inputs!$G$5:$G$140="acoes"))*Inputs!$B$1+((Inputs!$G$5:$G$140&lt;&gt;"moeda")*(Inputs!$G$5:$G$140&lt;&gt;"acoes")))*INDEX(Inputs!$K$5:$AJ$140,0,MATCH(Y$2,Inputs!$K$4:$AJ$4,0)))+SUMPRODUCT((Inputs!$C$5:$C$140=$B23)*Inputs!$D$5:$D$140*(((Inputs!$G$5:$G$140="moeda")+(Inputs!$G$5:$G$140="acoes"))*Inputs!$B$1+((Inputs!$G$5:$G$140&lt;&gt;"moeda")*(Inputs!$G$5:$G$140&lt;&gt;"acoes")))*INDEX(Inputs!$K$5:$AJ$140,0,MATCH(Y$2,Inputs!$K$4:$AJ$4,0)))+SUMPRODUCT((Inputs!$E$5:$E$140=$B23)*Inputs!$F$5:$F$140*(((Inputs!$G$5:$G$140="moeda")+(Inputs!$G$5:$G$140="acoes"))*Inputs!$B$1+((Inputs!$G$5:$G$140&lt;&gt;"moeda")*(Inputs!$G$5:$G$140&lt;&gt;"acoes")))*INDEX(Inputs!$K$5:$AJ$140,0,MATCH(Y$2,Inputs!$K$4:$AJ$4,0)))))</f>
        <v>2084</v>
      </c>
      <c r="Z23" s="6">
        <f>IF(ISNA(MATCH(Z$2,Inputs!$K$4:$AJ$4,0)),NA(),IF(SUMPRODUCT((Inputs!$A$5:$A$140=$B23)*ISNUMBER(INDEX(Inputs!$K$5:$AJ$140,0,MATCH(Z$2,Inputs!$K$4:$AJ$4,0))))+SUMPRODUCT((Inputs!$C$5:$C$140=$B23)*ISNUMBER(INDEX(Inputs!$K$5:$AJ$140,0,MATCH(Z$2,Inputs!$K$4:$AJ$4,0))))+SUMPRODUCT((Inputs!$E$5:$E$140=$B23)*ISNUMBER(INDEX(Inputs!$K$5:$AJ$140,0,MATCH(Z$2,Inputs!$K$4:$AJ$4,0))))=0,NA(),SUMPRODUCT((Inputs!$A$5:$A$140=$B23)*Inputs!$B$5:$B$140*(((Inputs!$G$5:$G$140="moeda")+(Inputs!$G$5:$G$140="acoes"))*Inputs!$B$1+((Inputs!$G$5:$G$140&lt;&gt;"moeda")*(Inputs!$G$5:$G$140&lt;&gt;"acoes")))*INDEX(Inputs!$K$5:$AJ$140,0,MATCH(Z$2,Inputs!$K$4:$AJ$4,0)))+SUMPRODUCT((Inputs!$C$5:$C$140=$B23)*Inputs!$D$5:$D$140*(((Inputs!$G$5:$G$140="moeda")+(Inputs!$G$5:$G$140="acoes"))*Inputs!$B$1+((Inputs!$G$5:$G$140&lt;&gt;"moeda")*(Inputs!$G$5:$G$140&lt;&gt;"acoes")))*INDEX(Inputs!$K$5:$AJ$140,0,MATCH(Z$2,Inputs!$K$4:$AJ$4,0)))+SUMPRODUCT((Inputs!$E$5:$E$140=$B23)*Inputs!$F$5:$F$140*(((Inputs!$G$5:$G$140="moeda")+(Inputs!$G$5:$G$140="acoes"))*Inputs!$B$1+((Inputs!$G$5:$G$140&lt;&gt;"moeda")*(Inputs!$G$5:$G$140&lt;&gt;"acoes")))*INDEX(Inputs!$K$5:$AJ$140,0,MATCH(Z$2,Inputs!$K$4:$AJ$4,0)))))</f>
        <v>2281</v>
      </c>
      <c r="AA23" s="6">
        <f>IF(ISNA(MATCH(AA$2,Inputs!$K$4:$AJ$4,0)),NA(),IF(SUMPRODUCT((Inputs!$A$5:$A$140=$B23)*ISNUMBER(INDEX(Inputs!$K$5:$AJ$140,0,MATCH(AA$2,Inputs!$K$4:$AJ$4,0))))+SUMPRODUCT((Inputs!$C$5:$C$140=$B23)*ISNUMBER(INDEX(Inputs!$K$5:$AJ$140,0,MATCH(AA$2,Inputs!$K$4:$AJ$4,0))))+SUMPRODUCT((Inputs!$E$5:$E$140=$B23)*ISNUMBER(INDEX(Inputs!$K$5:$AJ$140,0,MATCH(AA$2,Inputs!$K$4:$AJ$4,0))))=0,NA(),SUMPRODUCT((Inputs!$A$5:$A$140=$B23)*Inputs!$B$5:$B$140*(((Inputs!$G$5:$G$140="moeda")+(Inputs!$G$5:$G$140="acoes"))*Inputs!$B$1+((Inputs!$G$5:$G$140&lt;&gt;"moeda")*(Inputs!$G$5:$G$140&lt;&gt;"acoes")))*INDEX(Inputs!$K$5:$AJ$140,0,MATCH(AA$2,Inputs!$K$4:$AJ$4,0)))+SUMPRODUCT((Inputs!$C$5:$C$140=$B23)*Inputs!$D$5:$D$140*(((Inputs!$G$5:$G$140="moeda")+(Inputs!$G$5:$G$140="acoes"))*Inputs!$B$1+((Inputs!$G$5:$G$140&lt;&gt;"moeda")*(Inputs!$G$5:$G$140&lt;&gt;"acoes")))*INDEX(Inputs!$K$5:$AJ$140,0,MATCH(AA$2,Inputs!$K$4:$AJ$4,0)))+SUMPRODUCT((Inputs!$E$5:$E$140=$B23)*Inputs!$F$5:$F$140*(((Inputs!$G$5:$G$140="moeda")+(Inputs!$G$5:$G$140="acoes"))*Inputs!$B$1+((Inputs!$G$5:$G$140&lt;&gt;"moeda")*(Inputs!$G$5:$G$140&lt;&gt;"acoes")))*INDEX(Inputs!$K$5:$AJ$140,0,MATCH(AA$2,Inputs!$K$4:$AJ$4,0)))))</f>
        <v>2867</v>
      </c>
      <c r="AB23" s="3">
        <f>AA23</f>
        <v>2867</v>
      </c>
      <c r="AC23" s="6">
        <f>IF(ISNA(MATCH(AC$2,Inputs!$K$4:$AJ$4,0)),NA(),IF(SUMPRODUCT((Inputs!$A$5:$A$140=$B23)*ISNUMBER(INDEX(Inputs!$K$5:$AJ$140,0,MATCH(AC$2,Inputs!$K$4:$AJ$4,0))))+SUMPRODUCT((Inputs!$C$5:$C$140=$B23)*ISNUMBER(INDEX(Inputs!$K$5:$AJ$140,0,MATCH(AC$2,Inputs!$K$4:$AJ$4,0))))+SUMPRODUCT((Inputs!$E$5:$E$140=$B23)*ISNUMBER(INDEX(Inputs!$K$5:$AJ$140,0,MATCH(AC$2,Inputs!$K$4:$AJ$4,0))))=0,NA(),SUMPRODUCT((Inputs!$A$5:$A$140=$B23)*Inputs!$B$5:$B$140*(((Inputs!$G$5:$G$140="moeda")+(Inputs!$G$5:$G$140="acoes"))*Inputs!$B$1+((Inputs!$G$5:$G$140&lt;&gt;"moeda")*(Inputs!$G$5:$G$140&lt;&gt;"acoes")))*INDEX(Inputs!$K$5:$AJ$140,0,MATCH(AC$2,Inputs!$K$4:$AJ$4,0)))+SUMPRODUCT((Inputs!$C$5:$C$140=$B23)*Inputs!$D$5:$D$140*(((Inputs!$G$5:$G$140="moeda")+(Inputs!$G$5:$G$140="acoes"))*Inputs!$B$1+((Inputs!$G$5:$G$140&lt;&gt;"moeda")*(Inputs!$G$5:$G$140&lt;&gt;"acoes")))*INDEX(Inputs!$K$5:$AJ$140,0,MATCH(AC$2,Inputs!$K$4:$AJ$4,0)))+SUMPRODUCT((Inputs!$E$5:$E$140=$B23)*Inputs!$F$5:$F$140*(((Inputs!$G$5:$G$140="moeda")+(Inputs!$G$5:$G$140="acoes"))*Inputs!$B$1+((Inputs!$G$5:$G$140&lt;&gt;"moeda")*(Inputs!$G$5:$G$140&lt;&gt;"acoes")))*INDEX(Inputs!$K$5:$AJ$140,0,MATCH(AC$2,Inputs!$K$4:$AJ$4,0)))))</f>
        <v>4258</v>
      </c>
      <c r="AD23" s="6">
        <f>IF(ISNA(MATCH(AD$2,Inputs!$K$4:$AJ$4,0)),NA(),IF(SUMPRODUCT((Inputs!$A$5:$A$140=$B23)*ISNUMBER(INDEX(Inputs!$K$5:$AJ$140,0,MATCH(AD$2,Inputs!$K$4:$AJ$4,0))))+SUMPRODUCT((Inputs!$C$5:$C$140=$B23)*ISNUMBER(INDEX(Inputs!$K$5:$AJ$140,0,MATCH(AD$2,Inputs!$K$4:$AJ$4,0))))+SUMPRODUCT((Inputs!$E$5:$E$140=$B23)*ISNUMBER(INDEX(Inputs!$K$5:$AJ$140,0,MATCH(AD$2,Inputs!$K$4:$AJ$4,0))))=0,NA(),SUMPRODUCT((Inputs!$A$5:$A$140=$B23)*Inputs!$B$5:$B$140*(((Inputs!$G$5:$G$140="moeda")+(Inputs!$G$5:$G$140="acoes"))*Inputs!$B$1+((Inputs!$G$5:$G$140&lt;&gt;"moeda")*(Inputs!$G$5:$G$140&lt;&gt;"acoes")))*INDEX(Inputs!$K$5:$AJ$140,0,MATCH(AD$2,Inputs!$K$4:$AJ$4,0)))+SUMPRODUCT((Inputs!$C$5:$C$140=$B23)*Inputs!$D$5:$D$140*(((Inputs!$G$5:$G$140="moeda")+(Inputs!$G$5:$G$140="acoes"))*Inputs!$B$1+((Inputs!$G$5:$G$140&lt;&gt;"moeda")*(Inputs!$G$5:$G$140&lt;&gt;"acoes")))*INDEX(Inputs!$K$5:$AJ$140,0,MATCH(AD$2,Inputs!$K$4:$AJ$4,0)))+SUMPRODUCT((Inputs!$E$5:$E$140=$B23)*Inputs!$F$5:$F$140*(((Inputs!$G$5:$G$140="moeda")+(Inputs!$G$5:$G$140="acoes"))*Inputs!$B$1+((Inputs!$G$5:$G$140&lt;&gt;"moeda")*(Inputs!$G$5:$G$140&lt;&gt;"acoes")))*INDEX(Inputs!$K$5:$AJ$140,0,MATCH(AD$2,Inputs!$K$4:$AJ$4,0)))))</f>
        <v>5390</v>
      </c>
      <c r="AE23" s="6" t="e">
        <f>IF(ISNA(MATCH(AE$2,Inputs!$K$4:$AJ$4,0)),NA(),IF(SUMPRODUCT((Inputs!$A$5:$A$140=$B23)*ISNUMBER(INDEX(Inputs!$K$5:$AJ$140,0,MATCH(AE$2,Inputs!$K$4:$AJ$4,0))))+SUMPRODUCT((Inputs!$C$5:$C$140=$B23)*ISNUMBER(INDEX(Inputs!$K$5:$AJ$140,0,MATCH(AE$2,Inputs!$K$4:$AJ$4,0))))+SUMPRODUCT((Inputs!$E$5:$E$140=$B23)*ISNUMBER(INDEX(Inputs!$K$5:$AJ$140,0,MATCH(AE$2,Inputs!$K$4:$AJ$4,0))))=0,NA(),SUMPRODUCT((Inputs!$A$5:$A$140=$B23)*Inputs!$B$5:$B$140*(((Inputs!$G$5:$G$140="moeda")+(Inputs!$G$5:$G$140="acoes"))*Inputs!$B$1+((Inputs!$G$5:$G$140&lt;&gt;"moeda")*(Inputs!$G$5:$G$140&lt;&gt;"acoes")))*INDEX(Inputs!$K$5:$AJ$140,0,MATCH(AE$2,Inputs!$K$4:$AJ$4,0)))+SUMPRODUCT((Inputs!$C$5:$C$140=$B23)*Inputs!$D$5:$D$140*(((Inputs!$G$5:$G$140="moeda")+(Inputs!$G$5:$G$140="acoes"))*Inputs!$B$1+((Inputs!$G$5:$G$140&lt;&gt;"moeda")*(Inputs!$G$5:$G$140&lt;&gt;"acoes")))*INDEX(Inputs!$K$5:$AJ$140,0,MATCH(AE$2,Inputs!$K$4:$AJ$4,0)))+SUMPRODUCT((Inputs!$E$5:$E$140=$B23)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23" s="6" t="e">
        <f>IF(ISNA(MATCH(AF$2,Inputs!$K$4:$AJ$4,0)),NA(),IF(SUMPRODUCT((Inputs!$A$5:$A$140=$B23)*ISNUMBER(INDEX(Inputs!$K$5:$AJ$140,0,MATCH(AF$2,Inputs!$K$4:$AJ$4,0))))+SUMPRODUCT((Inputs!$C$5:$C$140=$B23)*ISNUMBER(INDEX(Inputs!$K$5:$AJ$140,0,MATCH(AF$2,Inputs!$K$4:$AJ$4,0))))+SUMPRODUCT((Inputs!$E$5:$E$140=$B23)*ISNUMBER(INDEX(Inputs!$K$5:$AJ$140,0,MATCH(AF$2,Inputs!$K$4:$AJ$4,0))))=0,NA(),SUMPRODUCT((Inputs!$A$5:$A$140=$B23)*Inputs!$B$5:$B$140*(((Inputs!$G$5:$G$140="moeda")+(Inputs!$G$5:$G$140="acoes"))*Inputs!$B$1+((Inputs!$G$5:$G$140&lt;&gt;"moeda")*(Inputs!$G$5:$G$140&lt;&gt;"acoes")))*INDEX(Inputs!$K$5:$AJ$140,0,MATCH(AF$2,Inputs!$K$4:$AJ$4,0)))+SUMPRODUCT((Inputs!$C$5:$C$140=$B23)*Inputs!$D$5:$D$140*(((Inputs!$G$5:$G$140="moeda")+(Inputs!$G$5:$G$140="acoes"))*Inputs!$B$1+((Inputs!$G$5:$G$140&lt;&gt;"moeda")*(Inputs!$G$5:$G$140&lt;&gt;"acoes")))*INDEX(Inputs!$K$5:$AJ$140,0,MATCH(AF$2,Inputs!$K$4:$AJ$4,0)))+SUMPRODUCT((Inputs!$E$5:$E$140=$B23)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23" s="3" t="e">
        <f>AF23</f>
        <v>#N/A</v>
      </c>
      <c r="AH23" s="6">
        <f>IF(ISNA(MATCH(AH$2,Inputs!$K$4:$AJ$4,0)),NA(),IF(SUMPRODUCT((Inputs!$A$5:$A$140=$B23)*ISNUMBER(INDEX(Inputs!$K$5:$AJ$140,0,MATCH(AH$2,Inputs!$K$4:$AJ$4,0))))+SUMPRODUCT((Inputs!$C$5:$C$140=$B23)*ISNUMBER(INDEX(Inputs!$K$5:$AJ$140,0,MATCH(AH$2,Inputs!$K$4:$AJ$4,0))))+SUMPRODUCT((Inputs!$E$5:$E$140=$B23)*ISNUMBER(INDEX(Inputs!$K$5:$AJ$140,0,MATCH(AH$2,Inputs!$K$4:$AJ$4,0))))=0,NA(),SUMPRODUCT((Inputs!$A$5:$A$140=$B23)*Inputs!$B$5:$B$140*(((Inputs!$G$5:$G$140="moeda")+(Inputs!$G$5:$G$140="acoes"))*Inputs!$B$1+((Inputs!$G$5:$G$140&lt;&gt;"moeda")*(Inputs!$G$5:$G$140&lt;&gt;"acoes")))*INDEX(Inputs!$K$5:$AJ$140,0,MATCH(AH$2,Inputs!$K$4:$AJ$4,0)))+SUMPRODUCT((Inputs!$C$5:$C$140=$B23)*Inputs!$D$5:$D$140*(((Inputs!$G$5:$G$140="moeda")+(Inputs!$G$5:$G$140="acoes"))*Inputs!$B$1+((Inputs!$G$5:$G$140&lt;&gt;"moeda")*(Inputs!$G$5:$G$140&lt;&gt;"acoes")))*INDEX(Inputs!$K$5:$AJ$140,0,MATCH(AH$2,Inputs!$K$4:$AJ$4,0)))+SUMPRODUCT((Inputs!$E$5:$E$140=$B23)*Inputs!$F$5:$F$140*(((Inputs!$G$5:$G$140="moeda")+(Inputs!$G$5:$G$140="acoes"))*Inputs!$B$1+((Inputs!$G$5:$G$140&lt;&gt;"moeda")*(Inputs!$G$5:$G$140&lt;&gt;"acoes")))*INDEX(Inputs!$K$5:$AJ$140,0,MATCH(AH$2,Inputs!$K$4:$AJ$4,0)))))</f>
        <v>595</v>
      </c>
      <c r="AI23" s="6">
        <f>IF(ISNA(MATCH(AI$2,Inputs!$K$4:$AJ$4,0)),NA(),IF(SUMPRODUCT((Inputs!$A$5:$A$140=$B23)*ISNUMBER(INDEX(Inputs!$K$5:$AJ$140,0,MATCH(AI$2,Inputs!$K$4:$AJ$4,0))))+SUMPRODUCT((Inputs!$C$5:$C$140=$B23)*ISNUMBER(INDEX(Inputs!$K$5:$AJ$140,0,MATCH(AI$2,Inputs!$K$4:$AJ$4,0))))+SUMPRODUCT((Inputs!$E$5:$E$140=$B23)*ISNUMBER(INDEX(Inputs!$K$5:$AJ$140,0,MATCH(AI$2,Inputs!$K$4:$AJ$4,0))))=0,NA(),SUMPRODUCT((Inputs!$A$5:$A$140=$B23)*Inputs!$B$5:$B$140*(((Inputs!$G$5:$G$140="moeda")+(Inputs!$G$5:$G$140="acoes"))*Inputs!$B$1+((Inputs!$G$5:$G$140&lt;&gt;"moeda")*(Inputs!$G$5:$G$140&lt;&gt;"acoes")))*INDEX(Inputs!$K$5:$AJ$140,0,MATCH(AI$2,Inputs!$K$4:$AJ$4,0)))+SUMPRODUCT((Inputs!$C$5:$C$140=$B23)*Inputs!$D$5:$D$140*(((Inputs!$G$5:$G$140="moeda")+(Inputs!$G$5:$G$140="acoes"))*Inputs!$B$1+((Inputs!$G$5:$G$140&lt;&gt;"moeda")*(Inputs!$G$5:$G$140&lt;&gt;"acoes")))*INDEX(Inputs!$K$5:$AJ$140,0,MATCH(AI$2,Inputs!$K$4:$AJ$4,0)))+SUMPRODUCT((Inputs!$E$5:$E$140=$B23)*Inputs!$F$5:$F$140*(((Inputs!$G$5:$G$140="moeda")+(Inputs!$G$5:$G$140="acoes"))*Inputs!$B$1+((Inputs!$G$5:$G$140&lt;&gt;"moeda")*(Inputs!$G$5:$G$140&lt;&gt;"acoes")))*INDEX(Inputs!$K$5:$AJ$140,0,MATCH(AI$2,Inputs!$K$4:$AJ$4,0)))))</f>
        <v>701</v>
      </c>
      <c r="AJ23" s="6">
        <f>IF(ISNA(MATCH(AJ$2,Inputs!$K$4:$AJ$4,0)),NA(),IF(SUMPRODUCT((Inputs!$A$5:$A$140=$B23)*ISNUMBER(INDEX(Inputs!$K$5:$AJ$140,0,MATCH(AJ$2,Inputs!$K$4:$AJ$4,0))))+SUMPRODUCT((Inputs!$C$5:$C$140=$B23)*ISNUMBER(INDEX(Inputs!$K$5:$AJ$140,0,MATCH(AJ$2,Inputs!$K$4:$AJ$4,0))))+SUMPRODUCT((Inputs!$E$5:$E$140=$B23)*ISNUMBER(INDEX(Inputs!$K$5:$AJ$140,0,MATCH(AJ$2,Inputs!$K$4:$AJ$4,0))))=0,NA(),SUMPRODUCT((Inputs!$A$5:$A$140=$B23)*Inputs!$B$5:$B$140*(((Inputs!$G$5:$G$140="moeda")+(Inputs!$G$5:$G$140="acoes"))*Inputs!$B$1+((Inputs!$G$5:$G$140&lt;&gt;"moeda")*(Inputs!$G$5:$G$140&lt;&gt;"acoes")))*INDEX(Inputs!$K$5:$AJ$140,0,MATCH(AJ$2,Inputs!$K$4:$AJ$4,0)))+SUMPRODUCT((Inputs!$C$5:$C$140=$B23)*Inputs!$D$5:$D$140*(((Inputs!$G$5:$G$140="moeda")+(Inputs!$G$5:$G$140="acoes"))*Inputs!$B$1+((Inputs!$G$5:$G$140&lt;&gt;"moeda")*(Inputs!$G$5:$G$140&lt;&gt;"acoes")))*INDEX(Inputs!$K$5:$AJ$140,0,MATCH(AJ$2,Inputs!$K$4:$AJ$4,0)))+SUMPRODUCT((Inputs!$E$5:$E$140=$B23)*Inputs!$F$5:$F$140*(((Inputs!$G$5:$G$140="moeda")+(Inputs!$G$5:$G$140="acoes"))*Inputs!$B$1+((Inputs!$G$5:$G$140&lt;&gt;"moeda")*(Inputs!$G$5:$G$140&lt;&gt;"acoes")))*INDEX(Inputs!$K$5:$AJ$140,0,MATCH(AJ$2,Inputs!$K$4:$AJ$4,0)))))</f>
        <v>681</v>
      </c>
      <c r="AK23" s="6">
        <f>IF(ISNA(MATCH(AK$2,Inputs!$K$4:$AJ$4,0)),NA(),IF(SUMPRODUCT((Inputs!$A$5:$A$140=$B23)*ISNUMBER(INDEX(Inputs!$K$5:$AJ$140,0,MATCH(AK$2,Inputs!$K$4:$AJ$4,0))))+SUMPRODUCT((Inputs!$C$5:$C$140=$B23)*ISNUMBER(INDEX(Inputs!$K$5:$AJ$140,0,MATCH(AK$2,Inputs!$K$4:$AJ$4,0))))+SUMPRODUCT((Inputs!$E$5:$E$140=$B23)*ISNUMBER(INDEX(Inputs!$K$5:$AJ$140,0,MATCH(AK$2,Inputs!$K$4:$AJ$4,0))))=0,NA(),SUMPRODUCT((Inputs!$A$5:$A$140=$B23)*Inputs!$B$5:$B$140*(((Inputs!$G$5:$G$140="moeda")+(Inputs!$G$5:$G$140="acoes"))*Inputs!$B$1+((Inputs!$G$5:$G$140&lt;&gt;"moeda")*(Inputs!$G$5:$G$140&lt;&gt;"acoes")))*INDEX(Inputs!$K$5:$AJ$140,0,MATCH(AK$2,Inputs!$K$4:$AJ$4,0)))+SUMPRODUCT((Inputs!$C$5:$C$140=$B23)*Inputs!$D$5:$D$140*(((Inputs!$G$5:$G$140="moeda")+(Inputs!$G$5:$G$140="acoes"))*Inputs!$B$1+((Inputs!$G$5:$G$140&lt;&gt;"moeda")*(Inputs!$G$5:$G$140&lt;&gt;"acoes")))*INDEX(Inputs!$K$5:$AJ$140,0,MATCH(AK$2,Inputs!$K$4:$AJ$4,0)))+SUMPRODUCT((Inputs!$E$5:$E$140=$B23)*Inputs!$F$5:$F$140*(((Inputs!$G$5:$G$140="moeda")+(Inputs!$G$5:$G$140="acoes"))*Inputs!$B$1+((Inputs!$G$5:$G$140&lt;&gt;"moeda")*(Inputs!$G$5:$G$140&lt;&gt;"acoes")))*INDEX(Inputs!$K$5:$AJ$140,0,MATCH(AK$2,Inputs!$K$4:$AJ$4,0)))))</f>
        <v>707</v>
      </c>
      <c r="AL23" s="3">
        <f>AK23</f>
        <v>707</v>
      </c>
    </row>
    <row r="24">
      <c r="B24" s="46" t="n">
        <v>20</v>
      </c>
      <c r="C24" s="26" t="inlineStr">
        <is>
          <t>Goodwill</t>
        </is>
      </c>
      <c r="D24" s="6">
        <f>IF(ISNA(MATCH(D$2,Inputs!$K$4:$AJ$4,0)),NA(),IF(SUMPRODUCT((Inputs!$A$5:$A$140=$B24)*ISNUMBER(INDEX(Inputs!$K$5:$AJ$140,0,MATCH(D$2,Inputs!$K$4:$AJ$4,0))))+SUMPRODUCT((Inputs!$C$5:$C$140=$B24)*ISNUMBER(INDEX(Inputs!$K$5:$AJ$140,0,MATCH(D$2,Inputs!$K$4:$AJ$4,0))))+SUMPRODUCT((Inputs!$E$5:$E$140=$B24)*ISNUMBER(INDEX(Inputs!$K$5:$AJ$140,0,MATCH(D$2,Inputs!$K$4:$AJ$4,0))))=0,NA(),SUMPRODUCT((Inputs!$A$5:$A$140=$B24)*Inputs!$B$5:$B$140*(((Inputs!$G$5:$G$140="moeda")+(Inputs!$G$5:$G$140="acoes"))*Inputs!$B$1+((Inputs!$G$5:$G$140&lt;&gt;"moeda")*(Inputs!$G$5:$G$140&lt;&gt;"acoes")))*INDEX(Inputs!$K$5:$AJ$140,0,MATCH(D$2,Inputs!$K$4:$AJ$4,0)))+SUMPRODUCT((Inputs!$C$5:$C$140=$B24)*Inputs!$D$5:$D$140*(((Inputs!$G$5:$G$140="moeda")+(Inputs!$G$5:$G$140="acoes"))*Inputs!$B$1+((Inputs!$G$5:$G$140&lt;&gt;"moeda")*(Inputs!$G$5:$G$140&lt;&gt;"acoes")))*INDEX(Inputs!$K$5:$AJ$140,0,MATCH(D$2,Inputs!$K$4:$AJ$4,0)))+SUMPRODUCT((Inputs!$E$5:$E$140=$B24)*Inputs!$F$5:$F$140*(((Inputs!$G$5:$G$140="moeda")+(Inputs!$G$5:$G$140="acoes"))*Inputs!$B$1+((Inputs!$G$5:$G$140&lt;&gt;"moeda")*(Inputs!$G$5:$G$140&lt;&gt;"acoes")))*INDEX(Inputs!$K$5:$AJ$140,0,MATCH(D$2,Inputs!$K$4:$AJ$4,0)))))</f>
        <v>4193</v>
      </c>
      <c r="E24" s="6">
        <f>IF(ISNA(MATCH(E$2,Inputs!$K$4:$AJ$4,0)),NA(),IF(SUMPRODUCT((Inputs!$A$5:$A$140=$B24)*ISNUMBER(INDEX(Inputs!$K$5:$AJ$140,0,MATCH(E$2,Inputs!$K$4:$AJ$4,0))))+SUMPRODUCT((Inputs!$C$5:$C$140=$B24)*ISNUMBER(INDEX(Inputs!$K$5:$AJ$140,0,MATCH(E$2,Inputs!$K$4:$AJ$4,0))))+SUMPRODUCT((Inputs!$E$5:$E$140=$B24)*ISNUMBER(INDEX(Inputs!$K$5:$AJ$140,0,MATCH(E$2,Inputs!$K$4:$AJ$4,0))))=0,NA(),SUMPRODUCT((Inputs!$A$5:$A$140=$B24)*Inputs!$B$5:$B$140*(((Inputs!$G$5:$G$140="moeda")+(Inputs!$G$5:$G$140="acoes"))*Inputs!$B$1+((Inputs!$G$5:$G$140&lt;&gt;"moeda")*(Inputs!$G$5:$G$140&lt;&gt;"acoes")))*INDEX(Inputs!$K$5:$AJ$140,0,MATCH(E$2,Inputs!$K$4:$AJ$4,0)))+SUMPRODUCT((Inputs!$C$5:$C$140=$B24)*Inputs!$D$5:$D$140*(((Inputs!$G$5:$G$140="moeda")+(Inputs!$G$5:$G$140="acoes"))*Inputs!$B$1+((Inputs!$G$5:$G$140&lt;&gt;"moeda")*(Inputs!$G$5:$G$140&lt;&gt;"acoes")))*INDEX(Inputs!$K$5:$AJ$140,0,MATCH(E$2,Inputs!$K$4:$AJ$4,0)))+SUMPRODUCT((Inputs!$E$5:$E$140=$B24)*Inputs!$F$5:$F$140*(((Inputs!$G$5:$G$140="moeda")+(Inputs!$G$5:$G$140="acoes"))*Inputs!$B$1+((Inputs!$G$5:$G$140&lt;&gt;"moeda")*(Inputs!$G$5:$G$140&lt;&gt;"acoes")))*INDEX(Inputs!$K$5:$AJ$140,0,MATCH(E$2,Inputs!$K$4:$AJ$4,0)))))</f>
        <v>4193</v>
      </c>
      <c r="F24" s="6">
        <f>IF(ISNA(MATCH(F$2,Inputs!$K$4:$AJ$4,0)),NA(),IF(SUMPRODUCT((Inputs!$A$5:$A$140=$B24)*ISNUMBER(INDEX(Inputs!$K$5:$AJ$140,0,MATCH(F$2,Inputs!$K$4:$AJ$4,0))))+SUMPRODUCT((Inputs!$C$5:$C$140=$B24)*ISNUMBER(INDEX(Inputs!$K$5:$AJ$140,0,MATCH(F$2,Inputs!$K$4:$AJ$4,0))))+SUMPRODUCT((Inputs!$E$5:$E$140=$B24)*ISNUMBER(INDEX(Inputs!$K$5:$AJ$140,0,MATCH(F$2,Inputs!$K$4:$AJ$4,0))))=0,NA(),SUMPRODUCT((Inputs!$A$5:$A$140=$B24)*Inputs!$B$5:$B$140*(((Inputs!$G$5:$G$140="moeda")+(Inputs!$G$5:$G$140="acoes"))*Inputs!$B$1+((Inputs!$G$5:$G$140&lt;&gt;"moeda")*(Inputs!$G$5:$G$140&lt;&gt;"acoes")))*INDEX(Inputs!$K$5:$AJ$140,0,MATCH(F$2,Inputs!$K$4:$AJ$4,0)))+SUMPRODUCT((Inputs!$C$5:$C$140=$B24)*Inputs!$D$5:$D$140*(((Inputs!$G$5:$G$140="moeda")+(Inputs!$G$5:$G$140="acoes"))*Inputs!$B$1+((Inputs!$G$5:$G$140&lt;&gt;"moeda")*(Inputs!$G$5:$G$140&lt;&gt;"acoes")))*INDEX(Inputs!$K$5:$AJ$140,0,MATCH(F$2,Inputs!$K$4:$AJ$4,0)))+SUMPRODUCT((Inputs!$E$5:$E$140=$B24)*Inputs!$F$5:$F$140*(((Inputs!$G$5:$G$140="moeda")+(Inputs!$G$5:$G$140="acoes"))*Inputs!$B$1+((Inputs!$G$5:$G$140&lt;&gt;"moeda")*(Inputs!$G$5:$G$140&lt;&gt;"acoes")))*INDEX(Inputs!$K$5:$AJ$140,0,MATCH(F$2,Inputs!$K$4:$AJ$4,0)))))</f>
        <v>4302</v>
      </c>
      <c r="G24" s="6">
        <f>IF(ISNA(MATCH(G$2,Inputs!$K$4:$AJ$4,0)),NA(),IF(SUMPRODUCT((Inputs!$A$5:$A$140=$B24)*ISNUMBER(INDEX(Inputs!$K$5:$AJ$140,0,MATCH(G$2,Inputs!$K$4:$AJ$4,0))))+SUMPRODUCT((Inputs!$C$5:$C$140=$B24)*ISNUMBER(INDEX(Inputs!$K$5:$AJ$140,0,MATCH(G$2,Inputs!$K$4:$AJ$4,0))))+SUMPRODUCT((Inputs!$E$5:$E$140=$B24)*ISNUMBER(INDEX(Inputs!$K$5:$AJ$140,0,MATCH(G$2,Inputs!$K$4:$AJ$4,0))))=0,NA(),SUMPRODUCT((Inputs!$A$5:$A$140=$B24)*Inputs!$B$5:$B$140*(((Inputs!$G$5:$G$140="moeda")+(Inputs!$G$5:$G$140="acoes"))*Inputs!$B$1+((Inputs!$G$5:$G$140&lt;&gt;"moeda")*(Inputs!$G$5:$G$140&lt;&gt;"acoes")))*INDEX(Inputs!$K$5:$AJ$140,0,MATCH(G$2,Inputs!$K$4:$AJ$4,0)))+SUMPRODUCT((Inputs!$C$5:$C$140=$B24)*Inputs!$D$5:$D$140*(((Inputs!$G$5:$G$140="moeda")+(Inputs!$G$5:$G$140="acoes"))*Inputs!$B$1+((Inputs!$G$5:$G$140&lt;&gt;"moeda")*(Inputs!$G$5:$G$140&lt;&gt;"acoes")))*INDEX(Inputs!$K$5:$AJ$140,0,MATCH(G$2,Inputs!$K$4:$AJ$4,0)))+SUMPRODUCT((Inputs!$E$5:$E$140=$B24)*Inputs!$F$5:$F$140*(((Inputs!$G$5:$G$140="moeda")+(Inputs!$G$5:$G$140="acoes"))*Inputs!$B$1+((Inputs!$G$5:$G$140&lt;&gt;"moeda")*(Inputs!$G$5:$G$140&lt;&gt;"acoes")))*INDEX(Inputs!$K$5:$AJ$140,0,MATCH(G$2,Inputs!$K$4:$AJ$4,0)))))</f>
        <v>4349</v>
      </c>
      <c r="H24" s="3">
        <f>G24</f>
        <v>4349</v>
      </c>
      <c r="I24" s="6">
        <f>IF(ISNA(MATCH(I$2,Inputs!$K$4:$AJ$4,0)),NA(),IF(SUMPRODUCT((Inputs!$A$5:$A$140=$B24)*ISNUMBER(INDEX(Inputs!$K$5:$AJ$140,0,MATCH(I$2,Inputs!$K$4:$AJ$4,0))))+SUMPRODUCT((Inputs!$C$5:$C$140=$B24)*ISNUMBER(INDEX(Inputs!$K$5:$AJ$140,0,MATCH(I$2,Inputs!$K$4:$AJ$4,0))))+SUMPRODUCT((Inputs!$E$5:$E$140=$B24)*ISNUMBER(INDEX(Inputs!$K$5:$AJ$140,0,MATCH(I$2,Inputs!$K$4:$AJ$4,0))))=0,NA(),SUMPRODUCT((Inputs!$A$5:$A$140=$B24)*Inputs!$B$5:$B$140*(((Inputs!$G$5:$G$140="moeda")+(Inputs!$G$5:$G$140="acoes"))*Inputs!$B$1+((Inputs!$G$5:$G$140&lt;&gt;"moeda")*(Inputs!$G$5:$G$140&lt;&gt;"acoes")))*INDEX(Inputs!$K$5:$AJ$140,0,MATCH(I$2,Inputs!$K$4:$AJ$4,0)))+SUMPRODUCT((Inputs!$C$5:$C$140=$B24)*Inputs!$D$5:$D$140*(((Inputs!$G$5:$G$140="moeda")+(Inputs!$G$5:$G$140="acoes"))*Inputs!$B$1+((Inputs!$G$5:$G$140&lt;&gt;"moeda")*(Inputs!$G$5:$G$140&lt;&gt;"acoes")))*INDEX(Inputs!$K$5:$AJ$140,0,MATCH(I$2,Inputs!$K$4:$AJ$4,0)))+SUMPRODUCT((Inputs!$E$5:$E$140=$B24)*Inputs!$F$5:$F$140*(((Inputs!$G$5:$G$140="moeda")+(Inputs!$G$5:$G$140="acoes"))*Inputs!$B$1+((Inputs!$G$5:$G$140&lt;&gt;"moeda")*(Inputs!$G$5:$G$140&lt;&gt;"acoes")))*INDEX(Inputs!$K$5:$AJ$140,0,MATCH(I$2,Inputs!$K$4:$AJ$4,0)))))</f>
        <v>4365</v>
      </c>
      <c r="J24" s="6">
        <f>IF(ISNA(MATCH(J$2,Inputs!$K$4:$AJ$4,0)),NA(),IF(SUMPRODUCT((Inputs!$A$5:$A$140=$B24)*ISNUMBER(INDEX(Inputs!$K$5:$AJ$140,0,MATCH(J$2,Inputs!$K$4:$AJ$4,0))))+SUMPRODUCT((Inputs!$C$5:$C$140=$B24)*ISNUMBER(INDEX(Inputs!$K$5:$AJ$140,0,MATCH(J$2,Inputs!$K$4:$AJ$4,0))))+SUMPRODUCT((Inputs!$E$5:$E$140=$B24)*ISNUMBER(INDEX(Inputs!$K$5:$AJ$140,0,MATCH(J$2,Inputs!$K$4:$AJ$4,0))))=0,NA(),SUMPRODUCT((Inputs!$A$5:$A$140=$B24)*Inputs!$B$5:$B$140*(((Inputs!$G$5:$G$140="moeda")+(Inputs!$G$5:$G$140="acoes"))*Inputs!$B$1+((Inputs!$G$5:$G$140&lt;&gt;"moeda")*(Inputs!$G$5:$G$140&lt;&gt;"acoes")))*INDEX(Inputs!$K$5:$AJ$140,0,MATCH(J$2,Inputs!$K$4:$AJ$4,0)))+SUMPRODUCT((Inputs!$C$5:$C$140=$B24)*Inputs!$D$5:$D$140*(((Inputs!$G$5:$G$140="moeda")+(Inputs!$G$5:$G$140="acoes"))*Inputs!$B$1+((Inputs!$G$5:$G$140&lt;&gt;"moeda")*(Inputs!$G$5:$G$140&lt;&gt;"acoes")))*INDEX(Inputs!$K$5:$AJ$140,0,MATCH(J$2,Inputs!$K$4:$AJ$4,0)))+SUMPRODUCT((Inputs!$E$5:$E$140=$B24)*Inputs!$F$5:$F$140*(((Inputs!$G$5:$G$140="moeda")+(Inputs!$G$5:$G$140="acoes"))*Inputs!$B$1+((Inputs!$G$5:$G$140&lt;&gt;"moeda")*(Inputs!$G$5:$G$140&lt;&gt;"acoes")))*INDEX(Inputs!$K$5:$AJ$140,0,MATCH(J$2,Inputs!$K$4:$AJ$4,0)))))</f>
        <v>4372</v>
      </c>
      <c r="K24" s="6">
        <f>IF(ISNA(MATCH(K$2,Inputs!$K$4:$AJ$4,0)),NA(),IF(SUMPRODUCT((Inputs!$A$5:$A$140=$B24)*ISNUMBER(INDEX(Inputs!$K$5:$AJ$140,0,MATCH(K$2,Inputs!$K$4:$AJ$4,0))))+SUMPRODUCT((Inputs!$C$5:$C$140=$B24)*ISNUMBER(INDEX(Inputs!$K$5:$AJ$140,0,MATCH(K$2,Inputs!$K$4:$AJ$4,0))))+SUMPRODUCT((Inputs!$E$5:$E$140=$B24)*ISNUMBER(INDEX(Inputs!$K$5:$AJ$140,0,MATCH(K$2,Inputs!$K$4:$AJ$4,0))))=0,NA(),SUMPRODUCT((Inputs!$A$5:$A$140=$B24)*Inputs!$B$5:$B$140*(((Inputs!$G$5:$G$140="moeda")+(Inputs!$G$5:$G$140="acoes"))*Inputs!$B$1+((Inputs!$G$5:$G$140&lt;&gt;"moeda")*(Inputs!$G$5:$G$140&lt;&gt;"acoes")))*INDEX(Inputs!$K$5:$AJ$140,0,MATCH(K$2,Inputs!$K$4:$AJ$4,0)))+SUMPRODUCT((Inputs!$C$5:$C$140=$B24)*Inputs!$D$5:$D$140*(((Inputs!$G$5:$G$140="moeda")+(Inputs!$G$5:$G$140="acoes"))*Inputs!$B$1+((Inputs!$G$5:$G$140&lt;&gt;"moeda")*(Inputs!$G$5:$G$140&lt;&gt;"acoes")))*INDEX(Inputs!$K$5:$AJ$140,0,MATCH(K$2,Inputs!$K$4:$AJ$4,0)))+SUMPRODUCT((Inputs!$E$5:$E$140=$B24)*Inputs!$F$5:$F$140*(((Inputs!$G$5:$G$140="moeda")+(Inputs!$G$5:$G$140="acoes"))*Inputs!$B$1+((Inputs!$G$5:$G$140&lt;&gt;"moeda")*(Inputs!$G$5:$G$140&lt;&gt;"acoes")))*INDEX(Inputs!$K$5:$AJ$140,0,MATCH(K$2,Inputs!$K$4:$AJ$4,0)))))</f>
        <v>4372</v>
      </c>
      <c r="L24" s="6">
        <f>IF(ISNA(MATCH(L$2,Inputs!$K$4:$AJ$4,0)),NA(),IF(SUMPRODUCT((Inputs!$A$5:$A$140=$B24)*ISNUMBER(INDEX(Inputs!$K$5:$AJ$140,0,MATCH(L$2,Inputs!$K$4:$AJ$4,0))))+SUMPRODUCT((Inputs!$C$5:$C$140=$B24)*ISNUMBER(INDEX(Inputs!$K$5:$AJ$140,0,MATCH(L$2,Inputs!$K$4:$AJ$4,0))))+SUMPRODUCT((Inputs!$E$5:$E$140=$B24)*ISNUMBER(INDEX(Inputs!$K$5:$AJ$140,0,MATCH(L$2,Inputs!$K$4:$AJ$4,0))))=0,NA(),SUMPRODUCT((Inputs!$A$5:$A$140=$B24)*Inputs!$B$5:$B$140*(((Inputs!$G$5:$G$140="moeda")+(Inputs!$G$5:$G$140="acoes"))*Inputs!$B$1+((Inputs!$G$5:$G$140&lt;&gt;"moeda")*(Inputs!$G$5:$G$140&lt;&gt;"acoes")))*INDEX(Inputs!$K$5:$AJ$140,0,MATCH(L$2,Inputs!$K$4:$AJ$4,0)))+SUMPRODUCT((Inputs!$C$5:$C$140=$B24)*Inputs!$D$5:$D$140*(((Inputs!$G$5:$G$140="moeda")+(Inputs!$G$5:$G$140="acoes"))*Inputs!$B$1+((Inputs!$G$5:$G$140&lt;&gt;"moeda")*(Inputs!$G$5:$G$140&lt;&gt;"acoes")))*INDEX(Inputs!$K$5:$AJ$140,0,MATCH(L$2,Inputs!$K$4:$AJ$4,0)))+SUMPRODUCT((Inputs!$E$5:$E$140=$B24)*Inputs!$F$5:$F$140*(((Inputs!$G$5:$G$140="moeda")+(Inputs!$G$5:$G$140="acoes"))*Inputs!$B$1+((Inputs!$G$5:$G$140&lt;&gt;"moeda")*(Inputs!$G$5:$G$140&lt;&gt;"acoes")))*INDEX(Inputs!$K$5:$AJ$140,0,MATCH(L$2,Inputs!$K$4:$AJ$4,0)))))</f>
        <v>4372</v>
      </c>
      <c r="M24" s="3">
        <f>L24</f>
        <v>4372</v>
      </c>
      <c r="N24" s="6">
        <f>IF(ISNA(MATCH(N$2,Inputs!$K$4:$AJ$4,0)),NA(),IF(SUMPRODUCT((Inputs!$A$5:$A$140=$B24)*ISNUMBER(INDEX(Inputs!$K$5:$AJ$140,0,MATCH(N$2,Inputs!$K$4:$AJ$4,0))))+SUMPRODUCT((Inputs!$C$5:$C$140=$B24)*ISNUMBER(INDEX(Inputs!$K$5:$AJ$140,0,MATCH(N$2,Inputs!$K$4:$AJ$4,0))))+SUMPRODUCT((Inputs!$E$5:$E$140=$B24)*ISNUMBER(INDEX(Inputs!$K$5:$AJ$140,0,MATCH(N$2,Inputs!$K$4:$AJ$4,0))))=0,NA(),SUMPRODUCT((Inputs!$A$5:$A$140=$B24)*Inputs!$B$5:$B$140*(((Inputs!$G$5:$G$140="moeda")+(Inputs!$G$5:$G$140="acoes"))*Inputs!$B$1+((Inputs!$G$5:$G$140&lt;&gt;"moeda")*(Inputs!$G$5:$G$140&lt;&gt;"acoes")))*INDEX(Inputs!$K$5:$AJ$140,0,MATCH(N$2,Inputs!$K$4:$AJ$4,0)))+SUMPRODUCT((Inputs!$C$5:$C$140=$B24)*Inputs!$D$5:$D$140*(((Inputs!$G$5:$G$140="moeda")+(Inputs!$G$5:$G$140="acoes"))*Inputs!$B$1+((Inputs!$G$5:$G$140&lt;&gt;"moeda")*(Inputs!$G$5:$G$140&lt;&gt;"acoes")))*INDEX(Inputs!$K$5:$AJ$140,0,MATCH(N$2,Inputs!$K$4:$AJ$4,0)))+SUMPRODUCT((Inputs!$E$5:$E$140=$B24)*Inputs!$F$5:$F$140*(((Inputs!$G$5:$G$140="moeda")+(Inputs!$G$5:$G$140="acoes"))*Inputs!$B$1+((Inputs!$G$5:$G$140&lt;&gt;"moeda")*(Inputs!$G$5:$G$140&lt;&gt;"acoes")))*INDEX(Inputs!$K$5:$AJ$140,0,MATCH(N$2,Inputs!$K$4:$AJ$4,0)))))</f>
        <v>4430</v>
      </c>
      <c r="O24" s="6">
        <f>IF(ISNA(MATCH(O$2,Inputs!$K$4:$AJ$4,0)),NA(),IF(SUMPRODUCT((Inputs!$A$5:$A$140=$B24)*ISNUMBER(INDEX(Inputs!$K$5:$AJ$140,0,MATCH(O$2,Inputs!$K$4:$AJ$4,0))))+SUMPRODUCT((Inputs!$C$5:$C$140=$B24)*ISNUMBER(INDEX(Inputs!$K$5:$AJ$140,0,MATCH(O$2,Inputs!$K$4:$AJ$4,0))))+SUMPRODUCT((Inputs!$E$5:$E$140=$B24)*ISNUMBER(INDEX(Inputs!$K$5:$AJ$140,0,MATCH(O$2,Inputs!$K$4:$AJ$4,0))))=0,NA(),SUMPRODUCT((Inputs!$A$5:$A$140=$B24)*Inputs!$B$5:$B$140*(((Inputs!$G$5:$G$140="moeda")+(Inputs!$G$5:$G$140="acoes"))*Inputs!$B$1+((Inputs!$G$5:$G$140&lt;&gt;"moeda")*(Inputs!$G$5:$G$140&lt;&gt;"acoes")))*INDEX(Inputs!$K$5:$AJ$140,0,MATCH(O$2,Inputs!$K$4:$AJ$4,0)))+SUMPRODUCT((Inputs!$C$5:$C$140=$B24)*Inputs!$D$5:$D$140*(((Inputs!$G$5:$G$140="moeda")+(Inputs!$G$5:$G$140="acoes"))*Inputs!$B$1+((Inputs!$G$5:$G$140&lt;&gt;"moeda")*(Inputs!$G$5:$G$140&lt;&gt;"acoes")))*INDEX(Inputs!$K$5:$AJ$140,0,MATCH(O$2,Inputs!$K$4:$AJ$4,0)))+SUMPRODUCT((Inputs!$E$5:$E$140=$B24)*Inputs!$F$5:$F$140*(((Inputs!$G$5:$G$140="moeda")+(Inputs!$G$5:$G$140="acoes"))*Inputs!$B$1+((Inputs!$G$5:$G$140&lt;&gt;"moeda")*(Inputs!$G$5:$G$140&lt;&gt;"acoes")))*INDEX(Inputs!$K$5:$AJ$140,0,MATCH(O$2,Inputs!$K$4:$AJ$4,0)))))</f>
        <v>4430</v>
      </c>
      <c r="P24" s="6">
        <f>IF(ISNA(MATCH(P$2,Inputs!$K$4:$AJ$4,0)),NA(),IF(SUMPRODUCT((Inputs!$A$5:$A$140=$B24)*ISNUMBER(INDEX(Inputs!$K$5:$AJ$140,0,MATCH(P$2,Inputs!$K$4:$AJ$4,0))))+SUMPRODUCT((Inputs!$C$5:$C$140=$B24)*ISNUMBER(INDEX(Inputs!$K$5:$AJ$140,0,MATCH(P$2,Inputs!$K$4:$AJ$4,0))))+SUMPRODUCT((Inputs!$E$5:$E$140=$B24)*ISNUMBER(INDEX(Inputs!$K$5:$AJ$140,0,MATCH(P$2,Inputs!$K$4:$AJ$4,0))))=0,NA(),SUMPRODUCT((Inputs!$A$5:$A$140=$B24)*Inputs!$B$5:$B$140*(((Inputs!$G$5:$G$140="moeda")+(Inputs!$G$5:$G$140="acoes"))*Inputs!$B$1+((Inputs!$G$5:$G$140&lt;&gt;"moeda")*(Inputs!$G$5:$G$140&lt;&gt;"acoes")))*INDEX(Inputs!$K$5:$AJ$140,0,MATCH(P$2,Inputs!$K$4:$AJ$4,0)))+SUMPRODUCT((Inputs!$C$5:$C$140=$B24)*Inputs!$D$5:$D$140*(((Inputs!$G$5:$G$140="moeda")+(Inputs!$G$5:$G$140="acoes"))*Inputs!$B$1+((Inputs!$G$5:$G$140&lt;&gt;"moeda")*(Inputs!$G$5:$G$140&lt;&gt;"acoes")))*INDEX(Inputs!$K$5:$AJ$140,0,MATCH(P$2,Inputs!$K$4:$AJ$4,0)))+SUMPRODUCT((Inputs!$E$5:$E$140=$B24)*Inputs!$F$5:$F$140*(((Inputs!$G$5:$G$140="moeda")+(Inputs!$G$5:$G$140="acoes"))*Inputs!$B$1+((Inputs!$G$5:$G$140&lt;&gt;"moeda")*(Inputs!$G$5:$G$140&lt;&gt;"acoes")))*INDEX(Inputs!$K$5:$AJ$140,0,MATCH(P$2,Inputs!$K$4:$AJ$4,0)))))</f>
        <v>4430</v>
      </c>
      <c r="Q24" s="6">
        <f>IF(ISNA(MATCH(Q$2,Inputs!$K$4:$AJ$4,0)),NA(),IF(SUMPRODUCT((Inputs!$A$5:$A$140=$B24)*ISNUMBER(INDEX(Inputs!$K$5:$AJ$140,0,MATCH(Q$2,Inputs!$K$4:$AJ$4,0))))+SUMPRODUCT((Inputs!$C$5:$C$140=$B24)*ISNUMBER(INDEX(Inputs!$K$5:$AJ$140,0,MATCH(Q$2,Inputs!$K$4:$AJ$4,0))))+SUMPRODUCT((Inputs!$E$5:$E$140=$B24)*ISNUMBER(INDEX(Inputs!$K$5:$AJ$140,0,MATCH(Q$2,Inputs!$K$4:$AJ$4,0))))=0,NA(),SUMPRODUCT((Inputs!$A$5:$A$140=$B24)*Inputs!$B$5:$B$140*(((Inputs!$G$5:$G$140="moeda")+(Inputs!$G$5:$G$140="acoes"))*Inputs!$B$1+((Inputs!$G$5:$G$140&lt;&gt;"moeda")*(Inputs!$G$5:$G$140&lt;&gt;"acoes")))*INDEX(Inputs!$K$5:$AJ$140,0,MATCH(Q$2,Inputs!$K$4:$AJ$4,0)))+SUMPRODUCT((Inputs!$C$5:$C$140=$B24)*Inputs!$D$5:$D$140*(((Inputs!$G$5:$G$140="moeda")+(Inputs!$G$5:$G$140="acoes"))*Inputs!$B$1+((Inputs!$G$5:$G$140&lt;&gt;"moeda")*(Inputs!$G$5:$G$140&lt;&gt;"acoes")))*INDEX(Inputs!$K$5:$AJ$140,0,MATCH(Q$2,Inputs!$K$4:$AJ$4,0)))+SUMPRODUCT((Inputs!$E$5:$E$140=$B24)*Inputs!$F$5:$F$140*(((Inputs!$G$5:$G$140="moeda")+(Inputs!$G$5:$G$140="acoes"))*Inputs!$B$1+((Inputs!$G$5:$G$140&lt;&gt;"moeda")*(Inputs!$G$5:$G$140&lt;&gt;"acoes")))*INDEX(Inputs!$K$5:$AJ$140,0,MATCH(Q$2,Inputs!$K$4:$AJ$4,0)))))</f>
        <v>4430</v>
      </c>
      <c r="R24" s="3">
        <f>Q24</f>
        <v>4430</v>
      </c>
      <c r="S24" s="6">
        <f>IF(ISNA(MATCH(S$2,Inputs!$K$4:$AJ$4,0)),NA(),IF(SUMPRODUCT((Inputs!$A$5:$A$140=$B24)*ISNUMBER(INDEX(Inputs!$K$5:$AJ$140,0,MATCH(S$2,Inputs!$K$4:$AJ$4,0))))+SUMPRODUCT((Inputs!$C$5:$C$140=$B24)*ISNUMBER(INDEX(Inputs!$K$5:$AJ$140,0,MATCH(S$2,Inputs!$K$4:$AJ$4,0))))+SUMPRODUCT((Inputs!$E$5:$E$140=$B24)*ISNUMBER(INDEX(Inputs!$K$5:$AJ$140,0,MATCH(S$2,Inputs!$K$4:$AJ$4,0))))=0,NA(),SUMPRODUCT((Inputs!$A$5:$A$140=$B24)*Inputs!$B$5:$B$140*(((Inputs!$G$5:$G$140="moeda")+(Inputs!$G$5:$G$140="acoes"))*Inputs!$B$1+((Inputs!$G$5:$G$140&lt;&gt;"moeda")*(Inputs!$G$5:$G$140&lt;&gt;"acoes")))*INDEX(Inputs!$K$5:$AJ$140,0,MATCH(S$2,Inputs!$K$4:$AJ$4,0)))+SUMPRODUCT((Inputs!$C$5:$C$140=$B24)*Inputs!$D$5:$D$140*(((Inputs!$G$5:$G$140="moeda")+(Inputs!$G$5:$G$140="acoes"))*Inputs!$B$1+((Inputs!$G$5:$G$140&lt;&gt;"moeda")*(Inputs!$G$5:$G$140&lt;&gt;"acoes")))*INDEX(Inputs!$K$5:$AJ$140,0,MATCH(S$2,Inputs!$K$4:$AJ$4,0)))+SUMPRODUCT((Inputs!$E$5:$E$140=$B24)*Inputs!$F$5:$F$140*(((Inputs!$G$5:$G$140="moeda")+(Inputs!$G$5:$G$140="acoes"))*Inputs!$B$1+((Inputs!$G$5:$G$140&lt;&gt;"moeda")*(Inputs!$G$5:$G$140&lt;&gt;"acoes")))*INDEX(Inputs!$K$5:$AJ$140,0,MATCH(S$2,Inputs!$K$4:$AJ$4,0)))))</f>
        <v>4453</v>
      </c>
      <c r="T24" s="6">
        <f>IF(ISNA(MATCH(T$2,Inputs!$K$4:$AJ$4,0)),NA(),IF(SUMPRODUCT((Inputs!$A$5:$A$140=$B24)*ISNUMBER(INDEX(Inputs!$K$5:$AJ$140,0,MATCH(T$2,Inputs!$K$4:$AJ$4,0))))+SUMPRODUCT((Inputs!$C$5:$C$140=$B24)*ISNUMBER(INDEX(Inputs!$K$5:$AJ$140,0,MATCH(T$2,Inputs!$K$4:$AJ$4,0))))+SUMPRODUCT((Inputs!$E$5:$E$140=$B24)*ISNUMBER(INDEX(Inputs!$K$5:$AJ$140,0,MATCH(T$2,Inputs!$K$4:$AJ$4,0))))=0,NA(),SUMPRODUCT((Inputs!$A$5:$A$140=$B24)*Inputs!$B$5:$B$140*(((Inputs!$G$5:$G$140="moeda")+(Inputs!$G$5:$G$140="acoes"))*Inputs!$B$1+((Inputs!$G$5:$G$140&lt;&gt;"moeda")*(Inputs!$G$5:$G$140&lt;&gt;"acoes")))*INDEX(Inputs!$K$5:$AJ$140,0,MATCH(T$2,Inputs!$K$4:$AJ$4,0)))+SUMPRODUCT((Inputs!$C$5:$C$140=$B24)*Inputs!$D$5:$D$140*(((Inputs!$G$5:$G$140="moeda")+(Inputs!$G$5:$G$140="acoes"))*Inputs!$B$1+((Inputs!$G$5:$G$140&lt;&gt;"moeda")*(Inputs!$G$5:$G$140&lt;&gt;"acoes")))*INDEX(Inputs!$K$5:$AJ$140,0,MATCH(T$2,Inputs!$K$4:$AJ$4,0)))+SUMPRODUCT((Inputs!$E$5:$E$140=$B24)*Inputs!$F$5:$F$140*(((Inputs!$G$5:$G$140="moeda")+(Inputs!$G$5:$G$140="acoes"))*Inputs!$B$1+((Inputs!$G$5:$G$140&lt;&gt;"moeda")*(Inputs!$G$5:$G$140&lt;&gt;"acoes")))*INDEX(Inputs!$K$5:$AJ$140,0,MATCH(T$2,Inputs!$K$4:$AJ$4,0)))))</f>
        <v>4622</v>
      </c>
      <c r="U24" s="6">
        <f>IF(ISNA(MATCH(U$2,Inputs!$K$4:$AJ$4,0)),NA(),IF(SUMPRODUCT((Inputs!$A$5:$A$140=$B24)*ISNUMBER(INDEX(Inputs!$K$5:$AJ$140,0,MATCH(U$2,Inputs!$K$4:$AJ$4,0))))+SUMPRODUCT((Inputs!$C$5:$C$140=$B24)*ISNUMBER(INDEX(Inputs!$K$5:$AJ$140,0,MATCH(U$2,Inputs!$K$4:$AJ$4,0))))+SUMPRODUCT((Inputs!$E$5:$E$140=$B24)*ISNUMBER(INDEX(Inputs!$K$5:$AJ$140,0,MATCH(U$2,Inputs!$K$4:$AJ$4,0))))=0,NA(),SUMPRODUCT((Inputs!$A$5:$A$140=$B24)*Inputs!$B$5:$B$140*(((Inputs!$G$5:$G$140="moeda")+(Inputs!$G$5:$G$140="acoes"))*Inputs!$B$1+((Inputs!$G$5:$G$140&lt;&gt;"moeda")*(Inputs!$G$5:$G$140&lt;&gt;"acoes")))*INDEX(Inputs!$K$5:$AJ$140,0,MATCH(U$2,Inputs!$K$4:$AJ$4,0)))+SUMPRODUCT((Inputs!$C$5:$C$140=$B24)*Inputs!$D$5:$D$140*(((Inputs!$G$5:$G$140="moeda")+(Inputs!$G$5:$G$140="acoes"))*Inputs!$B$1+((Inputs!$G$5:$G$140&lt;&gt;"moeda")*(Inputs!$G$5:$G$140&lt;&gt;"acoes")))*INDEX(Inputs!$K$5:$AJ$140,0,MATCH(U$2,Inputs!$K$4:$AJ$4,0)))+SUMPRODUCT((Inputs!$E$5:$E$140=$B24)*Inputs!$F$5:$F$140*(((Inputs!$G$5:$G$140="moeda")+(Inputs!$G$5:$G$140="acoes"))*Inputs!$B$1+((Inputs!$G$5:$G$140&lt;&gt;"moeda")*(Inputs!$G$5:$G$140&lt;&gt;"acoes")))*INDEX(Inputs!$K$5:$AJ$140,0,MATCH(U$2,Inputs!$K$4:$AJ$4,0)))))</f>
        <v>4724</v>
      </c>
      <c r="V24" s="6">
        <f>IF(ISNA(MATCH(V$2,Inputs!$K$4:$AJ$4,0)),NA(),IF(SUMPRODUCT((Inputs!$A$5:$A$140=$B24)*ISNUMBER(INDEX(Inputs!$K$5:$AJ$140,0,MATCH(V$2,Inputs!$K$4:$AJ$4,0))))+SUMPRODUCT((Inputs!$C$5:$C$140=$B24)*ISNUMBER(INDEX(Inputs!$K$5:$AJ$140,0,MATCH(V$2,Inputs!$K$4:$AJ$4,0))))+SUMPRODUCT((Inputs!$E$5:$E$140=$B24)*ISNUMBER(INDEX(Inputs!$K$5:$AJ$140,0,MATCH(V$2,Inputs!$K$4:$AJ$4,0))))=0,NA(),SUMPRODUCT((Inputs!$A$5:$A$140=$B24)*Inputs!$B$5:$B$140*(((Inputs!$G$5:$G$140="moeda")+(Inputs!$G$5:$G$140="acoes"))*Inputs!$B$1+((Inputs!$G$5:$G$140&lt;&gt;"moeda")*(Inputs!$G$5:$G$140&lt;&gt;"acoes")))*INDEX(Inputs!$K$5:$AJ$140,0,MATCH(V$2,Inputs!$K$4:$AJ$4,0)))+SUMPRODUCT((Inputs!$C$5:$C$140=$B24)*Inputs!$D$5:$D$140*(((Inputs!$G$5:$G$140="moeda")+(Inputs!$G$5:$G$140="acoes"))*Inputs!$B$1+((Inputs!$G$5:$G$140&lt;&gt;"moeda")*(Inputs!$G$5:$G$140&lt;&gt;"acoes")))*INDEX(Inputs!$K$5:$AJ$140,0,MATCH(V$2,Inputs!$K$4:$AJ$4,0)))+SUMPRODUCT((Inputs!$E$5:$E$140=$B24)*Inputs!$F$5:$F$140*(((Inputs!$G$5:$G$140="moeda")+(Inputs!$G$5:$G$140="acoes"))*Inputs!$B$1+((Inputs!$G$5:$G$140&lt;&gt;"moeda")*(Inputs!$G$5:$G$140&lt;&gt;"acoes")))*INDEX(Inputs!$K$5:$AJ$140,0,MATCH(V$2,Inputs!$K$4:$AJ$4,0)))))</f>
        <v>5188</v>
      </c>
      <c r="W24" s="3">
        <f>V24</f>
        <v>5188</v>
      </c>
      <c r="X24" s="6">
        <f>IF(ISNA(MATCH(X$2,Inputs!$K$4:$AJ$4,0)),NA(),IF(SUMPRODUCT((Inputs!$A$5:$A$140=$B24)*ISNUMBER(INDEX(Inputs!$K$5:$AJ$140,0,MATCH(X$2,Inputs!$K$4:$AJ$4,0))))+SUMPRODUCT((Inputs!$C$5:$C$140=$B24)*ISNUMBER(INDEX(Inputs!$K$5:$AJ$140,0,MATCH(X$2,Inputs!$K$4:$AJ$4,0))))+SUMPRODUCT((Inputs!$E$5:$E$140=$B24)*ISNUMBER(INDEX(Inputs!$K$5:$AJ$140,0,MATCH(X$2,Inputs!$K$4:$AJ$4,0))))=0,NA(),SUMPRODUCT((Inputs!$A$5:$A$140=$B24)*Inputs!$B$5:$B$140*(((Inputs!$G$5:$G$140="moeda")+(Inputs!$G$5:$G$140="acoes"))*Inputs!$B$1+((Inputs!$G$5:$G$140&lt;&gt;"moeda")*(Inputs!$G$5:$G$140&lt;&gt;"acoes")))*INDEX(Inputs!$K$5:$AJ$140,0,MATCH(X$2,Inputs!$K$4:$AJ$4,0)))+SUMPRODUCT((Inputs!$C$5:$C$140=$B24)*Inputs!$D$5:$D$140*(((Inputs!$G$5:$G$140="moeda")+(Inputs!$G$5:$G$140="acoes"))*Inputs!$B$1+((Inputs!$G$5:$G$140&lt;&gt;"moeda")*(Inputs!$G$5:$G$140&lt;&gt;"acoes")))*INDEX(Inputs!$K$5:$AJ$140,0,MATCH(X$2,Inputs!$K$4:$AJ$4,0)))+SUMPRODUCT((Inputs!$E$5:$E$140=$B24)*Inputs!$F$5:$F$140*(((Inputs!$G$5:$G$140="moeda")+(Inputs!$G$5:$G$140="acoes"))*Inputs!$B$1+((Inputs!$G$5:$G$140&lt;&gt;"moeda")*(Inputs!$G$5:$G$140&lt;&gt;"acoes")))*INDEX(Inputs!$K$5:$AJ$140,0,MATCH(X$2,Inputs!$K$4:$AJ$4,0)))))</f>
        <v>5498</v>
      </c>
      <c r="Y24" s="6">
        <f>IF(ISNA(MATCH(Y$2,Inputs!$K$4:$AJ$4,0)),NA(),IF(SUMPRODUCT((Inputs!$A$5:$A$140=$B24)*ISNUMBER(INDEX(Inputs!$K$5:$AJ$140,0,MATCH(Y$2,Inputs!$K$4:$AJ$4,0))))+SUMPRODUCT((Inputs!$C$5:$C$140=$B24)*ISNUMBER(INDEX(Inputs!$K$5:$AJ$140,0,MATCH(Y$2,Inputs!$K$4:$AJ$4,0))))+SUMPRODUCT((Inputs!$E$5:$E$140=$B24)*ISNUMBER(INDEX(Inputs!$K$5:$AJ$140,0,MATCH(Y$2,Inputs!$K$4:$AJ$4,0))))=0,NA(),SUMPRODUCT((Inputs!$A$5:$A$140=$B24)*Inputs!$B$5:$B$140*(((Inputs!$G$5:$G$140="moeda")+(Inputs!$G$5:$G$140="acoes"))*Inputs!$B$1+((Inputs!$G$5:$G$140&lt;&gt;"moeda")*(Inputs!$G$5:$G$140&lt;&gt;"acoes")))*INDEX(Inputs!$K$5:$AJ$140,0,MATCH(Y$2,Inputs!$K$4:$AJ$4,0)))+SUMPRODUCT((Inputs!$C$5:$C$140=$B24)*Inputs!$D$5:$D$140*(((Inputs!$G$5:$G$140="moeda")+(Inputs!$G$5:$G$140="acoes"))*Inputs!$B$1+((Inputs!$G$5:$G$140&lt;&gt;"moeda")*(Inputs!$G$5:$G$140&lt;&gt;"acoes")))*INDEX(Inputs!$K$5:$AJ$140,0,MATCH(Y$2,Inputs!$K$4:$AJ$4,0)))+SUMPRODUCT((Inputs!$E$5:$E$140=$B24)*Inputs!$F$5:$F$140*(((Inputs!$G$5:$G$140="moeda")+(Inputs!$G$5:$G$140="acoes"))*Inputs!$B$1+((Inputs!$G$5:$G$140&lt;&gt;"moeda")*(Inputs!$G$5:$G$140&lt;&gt;"acoes")))*INDEX(Inputs!$K$5:$AJ$140,0,MATCH(Y$2,Inputs!$K$4:$AJ$4,0)))))</f>
        <v>5755</v>
      </c>
      <c r="Z24" s="6">
        <f>IF(ISNA(MATCH(Z$2,Inputs!$K$4:$AJ$4,0)),NA(),IF(SUMPRODUCT((Inputs!$A$5:$A$140=$B24)*ISNUMBER(INDEX(Inputs!$K$5:$AJ$140,0,MATCH(Z$2,Inputs!$K$4:$AJ$4,0))))+SUMPRODUCT((Inputs!$C$5:$C$140=$B24)*ISNUMBER(INDEX(Inputs!$K$5:$AJ$140,0,MATCH(Z$2,Inputs!$K$4:$AJ$4,0))))+SUMPRODUCT((Inputs!$E$5:$E$140=$B24)*ISNUMBER(INDEX(Inputs!$K$5:$AJ$140,0,MATCH(Z$2,Inputs!$K$4:$AJ$4,0))))=0,NA(),SUMPRODUCT((Inputs!$A$5:$A$140=$B24)*Inputs!$B$5:$B$140*(((Inputs!$G$5:$G$140="moeda")+(Inputs!$G$5:$G$140="acoes"))*Inputs!$B$1+((Inputs!$G$5:$G$140&lt;&gt;"moeda")*(Inputs!$G$5:$G$140&lt;&gt;"acoes")))*INDEX(Inputs!$K$5:$AJ$140,0,MATCH(Z$2,Inputs!$K$4:$AJ$4,0)))+SUMPRODUCT((Inputs!$C$5:$C$140=$B24)*Inputs!$D$5:$D$140*(((Inputs!$G$5:$G$140="moeda")+(Inputs!$G$5:$G$140="acoes"))*Inputs!$B$1+((Inputs!$G$5:$G$140&lt;&gt;"moeda")*(Inputs!$G$5:$G$140&lt;&gt;"acoes")))*INDEX(Inputs!$K$5:$AJ$140,0,MATCH(Z$2,Inputs!$K$4:$AJ$4,0)))+SUMPRODUCT((Inputs!$E$5:$E$140=$B24)*Inputs!$F$5:$F$140*(((Inputs!$G$5:$G$140="moeda")+(Inputs!$G$5:$G$140="acoes"))*Inputs!$B$1+((Inputs!$G$5:$G$140&lt;&gt;"moeda")*(Inputs!$G$5:$G$140&lt;&gt;"acoes")))*INDEX(Inputs!$K$5:$AJ$140,0,MATCH(Z$2,Inputs!$K$4:$AJ$4,0)))))</f>
        <v>6261</v>
      </c>
      <c r="AA24" s="6">
        <f>IF(ISNA(MATCH(AA$2,Inputs!$K$4:$AJ$4,0)),NA(),IF(SUMPRODUCT((Inputs!$A$5:$A$140=$B24)*ISNUMBER(INDEX(Inputs!$K$5:$AJ$140,0,MATCH(AA$2,Inputs!$K$4:$AJ$4,0))))+SUMPRODUCT((Inputs!$C$5:$C$140=$B24)*ISNUMBER(INDEX(Inputs!$K$5:$AJ$140,0,MATCH(AA$2,Inputs!$K$4:$AJ$4,0))))+SUMPRODUCT((Inputs!$E$5:$E$140=$B24)*ISNUMBER(INDEX(Inputs!$K$5:$AJ$140,0,MATCH(AA$2,Inputs!$K$4:$AJ$4,0))))=0,NA(),SUMPRODUCT((Inputs!$A$5:$A$140=$B24)*Inputs!$B$5:$B$140*(((Inputs!$G$5:$G$140="moeda")+(Inputs!$G$5:$G$140="acoes"))*Inputs!$B$1+((Inputs!$G$5:$G$140&lt;&gt;"moeda")*(Inputs!$G$5:$G$140&lt;&gt;"acoes")))*INDEX(Inputs!$K$5:$AJ$140,0,MATCH(AA$2,Inputs!$K$4:$AJ$4,0)))+SUMPRODUCT((Inputs!$C$5:$C$140=$B24)*Inputs!$D$5:$D$140*(((Inputs!$G$5:$G$140="moeda")+(Inputs!$G$5:$G$140="acoes"))*Inputs!$B$1+((Inputs!$G$5:$G$140&lt;&gt;"moeda")*(Inputs!$G$5:$G$140&lt;&gt;"acoes")))*INDEX(Inputs!$K$5:$AJ$140,0,MATCH(AA$2,Inputs!$K$4:$AJ$4,0)))+SUMPRODUCT((Inputs!$E$5:$E$140=$B24)*Inputs!$F$5:$F$140*(((Inputs!$G$5:$G$140="moeda")+(Inputs!$G$5:$G$140="acoes"))*Inputs!$B$1+((Inputs!$G$5:$G$140&lt;&gt;"moeda")*(Inputs!$G$5:$G$140&lt;&gt;"acoes")))*INDEX(Inputs!$K$5:$AJ$140,0,MATCH(AA$2,Inputs!$K$4:$AJ$4,0)))))</f>
        <v>20832</v>
      </c>
      <c r="AB24" s="3">
        <f>AA24</f>
        <v>20832</v>
      </c>
      <c r="AC24" s="6">
        <f>IF(ISNA(MATCH(AC$2,Inputs!$K$4:$AJ$4,0)),NA(),IF(SUMPRODUCT((Inputs!$A$5:$A$140=$B24)*ISNUMBER(INDEX(Inputs!$K$5:$AJ$140,0,MATCH(AC$2,Inputs!$K$4:$AJ$4,0))))+SUMPRODUCT((Inputs!$C$5:$C$140=$B24)*ISNUMBER(INDEX(Inputs!$K$5:$AJ$140,0,MATCH(AC$2,Inputs!$K$4:$AJ$4,0))))+SUMPRODUCT((Inputs!$E$5:$E$140=$B24)*ISNUMBER(INDEX(Inputs!$K$5:$AJ$140,0,MATCH(AC$2,Inputs!$K$4:$AJ$4,0))))=0,NA(),SUMPRODUCT((Inputs!$A$5:$A$140=$B24)*Inputs!$B$5:$B$140*(((Inputs!$G$5:$G$140="moeda")+(Inputs!$G$5:$G$140="acoes"))*Inputs!$B$1+((Inputs!$G$5:$G$140&lt;&gt;"moeda")*(Inputs!$G$5:$G$140&lt;&gt;"acoes")))*INDEX(Inputs!$K$5:$AJ$140,0,MATCH(AC$2,Inputs!$K$4:$AJ$4,0)))+SUMPRODUCT((Inputs!$C$5:$C$140=$B24)*Inputs!$D$5:$D$140*(((Inputs!$G$5:$G$140="moeda")+(Inputs!$G$5:$G$140="acoes"))*Inputs!$B$1+((Inputs!$G$5:$G$140&lt;&gt;"moeda")*(Inputs!$G$5:$G$140&lt;&gt;"acoes")))*INDEX(Inputs!$K$5:$AJ$140,0,MATCH(AC$2,Inputs!$K$4:$AJ$4,0)))+SUMPRODUCT((Inputs!$E$5:$E$140=$B24)*Inputs!$F$5:$F$140*(((Inputs!$G$5:$G$140="moeda")+(Inputs!$G$5:$G$140="acoes"))*Inputs!$B$1+((Inputs!$G$5:$G$140&lt;&gt;"moeda")*(Inputs!$G$5:$G$140&lt;&gt;"acoes")))*INDEX(Inputs!$K$5:$AJ$140,0,MATCH(AC$2,Inputs!$K$4:$AJ$4,0)))))</f>
        <v>20894</v>
      </c>
      <c r="AD24" s="6">
        <f>IF(ISNA(MATCH(AD$2,Inputs!$K$4:$AJ$4,0)),NA(),IF(SUMPRODUCT((Inputs!$A$5:$A$140=$B24)*ISNUMBER(INDEX(Inputs!$K$5:$AJ$140,0,MATCH(AD$2,Inputs!$K$4:$AJ$4,0))))+SUMPRODUCT((Inputs!$C$5:$C$140=$B24)*ISNUMBER(INDEX(Inputs!$K$5:$AJ$140,0,MATCH(AD$2,Inputs!$K$4:$AJ$4,0))))+SUMPRODUCT((Inputs!$E$5:$E$140=$B24)*ISNUMBER(INDEX(Inputs!$K$5:$AJ$140,0,MATCH(AD$2,Inputs!$K$4:$AJ$4,0))))=0,NA(),SUMPRODUCT((Inputs!$A$5:$A$140=$B24)*Inputs!$B$5:$B$140*(((Inputs!$G$5:$G$140="moeda")+(Inputs!$G$5:$G$140="acoes"))*Inputs!$B$1+((Inputs!$G$5:$G$140&lt;&gt;"moeda")*(Inputs!$G$5:$G$140&lt;&gt;"acoes")))*INDEX(Inputs!$K$5:$AJ$140,0,MATCH(AD$2,Inputs!$K$4:$AJ$4,0)))+SUMPRODUCT((Inputs!$C$5:$C$140=$B24)*Inputs!$D$5:$D$140*(((Inputs!$G$5:$G$140="moeda")+(Inputs!$G$5:$G$140="acoes"))*Inputs!$B$1+((Inputs!$G$5:$G$140&lt;&gt;"moeda")*(Inputs!$G$5:$G$140&lt;&gt;"acoes")))*INDEX(Inputs!$K$5:$AJ$140,0,MATCH(AD$2,Inputs!$K$4:$AJ$4,0)))+SUMPRODUCT((Inputs!$E$5:$E$140=$B24)*Inputs!$F$5:$F$140*(((Inputs!$G$5:$G$140="moeda")+(Inputs!$G$5:$G$140="acoes"))*Inputs!$B$1+((Inputs!$G$5:$G$140&lt;&gt;"moeda")*(Inputs!$G$5:$G$140&lt;&gt;"acoes")))*INDEX(Inputs!$K$5:$AJ$140,0,MATCH(AD$2,Inputs!$K$4:$AJ$4,0)))))</f>
        <v>21125</v>
      </c>
      <c r="AE24" s="6" t="e">
        <f>IF(ISNA(MATCH(AE$2,Inputs!$K$4:$AJ$4,0)),NA(),IF(SUMPRODUCT((Inputs!$A$5:$A$140=$B24)*ISNUMBER(INDEX(Inputs!$K$5:$AJ$140,0,MATCH(AE$2,Inputs!$K$4:$AJ$4,0))))+SUMPRODUCT((Inputs!$C$5:$C$140=$B24)*ISNUMBER(INDEX(Inputs!$K$5:$AJ$140,0,MATCH(AE$2,Inputs!$K$4:$AJ$4,0))))+SUMPRODUCT((Inputs!$E$5:$E$140=$B24)*ISNUMBER(INDEX(Inputs!$K$5:$AJ$140,0,MATCH(AE$2,Inputs!$K$4:$AJ$4,0))))=0,NA(),SUMPRODUCT((Inputs!$A$5:$A$140=$B24)*Inputs!$B$5:$B$140*(((Inputs!$G$5:$G$140="moeda")+(Inputs!$G$5:$G$140="acoes"))*Inputs!$B$1+((Inputs!$G$5:$G$140&lt;&gt;"moeda")*(Inputs!$G$5:$G$140&lt;&gt;"acoes")))*INDEX(Inputs!$K$5:$AJ$140,0,MATCH(AE$2,Inputs!$K$4:$AJ$4,0)))+SUMPRODUCT((Inputs!$C$5:$C$140=$B24)*Inputs!$D$5:$D$140*(((Inputs!$G$5:$G$140="moeda")+(Inputs!$G$5:$G$140="acoes"))*Inputs!$B$1+((Inputs!$G$5:$G$140&lt;&gt;"moeda")*(Inputs!$G$5:$G$140&lt;&gt;"acoes")))*INDEX(Inputs!$K$5:$AJ$140,0,MATCH(AE$2,Inputs!$K$4:$AJ$4,0)))+SUMPRODUCT((Inputs!$E$5:$E$140=$B24)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24" s="6" t="e">
        <f>IF(ISNA(MATCH(AF$2,Inputs!$K$4:$AJ$4,0)),NA(),IF(SUMPRODUCT((Inputs!$A$5:$A$140=$B24)*ISNUMBER(INDEX(Inputs!$K$5:$AJ$140,0,MATCH(AF$2,Inputs!$K$4:$AJ$4,0))))+SUMPRODUCT((Inputs!$C$5:$C$140=$B24)*ISNUMBER(INDEX(Inputs!$K$5:$AJ$140,0,MATCH(AF$2,Inputs!$K$4:$AJ$4,0))))+SUMPRODUCT((Inputs!$E$5:$E$140=$B24)*ISNUMBER(INDEX(Inputs!$K$5:$AJ$140,0,MATCH(AF$2,Inputs!$K$4:$AJ$4,0))))=0,NA(),SUMPRODUCT((Inputs!$A$5:$A$140=$B24)*Inputs!$B$5:$B$140*(((Inputs!$G$5:$G$140="moeda")+(Inputs!$G$5:$G$140="acoes"))*Inputs!$B$1+((Inputs!$G$5:$G$140&lt;&gt;"moeda")*(Inputs!$G$5:$G$140&lt;&gt;"acoes")))*INDEX(Inputs!$K$5:$AJ$140,0,MATCH(AF$2,Inputs!$K$4:$AJ$4,0)))+SUMPRODUCT((Inputs!$C$5:$C$140=$B24)*Inputs!$D$5:$D$140*(((Inputs!$G$5:$G$140="moeda")+(Inputs!$G$5:$G$140="acoes"))*Inputs!$B$1+((Inputs!$G$5:$G$140&lt;&gt;"moeda")*(Inputs!$G$5:$G$140&lt;&gt;"acoes")))*INDEX(Inputs!$K$5:$AJ$140,0,MATCH(AF$2,Inputs!$K$4:$AJ$4,0)))+SUMPRODUCT((Inputs!$E$5:$E$140=$B24)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24" s="3" t="e">
        <f>AF24</f>
        <v>#N/A</v>
      </c>
      <c r="AH24" s="6">
        <f>IF(ISNA(MATCH(AH$2,Inputs!$K$4:$AJ$4,0)),NA(),IF(SUMPRODUCT((Inputs!$A$5:$A$140=$B24)*ISNUMBER(INDEX(Inputs!$K$5:$AJ$140,0,MATCH(AH$2,Inputs!$K$4:$AJ$4,0))))+SUMPRODUCT((Inputs!$C$5:$C$140=$B24)*ISNUMBER(INDEX(Inputs!$K$5:$AJ$140,0,MATCH(AH$2,Inputs!$K$4:$AJ$4,0))))+SUMPRODUCT((Inputs!$E$5:$E$140=$B24)*ISNUMBER(INDEX(Inputs!$K$5:$AJ$140,0,MATCH(AH$2,Inputs!$K$4:$AJ$4,0))))=0,NA(),SUMPRODUCT((Inputs!$A$5:$A$140=$B24)*Inputs!$B$5:$B$140*(((Inputs!$G$5:$G$140="moeda")+(Inputs!$G$5:$G$140="acoes"))*Inputs!$B$1+((Inputs!$G$5:$G$140&lt;&gt;"moeda")*(Inputs!$G$5:$G$140&lt;&gt;"acoes")))*INDEX(Inputs!$K$5:$AJ$140,0,MATCH(AH$2,Inputs!$K$4:$AJ$4,0)))+SUMPRODUCT((Inputs!$C$5:$C$140=$B24)*Inputs!$D$5:$D$140*(((Inputs!$G$5:$G$140="moeda")+(Inputs!$G$5:$G$140="acoes"))*Inputs!$B$1+((Inputs!$G$5:$G$140&lt;&gt;"moeda")*(Inputs!$G$5:$G$140&lt;&gt;"acoes")))*INDEX(Inputs!$K$5:$AJ$140,0,MATCH(AH$2,Inputs!$K$4:$AJ$4,0)))+SUMPRODUCT((Inputs!$E$5:$E$140=$B24)*Inputs!$F$5:$F$140*(((Inputs!$G$5:$G$140="moeda")+(Inputs!$G$5:$G$140="acoes"))*Inputs!$B$1+((Inputs!$G$5:$G$140&lt;&gt;"moeda")*(Inputs!$G$5:$G$140&lt;&gt;"acoes")))*INDEX(Inputs!$K$5:$AJ$140,0,MATCH(AH$2,Inputs!$K$4:$AJ$4,0)))))</f>
        <v>628</v>
      </c>
      <c r="AI24" s="6">
        <f>IF(ISNA(MATCH(AI$2,Inputs!$K$4:$AJ$4,0)),NA(),IF(SUMPRODUCT((Inputs!$A$5:$A$140=$B24)*ISNUMBER(INDEX(Inputs!$K$5:$AJ$140,0,MATCH(AI$2,Inputs!$K$4:$AJ$4,0))))+SUMPRODUCT((Inputs!$C$5:$C$140=$B24)*ISNUMBER(INDEX(Inputs!$K$5:$AJ$140,0,MATCH(AI$2,Inputs!$K$4:$AJ$4,0))))+SUMPRODUCT((Inputs!$E$5:$E$140=$B24)*ISNUMBER(INDEX(Inputs!$K$5:$AJ$140,0,MATCH(AI$2,Inputs!$K$4:$AJ$4,0))))=0,NA(),SUMPRODUCT((Inputs!$A$5:$A$140=$B24)*Inputs!$B$5:$B$140*(((Inputs!$G$5:$G$140="moeda")+(Inputs!$G$5:$G$140="acoes"))*Inputs!$B$1+((Inputs!$G$5:$G$140&lt;&gt;"moeda")*(Inputs!$G$5:$G$140&lt;&gt;"acoes")))*INDEX(Inputs!$K$5:$AJ$140,0,MATCH(AI$2,Inputs!$K$4:$AJ$4,0)))+SUMPRODUCT((Inputs!$C$5:$C$140=$B24)*Inputs!$D$5:$D$140*(((Inputs!$G$5:$G$140="moeda")+(Inputs!$G$5:$G$140="acoes"))*Inputs!$B$1+((Inputs!$G$5:$G$140&lt;&gt;"moeda")*(Inputs!$G$5:$G$140&lt;&gt;"acoes")))*INDEX(Inputs!$K$5:$AJ$140,0,MATCH(AI$2,Inputs!$K$4:$AJ$4,0)))+SUMPRODUCT((Inputs!$E$5:$E$140=$B24)*Inputs!$F$5:$F$140*(((Inputs!$G$5:$G$140="moeda")+(Inputs!$G$5:$G$140="acoes"))*Inputs!$B$1+((Inputs!$G$5:$G$140&lt;&gt;"moeda")*(Inputs!$G$5:$G$140&lt;&gt;"acoes")))*INDEX(Inputs!$K$5:$AJ$140,0,MATCH(AI$2,Inputs!$K$4:$AJ$4,0)))))</f>
        <v>4193</v>
      </c>
      <c r="AJ24" s="6">
        <f>IF(ISNA(MATCH(AJ$2,Inputs!$K$4:$AJ$4,0)),NA(),IF(SUMPRODUCT((Inputs!$A$5:$A$140=$B24)*ISNUMBER(INDEX(Inputs!$K$5:$AJ$140,0,MATCH(AJ$2,Inputs!$K$4:$AJ$4,0))))+SUMPRODUCT((Inputs!$C$5:$C$140=$B24)*ISNUMBER(INDEX(Inputs!$K$5:$AJ$140,0,MATCH(AJ$2,Inputs!$K$4:$AJ$4,0))))+SUMPRODUCT((Inputs!$E$5:$E$140=$B24)*ISNUMBER(INDEX(Inputs!$K$5:$AJ$140,0,MATCH(AJ$2,Inputs!$K$4:$AJ$4,0))))=0,NA(),SUMPRODUCT((Inputs!$A$5:$A$140=$B24)*Inputs!$B$5:$B$140*(((Inputs!$G$5:$G$140="moeda")+(Inputs!$G$5:$G$140="acoes"))*Inputs!$B$1+((Inputs!$G$5:$G$140&lt;&gt;"moeda")*(Inputs!$G$5:$G$140&lt;&gt;"acoes")))*INDEX(Inputs!$K$5:$AJ$140,0,MATCH(AJ$2,Inputs!$K$4:$AJ$4,0)))+SUMPRODUCT((Inputs!$C$5:$C$140=$B24)*Inputs!$D$5:$D$140*(((Inputs!$G$5:$G$140="moeda")+(Inputs!$G$5:$G$140="acoes"))*Inputs!$B$1+((Inputs!$G$5:$G$140&lt;&gt;"moeda")*(Inputs!$G$5:$G$140&lt;&gt;"acoes")))*INDEX(Inputs!$K$5:$AJ$140,0,MATCH(AJ$2,Inputs!$K$4:$AJ$4,0)))+SUMPRODUCT((Inputs!$E$5:$E$140=$B24)*Inputs!$F$5:$F$140*(((Inputs!$G$5:$G$140="moeda")+(Inputs!$G$5:$G$140="acoes"))*Inputs!$B$1+((Inputs!$G$5:$G$140&lt;&gt;"moeda")*(Inputs!$G$5:$G$140&lt;&gt;"acoes")))*INDEX(Inputs!$K$5:$AJ$140,0,MATCH(AJ$2,Inputs!$K$4:$AJ$4,0)))))</f>
        <v>4193</v>
      </c>
      <c r="AK24" s="6">
        <f>IF(ISNA(MATCH(AK$2,Inputs!$K$4:$AJ$4,0)),NA(),IF(SUMPRODUCT((Inputs!$A$5:$A$140=$B24)*ISNUMBER(INDEX(Inputs!$K$5:$AJ$140,0,MATCH(AK$2,Inputs!$K$4:$AJ$4,0))))+SUMPRODUCT((Inputs!$C$5:$C$140=$B24)*ISNUMBER(INDEX(Inputs!$K$5:$AJ$140,0,MATCH(AK$2,Inputs!$K$4:$AJ$4,0))))+SUMPRODUCT((Inputs!$E$5:$E$140=$B24)*ISNUMBER(INDEX(Inputs!$K$5:$AJ$140,0,MATCH(AK$2,Inputs!$K$4:$AJ$4,0))))=0,NA(),SUMPRODUCT((Inputs!$A$5:$A$140=$B24)*Inputs!$B$5:$B$140*(((Inputs!$G$5:$G$140="moeda")+(Inputs!$G$5:$G$140="acoes"))*Inputs!$B$1+((Inputs!$G$5:$G$140&lt;&gt;"moeda")*(Inputs!$G$5:$G$140&lt;&gt;"acoes")))*INDEX(Inputs!$K$5:$AJ$140,0,MATCH(AK$2,Inputs!$K$4:$AJ$4,0)))+SUMPRODUCT((Inputs!$C$5:$C$140=$B24)*Inputs!$D$5:$D$140*(((Inputs!$G$5:$G$140="moeda")+(Inputs!$G$5:$G$140="acoes"))*Inputs!$B$1+((Inputs!$G$5:$G$140&lt;&gt;"moeda")*(Inputs!$G$5:$G$140&lt;&gt;"acoes")))*INDEX(Inputs!$K$5:$AJ$140,0,MATCH(AK$2,Inputs!$K$4:$AJ$4,0)))+SUMPRODUCT((Inputs!$E$5:$E$140=$B24)*Inputs!$F$5:$F$140*(((Inputs!$G$5:$G$140="moeda")+(Inputs!$G$5:$G$140="acoes"))*Inputs!$B$1+((Inputs!$G$5:$G$140&lt;&gt;"moeda")*(Inputs!$G$5:$G$140&lt;&gt;"acoes")))*INDEX(Inputs!$K$5:$AJ$140,0,MATCH(AK$2,Inputs!$K$4:$AJ$4,0)))))</f>
        <v>4193</v>
      </c>
      <c r="AL24" s="3">
        <f>AK24</f>
        <v>4193</v>
      </c>
    </row>
    <row r="25">
      <c r="B25" s="46" t="n">
        <v>21</v>
      </c>
      <c r="C25" s="26" t="inlineStr">
        <is>
          <t>Intangibles</t>
        </is>
      </c>
      <c r="D25" s="6">
        <f>IF(ISNA(MATCH(D$2,Inputs!$K$4:$AJ$4,0)),NA(),IF(SUMPRODUCT((Inputs!$A$5:$A$140=$B25)*ISNUMBER(INDEX(Inputs!$K$5:$AJ$140,0,MATCH(D$2,Inputs!$K$4:$AJ$4,0))))+SUMPRODUCT((Inputs!$C$5:$C$140=$B25)*ISNUMBER(INDEX(Inputs!$K$5:$AJ$140,0,MATCH(D$2,Inputs!$K$4:$AJ$4,0))))+SUMPRODUCT((Inputs!$E$5:$E$140=$B25)*ISNUMBER(INDEX(Inputs!$K$5:$AJ$140,0,MATCH(D$2,Inputs!$K$4:$AJ$4,0))))=0,NA(),SUMPRODUCT((Inputs!$A$5:$A$140=$B25)*Inputs!$B$5:$B$140*(((Inputs!$G$5:$G$140="moeda")+(Inputs!$G$5:$G$140="acoes"))*Inputs!$B$1+((Inputs!$G$5:$G$140&lt;&gt;"moeda")*(Inputs!$G$5:$G$140&lt;&gt;"acoes")))*INDEX(Inputs!$K$5:$AJ$140,0,MATCH(D$2,Inputs!$K$4:$AJ$4,0)))+SUMPRODUCT((Inputs!$C$5:$C$140=$B25)*Inputs!$D$5:$D$140*(((Inputs!$G$5:$G$140="moeda")+(Inputs!$G$5:$G$140="acoes"))*Inputs!$B$1+((Inputs!$G$5:$G$140&lt;&gt;"moeda")*(Inputs!$G$5:$G$140&lt;&gt;"acoes")))*INDEX(Inputs!$K$5:$AJ$140,0,MATCH(D$2,Inputs!$K$4:$AJ$4,0)))+SUMPRODUCT((Inputs!$E$5:$E$140=$B25)*Inputs!$F$5:$F$140*(((Inputs!$G$5:$G$140="moeda")+(Inputs!$G$5:$G$140="acoes"))*Inputs!$B$1+((Inputs!$G$5:$G$140&lt;&gt;"moeda")*(Inputs!$G$5:$G$140&lt;&gt;"acoes")))*INDEX(Inputs!$K$5:$AJ$140,0,MATCH(D$2,Inputs!$K$4:$AJ$4,0)))))</f>
        <v>2613</v>
      </c>
      <c r="E25" s="6">
        <f>IF(ISNA(MATCH(E$2,Inputs!$K$4:$AJ$4,0)),NA(),IF(SUMPRODUCT((Inputs!$A$5:$A$140=$B25)*ISNUMBER(INDEX(Inputs!$K$5:$AJ$140,0,MATCH(E$2,Inputs!$K$4:$AJ$4,0))))+SUMPRODUCT((Inputs!$C$5:$C$140=$B25)*ISNUMBER(INDEX(Inputs!$K$5:$AJ$140,0,MATCH(E$2,Inputs!$K$4:$AJ$4,0))))+SUMPRODUCT((Inputs!$E$5:$E$140=$B25)*ISNUMBER(INDEX(Inputs!$K$5:$AJ$140,0,MATCH(E$2,Inputs!$K$4:$AJ$4,0))))=0,NA(),SUMPRODUCT((Inputs!$A$5:$A$140=$B25)*Inputs!$B$5:$B$140*(((Inputs!$G$5:$G$140="moeda")+(Inputs!$G$5:$G$140="acoes"))*Inputs!$B$1+((Inputs!$G$5:$G$140&lt;&gt;"moeda")*(Inputs!$G$5:$G$140&lt;&gt;"acoes")))*INDEX(Inputs!$K$5:$AJ$140,0,MATCH(E$2,Inputs!$K$4:$AJ$4,0)))+SUMPRODUCT((Inputs!$C$5:$C$140=$B25)*Inputs!$D$5:$D$140*(((Inputs!$G$5:$G$140="moeda")+(Inputs!$G$5:$G$140="acoes"))*Inputs!$B$1+((Inputs!$G$5:$G$140&lt;&gt;"moeda")*(Inputs!$G$5:$G$140&lt;&gt;"acoes")))*INDEX(Inputs!$K$5:$AJ$140,0,MATCH(E$2,Inputs!$K$4:$AJ$4,0)))+SUMPRODUCT((Inputs!$E$5:$E$140=$B25)*Inputs!$F$5:$F$140*(((Inputs!$G$5:$G$140="moeda")+(Inputs!$G$5:$G$140="acoes"))*Inputs!$B$1+((Inputs!$G$5:$G$140&lt;&gt;"moeda")*(Inputs!$G$5:$G$140&lt;&gt;"acoes")))*INDEX(Inputs!$K$5:$AJ$140,0,MATCH(E$2,Inputs!$K$4:$AJ$4,0)))))</f>
        <v>2478</v>
      </c>
      <c r="F25" s="6">
        <f>IF(ISNA(MATCH(F$2,Inputs!$K$4:$AJ$4,0)),NA(),IF(SUMPRODUCT((Inputs!$A$5:$A$140=$B25)*ISNUMBER(INDEX(Inputs!$K$5:$AJ$140,0,MATCH(F$2,Inputs!$K$4:$AJ$4,0))))+SUMPRODUCT((Inputs!$C$5:$C$140=$B25)*ISNUMBER(INDEX(Inputs!$K$5:$AJ$140,0,MATCH(F$2,Inputs!$K$4:$AJ$4,0))))+SUMPRODUCT((Inputs!$E$5:$E$140=$B25)*ISNUMBER(INDEX(Inputs!$K$5:$AJ$140,0,MATCH(F$2,Inputs!$K$4:$AJ$4,0))))=0,NA(),SUMPRODUCT((Inputs!$A$5:$A$140=$B25)*Inputs!$B$5:$B$140*(((Inputs!$G$5:$G$140="moeda")+(Inputs!$G$5:$G$140="acoes"))*Inputs!$B$1+((Inputs!$G$5:$G$140&lt;&gt;"moeda")*(Inputs!$G$5:$G$140&lt;&gt;"acoes")))*INDEX(Inputs!$K$5:$AJ$140,0,MATCH(F$2,Inputs!$K$4:$AJ$4,0)))+SUMPRODUCT((Inputs!$C$5:$C$140=$B25)*Inputs!$D$5:$D$140*(((Inputs!$G$5:$G$140="moeda")+(Inputs!$G$5:$G$140="acoes"))*Inputs!$B$1+((Inputs!$G$5:$G$140&lt;&gt;"moeda")*(Inputs!$G$5:$G$140&lt;&gt;"acoes")))*INDEX(Inputs!$K$5:$AJ$140,0,MATCH(F$2,Inputs!$K$4:$AJ$4,0)))+SUMPRODUCT((Inputs!$E$5:$E$140=$B25)*Inputs!$F$5:$F$140*(((Inputs!$G$5:$G$140="moeda")+(Inputs!$G$5:$G$140="acoes"))*Inputs!$B$1+((Inputs!$G$5:$G$140&lt;&gt;"moeda")*(Inputs!$G$5:$G$140&lt;&gt;"acoes")))*INDEX(Inputs!$K$5:$AJ$140,0,MATCH(F$2,Inputs!$K$4:$AJ$4,0)))))</f>
        <v>2454</v>
      </c>
      <c r="G25" s="6">
        <f>IF(ISNA(MATCH(G$2,Inputs!$K$4:$AJ$4,0)),NA(),IF(SUMPRODUCT((Inputs!$A$5:$A$140=$B25)*ISNUMBER(INDEX(Inputs!$K$5:$AJ$140,0,MATCH(G$2,Inputs!$K$4:$AJ$4,0))))+SUMPRODUCT((Inputs!$C$5:$C$140=$B25)*ISNUMBER(INDEX(Inputs!$K$5:$AJ$140,0,MATCH(G$2,Inputs!$K$4:$AJ$4,0))))+SUMPRODUCT((Inputs!$E$5:$E$140=$B25)*ISNUMBER(INDEX(Inputs!$K$5:$AJ$140,0,MATCH(G$2,Inputs!$K$4:$AJ$4,0))))=0,NA(),SUMPRODUCT((Inputs!$A$5:$A$140=$B25)*Inputs!$B$5:$B$140*(((Inputs!$G$5:$G$140="moeda")+(Inputs!$G$5:$G$140="acoes"))*Inputs!$B$1+((Inputs!$G$5:$G$140&lt;&gt;"moeda")*(Inputs!$G$5:$G$140&lt;&gt;"acoes")))*INDEX(Inputs!$K$5:$AJ$140,0,MATCH(G$2,Inputs!$K$4:$AJ$4,0)))+SUMPRODUCT((Inputs!$C$5:$C$140=$B25)*Inputs!$D$5:$D$140*(((Inputs!$G$5:$G$140="moeda")+(Inputs!$G$5:$G$140="acoes"))*Inputs!$B$1+((Inputs!$G$5:$G$140&lt;&gt;"moeda")*(Inputs!$G$5:$G$140&lt;&gt;"acoes")))*INDEX(Inputs!$K$5:$AJ$140,0,MATCH(G$2,Inputs!$K$4:$AJ$4,0)))+SUMPRODUCT((Inputs!$E$5:$E$140=$B25)*Inputs!$F$5:$F$140*(((Inputs!$G$5:$G$140="moeda")+(Inputs!$G$5:$G$140="acoes"))*Inputs!$B$1+((Inputs!$G$5:$G$140&lt;&gt;"moeda")*(Inputs!$G$5:$G$140&lt;&gt;"acoes")))*INDEX(Inputs!$K$5:$AJ$140,0,MATCH(G$2,Inputs!$K$4:$AJ$4,0)))))</f>
        <v>2339</v>
      </c>
      <c r="H25" s="3">
        <f>G25</f>
        <v>2339</v>
      </c>
      <c r="I25" s="6">
        <f>IF(ISNA(MATCH(I$2,Inputs!$K$4:$AJ$4,0)),NA(),IF(SUMPRODUCT((Inputs!$A$5:$A$140=$B25)*ISNUMBER(INDEX(Inputs!$K$5:$AJ$140,0,MATCH(I$2,Inputs!$K$4:$AJ$4,0))))+SUMPRODUCT((Inputs!$C$5:$C$140=$B25)*ISNUMBER(INDEX(Inputs!$K$5:$AJ$140,0,MATCH(I$2,Inputs!$K$4:$AJ$4,0))))+SUMPRODUCT((Inputs!$E$5:$E$140=$B25)*ISNUMBER(INDEX(Inputs!$K$5:$AJ$140,0,MATCH(I$2,Inputs!$K$4:$AJ$4,0))))=0,NA(),SUMPRODUCT((Inputs!$A$5:$A$140=$B25)*Inputs!$B$5:$B$140*(((Inputs!$G$5:$G$140="moeda")+(Inputs!$G$5:$G$140="acoes"))*Inputs!$B$1+((Inputs!$G$5:$G$140&lt;&gt;"moeda")*(Inputs!$G$5:$G$140&lt;&gt;"acoes")))*INDEX(Inputs!$K$5:$AJ$140,0,MATCH(I$2,Inputs!$K$4:$AJ$4,0)))+SUMPRODUCT((Inputs!$C$5:$C$140=$B25)*Inputs!$D$5:$D$140*(((Inputs!$G$5:$G$140="moeda")+(Inputs!$G$5:$G$140="acoes"))*Inputs!$B$1+((Inputs!$G$5:$G$140&lt;&gt;"moeda")*(Inputs!$G$5:$G$140&lt;&gt;"acoes")))*INDEX(Inputs!$K$5:$AJ$140,0,MATCH(I$2,Inputs!$K$4:$AJ$4,0)))+SUMPRODUCT((Inputs!$E$5:$E$140=$B25)*Inputs!$F$5:$F$140*(((Inputs!$G$5:$G$140="moeda")+(Inputs!$G$5:$G$140="acoes"))*Inputs!$B$1+((Inputs!$G$5:$G$140&lt;&gt;"moeda")*(Inputs!$G$5:$G$140&lt;&gt;"acoes")))*INDEX(Inputs!$K$5:$AJ$140,0,MATCH(I$2,Inputs!$K$4:$AJ$4,0)))))</f>
        <v>2211</v>
      </c>
      <c r="J25" s="6">
        <f>IF(ISNA(MATCH(J$2,Inputs!$K$4:$AJ$4,0)),NA(),IF(SUMPRODUCT((Inputs!$A$5:$A$140=$B25)*ISNUMBER(INDEX(Inputs!$K$5:$AJ$140,0,MATCH(J$2,Inputs!$K$4:$AJ$4,0))))+SUMPRODUCT((Inputs!$C$5:$C$140=$B25)*ISNUMBER(INDEX(Inputs!$K$5:$AJ$140,0,MATCH(J$2,Inputs!$K$4:$AJ$4,0))))+SUMPRODUCT((Inputs!$E$5:$E$140=$B25)*ISNUMBER(INDEX(Inputs!$K$5:$AJ$140,0,MATCH(J$2,Inputs!$K$4:$AJ$4,0))))=0,NA(),SUMPRODUCT((Inputs!$A$5:$A$140=$B25)*Inputs!$B$5:$B$140*(((Inputs!$G$5:$G$140="moeda")+(Inputs!$G$5:$G$140="acoes"))*Inputs!$B$1+((Inputs!$G$5:$G$140&lt;&gt;"moeda")*(Inputs!$G$5:$G$140&lt;&gt;"acoes")))*INDEX(Inputs!$K$5:$AJ$140,0,MATCH(J$2,Inputs!$K$4:$AJ$4,0)))+SUMPRODUCT((Inputs!$C$5:$C$140=$B25)*Inputs!$D$5:$D$140*(((Inputs!$G$5:$G$140="moeda")+(Inputs!$G$5:$G$140="acoes"))*Inputs!$B$1+((Inputs!$G$5:$G$140&lt;&gt;"moeda")*(Inputs!$G$5:$G$140&lt;&gt;"acoes")))*INDEX(Inputs!$K$5:$AJ$140,0,MATCH(J$2,Inputs!$K$4:$AJ$4,0)))+SUMPRODUCT((Inputs!$E$5:$E$140=$B25)*Inputs!$F$5:$F$140*(((Inputs!$G$5:$G$140="moeda")+(Inputs!$G$5:$G$140="acoes"))*Inputs!$B$1+((Inputs!$G$5:$G$140&lt;&gt;"moeda")*(Inputs!$G$5:$G$140&lt;&gt;"acoes")))*INDEX(Inputs!$K$5:$AJ$140,0,MATCH(J$2,Inputs!$K$4:$AJ$4,0)))))</f>
        <v>2036</v>
      </c>
      <c r="K25" s="6">
        <f>IF(ISNA(MATCH(K$2,Inputs!$K$4:$AJ$4,0)),NA(),IF(SUMPRODUCT((Inputs!$A$5:$A$140=$B25)*ISNUMBER(INDEX(Inputs!$K$5:$AJ$140,0,MATCH(K$2,Inputs!$K$4:$AJ$4,0))))+SUMPRODUCT((Inputs!$C$5:$C$140=$B25)*ISNUMBER(INDEX(Inputs!$K$5:$AJ$140,0,MATCH(K$2,Inputs!$K$4:$AJ$4,0))))+SUMPRODUCT((Inputs!$E$5:$E$140=$B25)*ISNUMBER(INDEX(Inputs!$K$5:$AJ$140,0,MATCH(K$2,Inputs!$K$4:$AJ$4,0))))=0,NA(),SUMPRODUCT((Inputs!$A$5:$A$140=$B25)*Inputs!$B$5:$B$140*(((Inputs!$G$5:$G$140="moeda")+(Inputs!$G$5:$G$140="acoes"))*Inputs!$B$1+((Inputs!$G$5:$G$140&lt;&gt;"moeda")*(Inputs!$G$5:$G$140&lt;&gt;"acoes")))*INDEX(Inputs!$K$5:$AJ$140,0,MATCH(K$2,Inputs!$K$4:$AJ$4,0)))+SUMPRODUCT((Inputs!$C$5:$C$140=$B25)*Inputs!$D$5:$D$140*(((Inputs!$G$5:$G$140="moeda")+(Inputs!$G$5:$G$140="acoes"))*Inputs!$B$1+((Inputs!$G$5:$G$140&lt;&gt;"moeda")*(Inputs!$G$5:$G$140&lt;&gt;"acoes")))*INDEX(Inputs!$K$5:$AJ$140,0,MATCH(K$2,Inputs!$K$4:$AJ$4,0)))+SUMPRODUCT((Inputs!$E$5:$E$140=$B25)*Inputs!$F$5:$F$140*(((Inputs!$G$5:$G$140="moeda")+(Inputs!$G$5:$G$140="acoes"))*Inputs!$B$1+((Inputs!$G$5:$G$140&lt;&gt;"moeda")*(Inputs!$G$5:$G$140&lt;&gt;"acoes")))*INDEX(Inputs!$K$5:$AJ$140,0,MATCH(K$2,Inputs!$K$4:$AJ$4,0)))))</f>
        <v>1850</v>
      </c>
      <c r="L25" s="6">
        <f>IF(ISNA(MATCH(L$2,Inputs!$K$4:$AJ$4,0)),NA(),IF(SUMPRODUCT((Inputs!$A$5:$A$140=$B25)*ISNUMBER(INDEX(Inputs!$K$5:$AJ$140,0,MATCH(L$2,Inputs!$K$4:$AJ$4,0))))+SUMPRODUCT((Inputs!$C$5:$C$140=$B25)*ISNUMBER(INDEX(Inputs!$K$5:$AJ$140,0,MATCH(L$2,Inputs!$K$4:$AJ$4,0))))+SUMPRODUCT((Inputs!$E$5:$E$140=$B25)*ISNUMBER(INDEX(Inputs!$K$5:$AJ$140,0,MATCH(L$2,Inputs!$K$4:$AJ$4,0))))=0,NA(),SUMPRODUCT((Inputs!$A$5:$A$140=$B25)*Inputs!$B$5:$B$140*(((Inputs!$G$5:$G$140="moeda")+(Inputs!$G$5:$G$140="acoes"))*Inputs!$B$1+((Inputs!$G$5:$G$140&lt;&gt;"moeda")*(Inputs!$G$5:$G$140&lt;&gt;"acoes")))*INDEX(Inputs!$K$5:$AJ$140,0,MATCH(L$2,Inputs!$K$4:$AJ$4,0)))+SUMPRODUCT((Inputs!$C$5:$C$140=$B25)*Inputs!$D$5:$D$140*(((Inputs!$G$5:$G$140="moeda")+(Inputs!$G$5:$G$140="acoes"))*Inputs!$B$1+((Inputs!$G$5:$G$140&lt;&gt;"moeda")*(Inputs!$G$5:$G$140&lt;&gt;"acoes")))*INDEX(Inputs!$K$5:$AJ$140,0,MATCH(L$2,Inputs!$K$4:$AJ$4,0)))+SUMPRODUCT((Inputs!$E$5:$E$140=$B25)*Inputs!$F$5:$F$140*(((Inputs!$G$5:$G$140="moeda")+(Inputs!$G$5:$G$140="acoes"))*Inputs!$B$1+((Inputs!$G$5:$G$140&lt;&gt;"moeda")*(Inputs!$G$5:$G$140&lt;&gt;"acoes")))*INDEX(Inputs!$K$5:$AJ$140,0,MATCH(L$2,Inputs!$K$4:$AJ$4,0)))))</f>
        <v>1676</v>
      </c>
      <c r="M25" s="3">
        <f>L25</f>
        <v>1676</v>
      </c>
      <c r="N25" s="6">
        <f>IF(ISNA(MATCH(N$2,Inputs!$K$4:$AJ$4,0)),NA(),IF(SUMPRODUCT((Inputs!$A$5:$A$140=$B25)*ISNUMBER(INDEX(Inputs!$K$5:$AJ$140,0,MATCH(N$2,Inputs!$K$4:$AJ$4,0))))+SUMPRODUCT((Inputs!$C$5:$C$140=$B25)*ISNUMBER(INDEX(Inputs!$K$5:$AJ$140,0,MATCH(N$2,Inputs!$K$4:$AJ$4,0))))+SUMPRODUCT((Inputs!$E$5:$E$140=$B25)*ISNUMBER(INDEX(Inputs!$K$5:$AJ$140,0,MATCH(N$2,Inputs!$K$4:$AJ$4,0))))=0,NA(),SUMPRODUCT((Inputs!$A$5:$A$140=$B25)*Inputs!$B$5:$B$140*(((Inputs!$G$5:$G$140="moeda")+(Inputs!$G$5:$G$140="acoes"))*Inputs!$B$1+((Inputs!$G$5:$G$140&lt;&gt;"moeda")*(Inputs!$G$5:$G$140&lt;&gt;"acoes")))*INDEX(Inputs!$K$5:$AJ$140,0,MATCH(N$2,Inputs!$K$4:$AJ$4,0)))+SUMPRODUCT((Inputs!$C$5:$C$140=$B25)*Inputs!$D$5:$D$140*(((Inputs!$G$5:$G$140="moeda")+(Inputs!$G$5:$G$140="acoes"))*Inputs!$B$1+((Inputs!$G$5:$G$140&lt;&gt;"moeda")*(Inputs!$G$5:$G$140&lt;&gt;"acoes")))*INDEX(Inputs!$K$5:$AJ$140,0,MATCH(N$2,Inputs!$K$4:$AJ$4,0)))+SUMPRODUCT((Inputs!$E$5:$E$140=$B25)*Inputs!$F$5:$F$140*(((Inputs!$G$5:$G$140="moeda")+(Inputs!$G$5:$G$140="acoes"))*Inputs!$B$1+((Inputs!$G$5:$G$140&lt;&gt;"moeda")*(Inputs!$G$5:$G$140&lt;&gt;"acoes")))*INDEX(Inputs!$K$5:$AJ$140,0,MATCH(N$2,Inputs!$K$4:$AJ$4,0)))))</f>
        <v>1541</v>
      </c>
      <c r="O25" s="6">
        <f>IF(ISNA(MATCH(O$2,Inputs!$K$4:$AJ$4,0)),NA(),IF(SUMPRODUCT((Inputs!$A$5:$A$140=$B25)*ISNUMBER(INDEX(Inputs!$K$5:$AJ$140,0,MATCH(O$2,Inputs!$K$4:$AJ$4,0))))+SUMPRODUCT((Inputs!$C$5:$C$140=$B25)*ISNUMBER(INDEX(Inputs!$K$5:$AJ$140,0,MATCH(O$2,Inputs!$K$4:$AJ$4,0))))+SUMPRODUCT((Inputs!$E$5:$E$140=$B25)*ISNUMBER(INDEX(Inputs!$K$5:$AJ$140,0,MATCH(O$2,Inputs!$K$4:$AJ$4,0))))=0,NA(),SUMPRODUCT((Inputs!$A$5:$A$140=$B25)*Inputs!$B$5:$B$140*(((Inputs!$G$5:$G$140="moeda")+(Inputs!$G$5:$G$140="acoes"))*Inputs!$B$1+((Inputs!$G$5:$G$140&lt;&gt;"moeda")*(Inputs!$G$5:$G$140&lt;&gt;"acoes")))*INDEX(Inputs!$K$5:$AJ$140,0,MATCH(O$2,Inputs!$K$4:$AJ$4,0)))+SUMPRODUCT((Inputs!$C$5:$C$140=$B25)*Inputs!$D$5:$D$140*(((Inputs!$G$5:$G$140="moeda")+(Inputs!$G$5:$G$140="acoes"))*Inputs!$B$1+((Inputs!$G$5:$G$140&lt;&gt;"moeda")*(Inputs!$G$5:$G$140&lt;&gt;"acoes")))*INDEX(Inputs!$K$5:$AJ$140,0,MATCH(O$2,Inputs!$K$4:$AJ$4,0)))+SUMPRODUCT((Inputs!$E$5:$E$140=$B25)*Inputs!$F$5:$F$140*(((Inputs!$G$5:$G$140="moeda")+(Inputs!$G$5:$G$140="acoes"))*Inputs!$B$1+((Inputs!$G$5:$G$140&lt;&gt;"moeda")*(Inputs!$G$5:$G$140&lt;&gt;"acoes")))*INDEX(Inputs!$K$5:$AJ$140,0,MATCH(O$2,Inputs!$K$4:$AJ$4,0)))))</f>
        <v>1395</v>
      </c>
      <c r="P25" s="6">
        <f>IF(ISNA(MATCH(P$2,Inputs!$K$4:$AJ$4,0)),NA(),IF(SUMPRODUCT((Inputs!$A$5:$A$140=$B25)*ISNUMBER(INDEX(Inputs!$K$5:$AJ$140,0,MATCH(P$2,Inputs!$K$4:$AJ$4,0))))+SUMPRODUCT((Inputs!$C$5:$C$140=$B25)*ISNUMBER(INDEX(Inputs!$K$5:$AJ$140,0,MATCH(P$2,Inputs!$K$4:$AJ$4,0))))+SUMPRODUCT((Inputs!$E$5:$E$140=$B25)*ISNUMBER(INDEX(Inputs!$K$5:$AJ$140,0,MATCH(P$2,Inputs!$K$4:$AJ$4,0))))=0,NA(),SUMPRODUCT((Inputs!$A$5:$A$140=$B25)*Inputs!$B$5:$B$140*(((Inputs!$G$5:$G$140="moeda")+(Inputs!$G$5:$G$140="acoes"))*Inputs!$B$1+((Inputs!$G$5:$G$140&lt;&gt;"moeda")*(Inputs!$G$5:$G$140&lt;&gt;"acoes")))*INDEX(Inputs!$K$5:$AJ$140,0,MATCH(P$2,Inputs!$K$4:$AJ$4,0)))+SUMPRODUCT((Inputs!$C$5:$C$140=$B25)*Inputs!$D$5:$D$140*(((Inputs!$G$5:$G$140="moeda")+(Inputs!$G$5:$G$140="acoes"))*Inputs!$B$1+((Inputs!$G$5:$G$140&lt;&gt;"moeda")*(Inputs!$G$5:$G$140&lt;&gt;"acoes")))*INDEX(Inputs!$K$5:$AJ$140,0,MATCH(P$2,Inputs!$K$4:$AJ$4,0)))+SUMPRODUCT((Inputs!$E$5:$E$140=$B25)*Inputs!$F$5:$F$140*(((Inputs!$G$5:$G$140="moeda")+(Inputs!$G$5:$G$140="acoes"))*Inputs!$B$1+((Inputs!$G$5:$G$140&lt;&gt;"moeda")*(Inputs!$G$5:$G$140&lt;&gt;"acoes")))*INDEX(Inputs!$K$5:$AJ$140,0,MATCH(P$2,Inputs!$K$4:$AJ$4,0)))))</f>
        <v>1251</v>
      </c>
      <c r="Q25" s="6">
        <f>IF(ISNA(MATCH(Q$2,Inputs!$K$4:$AJ$4,0)),NA(),IF(SUMPRODUCT((Inputs!$A$5:$A$140=$B25)*ISNUMBER(INDEX(Inputs!$K$5:$AJ$140,0,MATCH(Q$2,Inputs!$K$4:$AJ$4,0))))+SUMPRODUCT((Inputs!$C$5:$C$140=$B25)*ISNUMBER(INDEX(Inputs!$K$5:$AJ$140,0,MATCH(Q$2,Inputs!$K$4:$AJ$4,0))))+SUMPRODUCT((Inputs!$E$5:$E$140=$B25)*ISNUMBER(INDEX(Inputs!$K$5:$AJ$140,0,MATCH(Q$2,Inputs!$K$4:$AJ$4,0))))=0,NA(),SUMPRODUCT((Inputs!$A$5:$A$140=$B25)*Inputs!$B$5:$B$140*(((Inputs!$G$5:$G$140="moeda")+(Inputs!$G$5:$G$140="acoes"))*Inputs!$B$1+((Inputs!$G$5:$G$140&lt;&gt;"moeda")*(Inputs!$G$5:$G$140&lt;&gt;"acoes")))*INDEX(Inputs!$K$5:$AJ$140,0,MATCH(Q$2,Inputs!$K$4:$AJ$4,0)))+SUMPRODUCT((Inputs!$C$5:$C$140=$B25)*Inputs!$D$5:$D$140*(((Inputs!$G$5:$G$140="moeda")+(Inputs!$G$5:$G$140="acoes"))*Inputs!$B$1+((Inputs!$G$5:$G$140&lt;&gt;"moeda")*(Inputs!$G$5:$G$140&lt;&gt;"acoes")))*INDEX(Inputs!$K$5:$AJ$140,0,MATCH(Q$2,Inputs!$K$4:$AJ$4,0)))+SUMPRODUCT((Inputs!$E$5:$E$140=$B25)*Inputs!$F$5:$F$140*(((Inputs!$G$5:$G$140="moeda")+(Inputs!$G$5:$G$140="acoes"))*Inputs!$B$1+((Inputs!$G$5:$G$140&lt;&gt;"moeda")*(Inputs!$G$5:$G$140&lt;&gt;"acoes")))*INDEX(Inputs!$K$5:$AJ$140,0,MATCH(Q$2,Inputs!$K$4:$AJ$4,0)))))</f>
        <v>1112</v>
      </c>
      <c r="R25" s="3">
        <f>Q25</f>
        <v>1112</v>
      </c>
      <c r="S25" s="6">
        <f>IF(ISNA(MATCH(S$2,Inputs!$K$4:$AJ$4,0)),NA(),IF(SUMPRODUCT((Inputs!$A$5:$A$140=$B25)*ISNUMBER(INDEX(Inputs!$K$5:$AJ$140,0,MATCH(S$2,Inputs!$K$4:$AJ$4,0))))+SUMPRODUCT((Inputs!$C$5:$C$140=$B25)*ISNUMBER(INDEX(Inputs!$K$5:$AJ$140,0,MATCH(S$2,Inputs!$K$4:$AJ$4,0))))+SUMPRODUCT((Inputs!$E$5:$E$140=$B25)*ISNUMBER(INDEX(Inputs!$K$5:$AJ$140,0,MATCH(S$2,Inputs!$K$4:$AJ$4,0))))=0,NA(),SUMPRODUCT((Inputs!$A$5:$A$140=$B25)*Inputs!$B$5:$B$140*(((Inputs!$G$5:$G$140="moeda")+(Inputs!$G$5:$G$140="acoes"))*Inputs!$B$1+((Inputs!$G$5:$G$140&lt;&gt;"moeda")*(Inputs!$G$5:$G$140&lt;&gt;"acoes")))*INDEX(Inputs!$K$5:$AJ$140,0,MATCH(S$2,Inputs!$K$4:$AJ$4,0)))+SUMPRODUCT((Inputs!$C$5:$C$140=$B25)*Inputs!$D$5:$D$140*(((Inputs!$G$5:$G$140="moeda")+(Inputs!$G$5:$G$140="acoes"))*Inputs!$B$1+((Inputs!$G$5:$G$140&lt;&gt;"moeda")*(Inputs!$G$5:$G$140&lt;&gt;"acoes")))*INDEX(Inputs!$K$5:$AJ$140,0,MATCH(S$2,Inputs!$K$4:$AJ$4,0)))+SUMPRODUCT((Inputs!$E$5:$E$140=$B25)*Inputs!$F$5:$F$140*(((Inputs!$G$5:$G$140="moeda")+(Inputs!$G$5:$G$140="acoes"))*Inputs!$B$1+((Inputs!$G$5:$G$140&lt;&gt;"moeda")*(Inputs!$G$5:$G$140&lt;&gt;"acoes")))*INDEX(Inputs!$K$5:$AJ$140,0,MATCH(S$2,Inputs!$K$4:$AJ$4,0)))))</f>
        <v>986</v>
      </c>
      <c r="T25" s="6">
        <f>IF(ISNA(MATCH(T$2,Inputs!$K$4:$AJ$4,0)),NA(),IF(SUMPRODUCT((Inputs!$A$5:$A$140=$B25)*ISNUMBER(INDEX(Inputs!$K$5:$AJ$140,0,MATCH(T$2,Inputs!$K$4:$AJ$4,0))))+SUMPRODUCT((Inputs!$C$5:$C$140=$B25)*ISNUMBER(INDEX(Inputs!$K$5:$AJ$140,0,MATCH(T$2,Inputs!$K$4:$AJ$4,0))))+SUMPRODUCT((Inputs!$E$5:$E$140=$B25)*ISNUMBER(INDEX(Inputs!$K$5:$AJ$140,0,MATCH(T$2,Inputs!$K$4:$AJ$4,0))))=0,NA(),SUMPRODUCT((Inputs!$A$5:$A$140=$B25)*Inputs!$B$5:$B$140*(((Inputs!$G$5:$G$140="moeda")+(Inputs!$G$5:$G$140="acoes"))*Inputs!$B$1+((Inputs!$G$5:$G$140&lt;&gt;"moeda")*(Inputs!$G$5:$G$140&lt;&gt;"acoes")))*INDEX(Inputs!$K$5:$AJ$140,0,MATCH(T$2,Inputs!$K$4:$AJ$4,0)))+SUMPRODUCT((Inputs!$C$5:$C$140=$B25)*Inputs!$D$5:$D$140*(((Inputs!$G$5:$G$140="moeda")+(Inputs!$G$5:$G$140="acoes"))*Inputs!$B$1+((Inputs!$G$5:$G$140&lt;&gt;"moeda")*(Inputs!$G$5:$G$140&lt;&gt;"acoes")))*INDEX(Inputs!$K$5:$AJ$140,0,MATCH(T$2,Inputs!$K$4:$AJ$4,0)))+SUMPRODUCT((Inputs!$E$5:$E$140=$B25)*Inputs!$F$5:$F$140*(((Inputs!$G$5:$G$140="moeda")+(Inputs!$G$5:$G$140="acoes"))*Inputs!$B$1+((Inputs!$G$5:$G$140&lt;&gt;"moeda")*(Inputs!$G$5:$G$140&lt;&gt;"acoes")))*INDEX(Inputs!$K$5:$AJ$140,0,MATCH(T$2,Inputs!$K$4:$AJ$4,0)))))</f>
        <v>952</v>
      </c>
      <c r="U25" s="6">
        <f>IF(ISNA(MATCH(U$2,Inputs!$K$4:$AJ$4,0)),NA(),IF(SUMPRODUCT((Inputs!$A$5:$A$140=$B25)*ISNUMBER(INDEX(Inputs!$K$5:$AJ$140,0,MATCH(U$2,Inputs!$K$4:$AJ$4,0))))+SUMPRODUCT((Inputs!$C$5:$C$140=$B25)*ISNUMBER(INDEX(Inputs!$K$5:$AJ$140,0,MATCH(U$2,Inputs!$K$4:$AJ$4,0))))+SUMPRODUCT((Inputs!$E$5:$E$140=$B25)*ISNUMBER(INDEX(Inputs!$K$5:$AJ$140,0,MATCH(U$2,Inputs!$K$4:$AJ$4,0))))=0,NA(),SUMPRODUCT((Inputs!$A$5:$A$140=$B25)*Inputs!$B$5:$B$140*(((Inputs!$G$5:$G$140="moeda")+(Inputs!$G$5:$G$140="acoes"))*Inputs!$B$1+((Inputs!$G$5:$G$140&lt;&gt;"moeda")*(Inputs!$G$5:$G$140&lt;&gt;"acoes")))*INDEX(Inputs!$K$5:$AJ$140,0,MATCH(U$2,Inputs!$K$4:$AJ$4,0)))+SUMPRODUCT((Inputs!$C$5:$C$140=$B25)*Inputs!$D$5:$D$140*(((Inputs!$G$5:$G$140="moeda")+(Inputs!$G$5:$G$140="acoes"))*Inputs!$B$1+((Inputs!$G$5:$G$140&lt;&gt;"moeda")*(Inputs!$G$5:$G$140&lt;&gt;"acoes")))*INDEX(Inputs!$K$5:$AJ$140,0,MATCH(U$2,Inputs!$K$4:$AJ$4,0)))+SUMPRODUCT((Inputs!$E$5:$E$140=$B25)*Inputs!$F$5:$F$140*(((Inputs!$G$5:$G$140="moeda")+(Inputs!$G$5:$G$140="acoes"))*Inputs!$B$1+((Inputs!$G$5:$G$140&lt;&gt;"moeda")*(Inputs!$G$5:$G$140&lt;&gt;"acoes")))*INDEX(Inputs!$K$5:$AJ$140,0,MATCH(U$2,Inputs!$K$4:$AJ$4,0)))))</f>
        <v>838</v>
      </c>
      <c r="V25" s="6">
        <f>IF(ISNA(MATCH(V$2,Inputs!$K$4:$AJ$4,0)),NA(),IF(SUMPRODUCT((Inputs!$A$5:$A$140=$B25)*ISNUMBER(INDEX(Inputs!$K$5:$AJ$140,0,MATCH(V$2,Inputs!$K$4:$AJ$4,0))))+SUMPRODUCT((Inputs!$C$5:$C$140=$B25)*ISNUMBER(INDEX(Inputs!$K$5:$AJ$140,0,MATCH(V$2,Inputs!$K$4:$AJ$4,0))))+SUMPRODUCT((Inputs!$E$5:$E$140=$B25)*ISNUMBER(INDEX(Inputs!$K$5:$AJ$140,0,MATCH(V$2,Inputs!$K$4:$AJ$4,0))))=0,NA(),SUMPRODUCT((Inputs!$A$5:$A$140=$B25)*Inputs!$B$5:$B$140*(((Inputs!$G$5:$G$140="moeda")+(Inputs!$G$5:$G$140="acoes"))*Inputs!$B$1+((Inputs!$G$5:$G$140&lt;&gt;"moeda")*(Inputs!$G$5:$G$140&lt;&gt;"acoes")))*INDEX(Inputs!$K$5:$AJ$140,0,MATCH(V$2,Inputs!$K$4:$AJ$4,0)))+SUMPRODUCT((Inputs!$C$5:$C$140=$B25)*Inputs!$D$5:$D$140*(((Inputs!$G$5:$G$140="moeda")+(Inputs!$G$5:$G$140="acoes"))*Inputs!$B$1+((Inputs!$G$5:$G$140&lt;&gt;"moeda")*(Inputs!$G$5:$G$140&lt;&gt;"acoes")))*INDEX(Inputs!$K$5:$AJ$140,0,MATCH(V$2,Inputs!$K$4:$AJ$4,0)))+SUMPRODUCT((Inputs!$E$5:$E$140=$B25)*Inputs!$F$5:$F$140*(((Inputs!$G$5:$G$140="moeda")+(Inputs!$G$5:$G$140="acoes"))*Inputs!$B$1+((Inputs!$G$5:$G$140&lt;&gt;"moeda")*(Inputs!$G$5:$G$140&lt;&gt;"acoes")))*INDEX(Inputs!$K$5:$AJ$140,0,MATCH(V$2,Inputs!$K$4:$AJ$4,0)))))</f>
        <v>807</v>
      </c>
      <c r="W25" s="3">
        <f>V25</f>
        <v>807</v>
      </c>
      <c r="X25" s="6">
        <f>IF(ISNA(MATCH(X$2,Inputs!$K$4:$AJ$4,0)),NA(),IF(SUMPRODUCT((Inputs!$A$5:$A$140=$B25)*ISNUMBER(INDEX(Inputs!$K$5:$AJ$140,0,MATCH(X$2,Inputs!$K$4:$AJ$4,0))))+SUMPRODUCT((Inputs!$C$5:$C$140=$B25)*ISNUMBER(INDEX(Inputs!$K$5:$AJ$140,0,MATCH(X$2,Inputs!$K$4:$AJ$4,0))))+SUMPRODUCT((Inputs!$E$5:$E$140=$B25)*ISNUMBER(INDEX(Inputs!$K$5:$AJ$140,0,MATCH(X$2,Inputs!$K$4:$AJ$4,0))))=0,NA(),SUMPRODUCT((Inputs!$A$5:$A$140=$B25)*Inputs!$B$5:$B$140*(((Inputs!$G$5:$G$140="moeda")+(Inputs!$G$5:$G$140="acoes"))*Inputs!$B$1+((Inputs!$G$5:$G$140&lt;&gt;"moeda")*(Inputs!$G$5:$G$140&lt;&gt;"acoes")))*INDEX(Inputs!$K$5:$AJ$140,0,MATCH(X$2,Inputs!$K$4:$AJ$4,0)))+SUMPRODUCT((Inputs!$C$5:$C$140=$B25)*Inputs!$D$5:$D$140*(((Inputs!$G$5:$G$140="moeda")+(Inputs!$G$5:$G$140="acoes"))*Inputs!$B$1+((Inputs!$G$5:$G$140&lt;&gt;"moeda")*(Inputs!$G$5:$G$140&lt;&gt;"acoes")))*INDEX(Inputs!$K$5:$AJ$140,0,MATCH(X$2,Inputs!$K$4:$AJ$4,0)))+SUMPRODUCT((Inputs!$E$5:$E$140=$B25)*Inputs!$F$5:$F$140*(((Inputs!$G$5:$G$140="moeda")+(Inputs!$G$5:$G$140="acoes"))*Inputs!$B$1+((Inputs!$G$5:$G$140&lt;&gt;"moeda")*(Inputs!$G$5:$G$140&lt;&gt;"acoes")))*INDEX(Inputs!$K$5:$AJ$140,0,MATCH(X$2,Inputs!$K$4:$AJ$4,0)))))</f>
        <v>769</v>
      </c>
      <c r="Y25" s="6">
        <f>IF(ISNA(MATCH(Y$2,Inputs!$K$4:$AJ$4,0)),NA(),IF(SUMPRODUCT((Inputs!$A$5:$A$140=$B25)*ISNUMBER(INDEX(Inputs!$K$5:$AJ$140,0,MATCH(Y$2,Inputs!$K$4:$AJ$4,0))))+SUMPRODUCT((Inputs!$C$5:$C$140=$B25)*ISNUMBER(INDEX(Inputs!$K$5:$AJ$140,0,MATCH(Y$2,Inputs!$K$4:$AJ$4,0))))+SUMPRODUCT((Inputs!$E$5:$E$140=$B25)*ISNUMBER(INDEX(Inputs!$K$5:$AJ$140,0,MATCH(Y$2,Inputs!$K$4:$AJ$4,0))))=0,NA(),SUMPRODUCT((Inputs!$A$5:$A$140=$B25)*Inputs!$B$5:$B$140*(((Inputs!$G$5:$G$140="moeda")+(Inputs!$G$5:$G$140="acoes"))*Inputs!$B$1+((Inputs!$G$5:$G$140&lt;&gt;"moeda")*(Inputs!$G$5:$G$140&lt;&gt;"acoes")))*INDEX(Inputs!$K$5:$AJ$140,0,MATCH(Y$2,Inputs!$K$4:$AJ$4,0)))+SUMPRODUCT((Inputs!$C$5:$C$140=$B25)*Inputs!$D$5:$D$140*(((Inputs!$G$5:$G$140="moeda")+(Inputs!$G$5:$G$140="acoes"))*Inputs!$B$1+((Inputs!$G$5:$G$140&lt;&gt;"moeda")*(Inputs!$G$5:$G$140&lt;&gt;"acoes")))*INDEX(Inputs!$K$5:$AJ$140,0,MATCH(Y$2,Inputs!$K$4:$AJ$4,0)))+SUMPRODUCT((Inputs!$E$5:$E$140=$B25)*Inputs!$F$5:$F$140*(((Inputs!$G$5:$G$140="moeda")+(Inputs!$G$5:$G$140="acoes"))*Inputs!$B$1+((Inputs!$G$5:$G$140&lt;&gt;"moeda")*(Inputs!$G$5:$G$140&lt;&gt;"acoes")))*INDEX(Inputs!$K$5:$AJ$140,0,MATCH(Y$2,Inputs!$K$4:$AJ$4,0)))))</f>
        <v>755</v>
      </c>
      <c r="Z25" s="6">
        <f>IF(ISNA(MATCH(Z$2,Inputs!$K$4:$AJ$4,0)),NA(),IF(SUMPRODUCT((Inputs!$A$5:$A$140=$B25)*ISNUMBER(INDEX(Inputs!$K$5:$AJ$140,0,MATCH(Z$2,Inputs!$K$4:$AJ$4,0))))+SUMPRODUCT((Inputs!$C$5:$C$140=$B25)*ISNUMBER(INDEX(Inputs!$K$5:$AJ$140,0,MATCH(Z$2,Inputs!$K$4:$AJ$4,0))))+SUMPRODUCT((Inputs!$E$5:$E$140=$B25)*ISNUMBER(INDEX(Inputs!$K$5:$AJ$140,0,MATCH(Z$2,Inputs!$K$4:$AJ$4,0))))=0,NA(),SUMPRODUCT((Inputs!$A$5:$A$140=$B25)*Inputs!$B$5:$B$140*(((Inputs!$G$5:$G$140="moeda")+(Inputs!$G$5:$G$140="acoes"))*Inputs!$B$1+((Inputs!$G$5:$G$140&lt;&gt;"moeda")*(Inputs!$G$5:$G$140&lt;&gt;"acoes")))*INDEX(Inputs!$K$5:$AJ$140,0,MATCH(Z$2,Inputs!$K$4:$AJ$4,0)))+SUMPRODUCT((Inputs!$C$5:$C$140=$B25)*Inputs!$D$5:$D$140*(((Inputs!$G$5:$G$140="moeda")+(Inputs!$G$5:$G$140="acoes"))*Inputs!$B$1+((Inputs!$G$5:$G$140&lt;&gt;"moeda")*(Inputs!$G$5:$G$140&lt;&gt;"acoes")))*INDEX(Inputs!$K$5:$AJ$140,0,MATCH(Z$2,Inputs!$K$4:$AJ$4,0)))+SUMPRODUCT((Inputs!$E$5:$E$140=$B25)*Inputs!$F$5:$F$140*(((Inputs!$G$5:$G$140="moeda")+(Inputs!$G$5:$G$140="acoes"))*Inputs!$B$1+((Inputs!$G$5:$G$140&lt;&gt;"moeda")*(Inputs!$G$5:$G$140&lt;&gt;"acoes")))*INDEX(Inputs!$K$5:$AJ$140,0,MATCH(Z$2,Inputs!$K$4:$AJ$4,0)))))</f>
        <v>936</v>
      </c>
      <c r="AA25" s="6">
        <f>IF(ISNA(MATCH(AA$2,Inputs!$K$4:$AJ$4,0)),NA(),IF(SUMPRODUCT((Inputs!$A$5:$A$140=$B25)*ISNUMBER(INDEX(Inputs!$K$5:$AJ$140,0,MATCH(AA$2,Inputs!$K$4:$AJ$4,0))))+SUMPRODUCT((Inputs!$C$5:$C$140=$B25)*ISNUMBER(INDEX(Inputs!$K$5:$AJ$140,0,MATCH(AA$2,Inputs!$K$4:$AJ$4,0))))+SUMPRODUCT((Inputs!$E$5:$E$140=$B25)*ISNUMBER(INDEX(Inputs!$K$5:$AJ$140,0,MATCH(AA$2,Inputs!$K$4:$AJ$4,0))))=0,NA(),SUMPRODUCT((Inputs!$A$5:$A$140=$B25)*Inputs!$B$5:$B$140*(((Inputs!$G$5:$G$140="moeda")+(Inputs!$G$5:$G$140="acoes"))*Inputs!$B$1+((Inputs!$G$5:$G$140&lt;&gt;"moeda")*(Inputs!$G$5:$G$140&lt;&gt;"acoes")))*INDEX(Inputs!$K$5:$AJ$140,0,MATCH(AA$2,Inputs!$K$4:$AJ$4,0)))+SUMPRODUCT((Inputs!$C$5:$C$140=$B25)*Inputs!$D$5:$D$140*(((Inputs!$G$5:$G$140="moeda")+(Inputs!$G$5:$G$140="acoes"))*Inputs!$B$1+((Inputs!$G$5:$G$140&lt;&gt;"moeda")*(Inputs!$G$5:$G$140&lt;&gt;"acoes")))*INDEX(Inputs!$K$5:$AJ$140,0,MATCH(AA$2,Inputs!$K$4:$AJ$4,0)))+SUMPRODUCT((Inputs!$E$5:$E$140=$B25)*Inputs!$F$5:$F$140*(((Inputs!$G$5:$G$140="moeda")+(Inputs!$G$5:$G$140="acoes"))*Inputs!$B$1+((Inputs!$G$5:$G$140&lt;&gt;"moeda")*(Inputs!$G$5:$G$140&lt;&gt;"acoes")))*INDEX(Inputs!$K$5:$AJ$140,0,MATCH(AA$2,Inputs!$K$4:$AJ$4,0)))))</f>
        <v>3306</v>
      </c>
      <c r="AB25" s="3">
        <f>AA25</f>
        <v>3306</v>
      </c>
      <c r="AC25" s="6">
        <f>IF(ISNA(MATCH(AC$2,Inputs!$K$4:$AJ$4,0)),NA(),IF(SUMPRODUCT((Inputs!$A$5:$A$140=$B25)*ISNUMBER(INDEX(Inputs!$K$5:$AJ$140,0,MATCH(AC$2,Inputs!$K$4:$AJ$4,0))))+SUMPRODUCT((Inputs!$C$5:$C$140=$B25)*ISNUMBER(INDEX(Inputs!$K$5:$AJ$140,0,MATCH(AC$2,Inputs!$K$4:$AJ$4,0))))+SUMPRODUCT((Inputs!$E$5:$E$140=$B25)*ISNUMBER(INDEX(Inputs!$K$5:$AJ$140,0,MATCH(AC$2,Inputs!$K$4:$AJ$4,0))))=0,NA(),SUMPRODUCT((Inputs!$A$5:$A$140=$B25)*Inputs!$B$5:$B$140*(((Inputs!$G$5:$G$140="moeda")+(Inputs!$G$5:$G$140="acoes"))*Inputs!$B$1+((Inputs!$G$5:$G$140&lt;&gt;"moeda")*(Inputs!$G$5:$G$140&lt;&gt;"acoes")))*INDEX(Inputs!$K$5:$AJ$140,0,MATCH(AC$2,Inputs!$K$4:$AJ$4,0)))+SUMPRODUCT((Inputs!$C$5:$C$140=$B25)*Inputs!$D$5:$D$140*(((Inputs!$G$5:$G$140="moeda")+(Inputs!$G$5:$G$140="acoes"))*Inputs!$B$1+((Inputs!$G$5:$G$140&lt;&gt;"moeda")*(Inputs!$G$5:$G$140&lt;&gt;"acoes")))*INDEX(Inputs!$K$5:$AJ$140,0,MATCH(AC$2,Inputs!$K$4:$AJ$4,0)))+SUMPRODUCT((Inputs!$E$5:$E$140=$B25)*Inputs!$F$5:$F$140*(((Inputs!$G$5:$G$140="moeda")+(Inputs!$G$5:$G$140="acoes"))*Inputs!$B$1+((Inputs!$G$5:$G$140&lt;&gt;"moeda")*(Inputs!$G$5:$G$140&lt;&gt;"acoes")))*INDEX(Inputs!$K$5:$AJ$140,0,MATCH(AC$2,Inputs!$K$4:$AJ$4,0)))))</f>
        <v>3120</v>
      </c>
      <c r="AD25" s="6">
        <f>IF(ISNA(MATCH(AD$2,Inputs!$K$4:$AJ$4,0)),NA(),IF(SUMPRODUCT((Inputs!$A$5:$A$140=$B25)*ISNUMBER(INDEX(Inputs!$K$5:$AJ$140,0,MATCH(AD$2,Inputs!$K$4:$AJ$4,0))))+SUMPRODUCT((Inputs!$C$5:$C$140=$B25)*ISNUMBER(INDEX(Inputs!$K$5:$AJ$140,0,MATCH(AD$2,Inputs!$K$4:$AJ$4,0))))+SUMPRODUCT((Inputs!$E$5:$E$140=$B25)*ISNUMBER(INDEX(Inputs!$K$5:$AJ$140,0,MATCH(AD$2,Inputs!$K$4:$AJ$4,0))))=0,NA(),SUMPRODUCT((Inputs!$A$5:$A$140=$B25)*Inputs!$B$5:$B$140*(((Inputs!$G$5:$G$140="moeda")+(Inputs!$G$5:$G$140="acoes"))*Inputs!$B$1+((Inputs!$G$5:$G$140&lt;&gt;"moeda")*(Inputs!$G$5:$G$140&lt;&gt;"acoes")))*INDEX(Inputs!$K$5:$AJ$140,0,MATCH(AD$2,Inputs!$K$4:$AJ$4,0)))+SUMPRODUCT((Inputs!$C$5:$C$140=$B25)*Inputs!$D$5:$D$140*(((Inputs!$G$5:$G$140="moeda")+(Inputs!$G$5:$G$140="acoes"))*Inputs!$B$1+((Inputs!$G$5:$G$140&lt;&gt;"moeda")*(Inputs!$G$5:$G$140&lt;&gt;"acoes")))*INDEX(Inputs!$K$5:$AJ$140,0,MATCH(AD$2,Inputs!$K$4:$AJ$4,0)))+SUMPRODUCT((Inputs!$E$5:$E$140=$B25)*Inputs!$F$5:$F$140*(((Inputs!$G$5:$G$140="moeda")+(Inputs!$G$5:$G$140="acoes"))*Inputs!$B$1+((Inputs!$G$5:$G$140&lt;&gt;"moeda")*(Inputs!$G$5:$G$140&lt;&gt;"acoes")))*INDEX(Inputs!$K$5:$AJ$140,0,MATCH(AD$2,Inputs!$K$4:$AJ$4,0)))))</f>
        <v>2998</v>
      </c>
      <c r="AE25" s="6" t="e">
        <f>IF(ISNA(MATCH(AE$2,Inputs!$K$4:$AJ$4,0)),NA(),IF(SUMPRODUCT((Inputs!$A$5:$A$140=$B25)*ISNUMBER(INDEX(Inputs!$K$5:$AJ$140,0,MATCH(AE$2,Inputs!$K$4:$AJ$4,0))))+SUMPRODUCT((Inputs!$C$5:$C$140=$B25)*ISNUMBER(INDEX(Inputs!$K$5:$AJ$140,0,MATCH(AE$2,Inputs!$K$4:$AJ$4,0))))+SUMPRODUCT((Inputs!$E$5:$E$140=$B25)*ISNUMBER(INDEX(Inputs!$K$5:$AJ$140,0,MATCH(AE$2,Inputs!$K$4:$AJ$4,0))))=0,NA(),SUMPRODUCT((Inputs!$A$5:$A$140=$B25)*Inputs!$B$5:$B$140*(((Inputs!$G$5:$G$140="moeda")+(Inputs!$G$5:$G$140="acoes"))*Inputs!$B$1+((Inputs!$G$5:$G$140&lt;&gt;"moeda")*(Inputs!$G$5:$G$140&lt;&gt;"acoes")))*INDEX(Inputs!$K$5:$AJ$140,0,MATCH(AE$2,Inputs!$K$4:$AJ$4,0)))+SUMPRODUCT((Inputs!$C$5:$C$140=$B25)*Inputs!$D$5:$D$140*(((Inputs!$G$5:$G$140="moeda")+(Inputs!$G$5:$G$140="acoes"))*Inputs!$B$1+((Inputs!$G$5:$G$140&lt;&gt;"moeda")*(Inputs!$G$5:$G$140&lt;&gt;"acoes")))*INDEX(Inputs!$K$5:$AJ$140,0,MATCH(AE$2,Inputs!$K$4:$AJ$4,0)))+SUMPRODUCT((Inputs!$E$5:$E$140=$B25)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25" s="6" t="e">
        <f>IF(ISNA(MATCH(AF$2,Inputs!$K$4:$AJ$4,0)),NA(),IF(SUMPRODUCT((Inputs!$A$5:$A$140=$B25)*ISNUMBER(INDEX(Inputs!$K$5:$AJ$140,0,MATCH(AF$2,Inputs!$K$4:$AJ$4,0))))+SUMPRODUCT((Inputs!$C$5:$C$140=$B25)*ISNUMBER(INDEX(Inputs!$K$5:$AJ$140,0,MATCH(AF$2,Inputs!$K$4:$AJ$4,0))))+SUMPRODUCT((Inputs!$E$5:$E$140=$B25)*ISNUMBER(INDEX(Inputs!$K$5:$AJ$140,0,MATCH(AF$2,Inputs!$K$4:$AJ$4,0))))=0,NA(),SUMPRODUCT((Inputs!$A$5:$A$140=$B25)*Inputs!$B$5:$B$140*(((Inputs!$G$5:$G$140="moeda")+(Inputs!$G$5:$G$140="acoes"))*Inputs!$B$1+((Inputs!$G$5:$G$140&lt;&gt;"moeda")*(Inputs!$G$5:$G$140&lt;&gt;"acoes")))*INDEX(Inputs!$K$5:$AJ$140,0,MATCH(AF$2,Inputs!$K$4:$AJ$4,0)))+SUMPRODUCT((Inputs!$C$5:$C$140=$B25)*Inputs!$D$5:$D$140*(((Inputs!$G$5:$G$140="moeda")+(Inputs!$G$5:$G$140="acoes"))*Inputs!$B$1+((Inputs!$G$5:$G$140&lt;&gt;"moeda")*(Inputs!$G$5:$G$140&lt;&gt;"acoes")))*INDEX(Inputs!$K$5:$AJ$140,0,MATCH(AF$2,Inputs!$K$4:$AJ$4,0)))+SUMPRODUCT((Inputs!$E$5:$E$140=$B25)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25" s="3" t="e">
        <f>AF25</f>
        <v>#N/A</v>
      </c>
      <c r="AH25" s="6">
        <f>IF(ISNA(MATCH(AH$2,Inputs!$K$4:$AJ$4,0)),NA(),IF(SUMPRODUCT((Inputs!$A$5:$A$140=$B25)*ISNUMBER(INDEX(Inputs!$K$5:$AJ$140,0,MATCH(AH$2,Inputs!$K$4:$AJ$4,0))))+SUMPRODUCT((Inputs!$C$5:$C$140=$B25)*ISNUMBER(INDEX(Inputs!$K$5:$AJ$140,0,MATCH(AH$2,Inputs!$K$4:$AJ$4,0))))+SUMPRODUCT((Inputs!$E$5:$E$140=$B25)*ISNUMBER(INDEX(Inputs!$K$5:$AJ$140,0,MATCH(AH$2,Inputs!$K$4:$AJ$4,0))))=0,NA(),SUMPRODUCT((Inputs!$A$5:$A$140=$B25)*Inputs!$B$5:$B$140*(((Inputs!$G$5:$G$140="moeda")+(Inputs!$G$5:$G$140="acoes"))*Inputs!$B$1+((Inputs!$G$5:$G$140&lt;&gt;"moeda")*(Inputs!$G$5:$G$140&lt;&gt;"acoes")))*INDEX(Inputs!$K$5:$AJ$140,0,MATCH(AH$2,Inputs!$K$4:$AJ$4,0)))+SUMPRODUCT((Inputs!$C$5:$C$140=$B25)*Inputs!$D$5:$D$140*(((Inputs!$G$5:$G$140="moeda")+(Inputs!$G$5:$G$140="acoes"))*Inputs!$B$1+((Inputs!$G$5:$G$140&lt;&gt;"moeda")*(Inputs!$G$5:$G$140&lt;&gt;"acoes")))*INDEX(Inputs!$K$5:$AJ$140,0,MATCH(AH$2,Inputs!$K$4:$AJ$4,0)))+SUMPRODUCT((Inputs!$E$5:$E$140=$B25)*Inputs!$F$5:$F$140*(((Inputs!$G$5:$G$140="moeda")+(Inputs!$G$5:$G$140="acoes"))*Inputs!$B$1+((Inputs!$G$5:$G$140&lt;&gt;"moeda")*(Inputs!$G$5:$G$140&lt;&gt;"acoes")))*INDEX(Inputs!$K$5:$AJ$140,0,MATCH(AH$2,Inputs!$K$4:$AJ$4,0)))))</f>
        <v>80</v>
      </c>
      <c r="AI25" s="6">
        <f>IF(ISNA(MATCH(AI$2,Inputs!$K$4:$AJ$4,0)),NA(),IF(SUMPRODUCT((Inputs!$A$5:$A$140=$B25)*ISNUMBER(INDEX(Inputs!$K$5:$AJ$140,0,MATCH(AI$2,Inputs!$K$4:$AJ$4,0))))+SUMPRODUCT((Inputs!$C$5:$C$140=$B25)*ISNUMBER(INDEX(Inputs!$K$5:$AJ$140,0,MATCH(AI$2,Inputs!$K$4:$AJ$4,0))))+SUMPRODUCT((Inputs!$E$5:$E$140=$B25)*ISNUMBER(INDEX(Inputs!$K$5:$AJ$140,0,MATCH(AI$2,Inputs!$K$4:$AJ$4,0))))=0,NA(),SUMPRODUCT((Inputs!$A$5:$A$140=$B25)*Inputs!$B$5:$B$140*(((Inputs!$G$5:$G$140="moeda")+(Inputs!$G$5:$G$140="acoes"))*Inputs!$B$1+((Inputs!$G$5:$G$140&lt;&gt;"moeda")*(Inputs!$G$5:$G$140&lt;&gt;"acoes")))*INDEX(Inputs!$K$5:$AJ$140,0,MATCH(AI$2,Inputs!$K$4:$AJ$4,0)))+SUMPRODUCT((Inputs!$C$5:$C$140=$B25)*Inputs!$D$5:$D$140*(((Inputs!$G$5:$G$140="moeda")+(Inputs!$G$5:$G$140="acoes"))*Inputs!$B$1+((Inputs!$G$5:$G$140&lt;&gt;"moeda")*(Inputs!$G$5:$G$140&lt;&gt;"acoes")))*INDEX(Inputs!$K$5:$AJ$140,0,MATCH(AI$2,Inputs!$K$4:$AJ$4,0)))+SUMPRODUCT((Inputs!$E$5:$E$140=$B25)*Inputs!$F$5:$F$140*(((Inputs!$G$5:$G$140="moeda")+(Inputs!$G$5:$G$140="acoes"))*Inputs!$B$1+((Inputs!$G$5:$G$140&lt;&gt;"moeda")*(Inputs!$G$5:$G$140&lt;&gt;"acoes")))*INDEX(Inputs!$K$5:$AJ$140,0,MATCH(AI$2,Inputs!$K$4:$AJ$4,0)))))</f>
        <v>2854</v>
      </c>
      <c r="AJ25" s="6">
        <f>IF(ISNA(MATCH(AJ$2,Inputs!$K$4:$AJ$4,0)),NA(),IF(SUMPRODUCT((Inputs!$A$5:$A$140=$B25)*ISNUMBER(INDEX(Inputs!$K$5:$AJ$140,0,MATCH(AJ$2,Inputs!$K$4:$AJ$4,0))))+SUMPRODUCT((Inputs!$C$5:$C$140=$B25)*ISNUMBER(INDEX(Inputs!$K$5:$AJ$140,0,MATCH(AJ$2,Inputs!$K$4:$AJ$4,0))))+SUMPRODUCT((Inputs!$E$5:$E$140=$B25)*ISNUMBER(INDEX(Inputs!$K$5:$AJ$140,0,MATCH(AJ$2,Inputs!$K$4:$AJ$4,0))))=0,NA(),SUMPRODUCT((Inputs!$A$5:$A$140=$B25)*Inputs!$B$5:$B$140*(((Inputs!$G$5:$G$140="moeda")+(Inputs!$G$5:$G$140="acoes"))*Inputs!$B$1+((Inputs!$G$5:$G$140&lt;&gt;"moeda")*(Inputs!$G$5:$G$140&lt;&gt;"acoes")))*INDEX(Inputs!$K$5:$AJ$140,0,MATCH(AJ$2,Inputs!$K$4:$AJ$4,0)))+SUMPRODUCT((Inputs!$C$5:$C$140=$B25)*Inputs!$D$5:$D$140*(((Inputs!$G$5:$G$140="moeda")+(Inputs!$G$5:$G$140="acoes"))*Inputs!$B$1+((Inputs!$G$5:$G$140&lt;&gt;"moeda")*(Inputs!$G$5:$G$140&lt;&gt;"acoes")))*INDEX(Inputs!$K$5:$AJ$140,0,MATCH(AJ$2,Inputs!$K$4:$AJ$4,0)))+SUMPRODUCT((Inputs!$E$5:$E$140=$B25)*Inputs!$F$5:$F$140*(((Inputs!$G$5:$G$140="moeda")+(Inputs!$G$5:$G$140="acoes"))*Inputs!$B$1+((Inputs!$G$5:$G$140&lt;&gt;"moeda")*(Inputs!$G$5:$G$140&lt;&gt;"acoes")))*INDEX(Inputs!$K$5:$AJ$140,0,MATCH(AJ$2,Inputs!$K$4:$AJ$4,0)))))</f>
        <v>2861</v>
      </c>
      <c r="AK25" s="6">
        <f>IF(ISNA(MATCH(AK$2,Inputs!$K$4:$AJ$4,0)),NA(),IF(SUMPRODUCT((Inputs!$A$5:$A$140=$B25)*ISNUMBER(INDEX(Inputs!$K$5:$AJ$140,0,MATCH(AK$2,Inputs!$K$4:$AJ$4,0))))+SUMPRODUCT((Inputs!$C$5:$C$140=$B25)*ISNUMBER(INDEX(Inputs!$K$5:$AJ$140,0,MATCH(AK$2,Inputs!$K$4:$AJ$4,0))))+SUMPRODUCT((Inputs!$E$5:$E$140=$B25)*ISNUMBER(INDEX(Inputs!$K$5:$AJ$140,0,MATCH(AK$2,Inputs!$K$4:$AJ$4,0))))=0,NA(),SUMPRODUCT((Inputs!$A$5:$A$140=$B25)*Inputs!$B$5:$B$140*(((Inputs!$G$5:$G$140="moeda")+(Inputs!$G$5:$G$140="acoes"))*Inputs!$B$1+((Inputs!$G$5:$G$140&lt;&gt;"moeda")*(Inputs!$G$5:$G$140&lt;&gt;"acoes")))*INDEX(Inputs!$K$5:$AJ$140,0,MATCH(AK$2,Inputs!$K$4:$AJ$4,0)))+SUMPRODUCT((Inputs!$C$5:$C$140=$B25)*Inputs!$D$5:$D$140*(((Inputs!$G$5:$G$140="moeda")+(Inputs!$G$5:$G$140="acoes"))*Inputs!$B$1+((Inputs!$G$5:$G$140&lt;&gt;"moeda")*(Inputs!$G$5:$G$140&lt;&gt;"acoes")))*INDEX(Inputs!$K$5:$AJ$140,0,MATCH(AK$2,Inputs!$K$4:$AJ$4,0)))+SUMPRODUCT((Inputs!$E$5:$E$140=$B25)*Inputs!$F$5:$F$140*(((Inputs!$G$5:$G$140="moeda")+(Inputs!$G$5:$G$140="acoes"))*Inputs!$B$1+((Inputs!$G$5:$G$140&lt;&gt;"moeda")*(Inputs!$G$5:$G$140&lt;&gt;"acoes")))*INDEX(Inputs!$K$5:$AJ$140,0,MATCH(AK$2,Inputs!$K$4:$AJ$4,0)))))</f>
        <v>2737</v>
      </c>
      <c r="AL25" s="3">
        <f>AK25</f>
        <v>2737</v>
      </c>
    </row>
    <row r="26">
      <c r="B26" s="46" t="n">
        <v>22</v>
      </c>
      <c r="C26" s="26" t="inlineStr">
        <is>
          <t>Other non-current assets</t>
        </is>
      </c>
      <c r="D26" s="6">
        <f>IF(ISNA(MATCH(D$2,Inputs!$K$4:$AJ$4,0)),NA(),IF(SUMPRODUCT((Inputs!$A$5:$A$140=$B26)*ISNUMBER(INDEX(Inputs!$K$5:$AJ$140,0,MATCH(D$2,Inputs!$K$4:$AJ$4,0))))+SUMPRODUCT((Inputs!$C$5:$C$140=$B26)*ISNUMBER(INDEX(Inputs!$K$5:$AJ$140,0,MATCH(D$2,Inputs!$K$4:$AJ$4,0))))+SUMPRODUCT((Inputs!$E$5:$E$140=$B26)*ISNUMBER(INDEX(Inputs!$K$5:$AJ$140,0,MATCH(D$2,Inputs!$K$4:$AJ$4,0))))=0,NA(),SUMPRODUCT((Inputs!$A$5:$A$140=$B26)*Inputs!$B$5:$B$140*(((Inputs!$G$5:$G$140="moeda")+(Inputs!$G$5:$G$140="acoes"))*Inputs!$B$1+((Inputs!$G$5:$G$140&lt;&gt;"moeda")*(Inputs!$G$5:$G$140&lt;&gt;"acoes")))*INDEX(Inputs!$K$5:$AJ$140,0,MATCH(D$2,Inputs!$K$4:$AJ$4,0)))+SUMPRODUCT((Inputs!$C$5:$C$140=$B26)*Inputs!$D$5:$D$140*(((Inputs!$G$5:$G$140="moeda")+(Inputs!$G$5:$G$140="acoes"))*Inputs!$B$1+((Inputs!$G$5:$G$140&lt;&gt;"moeda")*(Inputs!$G$5:$G$140&lt;&gt;"acoes")))*INDEX(Inputs!$K$5:$AJ$140,0,MATCH(D$2,Inputs!$K$4:$AJ$4,0)))+SUMPRODUCT((Inputs!$E$5:$E$140=$B26)*Inputs!$F$5:$F$140*(((Inputs!$G$5:$G$140="moeda")+(Inputs!$G$5:$G$140="acoes"))*Inputs!$B$1+((Inputs!$G$5:$G$140&lt;&gt;"moeda")*(Inputs!$G$5:$G$140&lt;&gt;"acoes")))*INDEX(Inputs!$K$5:$AJ$140,0,MATCH(D$2,Inputs!$K$4:$AJ$4,0)))))</f>
        <v>2090</v>
      </c>
      <c r="E26" s="6">
        <f>IF(ISNA(MATCH(E$2,Inputs!$K$4:$AJ$4,0)),NA(),IF(SUMPRODUCT((Inputs!$A$5:$A$140=$B26)*ISNUMBER(INDEX(Inputs!$K$5:$AJ$140,0,MATCH(E$2,Inputs!$K$4:$AJ$4,0))))+SUMPRODUCT((Inputs!$C$5:$C$140=$B26)*ISNUMBER(INDEX(Inputs!$K$5:$AJ$140,0,MATCH(E$2,Inputs!$K$4:$AJ$4,0))))+SUMPRODUCT((Inputs!$E$5:$E$140=$B26)*ISNUMBER(INDEX(Inputs!$K$5:$AJ$140,0,MATCH(E$2,Inputs!$K$4:$AJ$4,0))))=0,NA(),SUMPRODUCT((Inputs!$A$5:$A$140=$B26)*Inputs!$B$5:$B$140*(((Inputs!$G$5:$G$140="moeda")+(Inputs!$G$5:$G$140="acoes"))*Inputs!$B$1+((Inputs!$G$5:$G$140&lt;&gt;"moeda")*(Inputs!$G$5:$G$140&lt;&gt;"acoes")))*INDEX(Inputs!$K$5:$AJ$140,0,MATCH(E$2,Inputs!$K$4:$AJ$4,0)))+SUMPRODUCT((Inputs!$C$5:$C$140=$B26)*Inputs!$D$5:$D$140*(((Inputs!$G$5:$G$140="moeda")+(Inputs!$G$5:$G$140="acoes"))*Inputs!$B$1+((Inputs!$G$5:$G$140&lt;&gt;"moeda")*(Inputs!$G$5:$G$140&lt;&gt;"acoes")))*INDEX(Inputs!$K$5:$AJ$140,0,MATCH(E$2,Inputs!$K$4:$AJ$4,0)))+SUMPRODUCT((Inputs!$E$5:$E$140=$B26)*Inputs!$F$5:$F$140*(((Inputs!$G$5:$G$140="moeda")+(Inputs!$G$5:$G$140="acoes"))*Inputs!$B$1+((Inputs!$G$5:$G$140&lt;&gt;"moeda")*(Inputs!$G$5:$G$140&lt;&gt;"acoes")))*INDEX(Inputs!$K$5:$AJ$140,0,MATCH(E$2,Inputs!$K$4:$AJ$4,0)))))</f>
        <v>2050</v>
      </c>
      <c r="F26" s="6">
        <f>IF(ISNA(MATCH(F$2,Inputs!$K$4:$AJ$4,0)),NA(),IF(SUMPRODUCT((Inputs!$A$5:$A$140=$B26)*ISNUMBER(INDEX(Inputs!$K$5:$AJ$140,0,MATCH(F$2,Inputs!$K$4:$AJ$4,0))))+SUMPRODUCT((Inputs!$C$5:$C$140=$B26)*ISNUMBER(INDEX(Inputs!$K$5:$AJ$140,0,MATCH(F$2,Inputs!$K$4:$AJ$4,0))))+SUMPRODUCT((Inputs!$E$5:$E$140=$B26)*ISNUMBER(INDEX(Inputs!$K$5:$AJ$140,0,MATCH(F$2,Inputs!$K$4:$AJ$4,0))))=0,NA(),SUMPRODUCT((Inputs!$A$5:$A$140=$B26)*Inputs!$B$5:$B$140*(((Inputs!$G$5:$G$140="moeda")+(Inputs!$G$5:$G$140="acoes"))*Inputs!$B$1+((Inputs!$G$5:$G$140&lt;&gt;"moeda")*(Inputs!$G$5:$G$140&lt;&gt;"acoes")))*INDEX(Inputs!$K$5:$AJ$140,0,MATCH(F$2,Inputs!$K$4:$AJ$4,0)))+SUMPRODUCT((Inputs!$C$5:$C$140=$B26)*Inputs!$D$5:$D$140*(((Inputs!$G$5:$G$140="moeda")+(Inputs!$G$5:$G$140="acoes"))*Inputs!$B$1+((Inputs!$G$5:$G$140&lt;&gt;"moeda")*(Inputs!$G$5:$G$140&lt;&gt;"acoes")))*INDEX(Inputs!$K$5:$AJ$140,0,MATCH(F$2,Inputs!$K$4:$AJ$4,0)))+SUMPRODUCT((Inputs!$E$5:$E$140=$B26)*Inputs!$F$5:$F$140*(((Inputs!$G$5:$G$140="moeda")+(Inputs!$G$5:$G$140="acoes"))*Inputs!$B$1+((Inputs!$G$5:$G$140&lt;&gt;"moeda")*(Inputs!$G$5:$G$140&lt;&gt;"acoes")))*INDEX(Inputs!$K$5:$AJ$140,0,MATCH(F$2,Inputs!$K$4:$AJ$4,0)))))</f>
        <v>3761</v>
      </c>
      <c r="G26" s="6">
        <f>IF(ISNA(MATCH(G$2,Inputs!$K$4:$AJ$4,0)),NA(),IF(SUMPRODUCT((Inputs!$A$5:$A$140=$B26)*ISNUMBER(INDEX(Inputs!$K$5:$AJ$140,0,MATCH(G$2,Inputs!$K$4:$AJ$4,0))))+SUMPRODUCT((Inputs!$C$5:$C$140=$B26)*ISNUMBER(INDEX(Inputs!$K$5:$AJ$140,0,MATCH(G$2,Inputs!$K$4:$AJ$4,0))))+SUMPRODUCT((Inputs!$E$5:$E$140=$B26)*ISNUMBER(INDEX(Inputs!$K$5:$AJ$140,0,MATCH(G$2,Inputs!$K$4:$AJ$4,0))))=0,NA(),SUMPRODUCT((Inputs!$A$5:$A$140=$B26)*Inputs!$B$5:$B$140*(((Inputs!$G$5:$G$140="moeda")+(Inputs!$G$5:$G$140="acoes"))*Inputs!$B$1+((Inputs!$G$5:$G$140&lt;&gt;"moeda")*(Inputs!$G$5:$G$140&lt;&gt;"acoes")))*INDEX(Inputs!$K$5:$AJ$140,0,MATCH(G$2,Inputs!$K$4:$AJ$4,0)))+SUMPRODUCT((Inputs!$C$5:$C$140=$B26)*Inputs!$D$5:$D$140*(((Inputs!$G$5:$G$140="moeda")+(Inputs!$G$5:$G$140="acoes"))*Inputs!$B$1+((Inputs!$G$5:$G$140&lt;&gt;"moeda")*(Inputs!$G$5:$G$140&lt;&gt;"acoes")))*INDEX(Inputs!$K$5:$AJ$140,0,MATCH(G$2,Inputs!$K$4:$AJ$4,0)))+SUMPRODUCT((Inputs!$E$5:$E$140=$B26)*Inputs!$F$5:$F$140*(((Inputs!$G$5:$G$140="moeda")+(Inputs!$G$5:$G$140="acoes"))*Inputs!$B$1+((Inputs!$G$5:$G$140&lt;&gt;"moeda")*(Inputs!$G$5:$G$140&lt;&gt;"acoes")))*INDEX(Inputs!$K$5:$AJ$140,0,MATCH(G$2,Inputs!$K$4:$AJ$4,0)))))</f>
        <v>3841</v>
      </c>
      <c r="H26" s="3">
        <f>G26</f>
        <v>3841</v>
      </c>
      <c r="I26" s="6">
        <f>IF(ISNA(MATCH(I$2,Inputs!$K$4:$AJ$4,0)),NA(),IF(SUMPRODUCT((Inputs!$A$5:$A$140=$B26)*ISNUMBER(INDEX(Inputs!$K$5:$AJ$140,0,MATCH(I$2,Inputs!$K$4:$AJ$4,0))))+SUMPRODUCT((Inputs!$C$5:$C$140=$B26)*ISNUMBER(INDEX(Inputs!$K$5:$AJ$140,0,MATCH(I$2,Inputs!$K$4:$AJ$4,0))))+SUMPRODUCT((Inputs!$E$5:$E$140=$B26)*ISNUMBER(INDEX(Inputs!$K$5:$AJ$140,0,MATCH(I$2,Inputs!$K$4:$AJ$4,0))))=0,NA(),SUMPRODUCT((Inputs!$A$5:$A$140=$B26)*Inputs!$B$5:$B$140*(((Inputs!$G$5:$G$140="moeda")+(Inputs!$G$5:$G$140="acoes"))*Inputs!$B$1+((Inputs!$G$5:$G$140&lt;&gt;"moeda")*(Inputs!$G$5:$G$140&lt;&gt;"acoes")))*INDEX(Inputs!$K$5:$AJ$140,0,MATCH(I$2,Inputs!$K$4:$AJ$4,0)))+SUMPRODUCT((Inputs!$C$5:$C$140=$B26)*Inputs!$D$5:$D$140*(((Inputs!$G$5:$G$140="moeda")+(Inputs!$G$5:$G$140="acoes"))*Inputs!$B$1+((Inputs!$G$5:$G$140&lt;&gt;"moeda")*(Inputs!$G$5:$G$140&lt;&gt;"acoes")))*INDEX(Inputs!$K$5:$AJ$140,0,MATCH(I$2,Inputs!$K$4:$AJ$4,0)))+SUMPRODUCT((Inputs!$E$5:$E$140=$B26)*Inputs!$F$5:$F$140*(((Inputs!$G$5:$G$140="moeda")+(Inputs!$G$5:$G$140="acoes"))*Inputs!$B$1+((Inputs!$G$5:$G$140&lt;&gt;"moeda")*(Inputs!$G$5:$G$140&lt;&gt;"acoes")))*INDEX(Inputs!$K$5:$AJ$140,0,MATCH(I$2,Inputs!$K$4:$AJ$4,0)))))</f>
        <v>3505</v>
      </c>
      <c r="J26" s="6">
        <f>IF(ISNA(MATCH(J$2,Inputs!$K$4:$AJ$4,0)),NA(),IF(SUMPRODUCT((Inputs!$A$5:$A$140=$B26)*ISNUMBER(INDEX(Inputs!$K$5:$AJ$140,0,MATCH(J$2,Inputs!$K$4:$AJ$4,0))))+SUMPRODUCT((Inputs!$C$5:$C$140=$B26)*ISNUMBER(INDEX(Inputs!$K$5:$AJ$140,0,MATCH(J$2,Inputs!$K$4:$AJ$4,0))))+SUMPRODUCT((Inputs!$E$5:$E$140=$B26)*ISNUMBER(INDEX(Inputs!$K$5:$AJ$140,0,MATCH(J$2,Inputs!$K$4:$AJ$4,0))))=0,NA(),SUMPRODUCT((Inputs!$A$5:$A$140=$B26)*Inputs!$B$5:$B$140*(((Inputs!$G$5:$G$140="moeda")+(Inputs!$G$5:$G$140="acoes"))*Inputs!$B$1+((Inputs!$G$5:$G$140&lt;&gt;"moeda")*(Inputs!$G$5:$G$140&lt;&gt;"acoes")))*INDEX(Inputs!$K$5:$AJ$140,0,MATCH(J$2,Inputs!$K$4:$AJ$4,0)))+SUMPRODUCT((Inputs!$C$5:$C$140=$B26)*Inputs!$D$5:$D$140*(((Inputs!$G$5:$G$140="moeda")+(Inputs!$G$5:$G$140="acoes"))*Inputs!$B$1+((Inputs!$G$5:$G$140&lt;&gt;"moeda")*(Inputs!$G$5:$G$140&lt;&gt;"acoes")))*INDEX(Inputs!$K$5:$AJ$140,0,MATCH(J$2,Inputs!$K$4:$AJ$4,0)))+SUMPRODUCT((Inputs!$E$5:$E$140=$B26)*Inputs!$F$5:$F$140*(((Inputs!$G$5:$G$140="moeda")+(Inputs!$G$5:$G$140="acoes"))*Inputs!$B$1+((Inputs!$G$5:$G$140&lt;&gt;"moeda")*(Inputs!$G$5:$G$140&lt;&gt;"acoes")))*INDEX(Inputs!$K$5:$AJ$140,0,MATCH(J$2,Inputs!$K$4:$AJ$4,0)))))</f>
        <v>3340</v>
      </c>
      <c r="K26" s="6">
        <f>IF(ISNA(MATCH(K$2,Inputs!$K$4:$AJ$4,0)),NA(),IF(SUMPRODUCT((Inputs!$A$5:$A$140=$B26)*ISNUMBER(INDEX(Inputs!$K$5:$AJ$140,0,MATCH(K$2,Inputs!$K$4:$AJ$4,0))))+SUMPRODUCT((Inputs!$C$5:$C$140=$B26)*ISNUMBER(INDEX(Inputs!$K$5:$AJ$140,0,MATCH(K$2,Inputs!$K$4:$AJ$4,0))))+SUMPRODUCT((Inputs!$E$5:$E$140=$B26)*ISNUMBER(INDEX(Inputs!$K$5:$AJ$140,0,MATCH(K$2,Inputs!$K$4:$AJ$4,0))))=0,NA(),SUMPRODUCT((Inputs!$A$5:$A$140=$B26)*Inputs!$B$5:$B$140*(((Inputs!$G$5:$G$140="moeda")+(Inputs!$G$5:$G$140="acoes"))*Inputs!$B$1+((Inputs!$G$5:$G$140&lt;&gt;"moeda")*(Inputs!$G$5:$G$140&lt;&gt;"acoes")))*INDEX(Inputs!$K$5:$AJ$140,0,MATCH(K$2,Inputs!$K$4:$AJ$4,0)))+SUMPRODUCT((Inputs!$C$5:$C$140=$B26)*Inputs!$D$5:$D$140*(((Inputs!$G$5:$G$140="moeda")+(Inputs!$G$5:$G$140="acoes"))*Inputs!$B$1+((Inputs!$G$5:$G$140&lt;&gt;"moeda")*(Inputs!$G$5:$G$140&lt;&gt;"acoes")))*INDEX(Inputs!$K$5:$AJ$140,0,MATCH(K$2,Inputs!$K$4:$AJ$4,0)))+SUMPRODUCT((Inputs!$E$5:$E$140=$B26)*Inputs!$F$5:$F$140*(((Inputs!$G$5:$G$140="moeda")+(Inputs!$G$5:$G$140="acoes"))*Inputs!$B$1+((Inputs!$G$5:$G$140&lt;&gt;"moeda")*(Inputs!$G$5:$G$140&lt;&gt;"acoes")))*INDEX(Inputs!$K$5:$AJ$140,0,MATCH(K$2,Inputs!$K$4:$AJ$4,0)))))</f>
        <v>3580</v>
      </c>
      <c r="L26" s="6">
        <f>IF(ISNA(MATCH(L$2,Inputs!$K$4:$AJ$4,0)),NA(),IF(SUMPRODUCT((Inputs!$A$5:$A$140=$B26)*ISNUMBER(INDEX(Inputs!$K$5:$AJ$140,0,MATCH(L$2,Inputs!$K$4:$AJ$4,0))))+SUMPRODUCT((Inputs!$C$5:$C$140=$B26)*ISNUMBER(INDEX(Inputs!$K$5:$AJ$140,0,MATCH(L$2,Inputs!$K$4:$AJ$4,0))))+SUMPRODUCT((Inputs!$E$5:$E$140=$B26)*ISNUMBER(INDEX(Inputs!$K$5:$AJ$140,0,MATCH(L$2,Inputs!$K$4:$AJ$4,0))))=0,NA(),SUMPRODUCT((Inputs!$A$5:$A$140=$B26)*Inputs!$B$5:$B$140*(((Inputs!$G$5:$G$140="moeda")+(Inputs!$G$5:$G$140="acoes"))*Inputs!$B$1+((Inputs!$G$5:$G$140&lt;&gt;"moeda")*(Inputs!$G$5:$G$140&lt;&gt;"acoes")))*INDEX(Inputs!$K$5:$AJ$140,0,MATCH(L$2,Inputs!$K$4:$AJ$4,0)))+SUMPRODUCT((Inputs!$C$5:$C$140=$B26)*Inputs!$D$5:$D$140*(((Inputs!$G$5:$G$140="moeda")+(Inputs!$G$5:$G$140="acoes"))*Inputs!$B$1+((Inputs!$G$5:$G$140&lt;&gt;"moeda")*(Inputs!$G$5:$G$140&lt;&gt;"acoes")))*INDEX(Inputs!$K$5:$AJ$140,0,MATCH(L$2,Inputs!$K$4:$AJ$4,0)))+SUMPRODUCT((Inputs!$E$5:$E$140=$B26)*Inputs!$F$5:$F$140*(((Inputs!$G$5:$G$140="moeda")+(Inputs!$G$5:$G$140="acoes"))*Inputs!$B$1+((Inputs!$G$5:$G$140&lt;&gt;"moeda")*(Inputs!$G$5:$G$140&lt;&gt;"acoes")))*INDEX(Inputs!$K$5:$AJ$140,0,MATCH(L$2,Inputs!$K$4:$AJ$4,0)))))</f>
        <v>3820</v>
      </c>
      <c r="M26" s="3">
        <f>L26</f>
        <v>3820</v>
      </c>
      <c r="N26" s="6">
        <f>IF(ISNA(MATCH(N$2,Inputs!$K$4:$AJ$4,0)),NA(),IF(SUMPRODUCT((Inputs!$A$5:$A$140=$B26)*ISNUMBER(INDEX(Inputs!$K$5:$AJ$140,0,MATCH(N$2,Inputs!$K$4:$AJ$4,0))))+SUMPRODUCT((Inputs!$C$5:$C$140=$B26)*ISNUMBER(INDEX(Inputs!$K$5:$AJ$140,0,MATCH(N$2,Inputs!$K$4:$AJ$4,0))))+SUMPRODUCT((Inputs!$E$5:$E$140=$B26)*ISNUMBER(INDEX(Inputs!$K$5:$AJ$140,0,MATCH(N$2,Inputs!$K$4:$AJ$4,0))))=0,NA(),SUMPRODUCT((Inputs!$A$5:$A$140=$B26)*Inputs!$B$5:$B$140*(((Inputs!$G$5:$G$140="moeda")+(Inputs!$G$5:$G$140="acoes"))*Inputs!$B$1+((Inputs!$G$5:$G$140&lt;&gt;"moeda")*(Inputs!$G$5:$G$140&lt;&gt;"acoes")))*INDEX(Inputs!$K$5:$AJ$140,0,MATCH(N$2,Inputs!$K$4:$AJ$4,0)))+SUMPRODUCT((Inputs!$C$5:$C$140=$B26)*Inputs!$D$5:$D$140*(((Inputs!$G$5:$G$140="moeda")+(Inputs!$G$5:$G$140="acoes"))*Inputs!$B$1+((Inputs!$G$5:$G$140&lt;&gt;"moeda")*(Inputs!$G$5:$G$140&lt;&gt;"acoes")))*INDEX(Inputs!$K$5:$AJ$140,0,MATCH(N$2,Inputs!$K$4:$AJ$4,0)))+SUMPRODUCT((Inputs!$E$5:$E$140=$B26)*Inputs!$F$5:$F$140*(((Inputs!$G$5:$G$140="moeda")+(Inputs!$G$5:$G$140="acoes"))*Inputs!$B$1+((Inputs!$G$5:$G$140&lt;&gt;"moeda")*(Inputs!$G$5:$G$140&lt;&gt;"acoes")))*INDEX(Inputs!$K$5:$AJ$140,0,MATCH(N$2,Inputs!$K$4:$AJ$4,0)))))</f>
        <v>4204</v>
      </c>
      <c r="O26" s="6">
        <f>IF(ISNA(MATCH(O$2,Inputs!$K$4:$AJ$4,0)),NA(),IF(SUMPRODUCT((Inputs!$A$5:$A$140=$B26)*ISNUMBER(INDEX(Inputs!$K$5:$AJ$140,0,MATCH(O$2,Inputs!$K$4:$AJ$4,0))))+SUMPRODUCT((Inputs!$C$5:$C$140=$B26)*ISNUMBER(INDEX(Inputs!$K$5:$AJ$140,0,MATCH(O$2,Inputs!$K$4:$AJ$4,0))))+SUMPRODUCT((Inputs!$E$5:$E$140=$B26)*ISNUMBER(INDEX(Inputs!$K$5:$AJ$140,0,MATCH(O$2,Inputs!$K$4:$AJ$4,0))))=0,NA(),SUMPRODUCT((Inputs!$A$5:$A$140=$B26)*Inputs!$B$5:$B$140*(((Inputs!$G$5:$G$140="moeda")+(Inputs!$G$5:$G$140="acoes"))*Inputs!$B$1+((Inputs!$G$5:$G$140&lt;&gt;"moeda")*(Inputs!$G$5:$G$140&lt;&gt;"acoes")))*INDEX(Inputs!$K$5:$AJ$140,0,MATCH(O$2,Inputs!$K$4:$AJ$4,0)))+SUMPRODUCT((Inputs!$C$5:$C$140=$B26)*Inputs!$D$5:$D$140*(((Inputs!$G$5:$G$140="moeda")+(Inputs!$G$5:$G$140="acoes"))*Inputs!$B$1+((Inputs!$G$5:$G$140&lt;&gt;"moeda")*(Inputs!$G$5:$G$140&lt;&gt;"acoes")))*INDEX(Inputs!$K$5:$AJ$140,0,MATCH(O$2,Inputs!$K$4:$AJ$4,0)))+SUMPRODUCT((Inputs!$E$5:$E$140=$B26)*Inputs!$F$5:$F$140*(((Inputs!$G$5:$G$140="moeda")+(Inputs!$G$5:$G$140="acoes"))*Inputs!$B$1+((Inputs!$G$5:$G$140&lt;&gt;"moeda")*(Inputs!$G$5:$G$140&lt;&gt;"acoes")))*INDEX(Inputs!$K$5:$AJ$140,0,MATCH(O$2,Inputs!$K$4:$AJ$4,0)))))</f>
        <v>4501</v>
      </c>
      <c r="P26" s="6">
        <f>IF(ISNA(MATCH(P$2,Inputs!$K$4:$AJ$4,0)),NA(),IF(SUMPRODUCT((Inputs!$A$5:$A$140=$B26)*ISNUMBER(INDEX(Inputs!$K$5:$AJ$140,0,MATCH(P$2,Inputs!$K$4:$AJ$4,0))))+SUMPRODUCT((Inputs!$C$5:$C$140=$B26)*ISNUMBER(INDEX(Inputs!$K$5:$AJ$140,0,MATCH(P$2,Inputs!$K$4:$AJ$4,0))))+SUMPRODUCT((Inputs!$E$5:$E$140=$B26)*ISNUMBER(INDEX(Inputs!$K$5:$AJ$140,0,MATCH(P$2,Inputs!$K$4:$AJ$4,0))))=0,NA(),SUMPRODUCT((Inputs!$A$5:$A$140=$B26)*Inputs!$B$5:$B$140*(((Inputs!$G$5:$G$140="moeda")+(Inputs!$G$5:$G$140="acoes"))*Inputs!$B$1+((Inputs!$G$5:$G$140&lt;&gt;"moeda")*(Inputs!$G$5:$G$140&lt;&gt;"acoes")))*INDEX(Inputs!$K$5:$AJ$140,0,MATCH(P$2,Inputs!$K$4:$AJ$4,0)))+SUMPRODUCT((Inputs!$C$5:$C$140=$B26)*Inputs!$D$5:$D$140*(((Inputs!$G$5:$G$140="moeda")+(Inputs!$G$5:$G$140="acoes"))*Inputs!$B$1+((Inputs!$G$5:$G$140&lt;&gt;"moeda")*(Inputs!$G$5:$G$140&lt;&gt;"acoes")))*INDEX(Inputs!$K$5:$AJ$140,0,MATCH(P$2,Inputs!$K$4:$AJ$4,0)))+SUMPRODUCT((Inputs!$E$5:$E$140=$B26)*Inputs!$F$5:$F$140*(((Inputs!$G$5:$G$140="moeda")+(Inputs!$G$5:$G$140="acoes"))*Inputs!$B$1+((Inputs!$G$5:$G$140&lt;&gt;"moeda")*(Inputs!$G$5:$G$140&lt;&gt;"acoes")))*INDEX(Inputs!$K$5:$AJ$140,0,MATCH(P$2,Inputs!$K$4:$AJ$4,0)))))</f>
        <v>4667</v>
      </c>
      <c r="Q26" s="6">
        <f>IF(ISNA(MATCH(Q$2,Inputs!$K$4:$AJ$4,0)),NA(),IF(SUMPRODUCT((Inputs!$A$5:$A$140=$B26)*ISNUMBER(INDEX(Inputs!$K$5:$AJ$140,0,MATCH(Q$2,Inputs!$K$4:$AJ$4,0))))+SUMPRODUCT((Inputs!$C$5:$C$140=$B26)*ISNUMBER(INDEX(Inputs!$K$5:$AJ$140,0,MATCH(Q$2,Inputs!$K$4:$AJ$4,0))))+SUMPRODUCT((Inputs!$E$5:$E$140=$B26)*ISNUMBER(INDEX(Inputs!$K$5:$AJ$140,0,MATCH(Q$2,Inputs!$K$4:$AJ$4,0))))=0,NA(),SUMPRODUCT((Inputs!$A$5:$A$140=$B26)*Inputs!$B$5:$B$140*(((Inputs!$G$5:$G$140="moeda")+(Inputs!$G$5:$G$140="acoes"))*Inputs!$B$1+((Inputs!$G$5:$G$140&lt;&gt;"moeda")*(Inputs!$G$5:$G$140&lt;&gt;"acoes")))*INDEX(Inputs!$K$5:$AJ$140,0,MATCH(Q$2,Inputs!$K$4:$AJ$4,0)))+SUMPRODUCT((Inputs!$C$5:$C$140=$B26)*Inputs!$D$5:$D$140*(((Inputs!$G$5:$G$140="moeda")+(Inputs!$G$5:$G$140="acoes"))*Inputs!$B$1+((Inputs!$G$5:$G$140&lt;&gt;"moeda")*(Inputs!$G$5:$G$140&lt;&gt;"acoes")))*INDEX(Inputs!$K$5:$AJ$140,0,MATCH(Q$2,Inputs!$K$4:$AJ$4,0)))+SUMPRODUCT((Inputs!$E$5:$E$140=$B26)*Inputs!$F$5:$F$140*(((Inputs!$G$5:$G$140="moeda")+(Inputs!$G$5:$G$140="acoes"))*Inputs!$B$1+((Inputs!$G$5:$G$140&lt;&gt;"moeda")*(Inputs!$G$5:$G$140&lt;&gt;"acoes")))*INDEX(Inputs!$K$5:$AJ$140,0,MATCH(Q$2,Inputs!$K$4:$AJ$4,0)))))</f>
        <v>4500</v>
      </c>
      <c r="R26" s="3">
        <f>Q26</f>
        <v>4500</v>
      </c>
      <c r="S26" s="6">
        <f>IF(ISNA(MATCH(S$2,Inputs!$K$4:$AJ$4,0)),NA(),IF(SUMPRODUCT((Inputs!$A$5:$A$140=$B26)*ISNUMBER(INDEX(Inputs!$K$5:$AJ$140,0,MATCH(S$2,Inputs!$K$4:$AJ$4,0))))+SUMPRODUCT((Inputs!$C$5:$C$140=$B26)*ISNUMBER(INDEX(Inputs!$K$5:$AJ$140,0,MATCH(S$2,Inputs!$K$4:$AJ$4,0))))+SUMPRODUCT((Inputs!$E$5:$E$140=$B26)*ISNUMBER(INDEX(Inputs!$K$5:$AJ$140,0,MATCH(S$2,Inputs!$K$4:$AJ$4,0))))=0,NA(),SUMPRODUCT((Inputs!$A$5:$A$140=$B26)*Inputs!$B$5:$B$140*(((Inputs!$G$5:$G$140="moeda")+(Inputs!$G$5:$G$140="acoes"))*Inputs!$B$1+((Inputs!$G$5:$G$140&lt;&gt;"moeda")*(Inputs!$G$5:$G$140&lt;&gt;"acoes")))*INDEX(Inputs!$K$5:$AJ$140,0,MATCH(S$2,Inputs!$K$4:$AJ$4,0)))+SUMPRODUCT((Inputs!$C$5:$C$140=$B26)*Inputs!$D$5:$D$140*(((Inputs!$G$5:$G$140="moeda")+(Inputs!$G$5:$G$140="acoes"))*Inputs!$B$1+((Inputs!$G$5:$G$140&lt;&gt;"moeda")*(Inputs!$G$5:$G$140&lt;&gt;"acoes")))*INDEX(Inputs!$K$5:$AJ$140,0,MATCH(S$2,Inputs!$K$4:$AJ$4,0)))+SUMPRODUCT((Inputs!$E$5:$E$140=$B26)*Inputs!$F$5:$F$140*(((Inputs!$G$5:$G$140="moeda")+(Inputs!$G$5:$G$140="acoes"))*Inputs!$B$1+((Inputs!$G$5:$G$140&lt;&gt;"moeda")*(Inputs!$G$5:$G$140&lt;&gt;"acoes")))*INDEX(Inputs!$K$5:$AJ$140,0,MATCH(S$2,Inputs!$K$4:$AJ$4,0)))))</f>
        <v>4568</v>
      </c>
      <c r="T26" s="6">
        <f>IF(ISNA(MATCH(T$2,Inputs!$K$4:$AJ$4,0)),NA(),IF(SUMPRODUCT((Inputs!$A$5:$A$140=$B26)*ISNUMBER(INDEX(Inputs!$K$5:$AJ$140,0,MATCH(T$2,Inputs!$K$4:$AJ$4,0))))+SUMPRODUCT((Inputs!$C$5:$C$140=$B26)*ISNUMBER(INDEX(Inputs!$K$5:$AJ$140,0,MATCH(T$2,Inputs!$K$4:$AJ$4,0))))+SUMPRODUCT((Inputs!$E$5:$E$140=$B26)*ISNUMBER(INDEX(Inputs!$K$5:$AJ$140,0,MATCH(T$2,Inputs!$K$4:$AJ$4,0))))=0,NA(),SUMPRODUCT((Inputs!$A$5:$A$140=$B26)*Inputs!$B$5:$B$140*(((Inputs!$G$5:$G$140="moeda")+(Inputs!$G$5:$G$140="acoes"))*Inputs!$B$1+((Inputs!$G$5:$G$140&lt;&gt;"moeda")*(Inputs!$G$5:$G$140&lt;&gt;"acoes")))*INDEX(Inputs!$K$5:$AJ$140,0,MATCH(T$2,Inputs!$K$4:$AJ$4,0)))+SUMPRODUCT((Inputs!$C$5:$C$140=$B26)*Inputs!$D$5:$D$140*(((Inputs!$G$5:$G$140="moeda")+(Inputs!$G$5:$G$140="acoes"))*Inputs!$B$1+((Inputs!$G$5:$G$140&lt;&gt;"moeda")*(Inputs!$G$5:$G$140&lt;&gt;"acoes")))*INDEX(Inputs!$K$5:$AJ$140,0,MATCH(T$2,Inputs!$K$4:$AJ$4,0)))+SUMPRODUCT((Inputs!$E$5:$E$140=$B26)*Inputs!$F$5:$F$140*(((Inputs!$G$5:$G$140="moeda")+(Inputs!$G$5:$G$140="acoes"))*Inputs!$B$1+((Inputs!$G$5:$G$140&lt;&gt;"moeda")*(Inputs!$G$5:$G$140&lt;&gt;"acoes")))*INDEX(Inputs!$K$5:$AJ$140,0,MATCH(T$2,Inputs!$K$4:$AJ$4,0)))))</f>
        <v>4001</v>
      </c>
      <c r="U26" s="6">
        <f>IF(ISNA(MATCH(U$2,Inputs!$K$4:$AJ$4,0)),NA(),IF(SUMPRODUCT((Inputs!$A$5:$A$140=$B26)*ISNUMBER(INDEX(Inputs!$K$5:$AJ$140,0,MATCH(U$2,Inputs!$K$4:$AJ$4,0))))+SUMPRODUCT((Inputs!$C$5:$C$140=$B26)*ISNUMBER(INDEX(Inputs!$K$5:$AJ$140,0,MATCH(U$2,Inputs!$K$4:$AJ$4,0))))+SUMPRODUCT((Inputs!$E$5:$E$140=$B26)*ISNUMBER(INDEX(Inputs!$K$5:$AJ$140,0,MATCH(U$2,Inputs!$K$4:$AJ$4,0))))=0,NA(),SUMPRODUCT((Inputs!$A$5:$A$140=$B26)*Inputs!$B$5:$B$140*(((Inputs!$G$5:$G$140="moeda")+(Inputs!$G$5:$G$140="acoes"))*Inputs!$B$1+((Inputs!$G$5:$G$140&lt;&gt;"moeda")*(Inputs!$G$5:$G$140&lt;&gt;"acoes")))*INDEX(Inputs!$K$5:$AJ$140,0,MATCH(U$2,Inputs!$K$4:$AJ$4,0)))+SUMPRODUCT((Inputs!$C$5:$C$140=$B26)*Inputs!$D$5:$D$140*(((Inputs!$G$5:$G$140="moeda")+(Inputs!$G$5:$G$140="acoes"))*Inputs!$B$1+((Inputs!$G$5:$G$140&lt;&gt;"moeda")*(Inputs!$G$5:$G$140&lt;&gt;"acoes")))*INDEX(Inputs!$K$5:$AJ$140,0,MATCH(U$2,Inputs!$K$4:$AJ$4,0)))+SUMPRODUCT((Inputs!$E$5:$E$140=$B26)*Inputs!$F$5:$F$140*(((Inputs!$G$5:$G$140="moeda")+(Inputs!$G$5:$G$140="acoes"))*Inputs!$B$1+((Inputs!$G$5:$G$140&lt;&gt;"moeda")*(Inputs!$G$5:$G$140&lt;&gt;"acoes")))*INDEX(Inputs!$K$5:$AJ$140,0,MATCH(U$2,Inputs!$K$4:$AJ$4,0)))))</f>
        <v>5437</v>
      </c>
      <c r="V26" s="6">
        <f>IF(ISNA(MATCH(V$2,Inputs!$K$4:$AJ$4,0)),NA(),IF(SUMPRODUCT((Inputs!$A$5:$A$140=$B26)*ISNUMBER(INDEX(Inputs!$K$5:$AJ$140,0,MATCH(V$2,Inputs!$K$4:$AJ$4,0))))+SUMPRODUCT((Inputs!$C$5:$C$140=$B26)*ISNUMBER(INDEX(Inputs!$K$5:$AJ$140,0,MATCH(V$2,Inputs!$K$4:$AJ$4,0))))+SUMPRODUCT((Inputs!$E$5:$E$140=$B26)*ISNUMBER(INDEX(Inputs!$K$5:$AJ$140,0,MATCH(V$2,Inputs!$K$4:$AJ$4,0))))=0,NA(),SUMPRODUCT((Inputs!$A$5:$A$140=$B26)*Inputs!$B$5:$B$140*(((Inputs!$G$5:$G$140="moeda")+(Inputs!$G$5:$G$140="acoes"))*Inputs!$B$1+((Inputs!$G$5:$G$140&lt;&gt;"moeda")*(Inputs!$G$5:$G$140&lt;&gt;"acoes")))*INDEX(Inputs!$K$5:$AJ$140,0,MATCH(V$2,Inputs!$K$4:$AJ$4,0)))+SUMPRODUCT((Inputs!$C$5:$C$140=$B26)*Inputs!$D$5:$D$140*(((Inputs!$G$5:$G$140="moeda")+(Inputs!$G$5:$G$140="acoes"))*Inputs!$B$1+((Inputs!$G$5:$G$140&lt;&gt;"moeda")*(Inputs!$G$5:$G$140&lt;&gt;"acoes")))*INDEX(Inputs!$K$5:$AJ$140,0,MATCH(V$2,Inputs!$K$4:$AJ$4,0)))+SUMPRODUCT((Inputs!$E$5:$E$140=$B26)*Inputs!$F$5:$F$140*(((Inputs!$G$5:$G$140="moeda")+(Inputs!$G$5:$G$140="acoes"))*Inputs!$B$1+((Inputs!$G$5:$G$140&lt;&gt;"moeda")*(Inputs!$G$5:$G$140&lt;&gt;"acoes")))*INDEX(Inputs!$K$5:$AJ$140,0,MATCH(V$2,Inputs!$K$4:$AJ$4,0)))))</f>
        <v>6425</v>
      </c>
      <c r="W26" s="3">
        <f>V26</f>
        <v>6425</v>
      </c>
      <c r="X26" s="6">
        <f>IF(ISNA(MATCH(X$2,Inputs!$K$4:$AJ$4,0)),NA(),IF(SUMPRODUCT((Inputs!$A$5:$A$140=$B26)*ISNUMBER(INDEX(Inputs!$K$5:$AJ$140,0,MATCH(X$2,Inputs!$K$4:$AJ$4,0))))+SUMPRODUCT((Inputs!$C$5:$C$140=$B26)*ISNUMBER(INDEX(Inputs!$K$5:$AJ$140,0,MATCH(X$2,Inputs!$K$4:$AJ$4,0))))+SUMPRODUCT((Inputs!$E$5:$E$140=$B26)*ISNUMBER(INDEX(Inputs!$K$5:$AJ$140,0,MATCH(X$2,Inputs!$K$4:$AJ$4,0))))=0,NA(),SUMPRODUCT((Inputs!$A$5:$A$140=$B26)*Inputs!$B$5:$B$140*(((Inputs!$G$5:$G$140="moeda")+(Inputs!$G$5:$G$140="acoes"))*Inputs!$B$1+((Inputs!$G$5:$G$140&lt;&gt;"moeda")*(Inputs!$G$5:$G$140&lt;&gt;"acoes")))*INDEX(Inputs!$K$5:$AJ$140,0,MATCH(X$2,Inputs!$K$4:$AJ$4,0)))+SUMPRODUCT((Inputs!$C$5:$C$140=$B26)*Inputs!$D$5:$D$140*(((Inputs!$G$5:$G$140="moeda")+(Inputs!$G$5:$G$140="acoes"))*Inputs!$B$1+((Inputs!$G$5:$G$140&lt;&gt;"moeda")*(Inputs!$G$5:$G$140&lt;&gt;"acoes")))*INDEX(Inputs!$K$5:$AJ$140,0,MATCH(X$2,Inputs!$K$4:$AJ$4,0)))+SUMPRODUCT((Inputs!$E$5:$E$140=$B26)*Inputs!$F$5:$F$140*(((Inputs!$G$5:$G$140="moeda")+(Inputs!$G$5:$G$140="acoes"))*Inputs!$B$1+((Inputs!$G$5:$G$140&lt;&gt;"moeda")*(Inputs!$G$5:$G$140&lt;&gt;"acoes")))*INDEX(Inputs!$K$5:$AJ$140,0,MATCH(X$2,Inputs!$K$4:$AJ$4,0)))))</f>
        <v>6788</v>
      </c>
      <c r="Y26" s="6">
        <f>IF(ISNA(MATCH(Y$2,Inputs!$K$4:$AJ$4,0)),NA(),IF(SUMPRODUCT((Inputs!$A$5:$A$140=$B26)*ISNUMBER(INDEX(Inputs!$K$5:$AJ$140,0,MATCH(Y$2,Inputs!$K$4:$AJ$4,0))))+SUMPRODUCT((Inputs!$C$5:$C$140=$B26)*ISNUMBER(INDEX(Inputs!$K$5:$AJ$140,0,MATCH(Y$2,Inputs!$K$4:$AJ$4,0))))+SUMPRODUCT((Inputs!$E$5:$E$140=$B26)*ISNUMBER(INDEX(Inputs!$K$5:$AJ$140,0,MATCH(Y$2,Inputs!$K$4:$AJ$4,0))))=0,NA(),SUMPRODUCT((Inputs!$A$5:$A$140=$B26)*Inputs!$B$5:$B$140*(((Inputs!$G$5:$G$140="moeda")+(Inputs!$G$5:$G$140="acoes"))*Inputs!$B$1+((Inputs!$G$5:$G$140&lt;&gt;"moeda")*(Inputs!$G$5:$G$140&lt;&gt;"acoes")))*INDEX(Inputs!$K$5:$AJ$140,0,MATCH(Y$2,Inputs!$K$4:$AJ$4,0)))+SUMPRODUCT((Inputs!$C$5:$C$140=$B26)*Inputs!$D$5:$D$140*(((Inputs!$G$5:$G$140="moeda")+(Inputs!$G$5:$G$140="acoes"))*Inputs!$B$1+((Inputs!$G$5:$G$140&lt;&gt;"moeda")*(Inputs!$G$5:$G$140&lt;&gt;"acoes")))*INDEX(Inputs!$K$5:$AJ$140,0,MATCH(Y$2,Inputs!$K$4:$AJ$4,0)))+SUMPRODUCT((Inputs!$E$5:$E$140=$B26)*Inputs!$F$5:$F$140*(((Inputs!$G$5:$G$140="moeda")+(Inputs!$G$5:$G$140="acoes"))*Inputs!$B$1+((Inputs!$G$5:$G$140&lt;&gt;"moeda")*(Inputs!$G$5:$G$140&lt;&gt;"acoes")))*INDEX(Inputs!$K$5:$AJ$140,0,MATCH(Y$2,Inputs!$K$4:$AJ$4,0)))))</f>
        <v>7216</v>
      </c>
      <c r="Z26" s="6">
        <f>IF(ISNA(MATCH(Z$2,Inputs!$K$4:$AJ$4,0)),NA(),IF(SUMPRODUCT((Inputs!$A$5:$A$140=$B26)*ISNUMBER(INDEX(Inputs!$K$5:$AJ$140,0,MATCH(Z$2,Inputs!$K$4:$AJ$4,0))))+SUMPRODUCT((Inputs!$C$5:$C$140=$B26)*ISNUMBER(INDEX(Inputs!$K$5:$AJ$140,0,MATCH(Z$2,Inputs!$K$4:$AJ$4,0))))+SUMPRODUCT((Inputs!$E$5:$E$140=$B26)*ISNUMBER(INDEX(Inputs!$K$5:$AJ$140,0,MATCH(Z$2,Inputs!$K$4:$AJ$4,0))))=0,NA(),SUMPRODUCT((Inputs!$A$5:$A$140=$B26)*Inputs!$B$5:$B$140*(((Inputs!$G$5:$G$140="moeda")+(Inputs!$G$5:$G$140="acoes"))*Inputs!$B$1+((Inputs!$G$5:$G$140&lt;&gt;"moeda")*(Inputs!$G$5:$G$140&lt;&gt;"acoes")))*INDEX(Inputs!$K$5:$AJ$140,0,MATCH(Z$2,Inputs!$K$4:$AJ$4,0)))+SUMPRODUCT((Inputs!$C$5:$C$140=$B26)*Inputs!$D$5:$D$140*(((Inputs!$G$5:$G$140="moeda")+(Inputs!$G$5:$G$140="acoes"))*Inputs!$B$1+((Inputs!$G$5:$G$140&lt;&gt;"moeda")*(Inputs!$G$5:$G$140&lt;&gt;"acoes")))*INDEX(Inputs!$K$5:$AJ$140,0,MATCH(Z$2,Inputs!$K$4:$AJ$4,0)))+SUMPRODUCT((Inputs!$E$5:$E$140=$B26)*Inputs!$F$5:$F$140*(((Inputs!$G$5:$G$140="moeda")+(Inputs!$G$5:$G$140="acoes"))*Inputs!$B$1+((Inputs!$G$5:$G$140&lt;&gt;"moeda")*(Inputs!$G$5:$G$140&lt;&gt;"acoes")))*INDEX(Inputs!$K$5:$AJ$140,0,MATCH(Z$2,Inputs!$K$4:$AJ$4,0)))))</f>
        <v>11724</v>
      </c>
      <c r="AA26" s="6">
        <f>IF(ISNA(MATCH(AA$2,Inputs!$K$4:$AJ$4,0)),NA(),IF(SUMPRODUCT((Inputs!$A$5:$A$140=$B26)*ISNUMBER(INDEX(Inputs!$K$5:$AJ$140,0,MATCH(AA$2,Inputs!$K$4:$AJ$4,0))))+SUMPRODUCT((Inputs!$C$5:$C$140=$B26)*ISNUMBER(INDEX(Inputs!$K$5:$AJ$140,0,MATCH(AA$2,Inputs!$K$4:$AJ$4,0))))+SUMPRODUCT((Inputs!$E$5:$E$140=$B26)*ISNUMBER(INDEX(Inputs!$K$5:$AJ$140,0,MATCH(AA$2,Inputs!$K$4:$AJ$4,0))))=0,NA(),SUMPRODUCT((Inputs!$A$5:$A$140=$B26)*Inputs!$B$5:$B$140*(((Inputs!$G$5:$G$140="moeda")+(Inputs!$G$5:$G$140="acoes"))*Inputs!$B$1+((Inputs!$G$5:$G$140&lt;&gt;"moeda")*(Inputs!$G$5:$G$140&lt;&gt;"acoes")))*INDEX(Inputs!$K$5:$AJ$140,0,MATCH(AA$2,Inputs!$K$4:$AJ$4,0)))+SUMPRODUCT((Inputs!$C$5:$C$140=$B26)*Inputs!$D$5:$D$140*(((Inputs!$G$5:$G$140="moeda")+(Inputs!$G$5:$G$140="acoes"))*Inputs!$B$1+((Inputs!$G$5:$G$140&lt;&gt;"moeda")*(Inputs!$G$5:$G$140&lt;&gt;"acoes")))*INDEX(Inputs!$K$5:$AJ$140,0,MATCH(AA$2,Inputs!$K$4:$AJ$4,0)))+SUMPRODUCT((Inputs!$E$5:$E$140=$B26)*Inputs!$F$5:$F$140*(((Inputs!$G$5:$G$140="moeda")+(Inputs!$G$5:$G$140="acoes"))*Inputs!$B$1+((Inputs!$G$5:$G$140&lt;&gt;"moeda")*(Inputs!$G$5:$G$140&lt;&gt;"acoes")))*INDEX(Inputs!$K$5:$AJ$140,0,MATCH(AA$2,Inputs!$K$4:$AJ$4,0)))))</f>
        <v>30552</v>
      </c>
      <c r="AB26" s="3">
        <f>AA26</f>
        <v>30552</v>
      </c>
      <c r="AC26" s="6">
        <f>IF(ISNA(MATCH(AC$2,Inputs!$K$4:$AJ$4,0)),NA(),IF(SUMPRODUCT((Inputs!$A$5:$A$140=$B26)*ISNUMBER(INDEX(Inputs!$K$5:$AJ$140,0,MATCH(AC$2,Inputs!$K$4:$AJ$4,0))))+SUMPRODUCT((Inputs!$C$5:$C$140=$B26)*ISNUMBER(INDEX(Inputs!$K$5:$AJ$140,0,MATCH(AC$2,Inputs!$K$4:$AJ$4,0))))+SUMPRODUCT((Inputs!$E$5:$E$140=$B26)*ISNUMBER(INDEX(Inputs!$K$5:$AJ$140,0,MATCH(AC$2,Inputs!$K$4:$AJ$4,0))))=0,NA(),SUMPRODUCT((Inputs!$A$5:$A$140=$B26)*Inputs!$B$5:$B$140*(((Inputs!$G$5:$G$140="moeda")+(Inputs!$G$5:$G$140="acoes"))*Inputs!$B$1+((Inputs!$G$5:$G$140&lt;&gt;"moeda")*(Inputs!$G$5:$G$140&lt;&gt;"acoes")))*INDEX(Inputs!$K$5:$AJ$140,0,MATCH(AC$2,Inputs!$K$4:$AJ$4,0)))+SUMPRODUCT((Inputs!$C$5:$C$140=$B26)*Inputs!$D$5:$D$140*(((Inputs!$G$5:$G$140="moeda")+(Inputs!$G$5:$G$140="acoes"))*Inputs!$B$1+((Inputs!$G$5:$G$140&lt;&gt;"moeda")*(Inputs!$G$5:$G$140&lt;&gt;"acoes")))*INDEX(Inputs!$K$5:$AJ$140,0,MATCH(AC$2,Inputs!$K$4:$AJ$4,0)))+SUMPRODUCT((Inputs!$E$5:$E$140=$B26)*Inputs!$F$5:$F$140*(((Inputs!$G$5:$G$140="moeda")+(Inputs!$G$5:$G$140="acoes"))*Inputs!$B$1+((Inputs!$G$5:$G$140&lt;&gt;"moeda")*(Inputs!$G$5:$G$140&lt;&gt;"acoes")))*INDEX(Inputs!$K$5:$AJ$140,0,MATCH(AC$2,Inputs!$K$4:$AJ$4,0)))))</f>
        <v>56097</v>
      </c>
      <c r="AD26" s="6">
        <f>IF(ISNA(MATCH(AD$2,Inputs!$K$4:$AJ$4,0)),NA(),IF(SUMPRODUCT((Inputs!$A$5:$A$140=$B26)*ISNUMBER(INDEX(Inputs!$K$5:$AJ$140,0,MATCH(AD$2,Inputs!$K$4:$AJ$4,0))))+SUMPRODUCT((Inputs!$C$5:$C$140=$B26)*ISNUMBER(INDEX(Inputs!$K$5:$AJ$140,0,MATCH(AD$2,Inputs!$K$4:$AJ$4,0))))+SUMPRODUCT((Inputs!$E$5:$E$140=$B26)*ISNUMBER(INDEX(Inputs!$K$5:$AJ$140,0,MATCH(AD$2,Inputs!$K$4:$AJ$4,0))))=0,NA(),SUMPRODUCT((Inputs!$A$5:$A$140=$B26)*Inputs!$B$5:$B$140*(((Inputs!$G$5:$G$140="moeda")+(Inputs!$G$5:$G$140="acoes"))*Inputs!$B$1+((Inputs!$G$5:$G$140&lt;&gt;"moeda")*(Inputs!$G$5:$G$140&lt;&gt;"acoes")))*INDEX(Inputs!$K$5:$AJ$140,0,MATCH(AD$2,Inputs!$K$4:$AJ$4,0)))+SUMPRODUCT((Inputs!$C$5:$C$140=$B26)*Inputs!$D$5:$D$140*(((Inputs!$G$5:$G$140="moeda")+(Inputs!$G$5:$G$140="acoes"))*Inputs!$B$1+((Inputs!$G$5:$G$140&lt;&gt;"moeda")*(Inputs!$G$5:$G$140&lt;&gt;"acoes")))*INDEX(Inputs!$K$5:$AJ$140,0,MATCH(AD$2,Inputs!$K$4:$AJ$4,0)))+SUMPRODUCT((Inputs!$E$5:$E$140=$B26)*Inputs!$F$5:$F$140*(((Inputs!$G$5:$G$140="moeda")+(Inputs!$G$5:$G$140="acoes"))*Inputs!$B$1+((Inputs!$G$5:$G$140&lt;&gt;"moeda")*(Inputs!$G$5:$G$140&lt;&gt;"acoes")))*INDEX(Inputs!$K$5:$AJ$140,0,MATCH(AD$2,Inputs!$K$4:$AJ$4,0)))))</f>
        <v>66903</v>
      </c>
      <c r="AE26" s="6" t="e">
        <f>IF(ISNA(MATCH(AE$2,Inputs!$K$4:$AJ$4,0)),NA(),IF(SUMPRODUCT((Inputs!$A$5:$A$140=$B26)*ISNUMBER(INDEX(Inputs!$K$5:$AJ$140,0,MATCH(AE$2,Inputs!$K$4:$AJ$4,0))))+SUMPRODUCT((Inputs!$C$5:$C$140=$B26)*ISNUMBER(INDEX(Inputs!$K$5:$AJ$140,0,MATCH(AE$2,Inputs!$K$4:$AJ$4,0))))+SUMPRODUCT((Inputs!$E$5:$E$140=$B26)*ISNUMBER(INDEX(Inputs!$K$5:$AJ$140,0,MATCH(AE$2,Inputs!$K$4:$AJ$4,0))))=0,NA(),SUMPRODUCT((Inputs!$A$5:$A$140=$B26)*Inputs!$B$5:$B$140*(((Inputs!$G$5:$G$140="moeda")+(Inputs!$G$5:$G$140="acoes"))*Inputs!$B$1+((Inputs!$G$5:$G$140&lt;&gt;"moeda")*(Inputs!$G$5:$G$140&lt;&gt;"acoes")))*INDEX(Inputs!$K$5:$AJ$140,0,MATCH(AE$2,Inputs!$K$4:$AJ$4,0)))+SUMPRODUCT((Inputs!$C$5:$C$140=$B26)*Inputs!$D$5:$D$140*(((Inputs!$G$5:$G$140="moeda")+(Inputs!$G$5:$G$140="acoes"))*Inputs!$B$1+((Inputs!$G$5:$G$140&lt;&gt;"moeda")*(Inputs!$G$5:$G$140&lt;&gt;"acoes")))*INDEX(Inputs!$K$5:$AJ$140,0,MATCH(AE$2,Inputs!$K$4:$AJ$4,0)))+SUMPRODUCT((Inputs!$E$5:$E$140=$B26)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26" s="6" t="e">
        <f>IF(ISNA(MATCH(AF$2,Inputs!$K$4:$AJ$4,0)),NA(),IF(SUMPRODUCT((Inputs!$A$5:$A$140=$B26)*ISNUMBER(INDEX(Inputs!$K$5:$AJ$140,0,MATCH(AF$2,Inputs!$K$4:$AJ$4,0))))+SUMPRODUCT((Inputs!$C$5:$C$140=$B26)*ISNUMBER(INDEX(Inputs!$K$5:$AJ$140,0,MATCH(AF$2,Inputs!$K$4:$AJ$4,0))))+SUMPRODUCT((Inputs!$E$5:$E$140=$B26)*ISNUMBER(INDEX(Inputs!$K$5:$AJ$140,0,MATCH(AF$2,Inputs!$K$4:$AJ$4,0))))=0,NA(),SUMPRODUCT((Inputs!$A$5:$A$140=$B26)*Inputs!$B$5:$B$140*(((Inputs!$G$5:$G$140="moeda")+(Inputs!$G$5:$G$140="acoes"))*Inputs!$B$1+((Inputs!$G$5:$G$140&lt;&gt;"moeda")*(Inputs!$G$5:$G$140&lt;&gt;"acoes")))*INDEX(Inputs!$K$5:$AJ$140,0,MATCH(AF$2,Inputs!$K$4:$AJ$4,0)))+SUMPRODUCT((Inputs!$C$5:$C$140=$B26)*Inputs!$D$5:$D$140*(((Inputs!$G$5:$G$140="moeda")+(Inputs!$G$5:$G$140="acoes"))*Inputs!$B$1+((Inputs!$G$5:$G$140&lt;&gt;"moeda")*(Inputs!$G$5:$G$140&lt;&gt;"acoes")))*INDEX(Inputs!$K$5:$AJ$140,0,MATCH(AF$2,Inputs!$K$4:$AJ$4,0)))+SUMPRODUCT((Inputs!$E$5:$E$140=$B26)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26" s="3" t="e">
        <f>AF26</f>
        <v>#N/A</v>
      </c>
      <c r="AH26" s="6">
        <f>IF(ISNA(MATCH(AH$2,Inputs!$K$4:$AJ$4,0)),NA(),IF(SUMPRODUCT((Inputs!$A$5:$A$140=$B26)*ISNUMBER(INDEX(Inputs!$K$5:$AJ$140,0,MATCH(AH$2,Inputs!$K$4:$AJ$4,0))))+SUMPRODUCT((Inputs!$C$5:$C$140=$B26)*ISNUMBER(INDEX(Inputs!$K$5:$AJ$140,0,MATCH(AH$2,Inputs!$K$4:$AJ$4,0))))+SUMPRODUCT((Inputs!$E$5:$E$140=$B26)*ISNUMBER(INDEX(Inputs!$K$5:$AJ$140,0,MATCH(AH$2,Inputs!$K$4:$AJ$4,0))))=0,NA(),SUMPRODUCT((Inputs!$A$5:$A$140=$B26)*Inputs!$B$5:$B$140*(((Inputs!$G$5:$G$140="moeda")+(Inputs!$G$5:$G$140="acoes"))*Inputs!$B$1+((Inputs!$G$5:$G$140&lt;&gt;"moeda")*(Inputs!$G$5:$G$140&lt;&gt;"acoes")))*INDEX(Inputs!$K$5:$AJ$140,0,MATCH(AH$2,Inputs!$K$4:$AJ$4,0)))+SUMPRODUCT((Inputs!$C$5:$C$140=$B26)*Inputs!$D$5:$D$140*(((Inputs!$G$5:$G$140="moeda")+(Inputs!$G$5:$G$140="acoes"))*Inputs!$B$1+((Inputs!$G$5:$G$140&lt;&gt;"moeda")*(Inputs!$G$5:$G$140&lt;&gt;"acoes")))*INDEX(Inputs!$K$5:$AJ$140,0,MATCH(AH$2,Inputs!$K$4:$AJ$4,0)))+SUMPRODUCT((Inputs!$E$5:$E$140=$B26)*Inputs!$F$5:$F$140*(((Inputs!$G$5:$G$140="moeda")+(Inputs!$G$5:$G$140="acoes"))*Inputs!$B$1+((Inputs!$G$5:$G$140&lt;&gt;"moeda")*(Inputs!$G$5:$G$140&lt;&gt;"acoes")))*INDEX(Inputs!$K$5:$AJ$140,0,MATCH(AH$2,Inputs!$K$4:$AJ$4,0)))))</f>
        <v>119</v>
      </c>
      <c r="AI26" s="6">
        <f>IF(ISNA(MATCH(AI$2,Inputs!$K$4:$AJ$4,0)),NA(),IF(SUMPRODUCT((Inputs!$A$5:$A$140=$B26)*ISNUMBER(INDEX(Inputs!$K$5:$AJ$140,0,MATCH(AI$2,Inputs!$K$4:$AJ$4,0))))+SUMPRODUCT((Inputs!$C$5:$C$140=$B26)*ISNUMBER(INDEX(Inputs!$K$5:$AJ$140,0,MATCH(AI$2,Inputs!$K$4:$AJ$4,0))))+SUMPRODUCT((Inputs!$E$5:$E$140=$B26)*ISNUMBER(INDEX(Inputs!$K$5:$AJ$140,0,MATCH(AI$2,Inputs!$K$4:$AJ$4,0))))=0,NA(),SUMPRODUCT((Inputs!$A$5:$A$140=$B26)*Inputs!$B$5:$B$140*(((Inputs!$G$5:$G$140="moeda")+(Inputs!$G$5:$G$140="acoes"))*Inputs!$B$1+((Inputs!$G$5:$G$140&lt;&gt;"moeda")*(Inputs!$G$5:$G$140&lt;&gt;"acoes")))*INDEX(Inputs!$K$5:$AJ$140,0,MATCH(AI$2,Inputs!$K$4:$AJ$4,0)))+SUMPRODUCT((Inputs!$C$5:$C$140=$B26)*Inputs!$D$5:$D$140*(((Inputs!$G$5:$G$140="moeda")+(Inputs!$G$5:$G$140="acoes"))*Inputs!$B$1+((Inputs!$G$5:$G$140&lt;&gt;"moeda")*(Inputs!$G$5:$G$140&lt;&gt;"acoes")))*INDEX(Inputs!$K$5:$AJ$140,0,MATCH(AI$2,Inputs!$K$4:$AJ$4,0)))+SUMPRODUCT((Inputs!$E$5:$E$140=$B26)*Inputs!$F$5:$F$140*(((Inputs!$G$5:$G$140="moeda")+(Inputs!$G$5:$G$140="acoes"))*Inputs!$B$1+((Inputs!$G$5:$G$140&lt;&gt;"moeda")*(Inputs!$G$5:$G$140&lt;&gt;"acoes")))*INDEX(Inputs!$K$5:$AJ$140,0,MATCH(AI$2,Inputs!$K$4:$AJ$4,0)))))</f>
        <v>157</v>
      </c>
      <c r="AJ26" s="6">
        <f>IF(ISNA(MATCH(AJ$2,Inputs!$K$4:$AJ$4,0)),NA(),IF(SUMPRODUCT((Inputs!$A$5:$A$140=$B26)*ISNUMBER(INDEX(Inputs!$K$5:$AJ$140,0,MATCH(AJ$2,Inputs!$K$4:$AJ$4,0))))+SUMPRODUCT((Inputs!$C$5:$C$140=$B26)*ISNUMBER(INDEX(Inputs!$K$5:$AJ$140,0,MATCH(AJ$2,Inputs!$K$4:$AJ$4,0))))+SUMPRODUCT((Inputs!$E$5:$E$140=$B26)*ISNUMBER(INDEX(Inputs!$K$5:$AJ$140,0,MATCH(AJ$2,Inputs!$K$4:$AJ$4,0))))=0,NA(),SUMPRODUCT((Inputs!$A$5:$A$140=$B26)*Inputs!$B$5:$B$140*(((Inputs!$G$5:$G$140="moeda")+(Inputs!$G$5:$G$140="acoes"))*Inputs!$B$1+((Inputs!$G$5:$G$140&lt;&gt;"moeda")*(Inputs!$G$5:$G$140&lt;&gt;"acoes")))*INDEX(Inputs!$K$5:$AJ$140,0,MATCH(AJ$2,Inputs!$K$4:$AJ$4,0)))+SUMPRODUCT((Inputs!$C$5:$C$140=$B26)*Inputs!$D$5:$D$140*(((Inputs!$G$5:$G$140="moeda")+(Inputs!$G$5:$G$140="acoes"))*Inputs!$B$1+((Inputs!$G$5:$G$140&lt;&gt;"moeda")*(Inputs!$G$5:$G$140&lt;&gt;"acoes")))*INDEX(Inputs!$K$5:$AJ$140,0,MATCH(AJ$2,Inputs!$K$4:$AJ$4,0)))+SUMPRODUCT((Inputs!$E$5:$E$140=$B26)*Inputs!$F$5:$F$140*(((Inputs!$G$5:$G$140="moeda")+(Inputs!$G$5:$G$140="acoes"))*Inputs!$B$1+((Inputs!$G$5:$G$140&lt;&gt;"moeda")*(Inputs!$G$5:$G$140&lt;&gt;"acoes")))*INDEX(Inputs!$K$5:$AJ$140,0,MATCH(AJ$2,Inputs!$K$4:$AJ$4,0)))))</f>
        <v>2028</v>
      </c>
      <c r="AK26" s="6">
        <f>IF(ISNA(MATCH(AK$2,Inputs!$K$4:$AJ$4,0)),NA(),IF(SUMPRODUCT((Inputs!$A$5:$A$140=$B26)*ISNUMBER(INDEX(Inputs!$K$5:$AJ$140,0,MATCH(AK$2,Inputs!$K$4:$AJ$4,0))))+SUMPRODUCT((Inputs!$C$5:$C$140=$B26)*ISNUMBER(INDEX(Inputs!$K$5:$AJ$140,0,MATCH(AK$2,Inputs!$K$4:$AJ$4,0))))+SUMPRODUCT((Inputs!$E$5:$E$140=$B26)*ISNUMBER(INDEX(Inputs!$K$5:$AJ$140,0,MATCH(AK$2,Inputs!$K$4:$AJ$4,0))))=0,NA(),SUMPRODUCT((Inputs!$A$5:$A$140=$B26)*Inputs!$B$5:$B$140*(((Inputs!$G$5:$G$140="moeda")+(Inputs!$G$5:$G$140="acoes"))*Inputs!$B$1+((Inputs!$G$5:$G$140&lt;&gt;"moeda")*(Inputs!$G$5:$G$140&lt;&gt;"acoes")))*INDEX(Inputs!$K$5:$AJ$140,0,MATCH(AK$2,Inputs!$K$4:$AJ$4,0)))+SUMPRODUCT((Inputs!$C$5:$C$140=$B26)*Inputs!$D$5:$D$140*(((Inputs!$G$5:$G$140="moeda")+(Inputs!$G$5:$G$140="acoes"))*Inputs!$B$1+((Inputs!$G$5:$G$140&lt;&gt;"moeda")*(Inputs!$G$5:$G$140&lt;&gt;"acoes")))*INDEX(Inputs!$K$5:$AJ$140,0,MATCH(AK$2,Inputs!$K$4:$AJ$4,0)))+SUMPRODUCT((Inputs!$E$5:$E$140=$B26)*Inputs!$F$5:$F$140*(((Inputs!$G$5:$G$140="moeda")+(Inputs!$G$5:$G$140="acoes"))*Inputs!$B$1+((Inputs!$G$5:$G$140&lt;&gt;"moeda")*(Inputs!$G$5:$G$140&lt;&gt;"acoes")))*INDEX(Inputs!$K$5:$AJ$140,0,MATCH(AK$2,Inputs!$K$4:$AJ$4,0)))))</f>
        <v>2144</v>
      </c>
      <c r="AL26" s="3">
        <f>AK26</f>
        <v>2144</v>
      </c>
    </row>
    <row r="27">
      <c r="C27" s="1" t="n"/>
    </row>
    <row r="28">
      <c r="B28" s="46" t="n">
        <v>23</v>
      </c>
      <c r="C28" s="26" t="inlineStr">
        <is>
          <t>Accounts payable</t>
        </is>
      </c>
      <c r="D28" s="6">
        <f>IF(ISNA(MATCH(D$2,Inputs!$K$4:$AJ$4,0)),NA(),IF(SUMPRODUCT((Inputs!$A$5:$A$140=$B28)*ISNUMBER(INDEX(Inputs!$K$5:$AJ$140,0,MATCH(D$2,Inputs!$K$4:$AJ$4,0))))+SUMPRODUCT((Inputs!$C$5:$C$140=$B28)*ISNUMBER(INDEX(Inputs!$K$5:$AJ$140,0,MATCH(D$2,Inputs!$K$4:$AJ$4,0))))+SUMPRODUCT((Inputs!$E$5:$E$140=$B28)*ISNUMBER(INDEX(Inputs!$K$5:$AJ$140,0,MATCH(D$2,Inputs!$K$4:$AJ$4,0))))=0,NA(),SUMPRODUCT((Inputs!$A$5:$A$140=$B28)*Inputs!$B$5:$B$140*(((Inputs!$G$5:$G$140="moeda")+(Inputs!$G$5:$G$140="acoes"))*Inputs!$B$1+((Inputs!$G$5:$G$140&lt;&gt;"moeda")*(Inputs!$G$5:$G$140&lt;&gt;"acoes")))*INDEX(Inputs!$K$5:$AJ$140,0,MATCH(D$2,Inputs!$K$4:$AJ$4,0)))+SUMPRODUCT((Inputs!$C$5:$C$140=$B28)*Inputs!$D$5:$D$140*(((Inputs!$G$5:$G$140="moeda")+(Inputs!$G$5:$G$140="acoes"))*Inputs!$B$1+((Inputs!$G$5:$G$140&lt;&gt;"moeda")*(Inputs!$G$5:$G$140&lt;&gt;"acoes")))*INDEX(Inputs!$K$5:$AJ$140,0,MATCH(D$2,Inputs!$K$4:$AJ$4,0)))+SUMPRODUCT((Inputs!$E$5:$E$140=$B28)*Inputs!$F$5:$F$140*(((Inputs!$G$5:$G$140="moeda")+(Inputs!$G$5:$G$140="acoes"))*Inputs!$B$1+((Inputs!$G$5:$G$140&lt;&gt;"moeda")*(Inputs!$G$5:$G$140&lt;&gt;"acoes")))*INDEX(Inputs!$K$5:$AJ$140,0,MATCH(D$2,Inputs!$K$4:$AJ$4,0)))))</f>
        <v>1218</v>
      </c>
      <c r="E28" s="6">
        <f>IF(ISNA(MATCH(E$2,Inputs!$K$4:$AJ$4,0)),NA(),IF(SUMPRODUCT((Inputs!$A$5:$A$140=$B28)*ISNUMBER(INDEX(Inputs!$K$5:$AJ$140,0,MATCH(E$2,Inputs!$K$4:$AJ$4,0))))+SUMPRODUCT((Inputs!$C$5:$C$140=$B28)*ISNUMBER(INDEX(Inputs!$K$5:$AJ$140,0,MATCH(E$2,Inputs!$K$4:$AJ$4,0))))+SUMPRODUCT((Inputs!$E$5:$E$140=$B28)*ISNUMBER(INDEX(Inputs!$K$5:$AJ$140,0,MATCH(E$2,Inputs!$K$4:$AJ$4,0))))=0,NA(),SUMPRODUCT((Inputs!$A$5:$A$140=$B28)*Inputs!$B$5:$B$140*(((Inputs!$G$5:$G$140="moeda")+(Inputs!$G$5:$G$140="acoes"))*Inputs!$B$1+((Inputs!$G$5:$G$140&lt;&gt;"moeda")*(Inputs!$G$5:$G$140&lt;&gt;"acoes")))*INDEX(Inputs!$K$5:$AJ$140,0,MATCH(E$2,Inputs!$K$4:$AJ$4,0)))+SUMPRODUCT((Inputs!$C$5:$C$140=$B28)*Inputs!$D$5:$D$140*(((Inputs!$G$5:$G$140="moeda")+(Inputs!$G$5:$G$140="acoes"))*Inputs!$B$1+((Inputs!$G$5:$G$140&lt;&gt;"moeda")*(Inputs!$G$5:$G$140&lt;&gt;"acoes")))*INDEX(Inputs!$K$5:$AJ$140,0,MATCH(E$2,Inputs!$K$4:$AJ$4,0)))+SUMPRODUCT((Inputs!$E$5:$E$140=$B28)*Inputs!$F$5:$F$140*(((Inputs!$G$5:$G$140="moeda")+(Inputs!$G$5:$G$140="acoes"))*Inputs!$B$1+((Inputs!$G$5:$G$140&lt;&gt;"moeda")*(Inputs!$G$5:$G$140&lt;&gt;"acoes")))*INDEX(Inputs!$K$5:$AJ$140,0,MATCH(E$2,Inputs!$K$4:$AJ$4,0)))))</f>
        <v>1474</v>
      </c>
      <c r="F28" s="6">
        <f>IF(ISNA(MATCH(F$2,Inputs!$K$4:$AJ$4,0)),NA(),IF(SUMPRODUCT((Inputs!$A$5:$A$140=$B28)*ISNUMBER(INDEX(Inputs!$K$5:$AJ$140,0,MATCH(F$2,Inputs!$K$4:$AJ$4,0))))+SUMPRODUCT((Inputs!$C$5:$C$140=$B28)*ISNUMBER(INDEX(Inputs!$K$5:$AJ$140,0,MATCH(F$2,Inputs!$K$4:$AJ$4,0))))+SUMPRODUCT((Inputs!$E$5:$E$140=$B28)*ISNUMBER(INDEX(Inputs!$K$5:$AJ$140,0,MATCH(F$2,Inputs!$K$4:$AJ$4,0))))=0,NA(),SUMPRODUCT((Inputs!$A$5:$A$140=$B28)*Inputs!$B$5:$B$140*(((Inputs!$G$5:$G$140="moeda")+(Inputs!$G$5:$G$140="acoes"))*Inputs!$B$1+((Inputs!$G$5:$G$140&lt;&gt;"moeda")*(Inputs!$G$5:$G$140&lt;&gt;"acoes")))*INDEX(Inputs!$K$5:$AJ$140,0,MATCH(F$2,Inputs!$K$4:$AJ$4,0)))+SUMPRODUCT((Inputs!$C$5:$C$140=$B28)*Inputs!$D$5:$D$140*(((Inputs!$G$5:$G$140="moeda")+(Inputs!$G$5:$G$140="acoes"))*Inputs!$B$1+((Inputs!$G$5:$G$140&lt;&gt;"moeda")*(Inputs!$G$5:$G$140&lt;&gt;"acoes")))*INDEX(Inputs!$K$5:$AJ$140,0,MATCH(F$2,Inputs!$K$4:$AJ$4,0)))+SUMPRODUCT((Inputs!$E$5:$E$140=$B28)*Inputs!$F$5:$F$140*(((Inputs!$G$5:$G$140="moeda")+(Inputs!$G$5:$G$140="acoes"))*Inputs!$B$1+((Inputs!$G$5:$G$140&lt;&gt;"moeda")*(Inputs!$G$5:$G$140&lt;&gt;"acoes")))*INDEX(Inputs!$K$5:$AJ$140,0,MATCH(F$2,Inputs!$K$4:$AJ$4,0)))))</f>
        <v>1664</v>
      </c>
      <c r="G28" s="6">
        <f>IF(ISNA(MATCH(G$2,Inputs!$K$4:$AJ$4,0)),NA(),IF(SUMPRODUCT((Inputs!$A$5:$A$140=$B28)*ISNUMBER(INDEX(Inputs!$K$5:$AJ$140,0,MATCH(G$2,Inputs!$K$4:$AJ$4,0))))+SUMPRODUCT((Inputs!$C$5:$C$140=$B28)*ISNUMBER(INDEX(Inputs!$K$5:$AJ$140,0,MATCH(G$2,Inputs!$K$4:$AJ$4,0))))+SUMPRODUCT((Inputs!$E$5:$E$140=$B28)*ISNUMBER(INDEX(Inputs!$K$5:$AJ$140,0,MATCH(G$2,Inputs!$K$4:$AJ$4,0))))=0,NA(),SUMPRODUCT((Inputs!$A$5:$A$140=$B28)*Inputs!$B$5:$B$140*(((Inputs!$G$5:$G$140="moeda")+(Inputs!$G$5:$G$140="acoes"))*Inputs!$B$1+((Inputs!$G$5:$G$140&lt;&gt;"moeda")*(Inputs!$G$5:$G$140&lt;&gt;"acoes")))*INDEX(Inputs!$K$5:$AJ$140,0,MATCH(G$2,Inputs!$K$4:$AJ$4,0)))+SUMPRODUCT((Inputs!$C$5:$C$140=$B28)*Inputs!$D$5:$D$140*(((Inputs!$G$5:$G$140="moeda")+(Inputs!$G$5:$G$140="acoes"))*Inputs!$B$1+((Inputs!$G$5:$G$140&lt;&gt;"moeda")*(Inputs!$G$5:$G$140&lt;&gt;"acoes")))*INDEX(Inputs!$K$5:$AJ$140,0,MATCH(G$2,Inputs!$K$4:$AJ$4,0)))+SUMPRODUCT((Inputs!$E$5:$E$140=$B28)*Inputs!$F$5:$F$140*(((Inputs!$G$5:$G$140="moeda")+(Inputs!$G$5:$G$140="acoes"))*Inputs!$B$1+((Inputs!$G$5:$G$140&lt;&gt;"moeda")*(Inputs!$G$5:$G$140&lt;&gt;"acoes")))*INDEX(Inputs!$K$5:$AJ$140,0,MATCH(G$2,Inputs!$K$4:$AJ$4,0)))))</f>
        <v>1783</v>
      </c>
      <c r="H28" s="3">
        <f>G28</f>
        <v>1783</v>
      </c>
      <c r="I28" s="6">
        <f>IF(ISNA(MATCH(I$2,Inputs!$K$4:$AJ$4,0)),NA(),IF(SUMPRODUCT((Inputs!$A$5:$A$140=$B28)*ISNUMBER(INDEX(Inputs!$K$5:$AJ$140,0,MATCH(I$2,Inputs!$K$4:$AJ$4,0))))+SUMPRODUCT((Inputs!$C$5:$C$140=$B28)*ISNUMBER(INDEX(Inputs!$K$5:$AJ$140,0,MATCH(I$2,Inputs!$K$4:$AJ$4,0))))+SUMPRODUCT((Inputs!$E$5:$E$140=$B28)*ISNUMBER(INDEX(Inputs!$K$5:$AJ$140,0,MATCH(I$2,Inputs!$K$4:$AJ$4,0))))=0,NA(),SUMPRODUCT((Inputs!$A$5:$A$140=$B28)*Inputs!$B$5:$B$140*(((Inputs!$G$5:$G$140="moeda")+(Inputs!$G$5:$G$140="acoes"))*Inputs!$B$1+((Inputs!$G$5:$G$140&lt;&gt;"moeda")*(Inputs!$G$5:$G$140&lt;&gt;"acoes")))*INDEX(Inputs!$K$5:$AJ$140,0,MATCH(I$2,Inputs!$K$4:$AJ$4,0)))+SUMPRODUCT((Inputs!$C$5:$C$140=$B28)*Inputs!$D$5:$D$140*(((Inputs!$G$5:$G$140="moeda")+(Inputs!$G$5:$G$140="acoes"))*Inputs!$B$1+((Inputs!$G$5:$G$140&lt;&gt;"moeda")*(Inputs!$G$5:$G$140&lt;&gt;"acoes")))*INDEX(Inputs!$K$5:$AJ$140,0,MATCH(I$2,Inputs!$K$4:$AJ$4,0)))+SUMPRODUCT((Inputs!$E$5:$E$140=$B28)*Inputs!$F$5:$F$140*(((Inputs!$G$5:$G$140="moeda")+(Inputs!$G$5:$G$140="acoes"))*Inputs!$B$1+((Inputs!$G$5:$G$140&lt;&gt;"moeda")*(Inputs!$G$5:$G$140&lt;&gt;"acoes")))*INDEX(Inputs!$K$5:$AJ$140,0,MATCH(I$2,Inputs!$K$4:$AJ$4,0)))))</f>
        <v>1999</v>
      </c>
      <c r="J28" s="6">
        <f>IF(ISNA(MATCH(J$2,Inputs!$K$4:$AJ$4,0)),NA(),IF(SUMPRODUCT((Inputs!$A$5:$A$140=$B28)*ISNUMBER(INDEX(Inputs!$K$5:$AJ$140,0,MATCH(J$2,Inputs!$K$4:$AJ$4,0))))+SUMPRODUCT((Inputs!$C$5:$C$140=$B28)*ISNUMBER(INDEX(Inputs!$K$5:$AJ$140,0,MATCH(J$2,Inputs!$K$4:$AJ$4,0))))+SUMPRODUCT((Inputs!$E$5:$E$140=$B28)*ISNUMBER(INDEX(Inputs!$K$5:$AJ$140,0,MATCH(J$2,Inputs!$K$4:$AJ$4,0))))=0,NA(),SUMPRODUCT((Inputs!$A$5:$A$140=$B28)*Inputs!$B$5:$B$140*(((Inputs!$G$5:$G$140="moeda")+(Inputs!$G$5:$G$140="acoes"))*Inputs!$B$1+((Inputs!$G$5:$G$140&lt;&gt;"moeda")*(Inputs!$G$5:$G$140&lt;&gt;"acoes")))*INDEX(Inputs!$K$5:$AJ$140,0,MATCH(J$2,Inputs!$K$4:$AJ$4,0)))+SUMPRODUCT((Inputs!$C$5:$C$140=$B28)*Inputs!$D$5:$D$140*(((Inputs!$G$5:$G$140="moeda")+(Inputs!$G$5:$G$140="acoes"))*Inputs!$B$1+((Inputs!$G$5:$G$140&lt;&gt;"moeda")*(Inputs!$G$5:$G$140&lt;&gt;"acoes")))*INDEX(Inputs!$K$5:$AJ$140,0,MATCH(J$2,Inputs!$K$4:$AJ$4,0)))+SUMPRODUCT((Inputs!$E$5:$E$140=$B28)*Inputs!$F$5:$F$140*(((Inputs!$G$5:$G$140="moeda")+(Inputs!$G$5:$G$140="acoes"))*Inputs!$B$1+((Inputs!$G$5:$G$140&lt;&gt;"moeda")*(Inputs!$G$5:$G$140&lt;&gt;"acoes")))*INDEX(Inputs!$K$5:$AJ$140,0,MATCH(J$2,Inputs!$K$4:$AJ$4,0)))))</f>
        <v>2421</v>
      </c>
      <c r="K28" s="6">
        <f>IF(ISNA(MATCH(K$2,Inputs!$K$4:$AJ$4,0)),NA(),IF(SUMPRODUCT((Inputs!$A$5:$A$140=$B28)*ISNUMBER(INDEX(Inputs!$K$5:$AJ$140,0,MATCH(K$2,Inputs!$K$4:$AJ$4,0))))+SUMPRODUCT((Inputs!$C$5:$C$140=$B28)*ISNUMBER(INDEX(Inputs!$K$5:$AJ$140,0,MATCH(K$2,Inputs!$K$4:$AJ$4,0))))+SUMPRODUCT((Inputs!$E$5:$E$140=$B28)*ISNUMBER(INDEX(Inputs!$K$5:$AJ$140,0,MATCH(K$2,Inputs!$K$4:$AJ$4,0))))=0,NA(),SUMPRODUCT((Inputs!$A$5:$A$140=$B28)*Inputs!$B$5:$B$140*(((Inputs!$G$5:$G$140="moeda")+(Inputs!$G$5:$G$140="acoes"))*Inputs!$B$1+((Inputs!$G$5:$G$140&lt;&gt;"moeda")*(Inputs!$G$5:$G$140&lt;&gt;"acoes")))*INDEX(Inputs!$K$5:$AJ$140,0,MATCH(K$2,Inputs!$K$4:$AJ$4,0)))+SUMPRODUCT((Inputs!$C$5:$C$140=$B28)*Inputs!$D$5:$D$140*(((Inputs!$G$5:$G$140="moeda")+(Inputs!$G$5:$G$140="acoes"))*Inputs!$B$1+((Inputs!$G$5:$G$140&lt;&gt;"moeda")*(Inputs!$G$5:$G$140&lt;&gt;"acoes")))*INDEX(Inputs!$K$5:$AJ$140,0,MATCH(K$2,Inputs!$K$4:$AJ$4,0)))+SUMPRODUCT((Inputs!$E$5:$E$140=$B28)*Inputs!$F$5:$F$140*(((Inputs!$G$5:$G$140="moeda")+(Inputs!$G$5:$G$140="acoes"))*Inputs!$B$1+((Inputs!$G$5:$G$140&lt;&gt;"moeda")*(Inputs!$G$5:$G$140&lt;&gt;"acoes")))*INDEX(Inputs!$K$5:$AJ$140,0,MATCH(K$2,Inputs!$K$4:$AJ$4,0)))))</f>
        <v>1491</v>
      </c>
      <c r="L28" s="6">
        <f>IF(ISNA(MATCH(L$2,Inputs!$K$4:$AJ$4,0)),NA(),IF(SUMPRODUCT((Inputs!$A$5:$A$140=$B28)*ISNUMBER(INDEX(Inputs!$K$5:$AJ$140,0,MATCH(L$2,Inputs!$K$4:$AJ$4,0))))+SUMPRODUCT((Inputs!$C$5:$C$140=$B28)*ISNUMBER(INDEX(Inputs!$K$5:$AJ$140,0,MATCH(L$2,Inputs!$K$4:$AJ$4,0))))+SUMPRODUCT((Inputs!$E$5:$E$140=$B28)*ISNUMBER(INDEX(Inputs!$K$5:$AJ$140,0,MATCH(L$2,Inputs!$K$4:$AJ$4,0))))=0,NA(),SUMPRODUCT((Inputs!$A$5:$A$140=$B28)*Inputs!$B$5:$B$140*(((Inputs!$G$5:$G$140="moeda")+(Inputs!$G$5:$G$140="acoes"))*Inputs!$B$1+((Inputs!$G$5:$G$140&lt;&gt;"moeda")*(Inputs!$G$5:$G$140&lt;&gt;"acoes")))*INDEX(Inputs!$K$5:$AJ$140,0,MATCH(L$2,Inputs!$K$4:$AJ$4,0)))+SUMPRODUCT((Inputs!$C$5:$C$140=$B28)*Inputs!$D$5:$D$140*(((Inputs!$G$5:$G$140="moeda")+(Inputs!$G$5:$G$140="acoes"))*Inputs!$B$1+((Inputs!$G$5:$G$140&lt;&gt;"moeda")*(Inputs!$G$5:$G$140&lt;&gt;"acoes")))*INDEX(Inputs!$K$5:$AJ$140,0,MATCH(L$2,Inputs!$K$4:$AJ$4,0)))+SUMPRODUCT((Inputs!$E$5:$E$140=$B28)*Inputs!$F$5:$F$140*(((Inputs!$G$5:$G$140="moeda")+(Inputs!$G$5:$G$140="acoes"))*Inputs!$B$1+((Inputs!$G$5:$G$140&lt;&gt;"moeda")*(Inputs!$G$5:$G$140&lt;&gt;"acoes")))*INDEX(Inputs!$K$5:$AJ$140,0,MATCH(L$2,Inputs!$K$4:$AJ$4,0)))))</f>
        <v>1193</v>
      </c>
      <c r="M28" s="3">
        <f>L28</f>
        <v>1193</v>
      </c>
      <c r="N28" s="6">
        <f>IF(ISNA(MATCH(N$2,Inputs!$K$4:$AJ$4,0)),NA(),IF(SUMPRODUCT((Inputs!$A$5:$A$140=$B28)*ISNUMBER(INDEX(Inputs!$K$5:$AJ$140,0,MATCH(N$2,Inputs!$K$4:$AJ$4,0))))+SUMPRODUCT((Inputs!$C$5:$C$140=$B28)*ISNUMBER(INDEX(Inputs!$K$5:$AJ$140,0,MATCH(N$2,Inputs!$K$4:$AJ$4,0))))+SUMPRODUCT((Inputs!$E$5:$E$140=$B28)*ISNUMBER(INDEX(Inputs!$K$5:$AJ$140,0,MATCH(N$2,Inputs!$K$4:$AJ$4,0))))=0,NA(),SUMPRODUCT((Inputs!$A$5:$A$140=$B28)*Inputs!$B$5:$B$140*(((Inputs!$G$5:$G$140="moeda")+(Inputs!$G$5:$G$140="acoes"))*Inputs!$B$1+((Inputs!$G$5:$G$140&lt;&gt;"moeda")*(Inputs!$G$5:$G$140&lt;&gt;"acoes")))*INDEX(Inputs!$K$5:$AJ$140,0,MATCH(N$2,Inputs!$K$4:$AJ$4,0)))+SUMPRODUCT((Inputs!$C$5:$C$140=$B28)*Inputs!$D$5:$D$140*(((Inputs!$G$5:$G$140="moeda")+(Inputs!$G$5:$G$140="acoes"))*Inputs!$B$1+((Inputs!$G$5:$G$140&lt;&gt;"moeda")*(Inputs!$G$5:$G$140&lt;&gt;"acoes")))*INDEX(Inputs!$K$5:$AJ$140,0,MATCH(N$2,Inputs!$K$4:$AJ$4,0)))+SUMPRODUCT((Inputs!$E$5:$E$140=$B28)*Inputs!$F$5:$F$140*(((Inputs!$G$5:$G$140="moeda")+(Inputs!$G$5:$G$140="acoes"))*Inputs!$B$1+((Inputs!$G$5:$G$140&lt;&gt;"moeda")*(Inputs!$G$5:$G$140&lt;&gt;"acoes")))*INDEX(Inputs!$K$5:$AJ$140,0,MATCH(N$2,Inputs!$K$4:$AJ$4,0)))))</f>
        <v>1141</v>
      </c>
      <c r="O28" s="6">
        <f>IF(ISNA(MATCH(O$2,Inputs!$K$4:$AJ$4,0)),NA(),IF(SUMPRODUCT((Inputs!$A$5:$A$140=$B28)*ISNUMBER(INDEX(Inputs!$K$5:$AJ$140,0,MATCH(O$2,Inputs!$K$4:$AJ$4,0))))+SUMPRODUCT((Inputs!$C$5:$C$140=$B28)*ISNUMBER(INDEX(Inputs!$K$5:$AJ$140,0,MATCH(O$2,Inputs!$K$4:$AJ$4,0))))+SUMPRODUCT((Inputs!$E$5:$E$140=$B28)*ISNUMBER(INDEX(Inputs!$K$5:$AJ$140,0,MATCH(O$2,Inputs!$K$4:$AJ$4,0))))=0,NA(),SUMPRODUCT((Inputs!$A$5:$A$140=$B28)*Inputs!$B$5:$B$140*(((Inputs!$G$5:$G$140="moeda")+(Inputs!$G$5:$G$140="acoes"))*Inputs!$B$1+((Inputs!$G$5:$G$140&lt;&gt;"moeda")*(Inputs!$G$5:$G$140&lt;&gt;"acoes")))*INDEX(Inputs!$K$5:$AJ$140,0,MATCH(O$2,Inputs!$K$4:$AJ$4,0)))+SUMPRODUCT((Inputs!$C$5:$C$140=$B28)*Inputs!$D$5:$D$140*(((Inputs!$G$5:$G$140="moeda")+(Inputs!$G$5:$G$140="acoes"))*Inputs!$B$1+((Inputs!$G$5:$G$140&lt;&gt;"moeda")*(Inputs!$G$5:$G$140&lt;&gt;"acoes")))*INDEX(Inputs!$K$5:$AJ$140,0,MATCH(O$2,Inputs!$K$4:$AJ$4,0)))+SUMPRODUCT((Inputs!$E$5:$E$140=$B28)*Inputs!$F$5:$F$140*(((Inputs!$G$5:$G$140="moeda")+(Inputs!$G$5:$G$140="acoes"))*Inputs!$B$1+((Inputs!$G$5:$G$140&lt;&gt;"moeda")*(Inputs!$G$5:$G$140&lt;&gt;"acoes")))*INDEX(Inputs!$K$5:$AJ$140,0,MATCH(O$2,Inputs!$K$4:$AJ$4,0)))))</f>
        <v>1929</v>
      </c>
      <c r="P28" s="6">
        <f>IF(ISNA(MATCH(P$2,Inputs!$K$4:$AJ$4,0)),NA(),IF(SUMPRODUCT((Inputs!$A$5:$A$140=$B28)*ISNUMBER(INDEX(Inputs!$K$5:$AJ$140,0,MATCH(P$2,Inputs!$K$4:$AJ$4,0))))+SUMPRODUCT((Inputs!$C$5:$C$140=$B28)*ISNUMBER(INDEX(Inputs!$K$5:$AJ$140,0,MATCH(P$2,Inputs!$K$4:$AJ$4,0))))+SUMPRODUCT((Inputs!$E$5:$E$140=$B28)*ISNUMBER(INDEX(Inputs!$K$5:$AJ$140,0,MATCH(P$2,Inputs!$K$4:$AJ$4,0))))=0,NA(),SUMPRODUCT((Inputs!$A$5:$A$140=$B28)*Inputs!$B$5:$B$140*(((Inputs!$G$5:$G$140="moeda")+(Inputs!$G$5:$G$140="acoes"))*Inputs!$B$1+((Inputs!$G$5:$G$140&lt;&gt;"moeda")*(Inputs!$G$5:$G$140&lt;&gt;"acoes")))*INDEX(Inputs!$K$5:$AJ$140,0,MATCH(P$2,Inputs!$K$4:$AJ$4,0)))+SUMPRODUCT((Inputs!$C$5:$C$140=$B28)*Inputs!$D$5:$D$140*(((Inputs!$G$5:$G$140="moeda")+(Inputs!$G$5:$G$140="acoes"))*Inputs!$B$1+((Inputs!$G$5:$G$140&lt;&gt;"moeda")*(Inputs!$G$5:$G$140&lt;&gt;"acoes")))*INDEX(Inputs!$K$5:$AJ$140,0,MATCH(P$2,Inputs!$K$4:$AJ$4,0)))+SUMPRODUCT((Inputs!$E$5:$E$140=$B28)*Inputs!$F$5:$F$140*(((Inputs!$G$5:$G$140="moeda")+(Inputs!$G$5:$G$140="acoes"))*Inputs!$B$1+((Inputs!$G$5:$G$140&lt;&gt;"moeda")*(Inputs!$G$5:$G$140&lt;&gt;"acoes")))*INDEX(Inputs!$K$5:$AJ$140,0,MATCH(P$2,Inputs!$K$4:$AJ$4,0)))))</f>
        <v>2380</v>
      </c>
      <c r="Q28" s="6">
        <f>IF(ISNA(MATCH(Q$2,Inputs!$K$4:$AJ$4,0)),NA(),IF(SUMPRODUCT((Inputs!$A$5:$A$140=$B28)*ISNUMBER(INDEX(Inputs!$K$5:$AJ$140,0,MATCH(Q$2,Inputs!$K$4:$AJ$4,0))))+SUMPRODUCT((Inputs!$C$5:$C$140=$B28)*ISNUMBER(INDEX(Inputs!$K$5:$AJ$140,0,MATCH(Q$2,Inputs!$K$4:$AJ$4,0))))+SUMPRODUCT((Inputs!$E$5:$E$140=$B28)*ISNUMBER(INDEX(Inputs!$K$5:$AJ$140,0,MATCH(Q$2,Inputs!$K$4:$AJ$4,0))))=0,NA(),SUMPRODUCT((Inputs!$A$5:$A$140=$B28)*Inputs!$B$5:$B$140*(((Inputs!$G$5:$G$140="moeda")+(Inputs!$G$5:$G$140="acoes"))*Inputs!$B$1+((Inputs!$G$5:$G$140&lt;&gt;"moeda")*(Inputs!$G$5:$G$140&lt;&gt;"acoes")))*INDEX(Inputs!$K$5:$AJ$140,0,MATCH(Q$2,Inputs!$K$4:$AJ$4,0)))+SUMPRODUCT((Inputs!$C$5:$C$140=$B28)*Inputs!$D$5:$D$140*(((Inputs!$G$5:$G$140="moeda")+(Inputs!$G$5:$G$140="acoes"))*Inputs!$B$1+((Inputs!$G$5:$G$140&lt;&gt;"moeda")*(Inputs!$G$5:$G$140&lt;&gt;"acoes")))*INDEX(Inputs!$K$5:$AJ$140,0,MATCH(Q$2,Inputs!$K$4:$AJ$4,0)))+SUMPRODUCT((Inputs!$E$5:$E$140=$B28)*Inputs!$F$5:$F$140*(((Inputs!$G$5:$G$140="moeda")+(Inputs!$G$5:$G$140="acoes"))*Inputs!$B$1+((Inputs!$G$5:$G$140&lt;&gt;"moeda")*(Inputs!$G$5:$G$140&lt;&gt;"acoes")))*INDEX(Inputs!$K$5:$AJ$140,0,MATCH(Q$2,Inputs!$K$4:$AJ$4,0)))))</f>
        <v>2699</v>
      </c>
      <c r="R28" s="3">
        <f>Q28</f>
        <v>2699</v>
      </c>
      <c r="S28" s="6">
        <f>IF(ISNA(MATCH(S$2,Inputs!$K$4:$AJ$4,0)),NA(),IF(SUMPRODUCT((Inputs!$A$5:$A$140=$B28)*ISNUMBER(INDEX(Inputs!$K$5:$AJ$140,0,MATCH(S$2,Inputs!$K$4:$AJ$4,0))))+SUMPRODUCT((Inputs!$C$5:$C$140=$B28)*ISNUMBER(INDEX(Inputs!$K$5:$AJ$140,0,MATCH(S$2,Inputs!$K$4:$AJ$4,0))))+SUMPRODUCT((Inputs!$E$5:$E$140=$B28)*ISNUMBER(INDEX(Inputs!$K$5:$AJ$140,0,MATCH(S$2,Inputs!$K$4:$AJ$4,0))))=0,NA(),SUMPRODUCT((Inputs!$A$5:$A$140=$B28)*Inputs!$B$5:$B$140*(((Inputs!$G$5:$G$140="moeda")+(Inputs!$G$5:$G$140="acoes"))*Inputs!$B$1+((Inputs!$G$5:$G$140&lt;&gt;"moeda")*(Inputs!$G$5:$G$140&lt;&gt;"acoes")))*INDEX(Inputs!$K$5:$AJ$140,0,MATCH(S$2,Inputs!$K$4:$AJ$4,0)))+SUMPRODUCT((Inputs!$C$5:$C$140=$B28)*Inputs!$D$5:$D$140*(((Inputs!$G$5:$G$140="moeda")+(Inputs!$G$5:$G$140="acoes"))*Inputs!$B$1+((Inputs!$G$5:$G$140&lt;&gt;"moeda")*(Inputs!$G$5:$G$140&lt;&gt;"acoes")))*INDEX(Inputs!$K$5:$AJ$140,0,MATCH(S$2,Inputs!$K$4:$AJ$4,0)))+SUMPRODUCT((Inputs!$E$5:$E$140=$B28)*Inputs!$F$5:$F$140*(((Inputs!$G$5:$G$140="moeda")+(Inputs!$G$5:$G$140="acoes"))*Inputs!$B$1+((Inputs!$G$5:$G$140&lt;&gt;"moeda")*(Inputs!$G$5:$G$140&lt;&gt;"acoes")))*INDEX(Inputs!$K$5:$AJ$140,0,MATCH(S$2,Inputs!$K$4:$AJ$4,0)))))</f>
        <v>2715</v>
      </c>
      <c r="T28" s="6">
        <f>IF(ISNA(MATCH(T$2,Inputs!$K$4:$AJ$4,0)),NA(),IF(SUMPRODUCT((Inputs!$A$5:$A$140=$B28)*ISNUMBER(INDEX(Inputs!$K$5:$AJ$140,0,MATCH(T$2,Inputs!$K$4:$AJ$4,0))))+SUMPRODUCT((Inputs!$C$5:$C$140=$B28)*ISNUMBER(INDEX(Inputs!$K$5:$AJ$140,0,MATCH(T$2,Inputs!$K$4:$AJ$4,0))))+SUMPRODUCT((Inputs!$E$5:$E$140=$B28)*ISNUMBER(INDEX(Inputs!$K$5:$AJ$140,0,MATCH(T$2,Inputs!$K$4:$AJ$4,0))))=0,NA(),SUMPRODUCT((Inputs!$A$5:$A$140=$B28)*Inputs!$B$5:$B$140*(((Inputs!$G$5:$G$140="moeda")+(Inputs!$G$5:$G$140="acoes"))*Inputs!$B$1+((Inputs!$G$5:$G$140&lt;&gt;"moeda")*(Inputs!$G$5:$G$140&lt;&gt;"acoes")))*INDEX(Inputs!$K$5:$AJ$140,0,MATCH(T$2,Inputs!$K$4:$AJ$4,0)))+SUMPRODUCT((Inputs!$C$5:$C$140=$B28)*Inputs!$D$5:$D$140*(((Inputs!$G$5:$G$140="moeda")+(Inputs!$G$5:$G$140="acoes"))*Inputs!$B$1+((Inputs!$G$5:$G$140&lt;&gt;"moeda")*(Inputs!$G$5:$G$140&lt;&gt;"acoes")))*INDEX(Inputs!$K$5:$AJ$140,0,MATCH(T$2,Inputs!$K$4:$AJ$4,0)))+SUMPRODUCT((Inputs!$E$5:$E$140=$B28)*Inputs!$F$5:$F$140*(((Inputs!$G$5:$G$140="moeda")+(Inputs!$G$5:$G$140="acoes"))*Inputs!$B$1+((Inputs!$G$5:$G$140&lt;&gt;"moeda")*(Inputs!$G$5:$G$140&lt;&gt;"acoes")))*INDEX(Inputs!$K$5:$AJ$140,0,MATCH(T$2,Inputs!$K$4:$AJ$4,0)))))</f>
        <v>3680</v>
      </c>
      <c r="U28" s="6">
        <f>IF(ISNA(MATCH(U$2,Inputs!$K$4:$AJ$4,0)),NA(),IF(SUMPRODUCT((Inputs!$A$5:$A$140=$B28)*ISNUMBER(INDEX(Inputs!$K$5:$AJ$140,0,MATCH(U$2,Inputs!$K$4:$AJ$4,0))))+SUMPRODUCT((Inputs!$C$5:$C$140=$B28)*ISNUMBER(INDEX(Inputs!$K$5:$AJ$140,0,MATCH(U$2,Inputs!$K$4:$AJ$4,0))))+SUMPRODUCT((Inputs!$E$5:$E$140=$B28)*ISNUMBER(INDEX(Inputs!$K$5:$AJ$140,0,MATCH(U$2,Inputs!$K$4:$AJ$4,0))))=0,NA(),SUMPRODUCT((Inputs!$A$5:$A$140=$B28)*Inputs!$B$5:$B$140*(((Inputs!$G$5:$G$140="moeda")+(Inputs!$G$5:$G$140="acoes"))*Inputs!$B$1+((Inputs!$G$5:$G$140&lt;&gt;"moeda")*(Inputs!$G$5:$G$140&lt;&gt;"acoes")))*INDEX(Inputs!$K$5:$AJ$140,0,MATCH(U$2,Inputs!$K$4:$AJ$4,0)))+SUMPRODUCT((Inputs!$C$5:$C$140=$B28)*Inputs!$D$5:$D$140*(((Inputs!$G$5:$G$140="moeda")+(Inputs!$G$5:$G$140="acoes"))*Inputs!$B$1+((Inputs!$G$5:$G$140&lt;&gt;"moeda")*(Inputs!$G$5:$G$140&lt;&gt;"acoes")))*INDEX(Inputs!$K$5:$AJ$140,0,MATCH(U$2,Inputs!$K$4:$AJ$4,0)))+SUMPRODUCT((Inputs!$E$5:$E$140=$B28)*Inputs!$F$5:$F$140*(((Inputs!$G$5:$G$140="moeda")+(Inputs!$G$5:$G$140="acoes"))*Inputs!$B$1+((Inputs!$G$5:$G$140&lt;&gt;"moeda")*(Inputs!$G$5:$G$140&lt;&gt;"acoes")))*INDEX(Inputs!$K$5:$AJ$140,0,MATCH(U$2,Inputs!$K$4:$AJ$4,0)))))</f>
        <v>5353</v>
      </c>
      <c r="V28" s="6">
        <f>IF(ISNA(MATCH(V$2,Inputs!$K$4:$AJ$4,0)),NA(),IF(SUMPRODUCT((Inputs!$A$5:$A$140=$B28)*ISNUMBER(INDEX(Inputs!$K$5:$AJ$140,0,MATCH(V$2,Inputs!$K$4:$AJ$4,0))))+SUMPRODUCT((Inputs!$C$5:$C$140=$B28)*ISNUMBER(INDEX(Inputs!$K$5:$AJ$140,0,MATCH(V$2,Inputs!$K$4:$AJ$4,0))))+SUMPRODUCT((Inputs!$E$5:$E$140=$B28)*ISNUMBER(INDEX(Inputs!$K$5:$AJ$140,0,MATCH(V$2,Inputs!$K$4:$AJ$4,0))))=0,NA(),SUMPRODUCT((Inputs!$A$5:$A$140=$B28)*Inputs!$B$5:$B$140*(((Inputs!$G$5:$G$140="moeda")+(Inputs!$G$5:$G$140="acoes"))*Inputs!$B$1+((Inputs!$G$5:$G$140&lt;&gt;"moeda")*(Inputs!$G$5:$G$140&lt;&gt;"acoes")))*INDEX(Inputs!$K$5:$AJ$140,0,MATCH(V$2,Inputs!$K$4:$AJ$4,0)))+SUMPRODUCT((Inputs!$C$5:$C$140=$B28)*Inputs!$D$5:$D$140*(((Inputs!$G$5:$G$140="moeda")+(Inputs!$G$5:$G$140="acoes"))*Inputs!$B$1+((Inputs!$G$5:$G$140&lt;&gt;"moeda")*(Inputs!$G$5:$G$140&lt;&gt;"acoes")))*INDEX(Inputs!$K$5:$AJ$140,0,MATCH(V$2,Inputs!$K$4:$AJ$4,0)))+SUMPRODUCT((Inputs!$E$5:$E$140=$B28)*Inputs!$F$5:$F$140*(((Inputs!$G$5:$G$140="moeda")+(Inputs!$G$5:$G$140="acoes"))*Inputs!$B$1+((Inputs!$G$5:$G$140&lt;&gt;"moeda")*(Inputs!$G$5:$G$140&lt;&gt;"acoes")))*INDEX(Inputs!$K$5:$AJ$140,0,MATCH(V$2,Inputs!$K$4:$AJ$4,0)))))</f>
        <v>6310</v>
      </c>
      <c r="W28" s="3">
        <f>V28</f>
        <v>6310</v>
      </c>
      <c r="X28" s="6">
        <f>IF(ISNA(MATCH(X$2,Inputs!$K$4:$AJ$4,0)),NA(),IF(SUMPRODUCT((Inputs!$A$5:$A$140=$B28)*ISNUMBER(INDEX(Inputs!$K$5:$AJ$140,0,MATCH(X$2,Inputs!$K$4:$AJ$4,0))))+SUMPRODUCT((Inputs!$C$5:$C$140=$B28)*ISNUMBER(INDEX(Inputs!$K$5:$AJ$140,0,MATCH(X$2,Inputs!$K$4:$AJ$4,0))))+SUMPRODUCT((Inputs!$E$5:$E$140=$B28)*ISNUMBER(INDEX(Inputs!$K$5:$AJ$140,0,MATCH(X$2,Inputs!$K$4:$AJ$4,0))))=0,NA(),SUMPRODUCT((Inputs!$A$5:$A$140=$B28)*Inputs!$B$5:$B$140*(((Inputs!$G$5:$G$140="moeda")+(Inputs!$G$5:$G$140="acoes"))*Inputs!$B$1+((Inputs!$G$5:$G$140&lt;&gt;"moeda")*(Inputs!$G$5:$G$140&lt;&gt;"acoes")))*INDEX(Inputs!$K$5:$AJ$140,0,MATCH(X$2,Inputs!$K$4:$AJ$4,0)))+SUMPRODUCT((Inputs!$C$5:$C$140=$B28)*Inputs!$D$5:$D$140*(((Inputs!$G$5:$G$140="moeda")+(Inputs!$G$5:$G$140="acoes"))*Inputs!$B$1+((Inputs!$G$5:$G$140&lt;&gt;"moeda")*(Inputs!$G$5:$G$140&lt;&gt;"acoes")))*INDEX(Inputs!$K$5:$AJ$140,0,MATCH(X$2,Inputs!$K$4:$AJ$4,0)))+SUMPRODUCT((Inputs!$E$5:$E$140=$B28)*Inputs!$F$5:$F$140*(((Inputs!$G$5:$G$140="moeda")+(Inputs!$G$5:$G$140="acoes"))*Inputs!$B$1+((Inputs!$G$5:$G$140&lt;&gt;"moeda")*(Inputs!$G$5:$G$140&lt;&gt;"acoes")))*INDEX(Inputs!$K$5:$AJ$140,0,MATCH(X$2,Inputs!$K$4:$AJ$4,0)))))</f>
        <v>7331</v>
      </c>
      <c r="Y28" s="6">
        <f>IF(ISNA(MATCH(Y$2,Inputs!$K$4:$AJ$4,0)),NA(),IF(SUMPRODUCT((Inputs!$A$5:$A$140=$B28)*ISNUMBER(INDEX(Inputs!$K$5:$AJ$140,0,MATCH(Y$2,Inputs!$K$4:$AJ$4,0))))+SUMPRODUCT((Inputs!$C$5:$C$140=$B28)*ISNUMBER(INDEX(Inputs!$K$5:$AJ$140,0,MATCH(Y$2,Inputs!$K$4:$AJ$4,0))))+SUMPRODUCT((Inputs!$E$5:$E$140=$B28)*ISNUMBER(INDEX(Inputs!$K$5:$AJ$140,0,MATCH(Y$2,Inputs!$K$4:$AJ$4,0))))=0,NA(),SUMPRODUCT((Inputs!$A$5:$A$140=$B28)*Inputs!$B$5:$B$140*(((Inputs!$G$5:$G$140="moeda")+(Inputs!$G$5:$G$140="acoes"))*Inputs!$B$1+((Inputs!$G$5:$G$140&lt;&gt;"moeda")*(Inputs!$G$5:$G$140&lt;&gt;"acoes")))*INDEX(Inputs!$K$5:$AJ$140,0,MATCH(Y$2,Inputs!$K$4:$AJ$4,0)))+SUMPRODUCT((Inputs!$C$5:$C$140=$B28)*Inputs!$D$5:$D$140*(((Inputs!$G$5:$G$140="moeda")+(Inputs!$G$5:$G$140="acoes"))*Inputs!$B$1+((Inputs!$G$5:$G$140&lt;&gt;"moeda")*(Inputs!$G$5:$G$140&lt;&gt;"acoes")))*INDEX(Inputs!$K$5:$AJ$140,0,MATCH(Y$2,Inputs!$K$4:$AJ$4,0)))+SUMPRODUCT((Inputs!$E$5:$E$140=$B28)*Inputs!$F$5:$F$140*(((Inputs!$G$5:$G$140="moeda")+(Inputs!$G$5:$G$140="acoes"))*Inputs!$B$1+((Inputs!$G$5:$G$140&lt;&gt;"moeda")*(Inputs!$G$5:$G$140&lt;&gt;"acoes")))*INDEX(Inputs!$K$5:$AJ$140,0,MATCH(Y$2,Inputs!$K$4:$AJ$4,0)))))</f>
        <v>9064</v>
      </c>
      <c r="Z28" s="6">
        <f>IF(ISNA(MATCH(Z$2,Inputs!$K$4:$AJ$4,0)),NA(),IF(SUMPRODUCT((Inputs!$A$5:$A$140=$B28)*ISNUMBER(INDEX(Inputs!$K$5:$AJ$140,0,MATCH(Z$2,Inputs!$K$4:$AJ$4,0))))+SUMPRODUCT((Inputs!$C$5:$C$140=$B28)*ISNUMBER(INDEX(Inputs!$K$5:$AJ$140,0,MATCH(Z$2,Inputs!$K$4:$AJ$4,0))))+SUMPRODUCT((Inputs!$E$5:$E$140=$B28)*ISNUMBER(INDEX(Inputs!$K$5:$AJ$140,0,MATCH(Z$2,Inputs!$K$4:$AJ$4,0))))=0,NA(),SUMPRODUCT((Inputs!$A$5:$A$140=$B28)*Inputs!$B$5:$B$140*(((Inputs!$G$5:$G$140="moeda")+(Inputs!$G$5:$G$140="acoes"))*Inputs!$B$1+((Inputs!$G$5:$G$140&lt;&gt;"moeda")*(Inputs!$G$5:$G$140&lt;&gt;"acoes")))*INDEX(Inputs!$K$5:$AJ$140,0,MATCH(Z$2,Inputs!$K$4:$AJ$4,0)))+SUMPRODUCT((Inputs!$C$5:$C$140=$B28)*Inputs!$D$5:$D$140*(((Inputs!$G$5:$G$140="moeda")+(Inputs!$G$5:$G$140="acoes"))*Inputs!$B$1+((Inputs!$G$5:$G$140&lt;&gt;"moeda")*(Inputs!$G$5:$G$140&lt;&gt;"acoes")))*INDEX(Inputs!$K$5:$AJ$140,0,MATCH(Z$2,Inputs!$K$4:$AJ$4,0)))+SUMPRODUCT((Inputs!$E$5:$E$140=$B28)*Inputs!$F$5:$F$140*(((Inputs!$G$5:$G$140="moeda")+(Inputs!$G$5:$G$140="acoes"))*Inputs!$B$1+((Inputs!$G$5:$G$140&lt;&gt;"moeda")*(Inputs!$G$5:$G$140&lt;&gt;"acoes")))*INDEX(Inputs!$K$5:$AJ$140,0,MATCH(Z$2,Inputs!$K$4:$AJ$4,0)))))</f>
        <v>8624</v>
      </c>
      <c r="AA28" s="6">
        <f>IF(ISNA(MATCH(AA$2,Inputs!$K$4:$AJ$4,0)),NA(),IF(SUMPRODUCT((Inputs!$A$5:$A$140=$B28)*ISNUMBER(INDEX(Inputs!$K$5:$AJ$140,0,MATCH(AA$2,Inputs!$K$4:$AJ$4,0))))+SUMPRODUCT((Inputs!$C$5:$C$140=$B28)*ISNUMBER(INDEX(Inputs!$K$5:$AJ$140,0,MATCH(AA$2,Inputs!$K$4:$AJ$4,0))))+SUMPRODUCT((Inputs!$E$5:$E$140=$B28)*ISNUMBER(INDEX(Inputs!$K$5:$AJ$140,0,MATCH(AA$2,Inputs!$K$4:$AJ$4,0))))=0,NA(),SUMPRODUCT((Inputs!$A$5:$A$140=$B28)*Inputs!$B$5:$B$140*(((Inputs!$G$5:$G$140="moeda")+(Inputs!$G$5:$G$140="acoes"))*Inputs!$B$1+((Inputs!$G$5:$G$140&lt;&gt;"moeda")*(Inputs!$G$5:$G$140&lt;&gt;"acoes")))*INDEX(Inputs!$K$5:$AJ$140,0,MATCH(AA$2,Inputs!$K$4:$AJ$4,0)))+SUMPRODUCT((Inputs!$C$5:$C$140=$B28)*Inputs!$D$5:$D$140*(((Inputs!$G$5:$G$140="moeda")+(Inputs!$G$5:$G$140="acoes"))*Inputs!$B$1+((Inputs!$G$5:$G$140&lt;&gt;"moeda")*(Inputs!$G$5:$G$140&lt;&gt;"acoes")))*INDEX(Inputs!$K$5:$AJ$140,0,MATCH(AA$2,Inputs!$K$4:$AJ$4,0)))+SUMPRODUCT((Inputs!$E$5:$E$140=$B28)*Inputs!$F$5:$F$140*(((Inputs!$G$5:$G$140="moeda")+(Inputs!$G$5:$G$140="acoes"))*Inputs!$B$1+((Inputs!$G$5:$G$140&lt;&gt;"moeda")*(Inputs!$G$5:$G$140&lt;&gt;"acoes")))*INDEX(Inputs!$K$5:$AJ$140,0,MATCH(AA$2,Inputs!$K$4:$AJ$4,0)))))</f>
        <v>9812</v>
      </c>
      <c r="AB28" s="3">
        <f>AA28</f>
        <v>9812</v>
      </c>
      <c r="AC28" s="6">
        <f>IF(ISNA(MATCH(AC$2,Inputs!$K$4:$AJ$4,0)),NA(),IF(SUMPRODUCT((Inputs!$A$5:$A$140=$B28)*ISNUMBER(INDEX(Inputs!$K$5:$AJ$140,0,MATCH(AC$2,Inputs!$K$4:$AJ$4,0))))+SUMPRODUCT((Inputs!$C$5:$C$140=$B28)*ISNUMBER(INDEX(Inputs!$K$5:$AJ$140,0,MATCH(AC$2,Inputs!$K$4:$AJ$4,0))))+SUMPRODUCT((Inputs!$E$5:$E$140=$B28)*ISNUMBER(INDEX(Inputs!$K$5:$AJ$140,0,MATCH(AC$2,Inputs!$K$4:$AJ$4,0))))=0,NA(),SUMPRODUCT((Inputs!$A$5:$A$140=$B28)*Inputs!$B$5:$B$140*(((Inputs!$G$5:$G$140="moeda")+(Inputs!$G$5:$G$140="acoes"))*Inputs!$B$1+((Inputs!$G$5:$G$140&lt;&gt;"moeda")*(Inputs!$G$5:$G$140&lt;&gt;"acoes")))*INDEX(Inputs!$K$5:$AJ$140,0,MATCH(AC$2,Inputs!$K$4:$AJ$4,0)))+SUMPRODUCT((Inputs!$C$5:$C$140=$B28)*Inputs!$D$5:$D$140*(((Inputs!$G$5:$G$140="moeda")+(Inputs!$G$5:$G$140="acoes"))*Inputs!$B$1+((Inputs!$G$5:$G$140&lt;&gt;"moeda")*(Inputs!$G$5:$G$140&lt;&gt;"acoes")))*INDEX(Inputs!$K$5:$AJ$140,0,MATCH(AC$2,Inputs!$K$4:$AJ$4,0)))+SUMPRODUCT((Inputs!$E$5:$E$140=$B28)*Inputs!$F$5:$F$140*(((Inputs!$G$5:$G$140="moeda")+(Inputs!$G$5:$G$140="acoes"))*Inputs!$B$1+((Inputs!$G$5:$G$140&lt;&gt;"moeda")*(Inputs!$G$5:$G$140&lt;&gt;"acoes")))*INDEX(Inputs!$K$5:$AJ$140,0,MATCH(AC$2,Inputs!$K$4:$AJ$4,0)))))</f>
        <v>13097</v>
      </c>
      <c r="AD28" s="6">
        <f>IF(ISNA(MATCH(AD$2,Inputs!$K$4:$AJ$4,0)),NA(),IF(SUMPRODUCT((Inputs!$A$5:$A$140=$B28)*ISNUMBER(INDEX(Inputs!$K$5:$AJ$140,0,MATCH(AD$2,Inputs!$K$4:$AJ$4,0))))+SUMPRODUCT((Inputs!$C$5:$C$140=$B28)*ISNUMBER(INDEX(Inputs!$K$5:$AJ$140,0,MATCH(AD$2,Inputs!$K$4:$AJ$4,0))))+SUMPRODUCT((Inputs!$E$5:$E$140=$B28)*ISNUMBER(INDEX(Inputs!$K$5:$AJ$140,0,MATCH(AD$2,Inputs!$K$4:$AJ$4,0))))=0,NA(),SUMPRODUCT((Inputs!$A$5:$A$140=$B28)*Inputs!$B$5:$B$140*(((Inputs!$G$5:$G$140="moeda")+(Inputs!$G$5:$G$140="acoes"))*Inputs!$B$1+((Inputs!$G$5:$G$140&lt;&gt;"moeda")*(Inputs!$G$5:$G$140&lt;&gt;"acoes")))*INDEX(Inputs!$K$5:$AJ$140,0,MATCH(AD$2,Inputs!$K$4:$AJ$4,0)))+SUMPRODUCT((Inputs!$C$5:$C$140=$B28)*Inputs!$D$5:$D$140*(((Inputs!$G$5:$G$140="moeda")+(Inputs!$G$5:$G$140="acoes"))*Inputs!$B$1+((Inputs!$G$5:$G$140&lt;&gt;"moeda")*(Inputs!$G$5:$G$140&lt;&gt;"acoes")))*INDEX(Inputs!$K$5:$AJ$140,0,MATCH(AD$2,Inputs!$K$4:$AJ$4,0)))+SUMPRODUCT((Inputs!$E$5:$E$140=$B28)*Inputs!$F$5:$F$140*(((Inputs!$G$5:$G$140="moeda")+(Inputs!$G$5:$G$140="acoes"))*Inputs!$B$1+((Inputs!$G$5:$G$140&lt;&gt;"moeda")*(Inputs!$G$5:$G$140&lt;&gt;"acoes")))*INDEX(Inputs!$K$5:$AJ$140,0,MATCH(AD$2,Inputs!$K$4:$AJ$4,0)))))</f>
        <v>15059</v>
      </c>
      <c r="AE28" s="6" t="e">
        <f>IF(ISNA(MATCH(AE$2,Inputs!$K$4:$AJ$4,0)),NA(),IF(SUMPRODUCT((Inputs!$A$5:$A$140=$B28)*ISNUMBER(INDEX(Inputs!$K$5:$AJ$140,0,MATCH(AE$2,Inputs!$K$4:$AJ$4,0))))+SUMPRODUCT((Inputs!$C$5:$C$140=$B28)*ISNUMBER(INDEX(Inputs!$K$5:$AJ$140,0,MATCH(AE$2,Inputs!$K$4:$AJ$4,0))))+SUMPRODUCT((Inputs!$E$5:$E$140=$B28)*ISNUMBER(INDEX(Inputs!$K$5:$AJ$140,0,MATCH(AE$2,Inputs!$K$4:$AJ$4,0))))=0,NA(),SUMPRODUCT((Inputs!$A$5:$A$140=$B28)*Inputs!$B$5:$B$140*(((Inputs!$G$5:$G$140="moeda")+(Inputs!$G$5:$G$140="acoes"))*Inputs!$B$1+((Inputs!$G$5:$G$140&lt;&gt;"moeda")*(Inputs!$G$5:$G$140&lt;&gt;"acoes")))*INDEX(Inputs!$K$5:$AJ$140,0,MATCH(AE$2,Inputs!$K$4:$AJ$4,0)))+SUMPRODUCT((Inputs!$C$5:$C$140=$B28)*Inputs!$D$5:$D$140*(((Inputs!$G$5:$G$140="moeda")+(Inputs!$G$5:$G$140="acoes"))*Inputs!$B$1+((Inputs!$G$5:$G$140&lt;&gt;"moeda")*(Inputs!$G$5:$G$140&lt;&gt;"acoes")))*INDEX(Inputs!$K$5:$AJ$140,0,MATCH(AE$2,Inputs!$K$4:$AJ$4,0)))+SUMPRODUCT((Inputs!$E$5:$E$140=$B28)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28" s="6" t="e">
        <f>IF(ISNA(MATCH(AF$2,Inputs!$K$4:$AJ$4,0)),NA(),IF(SUMPRODUCT((Inputs!$A$5:$A$140=$B28)*ISNUMBER(INDEX(Inputs!$K$5:$AJ$140,0,MATCH(AF$2,Inputs!$K$4:$AJ$4,0))))+SUMPRODUCT((Inputs!$C$5:$C$140=$B28)*ISNUMBER(INDEX(Inputs!$K$5:$AJ$140,0,MATCH(AF$2,Inputs!$K$4:$AJ$4,0))))+SUMPRODUCT((Inputs!$E$5:$E$140=$B28)*ISNUMBER(INDEX(Inputs!$K$5:$AJ$140,0,MATCH(AF$2,Inputs!$K$4:$AJ$4,0))))=0,NA(),SUMPRODUCT((Inputs!$A$5:$A$140=$B28)*Inputs!$B$5:$B$140*(((Inputs!$G$5:$G$140="moeda")+(Inputs!$G$5:$G$140="acoes"))*Inputs!$B$1+((Inputs!$G$5:$G$140&lt;&gt;"moeda")*(Inputs!$G$5:$G$140&lt;&gt;"acoes")))*INDEX(Inputs!$K$5:$AJ$140,0,MATCH(AF$2,Inputs!$K$4:$AJ$4,0)))+SUMPRODUCT((Inputs!$C$5:$C$140=$B28)*Inputs!$D$5:$D$140*(((Inputs!$G$5:$G$140="moeda")+(Inputs!$G$5:$G$140="acoes"))*Inputs!$B$1+((Inputs!$G$5:$G$140&lt;&gt;"moeda")*(Inputs!$G$5:$G$140&lt;&gt;"acoes")))*INDEX(Inputs!$K$5:$AJ$140,0,MATCH(AF$2,Inputs!$K$4:$AJ$4,0)))+SUMPRODUCT((Inputs!$E$5:$E$140=$B28)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28" s="3" t="e">
        <f>AF28</f>
        <v>#N/A</v>
      </c>
      <c r="AH28" s="6">
        <f>IF(ISNA(MATCH(AH$2,Inputs!$K$4:$AJ$4,0)),NA(),IF(SUMPRODUCT((Inputs!$A$5:$A$140=$B28)*ISNUMBER(INDEX(Inputs!$K$5:$AJ$140,0,MATCH(AH$2,Inputs!$K$4:$AJ$4,0))))+SUMPRODUCT((Inputs!$C$5:$C$140=$B28)*ISNUMBER(INDEX(Inputs!$K$5:$AJ$140,0,MATCH(AH$2,Inputs!$K$4:$AJ$4,0))))+SUMPRODUCT((Inputs!$E$5:$E$140=$B28)*ISNUMBER(INDEX(Inputs!$K$5:$AJ$140,0,MATCH(AH$2,Inputs!$K$4:$AJ$4,0))))=0,NA(),SUMPRODUCT((Inputs!$A$5:$A$140=$B28)*Inputs!$B$5:$B$140*(((Inputs!$G$5:$G$140="moeda")+(Inputs!$G$5:$G$140="acoes"))*Inputs!$B$1+((Inputs!$G$5:$G$140&lt;&gt;"moeda")*(Inputs!$G$5:$G$140&lt;&gt;"acoes")))*INDEX(Inputs!$K$5:$AJ$140,0,MATCH(AH$2,Inputs!$K$4:$AJ$4,0)))+SUMPRODUCT((Inputs!$C$5:$C$140=$B28)*Inputs!$D$5:$D$140*(((Inputs!$G$5:$G$140="moeda")+(Inputs!$G$5:$G$140="acoes"))*Inputs!$B$1+((Inputs!$G$5:$G$140&lt;&gt;"moeda")*(Inputs!$G$5:$G$140&lt;&gt;"acoes")))*INDEX(Inputs!$K$5:$AJ$140,0,MATCH(AH$2,Inputs!$K$4:$AJ$4,0)))+SUMPRODUCT((Inputs!$E$5:$E$140=$B28)*Inputs!$F$5:$F$140*(((Inputs!$G$5:$G$140="moeda")+(Inputs!$G$5:$G$140="acoes"))*Inputs!$B$1+((Inputs!$G$5:$G$140&lt;&gt;"moeda")*(Inputs!$G$5:$G$140&lt;&gt;"acoes")))*INDEX(Inputs!$K$5:$AJ$140,0,MATCH(AH$2,Inputs!$K$4:$AJ$4,0)))))</f>
        <v>761</v>
      </c>
      <c r="AI28" s="6">
        <f>IF(ISNA(MATCH(AI$2,Inputs!$K$4:$AJ$4,0)),NA(),IF(SUMPRODUCT((Inputs!$A$5:$A$140=$B28)*ISNUMBER(INDEX(Inputs!$K$5:$AJ$140,0,MATCH(AI$2,Inputs!$K$4:$AJ$4,0))))+SUMPRODUCT((Inputs!$C$5:$C$140=$B28)*ISNUMBER(INDEX(Inputs!$K$5:$AJ$140,0,MATCH(AI$2,Inputs!$K$4:$AJ$4,0))))+SUMPRODUCT((Inputs!$E$5:$E$140=$B28)*ISNUMBER(INDEX(Inputs!$K$5:$AJ$140,0,MATCH(AI$2,Inputs!$K$4:$AJ$4,0))))=0,NA(),SUMPRODUCT((Inputs!$A$5:$A$140=$B28)*Inputs!$B$5:$B$140*(((Inputs!$G$5:$G$140="moeda")+(Inputs!$G$5:$G$140="acoes"))*Inputs!$B$1+((Inputs!$G$5:$G$140&lt;&gt;"moeda")*(Inputs!$G$5:$G$140&lt;&gt;"acoes")))*INDEX(Inputs!$K$5:$AJ$140,0,MATCH(AI$2,Inputs!$K$4:$AJ$4,0)))+SUMPRODUCT((Inputs!$C$5:$C$140=$B28)*Inputs!$D$5:$D$140*(((Inputs!$G$5:$G$140="moeda")+(Inputs!$G$5:$G$140="acoes"))*Inputs!$B$1+((Inputs!$G$5:$G$140&lt;&gt;"moeda")*(Inputs!$G$5:$G$140&lt;&gt;"acoes")))*INDEX(Inputs!$K$5:$AJ$140,0,MATCH(AI$2,Inputs!$K$4:$AJ$4,0)))+SUMPRODUCT((Inputs!$E$5:$E$140=$B28)*Inputs!$F$5:$F$140*(((Inputs!$G$5:$G$140="moeda")+(Inputs!$G$5:$G$140="acoes"))*Inputs!$B$1+((Inputs!$G$5:$G$140&lt;&gt;"moeda")*(Inputs!$G$5:$G$140&lt;&gt;"acoes")))*INDEX(Inputs!$K$5:$AJ$140,0,MATCH(AI$2,Inputs!$K$4:$AJ$4,0)))))</f>
        <v>893</v>
      </c>
      <c r="AJ28" s="6">
        <f>IF(ISNA(MATCH(AJ$2,Inputs!$K$4:$AJ$4,0)),NA(),IF(SUMPRODUCT((Inputs!$A$5:$A$140=$B28)*ISNUMBER(INDEX(Inputs!$K$5:$AJ$140,0,MATCH(AJ$2,Inputs!$K$4:$AJ$4,0))))+SUMPRODUCT((Inputs!$C$5:$C$140=$B28)*ISNUMBER(INDEX(Inputs!$K$5:$AJ$140,0,MATCH(AJ$2,Inputs!$K$4:$AJ$4,0))))+SUMPRODUCT((Inputs!$E$5:$E$140=$B28)*ISNUMBER(INDEX(Inputs!$K$5:$AJ$140,0,MATCH(AJ$2,Inputs!$K$4:$AJ$4,0))))=0,NA(),SUMPRODUCT((Inputs!$A$5:$A$140=$B28)*Inputs!$B$5:$B$140*(((Inputs!$G$5:$G$140="moeda")+(Inputs!$G$5:$G$140="acoes"))*Inputs!$B$1+((Inputs!$G$5:$G$140&lt;&gt;"moeda")*(Inputs!$G$5:$G$140&lt;&gt;"acoes")))*INDEX(Inputs!$K$5:$AJ$140,0,MATCH(AJ$2,Inputs!$K$4:$AJ$4,0)))+SUMPRODUCT((Inputs!$C$5:$C$140=$B28)*Inputs!$D$5:$D$140*(((Inputs!$G$5:$G$140="moeda")+(Inputs!$G$5:$G$140="acoes"))*Inputs!$B$1+((Inputs!$G$5:$G$140&lt;&gt;"moeda")*(Inputs!$G$5:$G$140&lt;&gt;"acoes")))*INDEX(Inputs!$K$5:$AJ$140,0,MATCH(AJ$2,Inputs!$K$4:$AJ$4,0)))+SUMPRODUCT((Inputs!$E$5:$E$140=$B28)*Inputs!$F$5:$F$140*(((Inputs!$G$5:$G$140="moeda")+(Inputs!$G$5:$G$140="acoes"))*Inputs!$B$1+((Inputs!$G$5:$G$140&lt;&gt;"moeda")*(Inputs!$G$5:$G$140&lt;&gt;"acoes")))*INDEX(Inputs!$K$5:$AJ$140,0,MATCH(AJ$2,Inputs!$K$4:$AJ$4,0)))))</f>
        <v>1097</v>
      </c>
      <c r="AK28" s="6">
        <f>IF(ISNA(MATCH(AK$2,Inputs!$K$4:$AJ$4,0)),NA(),IF(SUMPRODUCT((Inputs!$A$5:$A$140=$B28)*ISNUMBER(INDEX(Inputs!$K$5:$AJ$140,0,MATCH(AK$2,Inputs!$K$4:$AJ$4,0))))+SUMPRODUCT((Inputs!$C$5:$C$140=$B28)*ISNUMBER(INDEX(Inputs!$K$5:$AJ$140,0,MATCH(AK$2,Inputs!$K$4:$AJ$4,0))))+SUMPRODUCT((Inputs!$E$5:$E$140=$B28)*ISNUMBER(INDEX(Inputs!$K$5:$AJ$140,0,MATCH(AK$2,Inputs!$K$4:$AJ$4,0))))=0,NA(),SUMPRODUCT((Inputs!$A$5:$A$140=$B28)*Inputs!$B$5:$B$140*(((Inputs!$G$5:$G$140="moeda")+(Inputs!$G$5:$G$140="acoes"))*Inputs!$B$1+((Inputs!$G$5:$G$140&lt;&gt;"moeda")*(Inputs!$G$5:$G$140&lt;&gt;"acoes")))*INDEX(Inputs!$K$5:$AJ$140,0,MATCH(AK$2,Inputs!$K$4:$AJ$4,0)))+SUMPRODUCT((Inputs!$C$5:$C$140=$B28)*Inputs!$D$5:$D$140*(((Inputs!$G$5:$G$140="moeda")+(Inputs!$G$5:$G$140="acoes"))*Inputs!$B$1+((Inputs!$G$5:$G$140&lt;&gt;"moeda")*(Inputs!$G$5:$G$140&lt;&gt;"acoes")))*INDEX(Inputs!$K$5:$AJ$140,0,MATCH(AK$2,Inputs!$K$4:$AJ$4,0)))+SUMPRODUCT((Inputs!$E$5:$E$140=$B28)*Inputs!$F$5:$F$140*(((Inputs!$G$5:$G$140="moeda")+(Inputs!$G$5:$G$140="acoes"))*Inputs!$B$1+((Inputs!$G$5:$G$140&lt;&gt;"moeda")*(Inputs!$G$5:$G$140&lt;&gt;"acoes")))*INDEX(Inputs!$K$5:$AJ$140,0,MATCH(AK$2,Inputs!$K$4:$AJ$4,0)))))</f>
        <v>1201</v>
      </c>
      <c r="AL28" s="3">
        <f>AK28</f>
        <v>1201</v>
      </c>
    </row>
    <row r="29">
      <c r="B29" s="46" t="n">
        <v>24</v>
      </c>
      <c r="C29" s="26" t="inlineStr">
        <is>
          <t>Accrued expenses</t>
        </is>
      </c>
      <c r="D29" s="6">
        <f>IF(ISNA(MATCH(D$2,Inputs!$K$4:$AJ$4,0)),NA(),IF(SUMPRODUCT((Inputs!$A$5:$A$140=$B29)*ISNUMBER(INDEX(Inputs!$K$5:$AJ$140,0,MATCH(D$2,Inputs!$K$4:$AJ$4,0))))+SUMPRODUCT((Inputs!$C$5:$C$140=$B29)*ISNUMBER(INDEX(Inputs!$K$5:$AJ$140,0,MATCH(D$2,Inputs!$K$4:$AJ$4,0))))+SUMPRODUCT((Inputs!$E$5:$E$140=$B29)*ISNUMBER(INDEX(Inputs!$K$5:$AJ$140,0,MATCH(D$2,Inputs!$K$4:$AJ$4,0))))=0,NA(),SUMPRODUCT((Inputs!$A$5:$A$140=$B29)*Inputs!$B$5:$B$140*(((Inputs!$G$5:$G$140="moeda")+(Inputs!$G$5:$G$140="acoes"))*Inputs!$B$1+((Inputs!$G$5:$G$140&lt;&gt;"moeda")*(Inputs!$G$5:$G$140&lt;&gt;"acoes")))*INDEX(Inputs!$K$5:$AJ$140,0,MATCH(D$2,Inputs!$K$4:$AJ$4,0)))+SUMPRODUCT((Inputs!$C$5:$C$140=$B29)*Inputs!$D$5:$D$140*(((Inputs!$G$5:$G$140="moeda")+(Inputs!$G$5:$G$140="acoes"))*Inputs!$B$1+((Inputs!$G$5:$G$140&lt;&gt;"moeda")*(Inputs!$G$5:$G$140&lt;&gt;"acoes")))*INDEX(Inputs!$K$5:$AJ$140,0,MATCH(D$2,Inputs!$K$4:$AJ$4,0)))+SUMPRODUCT((Inputs!$E$5:$E$140=$B29)*Inputs!$F$5:$F$140*(((Inputs!$G$5:$G$140="moeda")+(Inputs!$G$5:$G$140="acoes"))*Inputs!$B$1+((Inputs!$G$5:$G$140&lt;&gt;"moeda")*(Inputs!$G$5:$G$140&lt;&gt;"acoes")))*INDEX(Inputs!$K$5:$AJ$140,0,MATCH(D$2,Inputs!$K$4:$AJ$4,0)))))</f>
        <v>1787</v>
      </c>
      <c r="E29" s="6">
        <f>IF(ISNA(MATCH(E$2,Inputs!$K$4:$AJ$4,0)),NA(),IF(SUMPRODUCT((Inputs!$A$5:$A$140=$B29)*ISNUMBER(INDEX(Inputs!$K$5:$AJ$140,0,MATCH(E$2,Inputs!$K$4:$AJ$4,0))))+SUMPRODUCT((Inputs!$C$5:$C$140=$B29)*ISNUMBER(INDEX(Inputs!$K$5:$AJ$140,0,MATCH(E$2,Inputs!$K$4:$AJ$4,0))))+SUMPRODUCT((Inputs!$E$5:$E$140=$B29)*ISNUMBER(INDEX(Inputs!$K$5:$AJ$140,0,MATCH(E$2,Inputs!$K$4:$AJ$4,0))))=0,NA(),SUMPRODUCT((Inputs!$A$5:$A$140=$B29)*Inputs!$B$5:$B$140*(((Inputs!$G$5:$G$140="moeda")+(Inputs!$G$5:$G$140="acoes"))*Inputs!$B$1+((Inputs!$G$5:$G$140&lt;&gt;"moeda")*(Inputs!$G$5:$G$140&lt;&gt;"acoes")))*INDEX(Inputs!$K$5:$AJ$140,0,MATCH(E$2,Inputs!$K$4:$AJ$4,0)))+SUMPRODUCT((Inputs!$C$5:$C$140=$B29)*Inputs!$D$5:$D$140*(((Inputs!$G$5:$G$140="moeda")+(Inputs!$G$5:$G$140="acoes"))*Inputs!$B$1+((Inputs!$G$5:$G$140&lt;&gt;"moeda")*(Inputs!$G$5:$G$140&lt;&gt;"acoes")))*INDEX(Inputs!$K$5:$AJ$140,0,MATCH(E$2,Inputs!$K$4:$AJ$4,0)))+SUMPRODUCT((Inputs!$E$5:$E$140=$B29)*Inputs!$F$5:$F$140*(((Inputs!$G$5:$G$140="moeda")+(Inputs!$G$5:$G$140="acoes"))*Inputs!$B$1+((Inputs!$G$5:$G$140&lt;&gt;"moeda")*(Inputs!$G$5:$G$140&lt;&gt;"acoes")))*INDEX(Inputs!$K$5:$AJ$140,0,MATCH(E$2,Inputs!$K$4:$AJ$4,0)))))</f>
        <v>1974</v>
      </c>
      <c r="F29" s="6">
        <f>IF(ISNA(MATCH(F$2,Inputs!$K$4:$AJ$4,0)),NA(),IF(SUMPRODUCT((Inputs!$A$5:$A$140=$B29)*ISNUMBER(INDEX(Inputs!$K$5:$AJ$140,0,MATCH(F$2,Inputs!$K$4:$AJ$4,0))))+SUMPRODUCT((Inputs!$C$5:$C$140=$B29)*ISNUMBER(INDEX(Inputs!$K$5:$AJ$140,0,MATCH(F$2,Inputs!$K$4:$AJ$4,0))))+SUMPRODUCT((Inputs!$E$5:$E$140=$B29)*ISNUMBER(INDEX(Inputs!$K$5:$AJ$140,0,MATCH(F$2,Inputs!$K$4:$AJ$4,0))))=0,NA(),SUMPRODUCT((Inputs!$A$5:$A$140=$B29)*Inputs!$B$5:$B$140*(((Inputs!$G$5:$G$140="moeda")+(Inputs!$G$5:$G$140="acoes"))*Inputs!$B$1+((Inputs!$G$5:$G$140&lt;&gt;"moeda")*(Inputs!$G$5:$G$140&lt;&gt;"acoes")))*INDEX(Inputs!$K$5:$AJ$140,0,MATCH(F$2,Inputs!$K$4:$AJ$4,0)))+SUMPRODUCT((Inputs!$C$5:$C$140=$B29)*Inputs!$D$5:$D$140*(((Inputs!$G$5:$G$140="moeda")+(Inputs!$G$5:$G$140="acoes"))*Inputs!$B$1+((Inputs!$G$5:$G$140&lt;&gt;"moeda")*(Inputs!$G$5:$G$140&lt;&gt;"acoes")))*INDEX(Inputs!$K$5:$AJ$140,0,MATCH(F$2,Inputs!$K$4:$AJ$4,0)))+SUMPRODUCT((Inputs!$E$5:$E$140=$B29)*Inputs!$F$5:$F$140*(((Inputs!$G$5:$G$140="moeda")+(Inputs!$G$5:$G$140="acoes"))*Inputs!$B$1+((Inputs!$G$5:$G$140&lt;&gt;"moeda")*(Inputs!$G$5:$G$140&lt;&gt;"acoes")))*INDEX(Inputs!$K$5:$AJ$140,0,MATCH(F$2,Inputs!$K$4:$AJ$4,0)))))</f>
        <v>1948</v>
      </c>
      <c r="G29" s="6">
        <f>IF(ISNA(MATCH(G$2,Inputs!$K$4:$AJ$4,0)),NA(),IF(SUMPRODUCT((Inputs!$A$5:$A$140=$B29)*ISNUMBER(INDEX(Inputs!$K$5:$AJ$140,0,MATCH(G$2,Inputs!$K$4:$AJ$4,0))))+SUMPRODUCT((Inputs!$C$5:$C$140=$B29)*ISNUMBER(INDEX(Inputs!$K$5:$AJ$140,0,MATCH(G$2,Inputs!$K$4:$AJ$4,0))))+SUMPRODUCT((Inputs!$E$5:$E$140=$B29)*ISNUMBER(INDEX(Inputs!$K$5:$AJ$140,0,MATCH(G$2,Inputs!$K$4:$AJ$4,0))))=0,NA(),SUMPRODUCT((Inputs!$A$5:$A$140=$B29)*Inputs!$B$5:$B$140*(((Inputs!$G$5:$G$140="moeda")+(Inputs!$G$5:$G$140="acoes"))*Inputs!$B$1+((Inputs!$G$5:$G$140&lt;&gt;"moeda")*(Inputs!$G$5:$G$140&lt;&gt;"acoes")))*INDEX(Inputs!$K$5:$AJ$140,0,MATCH(G$2,Inputs!$K$4:$AJ$4,0)))+SUMPRODUCT((Inputs!$C$5:$C$140=$B29)*Inputs!$D$5:$D$140*(((Inputs!$G$5:$G$140="moeda")+(Inputs!$G$5:$G$140="acoes"))*Inputs!$B$1+((Inputs!$G$5:$G$140&lt;&gt;"moeda")*(Inputs!$G$5:$G$140&lt;&gt;"acoes")))*INDEX(Inputs!$K$5:$AJ$140,0,MATCH(G$2,Inputs!$K$4:$AJ$4,0)))+SUMPRODUCT((Inputs!$E$5:$E$140=$B29)*Inputs!$F$5:$F$140*(((Inputs!$G$5:$G$140="moeda")+(Inputs!$G$5:$G$140="acoes"))*Inputs!$B$1+((Inputs!$G$5:$G$140&lt;&gt;"moeda")*(Inputs!$G$5:$G$140&lt;&gt;"acoes")))*INDEX(Inputs!$K$5:$AJ$140,0,MATCH(G$2,Inputs!$K$4:$AJ$4,0)))))</f>
        <v>2552</v>
      </c>
      <c r="H29" s="3">
        <f>G29</f>
        <v>2552</v>
      </c>
      <c r="I29" s="6">
        <f>IF(ISNA(MATCH(I$2,Inputs!$K$4:$AJ$4,0)),NA(),IF(SUMPRODUCT((Inputs!$A$5:$A$140=$B29)*ISNUMBER(INDEX(Inputs!$K$5:$AJ$140,0,MATCH(I$2,Inputs!$K$4:$AJ$4,0))))+SUMPRODUCT((Inputs!$C$5:$C$140=$B29)*ISNUMBER(INDEX(Inputs!$K$5:$AJ$140,0,MATCH(I$2,Inputs!$K$4:$AJ$4,0))))+SUMPRODUCT((Inputs!$E$5:$E$140=$B29)*ISNUMBER(INDEX(Inputs!$K$5:$AJ$140,0,MATCH(I$2,Inputs!$K$4:$AJ$4,0))))=0,NA(),SUMPRODUCT((Inputs!$A$5:$A$140=$B29)*Inputs!$B$5:$B$140*(((Inputs!$G$5:$G$140="moeda")+(Inputs!$G$5:$G$140="acoes"))*Inputs!$B$1+((Inputs!$G$5:$G$140&lt;&gt;"moeda")*(Inputs!$G$5:$G$140&lt;&gt;"acoes")))*INDEX(Inputs!$K$5:$AJ$140,0,MATCH(I$2,Inputs!$K$4:$AJ$4,0)))+SUMPRODUCT((Inputs!$C$5:$C$140=$B29)*Inputs!$D$5:$D$140*(((Inputs!$G$5:$G$140="moeda")+(Inputs!$G$5:$G$140="acoes"))*Inputs!$B$1+((Inputs!$G$5:$G$140&lt;&gt;"moeda")*(Inputs!$G$5:$G$140&lt;&gt;"acoes")))*INDEX(Inputs!$K$5:$AJ$140,0,MATCH(I$2,Inputs!$K$4:$AJ$4,0)))+SUMPRODUCT((Inputs!$E$5:$E$140=$B29)*Inputs!$F$5:$F$140*(((Inputs!$G$5:$G$140="moeda")+(Inputs!$G$5:$G$140="acoes"))*Inputs!$B$1+((Inputs!$G$5:$G$140&lt;&gt;"moeda")*(Inputs!$G$5:$G$140&lt;&gt;"acoes")))*INDEX(Inputs!$K$5:$AJ$140,0,MATCH(I$2,Inputs!$K$4:$AJ$4,0)))))</f>
        <v>3563</v>
      </c>
      <c r="J29" s="6">
        <f>IF(ISNA(MATCH(J$2,Inputs!$K$4:$AJ$4,0)),NA(),IF(SUMPRODUCT((Inputs!$A$5:$A$140=$B29)*ISNUMBER(INDEX(Inputs!$K$5:$AJ$140,0,MATCH(J$2,Inputs!$K$4:$AJ$4,0))))+SUMPRODUCT((Inputs!$C$5:$C$140=$B29)*ISNUMBER(INDEX(Inputs!$K$5:$AJ$140,0,MATCH(J$2,Inputs!$K$4:$AJ$4,0))))+SUMPRODUCT((Inputs!$E$5:$E$140=$B29)*ISNUMBER(INDEX(Inputs!$K$5:$AJ$140,0,MATCH(J$2,Inputs!$K$4:$AJ$4,0))))=0,NA(),SUMPRODUCT((Inputs!$A$5:$A$140=$B29)*Inputs!$B$5:$B$140*(((Inputs!$G$5:$G$140="moeda")+(Inputs!$G$5:$G$140="acoes"))*Inputs!$B$1+((Inputs!$G$5:$G$140&lt;&gt;"moeda")*(Inputs!$G$5:$G$140&lt;&gt;"acoes")))*INDEX(Inputs!$K$5:$AJ$140,0,MATCH(J$2,Inputs!$K$4:$AJ$4,0)))+SUMPRODUCT((Inputs!$C$5:$C$140=$B29)*Inputs!$D$5:$D$140*(((Inputs!$G$5:$G$140="moeda")+(Inputs!$G$5:$G$140="acoes"))*Inputs!$B$1+((Inputs!$G$5:$G$140&lt;&gt;"moeda")*(Inputs!$G$5:$G$140&lt;&gt;"acoes")))*INDEX(Inputs!$K$5:$AJ$140,0,MATCH(J$2,Inputs!$K$4:$AJ$4,0)))+SUMPRODUCT((Inputs!$E$5:$E$140=$B29)*Inputs!$F$5:$F$140*(((Inputs!$G$5:$G$140="moeda")+(Inputs!$G$5:$G$140="acoes"))*Inputs!$B$1+((Inputs!$G$5:$G$140&lt;&gt;"moeda")*(Inputs!$G$5:$G$140&lt;&gt;"acoes")))*INDEX(Inputs!$K$5:$AJ$140,0,MATCH(J$2,Inputs!$K$4:$AJ$4,0)))))</f>
        <v>3903</v>
      </c>
      <c r="K29" s="6">
        <f>IF(ISNA(MATCH(K$2,Inputs!$K$4:$AJ$4,0)),NA(),IF(SUMPRODUCT((Inputs!$A$5:$A$140=$B29)*ISNUMBER(INDEX(Inputs!$K$5:$AJ$140,0,MATCH(K$2,Inputs!$K$4:$AJ$4,0))))+SUMPRODUCT((Inputs!$C$5:$C$140=$B29)*ISNUMBER(INDEX(Inputs!$K$5:$AJ$140,0,MATCH(K$2,Inputs!$K$4:$AJ$4,0))))+SUMPRODUCT((Inputs!$E$5:$E$140=$B29)*ISNUMBER(INDEX(Inputs!$K$5:$AJ$140,0,MATCH(K$2,Inputs!$K$4:$AJ$4,0))))=0,NA(),SUMPRODUCT((Inputs!$A$5:$A$140=$B29)*Inputs!$B$5:$B$140*(((Inputs!$G$5:$G$140="moeda")+(Inputs!$G$5:$G$140="acoes"))*Inputs!$B$1+((Inputs!$G$5:$G$140&lt;&gt;"moeda")*(Inputs!$G$5:$G$140&lt;&gt;"acoes")))*INDEX(Inputs!$K$5:$AJ$140,0,MATCH(K$2,Inputs!$K$4:$AJ$4,0)))+SUMPRODUCT((Inputs!$C$5:$C$140=$B29)*Inputs!$D$5:$D$140*(((Inputs!$G$5:$G$140="moeda")+(Inputs!$G$5:$G$140="acoes"))*Inputs!$B$1+((Inputs!$G$5:$G$140&lt;&gt;"moeda")*(Inputs!$G$5:$G$140&lt;&gt;"acoes")))*INDEX(Inputs!$K$5:$AJ$140,0,MATCH(K$2,Inputs!$K$4:$AJ$4,0)))+SUMPRODUCT((Inputs!$E$5:$E$140=$B29)*Inputs!$F$5:$F$140*(((Inputs!$G$5:$G$140="moeda")+(Inputs!$G$5:$G$140="acoes"))*Inputs!$B$1+((Inputs!$G$5:$G$140&lt;&gt;"moeda")*(Inputs!$G$5:$G$140&lt;&gt;"acoes")))*INDEX(Inputs!$K$5:$AJ$140,0,MATCH(K$2,Inputs!$K$4:$AJ$4,0)))))</f>
        <v>4115</v>
      </c>
      <c r="L29" s="6">
        <f>IF(ISNA(MATCH(L$2,Inputs!$K$4:$AJ$4,0)),NA(),IF(SUMPRODUCT((Inputs!$A$5:$A$140=$B29)*ISNUMBER(INDEX(Inputs!$K$5:$AJ$140,0,MATCH(L$2,Inputs!$K$4:$AJ$4,0))))+SUMPRODUCT((Inputs!$C$5:$C$140=$B29)*ISNUMBER(INDEX(Inputs!$K$5:$AJ$140,0,MATCH(L$2,Inputs!$K$4:$AJ$4,0))))+SUMPRODUCT((Inputs!$E$5:$E$140=$B29)*ISNUMBER(INDEX(Inputs!$K$5:$AJ$140,0,MATCH(L$2,Inputs!$K$4:$AJ$4,0))))=0,NA(),SUMPRODUCT((Inputs!$A$5:$A$140=$B29)*Inputs!$B$5:$B$140*(((Inputs!$G$5:$G$140="moeda")+(Inputs!$G$5:$G$140="acoes"))*Inputs!$B$1+((Inputs!$G$5:$G$140&lt;&gt;"moeda")*(Inputs!$G$5:$G$140&lt;&gt;"acoes")))*INDEX(Inputs!$K$5:$AJ$140,0,MATCH(L$2,Inputs!$K$4:$AJ$4,0)))+SUMPRODUCT((Inputs!$C$5:$C$140=$B29)*Inputs!$D$5:$D$140*(((Inputs!$G$5:$G$140="moeda")+(Inputs!$G$5:$G$140="acoes"))*Inputs!$B$1+((Inputs!$G$5:$G$140&lt;&gt;"moeda")*(Inputs!$G$5:$G$140&lt;&gt;"acoes")))*INDEX(Inputs!$K$5:$AJ$140,0,MATCH(L$2,Inputs!$K$4:$AJ$4,0)))+SUMPRODUCT((Inputs!$E$5:$E$140=$B29)*Inputs!$F$5:$F$140*(((Inputs!$G$5:$G$140="moeda")+(Inputs!$G$5:$G$140="acoes"))*Inputs!$B$1+((Inputs!$G$5:$G$140&lt;&gt;"moeda")*(Inputs!$G$5:$G$140&lt;&gt;"acoes")))*INDEX(Inputs!$K$5:$AJ$140,0,MATCH(L$2,Inputs!$K$4:$AJ$4,0)))))</f>
        <v>4120</v>
      </c>
      <c r="M29" s="3">
        <f>L29</f>
        <v>4120</v>
      </c>
      <c r="N29" s="6">
        <f>IF(ISNA(MATCH(N$2,Inputs!$K$4:$AJ$4,0)),NA(),IF(SUMPRODUCT((Inputs!$A$5:$A$140=$B29)*ISNUMBER(INDEX(Inputs!$K$5:$AJ$140,0,MATCH(N$2,Inputs!$K$4:$AJ$4,0))))+SUMPRODUCT((Inputs!$C$5:$C$140=$B29)*ISNUMBER(INDEX(Inputs!$K$5:$AJ$140,0,MATCH(N$2,Inputs!$K$4:$AJ$4,0))))+SUMPRODUCT((Inputs!$E$5:$E$140=$B29)*ISNUMBER(INDEX(Inputs!$K$5:$AJ$140,0,MATCH(N$2,Inputs!$K$4:$AJ$4,0))))=0,NA(),SUMPRODUCT((Inputs!$A$5:$A$140=$B29)*Inputs!$B$5:$B$140*(((Inputs!$G$5:$G$140="moeda")+(Inputs!$G$5:$G$140="acoes"))*Inputs!$B$1+((Inputs!$G$5:$G$140&lt;&gt;"moeda")*(Inputs!$G$5:$G$140&lt;&gt;"acoes")))*INDEX(Inputs!$K$5:$AJ$140,0,MATCH(N$2,Inputs!$K$4:$AJ$4,0)))+SUMPRODUCT((Inputs!$C$5:$C$140=$B29)*Inputs!$D$5:$D$140*(((Inputs!$G$5:$G$140="moeda")+(Inputs!$G$5:$G$140="acoes"))*Inputs!$B$1+((Inputs!$G$5:$G$140&lt;&gt;"moeda")*(Inputs!$G$5:$G$140&lt;&gt;"acoes")))*INDEX(Inputs!$K$5:$AJ$140,0,MATCH(N$2,Inputs!$K$4:$AJ$4,0)))+SUMPRODUCT((Inputs!$E$5:$E$140=$B29)*Inputs!$F$5:$F$140*(((Inputs!$G$5:$G$140="moeda")+(Inputs!$G$5:$G$140="acoes"))*Inputs!$B$1+((Inputs!$G$5:$G$140&lt;&gt;"moeda")*(Inputs!$G$5:$G$140&lt;&gt;"acoes")))*INDEX(Inputs!$K$5:$AJ$140,0,MATCH(N$2,Inputs!$K$4:$AJ$4,0)))))</f>
        <v>4869</v>
      </c>
      <c r="O29" s="6">
        <f>IF(ISNA(MATCH(O$2,Inputs!$K$4:$AJ$4,0)),NA(),IF(SUMPRODUCT((Inputs!$A$5:$A$140=$B29)*ISNUMBER(INDEX(Inputs!$K$5:$AJ$140,0,MATCH(O$2,Inputs!$K$4:$AJ$4,0))))+SUMPRODUCT((Inputs!$C$5:$C$140=$B29)*ISNUMBER(INDEX(Inputs!$K$5:$AJ$140,0,MATCH(O$2,Inputs!$K$4:$AJ$4,0))))+SUMPRODUCT((Inputs!$E$5:$E$140=$B29)*ISNUMBER(INDEX(Inputs!$K$5:$AJ$140,0,MATCH(O$2,Inputs!$K$4:$AJ$4,0))))=0,NA(),SUMPRODUCT((Inputs!$A$5:$A$140=$B29)*Inputs!$B$5:$B$140*(((Inputs!$G$5:$G$140="moeda")+(Inputs!$G$5:$G$140="acoes"))*Inputs!$B$1+((Inputs!$G$5:$G$140&lt;&gt;"moeda")*(Inputs!$G$5:$G$140&lt;&gt;"acoes")))*INDEX(Inputs!$K$5:$AJ$140,0,MATCH(O$2,Inputs!$K$4:$AJ$4,0)))+SUMPRODUCT((Inputs!$C$5:$C$140=$B29)*Inputs!$D$5:$D$140*(((Inputs!$G$5:$G$140="moeda")+(Inputs!$G$5:$G$140="acoes"))*Inputs!$B$1+((Inputs!$G$5:$G$140&lt;&gt;"moeda")*(Inputs!$G$5:$G$140&lt;&gt;"acoes")))*INDEX(Inputs!$K$5:$AJ$140,0,MATCH(O$2,Inputs!$K$4:$AJ$4,0)))+SUMPRODUCT((Inputs!$E$5:$E$140=$B29)*Inputs!$F$5:$F$140*(((Inputs!$G$5:$G$140="moeda")+(Inputs!$G$5:$G$140="acoes"))*Inputs!$B$1+((Inputs!$G$5:$G$140&lt;&gt;"moeda")*(Inputs!$G$5:$G$140&lt;&gt;"acoes")))*INDEX(Inputs!$K$5:$AJ$140,0,MATCH(O$2,Inputs!$K$4:$AJ$4,0)))))</f>
        <v>7156</v>
      </c>
      <c r="P29" s="6">
        <f>IF(ISNA(MATCH(P$2,Inputs!$K$4:$AJ$4,0)),NA(),IF(SUMPRODUCT((Inputs!$A$5:$A$140=$B29)*ISNUMBER(INDEX(Inputs!$K$5:$AJ$140,0,MATCH(P$2,Inputs!$K$4:$AJ$4,0))))+SUMPRODUCT((Inputs!$C$5:$C$140=$B29)*ISNUMBER(INDEX(Inputs!$K$5:$AJ$140,0,MATCH(P$2,Inputs!$K$4:$AJ$4,0))))+SUMPRODUCT((Inputs!$E$5:$E$140=$B29)*ISNUMBER(INDEX(Inputs!$K$5:$AJ$140,0,MATCH(P$2,Inputs!$K$4:$AJ$4,0))))=0,NA(),SUMPRODUCT((Inputs!$A$5:$A$140=$B29)*Inputs!$B$5:$B$140*(((Inputs!$G$5:$G$140="moeda")+(Inputs!$G$5:$G$140="acoes"))*Inputs!$B$1+((Inputs!$G$5:$G$140&lt;&gt;"moeda")*(Inputs!$G$5:$G$140&lt;&gt;"acoes")))*INDEX(Inputs!$K$5:$AJ$140,0,MATCH(P$2,Inputs!$K$4:$AJ$4,0)))+SUMPRODUCT((Inputs!$C$5:$C$140=$B29)*Inputs!$D$5:$D$140*(((Inputs!$G$5:$G$140="moeda")+(Inputs!$G$5:$G$140="acoes"))*Inputs!$B$1+((Inputs!$G$5:$G$140&lt;&gt;"moeda")*(Inputs!$G$5:$G$140&lt;&gt;"acoes")))*INDEX(Inputs!$K$5:$AJ$140,0,MATCH(P$2,Inputs!$K$4:$AJ$4,0)))+SUMPRODUCT((Inputs!$E$5:$E$140=$B29)*Inputs!$F$5:$F$140*(((Inputs!$G$5:$G$140="moeda")+(Inputs!$G$5:$G$140="acoes"))*Inputs!$B$1+((Inputs!$G$5:$G$140&lt;&gt;"moeda")*(Inputs!$G$5:$G$140&lt;&gt;"acoes")))*INDEX(Inputs!$K$5:$AJ$140,0,MATCH(P$2,Inputs!$K$4:$AJ$4,0)))))</f>
        <v>5472</v>
      </c>
      <c r="Q29" s="6">
        <f>IF(ISNA(MATCH(Q$2,Inputs!$K$4:$AJ$4,0)),NA(),IF(SUMPRODUCT((Inputs!$A$5:$A$140=$B29)*ISNUMBER(INDEX(Inputs!$K$5:$AJ$140,0,MATCH(Q$2,Inputs!$K$4:$AJ$4,0))))+SUMPRODUCT((Inputs!$C$5:$C$140=$B29)*ISNUMBER(INDEX(Inputs!$K$5:$AJ$140,0,MATCH(Q$2,Inputs!$K$4:$AJ$4,0))))+SUMPRODUCT((Inputs!$E$5:$E$140=$B29)*ISNUMBER(INDEX(Inputs!$K$5:$AJ$140,0,MATCH(Q$2,Inputs!$K$4:$AJ$4,0))))=0,NA(),SUMPRODUCT((Inputs!$A$5:$A$140=$B29)*Inputs!$B$5:$B$140*(((Inputs!$G$5:$G$140="moeda")+(Inputs!$G$5:$G$140="acoes"))*Inputs!$B$1+((Inputs!$G$5:$G$140&lt;&gt;"moeda")*(Inputs!$G$5:$G$140&lt;&gt;"acoes")))*INDEX(Inputs!$K$5:$AJ$140,0,MATCH(Q$2,Inputs!$K$4:$AJ$4,0)))+SUMPRODUCT((Inputs!$C$5:$C$140=$B29)*Inputs!$D$5:$D$140*(((Inputs!$G$5:$G$140="moeda")+(Inputs!$G$5:$G$140="acoes"))*Inputs!$B$1+((Inputs!$G$5:$G$140&lt;&gt;"moeda")*(Inputs!$G$5:$G$140&lt;&gt;"acoes")))*INDEX(Inputs!$K$5:$AJ$140,0,MATCH(Q$2,Inputs!$K$4:$AJ$4,0)))+SUMPRODUCT((Inputs!$E$5:$E$140=$B29)*Inputs!$F$5:$F$140*(((Inputs!$G$5:$G$140="moeda")+(Inputs!$G$5:$G$140="acoes"))*Inputs!$B$1+((Inputs!$G$5:$G$140&lt;&gt;"moeda")*(Inputs!$G$5:$G$140&lt;&gt;"acoes")))*INDEX(Inputs!$K$5:$AJ$140,0,MATCH(Q$2,Inputs!$K$4:$AJ$4,0)))))</f>
        <v>6682</v>
      </c>
      <c r="R29" s="3">
        <f>Q29</f>
        <v>6682</v>
      </c>
      <c r="S29" s="6">
        <f>IF(ISNA(MATCH(S$2,Inputs!$K$4:$AJ$4,0)),NA(),IF(SUMPRODUCT((Inputs!$A$5:$A$140=$B29)*ISNUMBER(INDEX(Inputs!$K$5:$AJ$140,0,MATCH(S$2,Inputs!$K$4:$AJ$4,0))))+SUMPRODUCT((Inputs!$C$5:$C$140=$B29)*ISNUMBER(INDEX(Inputs!$K$5:$AJ$140,0,MATCH(S$2,Inputs!$K$4:$AJ$4,0))))+SUMPRODUCT((Inputs!$E$5:$E$140=$B29)*ISNUMBER(INDEX(Inputs!$K$5:$AJ$140,0,MATCH(S$2,Inputs!$K$4:$AJ$4,0))))=0,NA(),SUMPRODUCT((Inputs!$A$5:$A$140=$B29)*Inputs!$B$5:$B$140*(((Inputs!$G$5:$G$140="moeda")+(Inputs!$G$5:$G$140="acoes"))*Inputs!$B$1+((Inputs!$G$5:$G$140&lt;&gt;"moeda")*(Inputs!$G$5:$G$140&lt;&gt;"acoes")))*INDEX(Inputs!$K$5:$AJ$140,0,MATCH(S$2,Inputs!$K$4:$AJ$4,0)))+SUMPRODUCT((Inputs!$C$5:$C$140=$B29)*Inputs!$D$5:$D$140*(((Inputs!$G$5:$G$140="moeda")+(Inputs!$G$5:$G$140="acoes"))*Inputs!$B$1+((Inputs!$G$5:$G$140&lt;&gt;"moeda")*(Inputs!$G$5:$G$140&lt;&gt;"acoes")))*INDEX(Inputs!$K$5:$AJ$140,0,MATCH(S$2,Inputs!$K$4:$AJ$4,0)))+SUMPRODUCT((Inputs!$E$5:$E$140=$B29)*Inputs!$F$5:$F$140*(((Inputs!$G$5:$G$140="moeda")+(Inputs!$G$5:$G$140="acoes"))*Inputs!$B$1+((Inputs!$G$5:$G$140&lt;&gt;"moeda")*(Inputs!$G$5:$G$140&lt;&gt;"acoes")))*INDEX(Inputs!$K$5:$AJ$140,0,MATCH(S$2,Inputs!$K$4:$AJ$4,0)))))</f>
        <v>11258</v>
      </c>
      <c r="T29" s="6">
        <f>IF(ISNA(MATCH(T$2,Inputs!$K$4:$AJ$4,0)),NA(),IF(SUMPRODUCT((Inputs!$A$5:$A$140=$B29)*ISNUMBER(INDEX(Inputs!$K$5:$AJ$140,0,MATCH(T$2,Inputs!$K$4:$AJ$4,0))))+SUMPRODUCT((Inputs!$C$5:$C$140=$B29)*ISNUMBER(INDEX(Inputs!$K$5:$AJ$140,0,MATCH(T$2,Inputs!$K$4:$AJ$4,0))))+SUMPRODUCT((Inputs!$E$5:$E$140=$B29)*ISNUMBER(INDEX(Inputs!$K$5:$AJ$140,0,MATCH(T$2,Inputs!$K$4:$AJ$4,0))))=0,NA(),SUMPRODUCT((Inputs!$A$5:$A$140=$B29)*Inputs!$B$5:$B$140*(((Inputs!$G$5:$G$140="moeda")+(Inputs!$G$5:$G$140="acoes"))*Inputs!$B$1+((Inputs!$G$5:$G$140&lt;&gt;"moeda")*(Inputs!$G$5:$G$140&lt;&gt;"acoes")))*INDEX(Inputs!$K$5:$AJ$140,0,MATCH(T$2,Inputs!$K$4:$AJ$4,0)))+SUMPRODUCT((Inputs!$C$5:$C$140=$B29)*Inputs!$D$5:$D$140*(((Inputs!$G$5:$G$140="moeda")+(Inputs!$G$5:$G$140="acoes"))*Inputs!$B$1+((Inputs!$G$5:$G$140&lt;&gt;"moeda")*(Inputs!$G$5:$G$140&lt;&gt;"acoes")))*INDEX(Inputs!$K$5:$AJ$140,0,MATCH(T$2,Inputs!$K$4:$AJ$4,0)))+SUMPRODUCT((Inputs!$E$5:$E$140=$B29)*Inputs!$F$5:$F$140*(((Inputs!$G$5:$G$140="moeda")+(Inputs!$G$5:$G$140="acoes"))*Inputs!$B$1+((Inputs!$G$5:$G$140&lt;&gt;"moeda")*(Inputs!$G$5:$G$140&lt;&gt;"acoes")))*INDEX(Inputs!$K$5:$AJ$140,0,MATCH(T$2,Inputs!$K$4:$AJ$4,0)))))</f>
        <v>10289</v>
      </c>
      <c r="U29" s="6">
        <f>IF(ISNA(MATCH(U$2,Inputs!$K$4:$AJ$4,0)),NA(),IF(SUMPRODUCT((Inputs!$A$5:$A$140=$B29)*ISNUMBER(INDEX(Inputs!$K$5:$AJ$140,0,MATCH(U$2,Inputs!$K$4:$AJ$4,0))))+SUMPRODUCT((Inputs!$C$5:$C$140=$B29)*ISNUMBER(INDEX(Inputs!$K$5:$AJ$140,0,MATCH(U$2,Inputs!$K$4:$AJ$4,0))))+SUMPRODUCT((Inputs!$E$5:$E$140=$B29)*ISNUMBER(INDEX(Inputs!$K$5:$AJ$140,0,MATCH(U$2,Inputs!$K$4:$AJ$4,0))))=0,NA(),SUMPRODUCT((Inputs!$A$5:$A$140=$B29)*Inputs!$B$5:$B$140*(((Inputs!$G$5:$G$140="moeda")+(Inputs!$G$5:$G$140="acoes"))*Inputs!$B$1+((Inputs!$G$5:$G$140&lt;&gt;"moeda")*(Inputs!$G$5:$G$140&lt;&gt;"acoes")))*INDEX(Inputs!$K$5:$AJ$140,0,MATCH(U$2,Inputs!$K$4:$AJ$4,0)))+SUMPRODUCT((Inputs!$C$5:$C$140=$B29)*Inputs!$D$5:$D$140*(((Inputs!$G$5:$G$140="moeda")+(Inputs!$G$5:$G$140="acoes"))*Inputs!$B$1+((Inputs!$G$5:$G$140&lt;&gt;"moeda")*(Inputs!$G$5:$G$140&lt;&gt;"acoes")))*INDEX(Inputs!$K$5:$AJ$140,0,MATCH(U$2,Inputs!$K$4:$AJ$4,0)))+SUMPRODUCT((Inputs!$E$5:$E$140=$B29)*Inputs!$F$5:$F$140*(((Inputs!$G$5:$G$140="moeda")+(Inputs!$G$5:$G$140="acoes"))*Inputs!$B$1+((Inputs!$G$5:$G$140&lt;&gt;"moeda")*(Inputs!$G$5:$G$140&lt;&gt;"acoes")))*INDEX(Inputs!$K$5:$AJ$140,0,MATCH(U$2,Inputs!$K$4:$AJ$4,0)))))</f>
        <v>11126</v>
      </c>
      <c r="V29" s="6">
        <f>IF(ISNA(MATCH(V$2,Inputs!$K$4:$AJ$4,0)),NA(),IF(SUMPRODUCT((Inputs!$A$5:$A$140=$B29)*ISNUMBER(INDEX(Inputs!$K$5:$AJ$140,0,MATCH(V$2,Inputs!$K$4:$AJ$4,0))))+SUMPRODUCT((Inputs!$C$5:$C$140=$B29)*ISNUMBER(INDEX(Inputs!$K$5:$AJ$140,0,MATCH(V$2,Inputs!$K$4:$AJ$4,0))))+SUMPRODUCT((Inputs!$E$5:$E$140=$B29)*ISNUMBER(INDEX(Inputs!$K$5:$AJ$140,0,MATCH(V$2,Inputs!$K$4:$AJ$4,0))))=0,NA(),SUMPRODUCT((Inputs!$A$5:$A$140=$B29)*Inputs!$B$5:$B$140*(((Inputs!$G$5:$G$140="moeda")+(Inputs!$G$5:$G$140="acoes"))*Inputs!$B$1+((Inputs!$G$5:$G$140&lt;&gt;"moeda")*(Inputs!$G$5:$G$140&lt;&gt;"acoes")))*INDEX(Inputs!$K$5:$AJ$140,0,MATCH(V$2,Inputs!$K$4:$AJ$4,0)))+SUMPRODUCT((Inputs!$C$5:$C$140=$B29)*Inputs!$D$5:$D$140*(((Inputs!$G$5:$G$140="moeda")+(Inputs!$G$5:$G$140="acoes"))*Inputs!$B$1+((Inputs!$G$5:$G$140&lt;&gt;"moeda")*(Inputs!$G$5:$G$140&lt;&gt;"acoes")))*INDEX(Inputs!$K$5:$AJ$140,0,MATCH(V$2,Inputs!$K$4:$AJ$4,0)))+SUMPRODUCT((Inputs!$E$5:$E$140=$B29)*Inputs!$F$5:$F$140*(((Inputs!$G$5:$G$140="moeda")+(Inputs!$G$5:$G$140="acoes"))*Inputs!$B$1+((Inputs!$G$5:$G$140&lt;&gt;"moeda")*(Inputs!$G$5:$G$140&lt;&gt;"acoes")))*INDEX(Inputs!$K$5:$AJ$140,0,MATCH(V$2,Inputs!$K$4:$AJ$4,0)))))</f>
        <v>11737</v>
      </c>
      <c r="W29" s="3">
        <f>V29</f>
        <v>11737</v>
      </c>
      <c r="X29" s="6">
        <f>IF(ISNA(MATCH(X$2,Inputs!$K$4:$AJ$4,0)),NA(),IF(SUMPRODUCT((Inputs!$A$5:$A$140=$B29)*ISNUMBER(INDEX(Inputs!$K$5:$AJ$140,0,MATCH(X$2,Inputs!$K$4:$AJ$4,0))))+SUMPRODUCT((Inputs!$C$5:$C$140=$B29)*ISNUMBER(INDEX(Inputs!$K$5:$AJ$140,0,MATCH(X$2,Inputs!$K$4:$AJ$4,0))))+SUMPRODUCT((Inputs!$E$5:$E$140=$B29)*ISNUMBER(INDEX(Inputs!$K$5:$AJ$140,0,MATCH(X$2,Inputs!$K$4:$AJ$4,0))))=0,NA(),SUMPRODUCT((Inputs!$A$5:$A$140=$B29)*Inputs!$B$5:$B$140*(((Inputs!$G$5:$G$140="moeda")+(Inputs!$G$5:$G$140="acoes"))*Inputs!$B$1+((Inputs!$G$5:$G$140&lt;&gt;"moeda")*(Inputs!$G$5:$G$140&lt;&gt;"acoes")))*INDEX(Inputs!$K$5:$AJ$140,0,MATCH(X$2,Inputs!$K$4:$AJ$4,0)))+SUMPRODUCT((Inputs!$C$5:$C$140=$B29)*Inputs!$D$5:$D$140*(((Inputs!$G$5:$G$140="moeda")+(Inputs!$G$5:$G$140="acoes"))*Inputs!$B$1+((Inputs!$G$5:$G$140&lt;&gt;"moeda")*(Inputs!$G$5:$G$140&lt;&gt;"acoes")))*INDEX(Inputs!$K$5:$AJ$140,0,MATCH(X$2,Inputs!$K$4:$AJ$4,0)))+SUMPRODUCT((Inputs!$E$5:$E$140=$B29)*Inputs!$F$5:$F$140*(((Inputs!$G$5:$G$140="moeda")+(Inputs!$G$5:$G$140="acoes"))*Inputs!$B$1+((Inputs!$G$5:$G$140&lt;&gt;"moeda")*(Inputs!$G$5:$G$140&lt;&gt;"acoes")))*INDEX(Inputs!$K$5:$AJ$140,0,MATCH(X$2,Inputs!$K$4:$AJ$4,0)))))</f>
        <v>19211</v>
      </c>
      <c r="Y29" s="6">
        <f>IF(ISNA(MATCH(Y$2,Inputs!$K$4:$AJ$4,0)),NA(),IF(SUMPRODUCT((Inputs!$A$5:$A$140=$B29)*ISNUMBER(INDEX(Inputs!$K$5:$AJ$140,0,MATCH(Y$2,Inputs!$K$4:$AJ$4,0))))+SUMPRODUCT((Inputs!$C$5:$C$140=$B29)*ISNUMBER(INDEX(Inputs!$K$5:$AJ$140,0,MATCH(Y$2,Inputs!$K$4:$AJ$4,0))))+SUMPRODUCT((Inputs!$E$5:$E$140=$B29)*ISNUMBER(INDEX(Inputs!$K$5:$AJ$140,0,MATCH(Y$2,Inputs!$K$4:$AJ$4,0))))=0,NA(),SUMPRODUCT((Inputs!$A$5:$A$140=$B29)*Inputs!$B$5:$B$140*(((Inputs!$G$5:$G$140="moeda")+(Inputs!$G$5:$G$140="acoes"))*Inputs!$B$1+((Inputs!$G$5:$G$140&lt;&gt;"moeda")*(Inputs!$G$5:$G$140&lt;&gt;"acoes")))*INDEX(Inputs!$K$5:$AJ$140,0,MATCH(Y$2,Inputs!$K$4:$AJ$4,0)))+SUMPRODUCT((Inputs!$C$5:$C$140=$B29)*Inputs!$D$5:$D$140*(((Inputs!$G$5:$G$140="moeda")+(Inputs!$G$5:$G$140="acoes"))*Inputs!$B$1+((Inputs!$G$5:$G$140&lt;&gt;"moeda")*(Inputs!$G$5:$G$140&lt;&gt;"acoes")))*INDEX(Inputs!$K$5:$AJ$140,0,MATCH(Y$2,Inputs!$K$4:$AJ$4,0)))+SUMPRODUCT((Inputs!$E$5:$E$140=$B29)*Inputs!$F$5:$F$140*(((Inputs!$G$5:$G$140="moeda")+(Inputs!$G$5:$G$140="acoes"))*Inputs!$B$1+((Inputs!$G$5:$G$140&lt;&gt;"moeda")*(Inputs!$G$5:$G$140&lt;&gt;"acoes")))*INDEX(Inputs!$K$5:$AJ$140,0,MATCH(Y$2,Inputs!$K$4:$AJ$4,0)))))</f>
        <v>15193</v>
      </c>
      <c r="Z29" s="6">
        <f>IF(ISNA(MATCH(Z$2,Inputs!$K$4:$AJ$4,0)),NA(),IF(SUMPRODUCT((Inputs!$A$5:$A$140=$B29)*ISNUMBER(INDEX(Inputs!$K$5:$AJ$140,0,MATCH(Z$2,Inputs!$K$4:$AJ$4,0))))+SUMPRODUCT((Inputs!$C$5:$C$140=$B29)*ISNUMBER(INDEX(Inputs!$K$5:$AJ$140,0,MATCH(Z$2,Inputs!$K$4:$AJ$4,0))))+SUMPRODUCT((Inputs!$E$5:$E$140=$B29)*ISNUMBER(INDEX(Inputs!$K$5:$AJ$140,0,MATCH(Z$2,Inputs!$K$4:$AJ$4,0))))=0,NA(),SUMPRODUCT((Inputs!$A$5:$A$140=$B29)*Inputs!$B$5:$B$140*(((Inputs!$G$5:$G$140="moeda")+(Inputs!$G$5:$G$140="acoes"))*Inputs!$B$1+((Inputs!$G$5:$G$140&lt;&gt;"moeda")*(Inputs!$G$5:$G$140&lt;&gt;"acoes")))*INDEX(Inputs!$K$5:$AJ$140,0,MATCH(Z$2,Inputs!$K$4:$AJ$4,0)))+SUMPRODUCT((Inputs!$C$5:$C$140=$B29)*Inputs!$D$5:$D$140*(((Inputs!$G$5:$G$140="moeda")+(Inputs!$G$5:$G$140="acoes"))*Inputs!$B$1+((Inputs!$G$5:$G$140&lt;&gt;"moeda")*(Inputs!$G$5:$G$140&lt;&gt;"acoes")))*INDEX(Inputs!$K$5:$AJ$140,0,MATCH(Z$2,Inputs!$K$4:$AJ$4,0)))+SUMPRODUCT((Inputs!$E$5:$E$140=$B29)*Inputs!$F$5:$F$140*(((Inputs!$G$5:$G$140="moeda")+(Inputs!$G$5:$G$140="acoes"))*Inputs!$B$1+((Inputs!$G$5:$G$140&lt;&gt;"moeda")*(Inputs!$G$5:$G$140&lt;&gt;"acoes")))*INDEX(Inputs!$K$5:$AJ$140,0,MATCH(Z$2,Inputs!$K$4:$AJ$4,0)))))</f>
        <v>16452</v>
      </c>
      <c r="AA29" s="6">
        <f>IF(ISNA(MATCH(AA$2,Inputs!$K$4:$AJ$4,0)),NA(),IF(SUMPRODUCT((Inputs!$A$5:$A$140=$B29)*ISNUMBER(INDEX(Inputs!$K$5:$AJ$140,0,MATCH(AA$2,Inputs!$K$4:$AJ$4,0))))+SUMPRODUCT((Inputs!$C$5:$C$140=$B29)*ISNUMBER(INDEX(Inputs!$K$5:$AJ$140,0,MATCH(AA$2,Inputs!$K$4:$AJ$4,0))))+SUMPRODUCT((Inputs!$E$5:$E$140=$B29)*ISNUMBER(INDEX(Inputs!$K$5:$AJ$140,0,MATCH(AA$2,Inputs!$K$4:$AJ$4,0))))=0,NA(),SUMPRODUCT((Inputs!$A$5:$A$140=$B29)*Inputs!$B$5:$B$140*(((Inputs!$G$5:$G$140="moeda")+(Inputs!$G$5:$G$140="acoes"))*Inputs!$B$1+((Inputs!$G$5:$G$140&lt;&gt;"moeda")*(Inputs!$G$5:$G$140&lt;&gt;"acoes")))*INDEX(Inputs!$K$5:$AJ$140,0,MATCH(AA$2,Inputs!$K$4:$AJ$4,0)))+SUMPRODUCT((Inputs!$C$5:$C$140=$B29)*Inputs!$D$5:$D$140*(((Inputs!$G$5:$G$140="moeda")+(Inputs!$G$5:$G$140="acoes"))*Inputs!$B$1+((Inputs!$G$5:$G$140&lt;&gt;"moeda")*(Inputs!$G$5:$G$140&lt;&gt;"acoes")))*INDEX(Inputs!$K$5:$AJ$140,0,MATCH(AA$2,Inputs!$K$4:$AJ$4,0)))+SUMPRODUCT((Inputs!$E$5:$E$140=$B29)*Inputs!$F$5:$F$140*(((Inputs!$G$5:$G$140="moeda")+(Inputs!$G$5:$G$140="acoes"))*Inputs!$B$1+((Inputs!$G$5:$G$140&lt;&gt;"moeda")*(Inputs!$G$5:$G$140&lt;&gt;"acoes")))*INDEX(Inputs!$K$5:$AJ$140,0,MATCH(AA$2,Inputs!$K$4:$AJ$4,0)))))</f>
        <v>21352</v>
      </c>
      <c r="AB29" s="3">
        <f>AA29</f>
        <v>21352</v>
      </c>
      <c r="AC29" s="6">
        <f>IF(ISNA(MATCH(AC$2,Inputs!$K$4:$AJ$4,0)),NA(),IF(SUMPRODUCT((Inputs!$A$5:$A$140=$B29)*ISNUMBER(INDEX(Inputs!$K$5:$AJ$140,0,MATCH(AC$2,Inputs!$K$4:$AJ$4,0))))+SUMPRODUCT((Inputs!$C$5:$C$140=$B29)*ISNUMBER(INDEX(Inputs!$K$5:$AJ$140,0,MATCH(AC$2,Inputs!$K$4:$AJ$4,0))))+SUMPRODUCT((Inputs!$E$5:$E$140=$B29)*ISNUMBER(INDEX(Inputs!$K$5:$AJ$140,0,MATCH(AC$2,Inputs!$K$4:$AJ$4,0))))=0,NA(),SUMPRODUCT((Inputs!$A$5:$A$140=$B29)*Inputs!$B$5:$B$140*(((Inputs!$G$5:$G$140="moeda")+(Inputs!$G$5:$G$140="acoes"))*Inputs!$B$1+((Inputs!$G$5:$G$140&lt;&gt;"moeda")*(Inputs!$G$5:$G$140&lt;&gt;"acoes")))*INDEX(Inputs!$K$5:$AJ$140,0,MATCH(AC$2,Inputs!$K$4:$AJ$4,0)))+SUMPRODUCT((Inputs!$C$5:$C$140=$B29)*Inputs!$D$5:$D$140*(((Inputs!$G$5:$G$140="moeda")+(Inputs!$G$5:$G$140="acoes"))*Inputs!$B$1+((Inputs!$G$5:$G$140&lt;&gt;"moeda")*(Inputs!$G$5:$G$140&lt;&gt;"acoes")))*INDEX(Inputs!$K$5:$AJ$140,0,MATCH(AC$2,Inputs!$K$4:$AJ$4,0)))+SUMPRODUCT((Inputs!$E$5:$E$140=$B29)*Inputs!$F$5:$F$140*(((Inputs!$G$5:$G$140="moeda")+(Inputs!$G$5:$G$140="acoes"))*Inputs!$B$1+((Inputs!$G$5:$G$140&lt;&gt;"moeda")*(Inputs!$G$5:$G$140&lt;&gt;"acoes")))*INDEX(Inputs!$K$5:$AJ$140,0,MATCH(AC$2,Inputs!$K$4:$AJ$4,0)))))</f>
        <v>29787</v>
      </c>
      <c r="AD29" s="6">
        <f>IF(ISNA(MATCH(AD$2,Inputs!$K$4:$AJ$4,0)),NA(),IF(SUMPRODUCT((Inputs!$A$5:$A$140=$B29)*ISNUMBER(INDEX(Inputs!$K$5:$AJ$140,0,MATCH(AD$2,Inputs!$K$4:$AJ$4,0))))+SUMPRODUCT((Inputs!$C$5:$C$140=$B29)*ISNUMBER(INDEX(Inputs!$K$5:$AJ$140,0,MATCH(AD$2,Inputs!$K$4:$AJ$4,0))))+SUMPRODUCT((Inputs!$E$5:$E$140=$B29)*ISNUMBER(INDEX(Inputs!$K$5:$AJ$140,0,MATCH(AD$2,Inputs!$K$4:$AJ$4,0))))=0,NA(),SUMPRODUCT((Inputs!$A$5:$A$140=$B29)*Inputs!$B$5:$B$140*(((Inputs!$G$5:$G$140="moeda")+(Inputs!$G$5:$G$140="acoes"))*Inputs!$B$1+((Inputs!$G$5:$G$140&lt;&gt;"moeda")*(Inputs!$G$5:$G$140&lt;&gt;"acoes")))*INDEX(Inputs!$K$5:$AJ$140,0,MATCH(AD$2,Inputs!$K$4:$AJ$4,0)))+SUMPRODUCT((Inputs!$C$5:$C$140=$B29)*Inputs!$D$5:$D$140*(((Inputs!$G$5:$G$140="moeda")+(Inputs!$G$5:$G$140="acoes"))*Inputs!$B$1+((Inputs!$G$5:$G$140&lt;&gt;"moeda")*(Inputs!$G$5:$G$140&lt;&gt;"acoes")))*INDEX(Inputs!$K$5:$AJ$140,0,MATCH(AD$2,Inputs!$K$4:$AJ$4,0)))+SUMPRODUCT((Inputs!$E$5:$E$140=$B29)*Inputs!$F$5:$F$140*(((Inputs!$G$5:$G$140="moeda")+(Inputs!$G$5:$G$140="acoes"))*Inputs!$B$1+((Inputs!$G$5:$G$140&lt;&gt;"moeda")*(Inputs!$G$5:$G$140&lt;&gt;"acoes")))*INDEX(Inputs!$K$5:$AJ$140,0,MATCH(AD$2,Inputs!$K$4:$AJ$4,0)))))</f>
        <v>26960</v>
      </c>
      <c r="AE29" s="6" t="e">
        <f>IF(ISNA(MATCH(AE$2,Inputs!$K$4:$AJ$4,0)),NA(),IF(SUMPRODUCT((Inputs!$A$5:$A$140=$B29)*ISNUMBER(INDEX(Inputs!$K$5:$AJ$140,0,MATCH(AE$2,Inputs!$K$4:$AJ$4,0))))+SUMPRODUCT((Inputs!$C$5:$C$140=$B29)*ISNUMBER(INDEX(Inputs!$K$5:$AJ$140,0,MATCH(AE$2,Inputs!$K$4:$AJ$4,0))))+SUMPRODUCT((Inputs!$E$5:$E$140=$B29)*ISNUMBER(INDEX(Inputs!$K$5:$AJ$140,0,MATCH(AE$2,Inputs!$K$4:$AJ$4,0))))=0,NA(),SUMPRODUCT((Inputs!$A$5:$A$140=$B29)*Inputs!$B$5:$B$140*(((Inputs!$G$5:$G$140="moeda")+(Inputs!$G$5:$G$140="acoes"))*Inputs!$B$1+((Inputs!$G$5:$G$140&lt;&gt;"moeda")*(Inputs!$G$5:$G$140&lt;&gt;"acoes")))*INDEX(Inputs!$K$5:$AJ$140,0,MATCH(AE$2,Inputs!$K$4:$AJ$4,0)))+SUMPRODUCT((Inputs!$C$5:$C$140=$B29)*Inputs!$D$5:$D$140*(((Inputs!$G$5:$G$140="moeda")+(Inputs!$G$5:$G$140="acoes"))*Inputs!$B$1+((Inputs!$G$5:$G$140&lt;&gt;"moeda")*(Inputs!$G$5:$G$140&lt;&gt;"acoes")))*INDEX(Inputs!$K$5:$AJ$140,0,MATCH(AE$2,Inputs!$K$4:$AJ$4,0)))+SUMPRODUCT((Inputs!$E$5:$E$140=$B29)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29" s="6" t="e">
        <f>IF(ISNA(MATCH(AF$2,Inputs!$K$4:$AJ$4,0)),NA(),IF(SUMPRODUCT((Inputs!$A$5:$A$140=$B29)*ISNUMBER(INDEX(Inputs!$K$5:$AJ$140,0,MATCH(AF$2,Inputs!$K$4:$AJ$4,0))))+SUMPRODUCT((Inputs!$C$5:$C$140=$B29)*ISNUMBER(INDEX(Inputs!$K$5:$AJ$140,0,MATCH(AF$2,Inputs!$K$4:$AJ$4,0))))+SUMPRODUCT((Inputs!$E$5:$E$140=$B29)*ISNUMBER(INDEX(Inputs!$K$5:$AJ$140,0,MATCH(AF$2,Inputs!$K$4:$AJ$4,0))))=0,NA(),SUMPRODUCT((Inputs!$A$5:$A$140=$B29)*Inputs!$B$5:$B$140*(((Inputs!$G$5:$G$140="moeda")+(Inputs!$G$5:$G$140="acoes"))*Inputs!$B$1+((Inputs!$G$5:$G$140&lt;&gt;"moeda")*(Inputs!$G$5:$G$140&lt;&gt;"acoes")))*INDEX(Inputs!$K$5:$AJ$140,0,MATCH(AF$2,Inputs!$K$4:$AJ$4,0)))+SUMPRODUCT((Inputs!$C$5:$C$140=$B29)*Inputs!$D$5:$D$140*(((Inputs!$G$5:$G$140="moeda")+(Inputs!$G$5:$G$140="acoes"))*Inputs!$B$1+((Inputs!$G$5:$G$140&lt;&gt;"moeda")*(Inputs!$G$5:$G$140&lt;&gt;"acoes")))*INDEX(Inputs!$K$5:$AJ$140,0,MATCH(AF$2,Inputs!$K$4:$AJ$4,0)))+SUMPRODUCT((Inputs!$E$5:$E$140=$B29)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29" s="3" t="e">
        <f>AF29</f>
        <v>#N/A</v>
      </c>
      <c r="AH29" s="6">
        <f>IF(ISNA(MATCH(AH$2,Inputs!$K$4:$AJ$4,0)),NA(),IF(SUMPRODUCT((Inputs!$A$5:$A$140=$B29)*ISNUMBER(INDEX(Inputs!$K$5:$AJ$140,0,MATCH(AH$2,Inputs!$K$4:$AJ$4,0))))+SUMPRODUCT((Inputs!$C$5:$C$140=$B29)*ISNUMBER(INDEX(Inputs!$K$5:$AJ$140,0,MATCH(AH$2,Inputs!$K$4:$AJ$4,0))))+SUMPRODUCT((Inputs!$E$5:$E$140=$B29)*ISNUMBER(INDEX(Inputs!$K$5:$AJ$140,0,MATCH(AH$2,Inputs!$K$4:$AJ$4,0))))=0,NA(),SUMPRODUCT((Inputs!$A$5:$A$140=$B29)*Inputs!$B$5:$B$140*(((Inputs!$G$5:$G$140="moeda")+(Inputs!$G$5:$G$140="acoes"))*Inputs!$B$1+((Inputs!$G$5:$G$140&lt;&gt;"moeda")*(Inputs!$G$5:$G$140&lt;&gt;"acoes")))*INDEX(Inputs!$K$5:$AJ$140,0,MATCH(AH$2,Inputs!$K$4:$AJ$4,0)))+SUMPRODUCT((Inputs!$C$5:$C$140=$B29)*Inputs!$D$5:$D$140*(((Inputs!$G$5:$G$140="moeda")+(Inputs!$G$5:$G$140="acoes"))*Inputs!$B$1+((Inputs!$G$5:$G$140&lt;&gt;"moeda")*(Inputs!$G$5:$G$140&lt;&gt;"acoes")))*INDEX(Inputs!$K$5:$AJ$140,0,MATCH(AH$2,Inputs!$K$4:$AJ$4,0)))+SUMPRODUCT((Inputs!$E$5:$E$140=$B29)*Inputs!$F$5:$F$140*(((Inputs!$G$5:$G$140="moeda")+(Inputs!$G$5:$G$140="acoes"))*Inputs!$B$1+((Inputs!$G$5:$G$140&lt;&gt;"moeda")*(Inputs!$G$5:$G$140&lt;&gt;"acoes")))*INDEX(Inputs!$K$5:$AJ$140,0,MATCH(AH$2,Inputs!$K$4:$AJ$4,0)))))</f>
        <v>1142</v>
      </c>
      <c r="AI29" s="6">
        <f>IF(ISNA(MATCH(AI$2,Inputs!$K$4:$AJ$4,0)),NA(),IF(SUMPRODUCT((Inputs!$A$5:$A$140=$B29)*ISNUMBER(INDEX(Inputs!$K$5:$AJ$140,0,MATCH(AI$2,Inputs!$K$4:$AJ$4,0))))+SUMPRODUCT((Inputs!$C$5:$C$140=$B29)*ISNUMBER(INDEX(Inputs!$K$5:$AJ$140,0,MATCH(AI$2,Inputs!$K$4:$AJ$4,0))))+SUMPRODUCT((Inputs!$E$5:$E$140=$B29)*ISNUMBER(INDEX(Inputs!$K$5:$AJ$140,0,MATCH(AI$2,Inputs!$K$4:$AJ$4,0))))=0,NA(),SUMPRODUCT((Inputs!$A$5:$A$140=$B29)*Inputs!$B$5:$B$140*(((Inputs!$G$5:$G$140="moeda")+(Inputs!$G$5:$G$140="acoes"))*Inputs!$B$1+((Inputs!$G$5:$G$140&lt;&gt;"moeda")*(Inputs!$G$5:$G$140&lt;&gt;"acoes")))*INDEX(Inputs!$K$5:$AJ$140,0,MATCH(AI$2,Inputs!$K$4:$AJ$4,0)))+SUMPRODUCT((Inputs!$C$5:$C$140=$B29)*Inputs!$D$5:$D$140*(((Inputs!$G$5:$G$140="moeda")+(Inputs!$G$5:$G$140="acoes"))*Inputs!$B$1+((Inputs!$G$5:$G$140&lt;&gt;"moeda")*(Inputs!$G$5:$G$140&lt;&gt;"acoes")))*INDEX(Inputs!$K$5:$AJ$140,0,MATCH(AI$2,Inputs!$K$4:$AJ$4,0)))+SUMPRODUCT((Inputs!$E$5:$E$140=$B29)*Inputs!$F$5:$F$140*(((Inputs!$G$5:$G$140="moeda")+(Inputs!$G$5:$G$140="acoes"))*Inputs!$B$1+((Inputs!$G$5:$G$140&lt;&gt;"moeda")*(Inputs!$G$5:$G$140&lt;&gt;"acoes")))*INDEX(Inputs!$K$5:$AJ$140,0,MATCH(AI$2,Inputs!$K$4:$AJ$4,0)))))</f>
        <v>1517</v>
      </c>
      <c r="AJ29" s="6">
        <f>IF(ISNA(MATCH(AJ$2,Inputs!$K$4:$AJ$4,0)),NA(),IF(SUMPRODUCT((Inputs!$A$5:$A$140=$B29)*ISNUMBER(INDEX(Inputs!$K$5:$AJ$140,0,MATCH(AJ$2,Inputs!$K$4:$AJ$4,0))))+SUMPRODUCT((Inputs!$C$5:$C$140=$B29)*ISNUMBER(INDEX(Inputs!$K$5:$AJ$140,0,MATCH(AJ$2,Inputs!$K$4:$AJ$4,0))))+SUMPRODUCT((Inputs!$E$5:$E$140=$B29)*ISNUMBER(INDEX(Inputs!$K$5:$AJ$140,0,MATCH(AJ$2,Inputs!$K$4:$AJ$4,0))))=0,NA(),SUMPRODUCT((Inputs!$A$5:$A$140=$B29)*Inputs!$B$5:$B$140*(((Inputs!$G$5:$G$140="moeda")+(Inputs!$G$5:$G$140="acoes"))*Inputs!$B$1+((Inputs!$G$5:$G$140&lt;&gt;"moeda")*(Inputs!$G$5:$G$140&lt;&gt;"acoes")))*INDEX(Inputs!$K$5:$AJ$140,0,MATCH(AJ$2,Inputs!$K$4:$AJ$4,0)))+SUMPRODUCT((Inputs!$C$5:$C$140=$B29)*Inputs!$D$5:$D$140*(((Inputs!$G$5:$G$140="moeda")+(Inputs!$G$5:$G$140="acoes"))*Inputs!$B$1+((Inputs!$G$5:$G$140&lt;&gt;"moeda")*(Inputs!$G$5:$G$140&lt;&gt;"acoes")))*INDEX(Inputs!$K$5:$AJ$140,0,MATCH(AJ$2,Inputs!$K$4:$AJ$4,0)))+SUMPRODUCT((Inputs!$E$5:$E$140=$B29)*Inputs!$F$5:$F$140*(((Inputs!$G$5:$G$140="moeda")+(Inputs!$G$5:$G$140="acoes"))*Inputs!$B$1+((Inputs!$G$5:$G$140&lt;&gt;"moeda")*(Inputs!$G$5:$G$140&lt;&gt;"acoes")))*INDEX(Inputs!$K$5:$AJ$140,0,MATCH(AJ$2,Inputs!$K$4:$AJ$4,0)))))</f>
        <v>1574</v>
      </c>
      <c r="AK29" s="6">
        <f>IF(ISNA(MATCH(AK$2,Inputs!$K$4:$AJ$4,0)),NA(),IF(SUMPRODUCT((Inputs!$A$5:$A$140=$B29)*ISNUMBER(INDEX(Inputs!$K$5:$AJ$140,0,MATCH(AK$2,Inputs!$K$4:$AJ$4,0))))+SUMPRODUCT((Inputs!$C$5:$C$140=$B29)*ISNUMBER(INDEX(Inputs!$K$5:$AJ$140,0,MATCH(AK$2,Inputs!$K$4:$AJ$4,0))))+SUMPRODUCT((Inputs!$E$5:$E$140=$B29)*ISNUMBER(INDEX(Inputs!$K$5:$AJ$140,0,MATCH(AK$2,Inputs!$K$4:$AJ$4,0))))=0,NA(),SUMPRODUCT((Inputs!$A$5:$A$140=$B29)*Inputs!$B$5:$B$140*(((Inputs!$G$5:$G$140="moeda")+(Inputs!$G$5:$G$140="acoes"))*Inputs!$B$1+((Inputs!$G$5:$G$140&lt;&gt;"moeda")*(Inputs!$G$5:$G$140&lt;&gt;"acoes")))*INDEX(Inputs!$K$5:$AJ$140,0,MATCH(AK$2,Inputs!$K$4:$AJ$4,0)))+SUMPRODUCT((Inputs!$C$5:$C$140=$B29)*Inputs!$D$5:$D$140*(((Inputs!$G$5:$G$140="moeda")+(Inputs!$G$5:$G$140="acoes"))*Inputs!$B$1+((Inputs!$G$5:$G$140&lt;&gt;"moeda")*(Inputs!$G$5:$G$140&lt;&gt;"acoes")))*INDEX(Inputs!$K$5:$AJ$140,0,MATCH(AK$2,Inputs!$K$4:$AJ$4,0)))+SUMPRODUCT((Inputs!$E$5:$E$140=$B29)*Inputs!$F$5:$F$140*(((Inputs!$G$5:$G$140="moeda")+(Inputs!$G$5:$G$140="acoes"))*Inputs!$B$1+((Inputs!$G$5:$G$140&lt;&gt;"moeda")*(Inputs!$G$5:$G$140&lt;&gt;"acoes")))*INDEX(Inputs!$K$5:$AJ$140,0,MATCH(AK$2,Inputs!$K$4:$AJ$4,0)))))</f>
        <v>1725</v>
      </c>
      <c r="AL29" s="3">
        <f>AK29</f>
        <v>1725</v>
      </c>
    </row>
    <row r="30">
      <c r="B30" s="46" t="n">
        <v>25</v>
      </c>
      <c r="C30" s="26" t="inlineStr">
        <is>
          <t>Taxes payable</t>
        </is>
      </c>
      <c r="D30" s="6" t="e">
        <f>IF(ISNA(MATCH(D$2,Inputs!$K$4:$AJ$4,0)),NA(),IF(SUMPRODUCT((Inputs!$A$5:$A$140=$B30)*ISNUMBER(INDEX(Inputs!$K$5:$AJ$140,0,MATCH(D$2,Inputs!$K$4:$AJ$4,0))))+SUMPRODUCT((Inputs!$C$5:$C$140=$B30)*ISNUMBER(INDEX(Inputs!$K$5:$AJ$140,0,MATCH(D$2,Inputs!$K$4:$AJ$4,0))))+SUMPRODUCT((Inputs!$E$5:$E$140=$B30)*ISNUMBER(INDEX(Inputs!$K$5:$AJ$140,0,MATCH(D$2,Inputs!$K$4:$AJ$4,0))))=0,NA(),SUMPRODUCT((Inputs!$A$5:$A$140=$B30)*Inputs!$B$5:$B$140*(((Inputs!$G$5:$G$140="moeda")+(Inputs!$G$5:$G$140="acoes"))*Inputs!$B$1+((Inputs!$G$5:$G$140&lt;&gt;"moeda")*(Inputs!$G$5:$G$140&lt;&gt;"acoes")))*INDEX(Inputs!$K$5:$AJ$140,0,MATCH(D$2,Inputs!$K$4:$AJ$4,0)))+SUMPRODUCT((Inputs!$C$5:$C$140=$B30)*Inputs!$D$5:$D$140*(((Inputs!$G$5:$G$140="moeda")+(Inputs!$G$5:$G$140="acoes"))*Inputs!$B$1+((Inputs!$G$5:$G$140&lt;&gt;"moeda")*(Inputs!$G$5:$G$140&lt;&gt;"acoes")))*INDEX(Inputs!$K$5:$AJ$140,0,MATCH(D$2,Inputs!$K$4:$AJ$4,0)))+SUMPRODUCT((Inputs!$E$5:$E$140=$B30)*Inputs!$F$5:$F$140*(((Inputs!$G$5:$G$140="moeda")+(Inputs!$G$5:$G$140="acoes"))*Inputs!$B$1+((Inputs!$G$5:$G$140&lt;&gt;"moeda")*(Inputs!$G$5:$G$140&lt;&gt;"acoes")))*INDEX(Inputs!$K$5:$AJ$140,0,MATCH(D$2,Inputs!$K$4:$AJ$4,0)))))</f>
        <v>#N/A</v>
      </c>
      <c r="E30" s="6" t="e">
        <f>IF(ISNA(MATCH(E$2,Inputs!$K$4:$AJ$4,0)),NA(),IF(SUMPRODUCT((Inputs!$A$5:$A$140=$B30)*ISNUMBER(INDEX(Inputs!$K$5:$AJ$140,0,MATCH(E$2,Inputs!$K$4:$AJ$4,0))))+SUMPRODUCT((Inputs!$C$5:$C$140=$B30)*ISNUMBER(INDEX(Inputs!$K$5:$AJ$140,0,MATCH(E$2,Inputs!$K$4:$AJ$4,0))))+SUMPRODUCT((Inputs!$E$5:$E$140=$B30)*ISNUMBER(INDEX(Inputs!$K$5:$AJ$140,0,MATCH(E$2,Inputs!$K$4:$AJ$4,0))))=0,NA(),SUMPRODUCT((Inputs!$A$5:$A$140=$B30)*Inputs!$B$5:$B$140*(((Inputs!$G$5:$G$140="moeda")+(Inputs!$G$5:$G$140="acoes"))*Inputs!$B$1+((Inputs!$G$5:$G$140&lt;&gt;"moeda")*(Inputs!$G$5:$G$140&lt;&gt;"acoes")))*INDEX(Inputs!$K$5:$AJ$140,0,MATCH(E$2,Inputs!$K$4:$AJ$4,0)))+SUMPRODUCT((Inputs!$C$5:$C$140=$B30)*Inputs!$D$5:$D$140*(((Inputs!$G$5:$G$140="moeda")+(Inputs!$G$5:$G$140="acoes"))*Inputs!$B$1+((Inputs!$G$5:$G$140&lt;&gt;"moeda")*(Inputs!$G$5:$G$140&lt;&gt;"acoes")))*INDEX(Inputs!$K$5:$AJ$140,0,MATCH(E$2,Inputs!$K$4:$AJ$4,0)))+SUMPRODUCT((Inputs!$E$5:$E$140=$B30)*Inputs!$F$5:$F$140*(((Inputs!$G$5:$G$140="moeda")+(Inputs!$G$5:$G$140="acoes"))*Inputs!$B$1+((Inputs!$G$5:$G$140&lt;&gt;"moeda")*(Inputs!$G$5:$G$140&lt;&gt;"acoes")))*INDEX(Inputs!$K$5:$AJ$140,0,MATCH(E$2,Inputs!$K$4:$AJ$4,0)))))</f>
        <v>#N/A</v>
      </c>
      <c r="F30" s="6" t="e">
        <f>IF(ISNA(MATCH(F$2,Inputs!$K$4:$AJ$4,0)),NA(),IF(SUMPRODUCT((Inputs!$A$5:$A$140=$B30)*ISNUMBER(INDEX(Inputs!$K$5:$AJ$140,0,MATCH(F$2,Inputs!$K$4:$AJ$4,0))))+SUMPRODUCT((Inputs!$C$5:$C$140=$B30)*ISNUMBER(INDEX(Inputs!$K$5:$AJ$140,0,MATCH(F$2,Inputs!$K$4:$AJ$4,0))))+SUMPRODUCT((Inputs!$E$5:$E$140=$B30)*ISNUMBER(INDEX(Inputs!$K$5:$AJ$140,0,MATCH(F$2,Inputs!$K$4:$AJ$4,0))))=0,NA(),SUMPRODUCT((Inputs!$A$5:$A$140=$B30)*Inputs!$B$5:$B$140*(((Inputs!$G$5:$G$140="moeda")+(Inputs!$G$5:$G$140="acoes"))*Inputs!$B$1+((Inputs!$G$5:$G$140&lt;&gt;"moeda")*(Inputs!$G$5:$G$140&lt;&gt;"acoes")))*INDEX(Inputs!$K$5:$AJ$140,0,MATCH(F$2,Inputs!$K$4:$AJ$4,0)))+SUMPRODUCT((Inputs!$C$5:$C$140=$B30)*Inputs!$D$5:$D$140*(((Inputs!$G$5:$G$140="moeda")+(Inputs!$G$5:$G$140="acoes"))*Inputs!$B$1+((Inputs!$G$5:$G$140&lt;&gt;"moeda")*(Inputs!$G$5:$G$140&lt;&gt;"acoes")))*INDEX(Inputs!$K$5:$AJ$140,0,MATCH(F$2,Inputs!$K$4:$AJ$4,0)))+SUMPRODUCT((Inputs!$E$5:$E$140=$B30)*Inputs!$F$5:$F$140*(((Inputs!$G$5:$G$140="moeda")+(Inputs!$G$5:$G$140="acoes"))*Inputs!$B$1+((Inputs!$G$5:$G$140&lt;&gt;"moeda")*(Inputs!$G$5:$G$140&lt;&gt;"acoes")))*INDEX(Inputs!$K$5:$AJ$140,0,MATCH(F$2,Inputs!$K$4:$AJ$4,0)))))</f>
        <v>#N/A</v>
      </c>
      <c r="G30" s="6" t="e">
        <f>IF(ISNA(MATCH(G$2,Inputs!$K$4:$AJ$4,0)),NA(),IF(SUMPRODUCT((Inputs!$A$5:$A$140=$B30)*ISNUMBER(INDEX(Inputs!$K$5:$AJ$140,0,MATCH(G$2,Inputs!$K$4:$AJ$4,0))))+SUMPRODUCT((Inputs!$C$5:$C$140=$B30)*ISNUMBER(INDEX(Inputs!$K$5:$AJ$140,0,MATCH(G$2,Inputs!$K$4:$AJ$4,0))))+SUMPRODUCT((Inputs!$E$5:$E$140=$B30)*ISNUMBER(INDEX(Inputs!$K$5:$AJ$140,0,MATCH(G$2,Inputs!$K$4:$AJ$4,0))))=0,NA(),SUMPRODUCT((Inputs!$A$5:$A$140=$B30)*Inputs!$B$5:$B$140*(((Inputs!$G$5:$G$140="moeda")+(Inputs!$G$5:$G$140="acoes"))*Inputs!$B$1+((Inputs!$G$5:$G$140&lt;&gt;"moeda")*(Inputs!$G$5:$G$140&lt;&gt;"acoes")))*INDEX(Inputs!$K$5:$AJ$140,0,MATCH(G$2,Inputs!$K$4:$AJ$4,0)))+SUMPRODUCT((Inputs!$C$5:$C$140=$B30)*Inputs!$D$5:$D$140*(((Inputs!$G$5:$G$140="moeda")+(Inputs!$G$5:$G$140="acoes"))*Inputs!$B$1+((Inputs!$G$5:$G$140&lt;&gt;"moeda")*(Inputs!$G$5:$G$140&lt;&gt;"acoes")))*INDEX(Inputs!$K$5:$AJ$140,0,MATCH(G$2,Inputs!$K$4:$AJ$4,0)))+SUMPRODUCT((Inputs!$E$5:$E$140=$B30)*Inputs!$F$5:$F$140*(((Inputs!$G$5:$G$140="moeda")+(Inputs!$G$5:$G$140="acoes"))*Inputs!$B$1+((Inputs!$G$5:$G$140&lt;&gt;"moeda")*(Inputs!$G$5:$G$140&lt;&gt;"acoes")))*INDEX(Inputs!$K$5:$AJ$140,0,MATCH(G$2,Inputs!$K$4:$AJ$4,0)))))</f>
        <v>#N/A</v>
      </c>
      <c r="H30" s="3" t="e">
        <f>G30</f>
        <v>#N/A</v>
      </c>
      <c r="I30" s="6" t="e">
        <f>IF(ISNA(MATCH(I$2,Inputs!$K$4:$AJ$4,0)),NA(),IF(SUMPRODUCT((Inputs!$A$5:$A$140=$B30)*ISNUMBER(INDEX(Inputs!$K$5:$AJ$140,0,MATCH(I$2,Inputs!$K$4:$AJ$4,0))))+SUMPRODUCT((Inputs!$C$5:$C$140=$B30)*ISNUMBER(INDEX(Inputs!$K$5:$AJ$140,0,MATCH(I$2,Inputs!$K$4:$AJ$4,0))))+SUMPRODUCT((Inputs!$E$5:$E$140=$B30)*ISNUMBER(INDEX(Inputs!$K$5:$AJ$140,0,MATCH(I$2,Inputs!$K$4:$AJ$4,0))))=0,NA(),SUMPRODUCT((Inputs!$A$5:$A$140=$B30)*Inputs!$B$5:$B$140*(((Inputs!$G$5:$G$140="moeda")+(Inputs!$G$5:$G$140="acoes"))*Inputs!$B$1+((Inputs!$G$5:$G$140&lt;&gt;"moeda")*(Inputs!$G$5:$G$140&lt;&gt;"acoes")))*INDEX(Inputs!$K$5:$AJ$140,0,MATCH(I$2,Inputs!$K$4:$AJ$4,0)))+SUMPRODUCT((Inputs!$C$5:$C$140=$B30)*Inputs!$D$5:$D$140*(((Inputs!$G$5:$G$140="moeda")+(Inputs!$G$5:$G$140="acoes"))*Inputs!$B$1+((Inputs!$G$5:$G$140&lt;&gt;"moeda")*(Inputs!$G$5:$G$140&lt;&gt;"acoes")))*INDEX(Inputs!$K$5:$AJ$140,0,MATCH(I$2,Inputs!$K$4:$AJ$4,0)))+SUMPRODUCT((Inputs!$E$5:$E$140=$B30)*Inputs!$F$5:$F$140*(((Inputs!$G$5:$G$140="moeda")+(Inputs!$G$5:$G$140="acoes"))*Inputs!$B$1+((Inputs!$G$5:$G$140&lt;&gt;"moeda")*(Inputs!$G$5:$G$140&lt;&gt;"acoes")))*INDEX(Inputs!$K$5:$AJ$140,0,MATCH(I$2,Inputs!$K$4:$AJ$4,0)))))</f>
        <v>#N/A</v>
      </c>
      <c r="J30" s="6" t="e">
        <f>IF(ISNA(MATCH(J$2,Inputs!$K$4:$AJ$4,0)),NA(),IF(SUMPRODUCT((Inputs!$A$5:$A$140=$B30)*ISNUMBER(INDEX(Inputs!$K$5:$AJ$140,0,MATCH(J$2,Inputs!$K$4:$AJ$4,0))))+SUMPRODUCT((Inputs!$C$5:$C$140=$B30)*ISNUMBER(INDEX(Inputs!$K$5:$AJ$140,0,MATCH(J$2,Inputs!$K$4:$AJ$4,0))))+SUMPRODUCT((Inputs!$E$5:$E$140=$B30)*ISNUMBER(INDEX(Inputs!$K$5:$AJ$140,0,MATCH(J$2,Inputs!$K$4:$AJ$4,0))))=0,NA(),SUMPRODUCT((Inputs!$A$5:$A$140=$B30)*Inputs!$B$5:$B$140*(((Inputs!$G$5:$G$140="moeda")+(Inputs!$G$5:$G$140="acoes"))*Inputs!$B$1+((Inputs!$G$5:$G$140&lt;&gt;"moeda")*(Inputs!$G$5:$G$140&lt;&gt;"acoes")))*INDEX(Inputs!$K$5:$AJ$140,0,MATCH(J$2,Inputs!$K$4:$AJ$4,0)))+SUMPRODUCT((Inputs!$C$5:$C$140=$B30)*Inputs!$D$5:$D$140*(((Inputs!$G$5:$G$140="moeda")+(Inputs!$G$5:$G$140="acoes"))*Inputs!$B$1+((Inputs!$G$5:$G$140&lt;&gt;"moeda")*(Inputs!$G$5:$G$140&lt;&gt;"acoes")))*INDEX(Inputs!$K$5:$AJ$140,0,MATCH(J$2,Inputs!$K$4:$AJ$4,0)))+SUMPRODUCT((Inputs!$E$5:$E$140=$B30)*Inputs!$F$5:$F$140*(((Inputs!$G$5:$G$140="moeda")+(Inputs!$G$5:$G$140="acoes"))*Inputs!$B$1+((Inputs!$G$5:$G$140&lt;&gt;"moeda")*(Inputs!$G$5:$G$140&lt;&gt;"acoes")))*INDEX(Inputs!$K$5:$AJ$140,0,MATCH(J$2,Inputs!$K$4:$AJ$4,0)))))</f>
        <v>#N/A</v>
      </c>
      <c r="K30" s="6" t="e">
        <f>IF(ISNA(MATCH(K$2,Inputs!$K$4:$AJ$4,0)),NA(),IF(SUMPRODUCT((Inputs!$A$5:$A$140=$B30)*ISNUMBER(INDEX(Inputs!$K$5:$AJ$140,0,MATCH(K$2,Inputs!$K$4:$AJ$4,0))))+SUMPRODUCT((Inputs!$C$5:$C$140=$B30)*ISNUMBER(INDEX(Inputs!$K$5:$AJ$140,0,MATCH(K$2,Inputs!$K$4:$AJ$4,0))))+SUMPRODUCT((Inputs!$E$5:$E$140=$B30)*ISNUMBER(INDEX(Inputs!$K$5:$AJ$140,0,MATCH(K$2,Inputs!$K$4:$AJ$4,0))))=0,NA(),SUMPRODUCT((Inputs!$A$5:$A$140=$B30)*Inputs!$B$5:$B$140*(((Inputs!$G$5:$G$140="moeda")+(Inputs!$G$5:$G$140="acoes"))*Inputs!$B$1+((Inputs!$G$5:$G$140&lt;&gt;"moeda")*(Inputs!$G$5:$G$140&lt;&gt;"acoes")))*INDEX(Inputs!$K$5:$AJ$140,0,MATCH(K$2,Inputs!$K$4:$AJ$4,0)))+SUMPRODUCT((Inputs!$C$5:$C$140=$B30)*Inputs!$D$5:$D$140*(((Inputs!$G$5:$G$140="moeda")+(Inputs!$G$5:$G$140="acoes"))*Inputs!$B$1+((Inputs!$G$5:$G$140&lt;&gt;"moeda")*(Inputs!$G$5:$G$140&lt;&gt;"acoes")))*INDEX(Inputs!$K$5:$AJ$140,0,MATCH(K$2,Inputs!$K$4:$AJ$4,0)))+SUMPRODUCT((Inputs!$E$5:$E$140=$B30)*Inputs!$F$5:$F$140*(((Inputs!$G$5:$G$140="moeda")+(Inputs!$G$5:$G$140="acoes"))*Inputs!$B$1+((Inputs!$G$5:$G$140&lt;&gt;"moeda")*(Inputs!$G$5:$G$140&lt;&gt;"acoes")))*INDEX(Inputs!$K$5:$AJ$140,0,MATCH(K$2,Inputs!$K$4:$AJ$4,0)))))</f>
        <v>#N/A</v>
      </c>
      <c r="L30" s="6" t="e">
        <f>IF(ISNA(MATCH(L$2,Inputs!$K$4:$AJ$4,0)),NA(),IF(SUMPRODUCT((Inputs!$A$5:$A$140=$B30)*ISNUMBER(INDEX(Inputs!$K$5:$AJ$140,0,MATCH(L$2,Inputs!$K$4:$AJ$4,0))))+SUMPRODUCT((Inputs!$C$5:$C$140=$B30)*ISNUMBER(INDEX(Inputs!$K$5:$AJ$140,0,MATCH(L$2,Inputs!$K$4:$AJ$4,0))))+SUMPRODUCT((Inputs!$E$5:$E$140=$B30)*ISNUMBER(INDEX(Inputs!$K$5:$AJ$140,0,MATCH(L$2,Inputs!$K$4:$AJ$4,0))))=0,NA(),SUMPRODUCT((Inputs!$A$5:$A$140=$B30)*Inputs!$B$5:$B$140*(((Inputs!$G$5:$G$140="moeda")+(Inputs!$G$5:$G$140="acoes"))*Inputs!$B$1+((Inputs!$G$5:$G$140&lt;&gt;"moeda")*(Inputs!$G$5:$G$140&lt;&gt;"acoes")))*INDEX(Inputs!$K$5:$AJ$140,0,MATCH(L$2,Inputs!$K$4:$AJ$4,0)))+SUMPRODUCT((Inputs!$C$5:$C$140=$B30)*Inputs!$D$5:$D$140*(((Inputs!$G$5:$G$140="moeda")+(Inputs!$G$5:$G$140="acoes"))*Inputs!$B$1+((Inputs!$G$5:$G$140&lt;&gt;"moeda")*(Inputs!$G$5:$G$140&lt;&gt;"acoes")))*INDEX(Inputs!$K$5:$AJ$140,0,MATCH(L$2,Inputs!$K$4:$AJ$4,0)))+SUMPRODUCT((Inputs!$E$5:$E$140=$B30)*Inputs!$F$5:$F$140*(((Inputs!$G$5:$G$140="moeda")+(Inputs!$G$5:$G$140="acoes"))*Inputs!$B$1+((Inputs!$G$5:$G$140&lt;&gt;"moeda")*(Inputs!$G$5:$G$140&lt;&gt;"acoes")))*INDEX(Inputs!$K$5:$AJ$140,0,MATCH(L$2,Inputs!$K$4:$AJ$4,0)))))</f>
        <v>#N/A</v>
      </c>
      <c r="M30" s="3" t="e">
        <f>L30</f>
        <v>#N/A</v>
      </c>
      <c r="N30" s="6" t="e">
        <f>IF(ISNA(MATCH(N$2,Inputs!$K$4:$AJ$4,0)),NA(),IF(SUMPRODUCT((Inputs!$A$5:$A$140=$B30)*ISNUMBER(INDEX(Inputs!$K$5:$AJ$140,0,MATCH(N$2,Inputs!$K$4:$AJ$4,0))))+SUMPRODUCT((Inputs!$C$5:$C$140=$B30)*ISNUMBER(INDEX(Inputs!$K$5:$AJ$140,0,MATCH(N$2,Inputs!$K$4:$AJ$4,0))))+SUMPRODUCT((Inputs!$E$5:$E$140=$B30)*ISNUMBER(INDEX(Inputs!$K$5:$AJ$140,0,MATCH(N$2,Inputs!$K$4:$AJ$4,0))))=0,NA(),SUMPRODUCT((Inputs!$A$5:$A$140=$B30)*Inputs!$B$5:$B$140*(((Inputs!$G$5:$G$140="moeda")+(Inputs!$G$5:$G$140="acoes"))*Inputs!$B$1+((Inputs!$G$5:$G$140&lt;&gt;"moeda")*(Inputs!$G$5:$G$140&lt;&gt;"acoes")))*INDEX(Inputs!$K$5:$AJ$140,0,MATCH(N$2,Inputs!$K$4:$AJ$4,0)))+SUMPRODUCT((Inputs!$C$5:$C$140=$B30)*Inputs!$D$5:$D$140*(((Inputs!$G$5:$G$140="moeda")+(Inputs!$G$5:$G$140="acoes"))*Inputs!$B$1+((Inputs!$G$5:$G$140&lt;&gt;"moeda")*(Inputs!$G$5:$G$140&lt;&gt;"acoes")))*INDEX(Inputs!$K$5:$AJ$140,0,MATCH(N$2,Inputs!$K$4:$AJ$4,0)))+SUMPRODUCT((Inputs!$E$5:$E$140=$B30)*Inputs!$F$5:$F$140*(((Inputs!$G$5:$G$140="moeda")+(Inputs!$G$5:$G$140="acoes"))*Inputs!$B$1+((Inputs!$G$5:$G$140&lt;&gt;"moeda")*(Inputs!$G$5:$G$140&lt;&gt;"acoes")))*INDEX(Inputs!$K$5:$AJ$140,0,MATCH(N$2,Inputs!$K$4:$AJ$4,0)))))</f>
        <v>#N/A</v>
      </c>
      <c r="O30" s="6" t="e">
        <f>IF(ISNA(MATCH(O$2,Inputs!$K$4:$AJ$4,0)),NA(),IF(SUMPRODUCT((Inputs!$A$5:$A$140=$B30)*ISNUMBER(INDEX(Inputs!$K$5:$AJ$140,0,MATCH(O$2,Inputs!$K$4:$AJ$4,0))))+SUMPRODUCT((Inputs!$C$5:$C$140=$B30)*ISNUMBER(INDEX(Inputs!$K$5:$AJ$140,0,MATCH(O$2,Inputs!$K$4:$AJ$4,0))))+SUMPRODUCT((Inputs!$E$5:$E$140=$B30)*ISNUMBER(INDEX(Inputs!$K$5:$AJ$140,0,MATCH(O$2,Inputs!$K$4:$AJ$4,0))))=0,NA(),SUMPRODUCT((Inputs!$A$5:$A$140=$B30)*Inputs!$B$5:$B$140*(((Inputs!$G$5:$G$140="moeda")+(Inputs!$G$5:$G$140="acoes"))*Inputs!$B$1+((Inputs!$G$5:$G$140&lt;&gt;"moeda")*(Inputs!$G$5:$G$140&lt;&gt;"acoes")))*INDEX(Inputs!$K$5:$AJ$140,0,MATCH(O$2,Inputs!$K$4:$AJ$4,0)))+SUMPRODUCT((Inputs!$C$5:$C$140=$B30)*Inputs!$D$5:$D$140*(((Inputs!$G$5:$G$140="moeda")+(Inputs!$G$5:$G$140="acoes"))*Inputs!$B$1+((Inputs!$G$5:$G$140&lt;&gt;"moeda")*(Inputs!$G$5:$G$140&lt;&gt;"acoes")))*INDEX(Inputs!$K$5:$AJ$140,0,MATCH(O$2,Inputs!$K$4:$AJ$4,0)))+SUMPRODUCT((Inputs!$E$5:$E$140=$B30)*Inputs!$F$5:$F$140*(((Inputs!$G$5:$G$140="moeda")+(Inputs!$G$5:$G$140="acoes"))*Inputs!$B$1+((Inputs!$G$5:$G$140&lt;&gt;"moeda")*(Inputs!$G$5:$G$140&lt;&gt;"acoes")))*INDEX(Inputs!$K$5:$AJ$140,0,MATCH(O$2,Inputs!$K$4:$AJ$4,0)))))</f>
        <v>#N/A</v>
      </c>
      <c r="P30" s="6" t="e">
        <f>IF(ISNA(MATCH(P$2,Inputs!$K$4:$AJ$4,0)),NA(),IF(SUMPRODUCT((Inputs!$A$5:$A$140=$B30)*ISNUMBER(INDEX(Inputs!$K$5:$AJ$140,0,MATCH(P$2,Inputs!$K$4:$AJ$4,0))))+SUMPRODUCT((Inputs!$C$5:$C$140=$B30)*ISNUMBER(INDEX(Inputs!$K$5:$AJ$140,0,MATCH(P$2,Inputs!$K$4:$AJ$4,0))))+SUMPRODUCT((Inputs!$E$5:$E$140=$B30)*ISNUMBER(INDEX(Inputs!$K$5:$AJ$140,0,MATCH(P$2,Inputs!$K$4:$AJ$4,0))))=0,NA(),SUMPRODUCT((Inputs!$A$5:$A$140=$B30)*Inputs!$B$5:$B$140*(((Inputs!$G$5:$G$140="moeda")+(Inputs!$G$5:$G$140="acoes"))*Inputs!$B$1+((Inputs!$G$5:$G$140&lt;&gt;"moeda")*(Inputs!$G$5:$G$140&lt;&gt;"acoes")))*INDEX(Inputs!$K$5:$AJ$140,0,MATCH(P$2,Inputs!$K$4:$AJ$4,0)))+SUMPRODUCT((Inputs!$C$5:$C$140=$B30)*Inputs!$D$5:$D$140*(((Inputs!$G$5:$G$140="moeda")+(Inputs!$G$5:$G$140="acoes"))*Inputs!$B$1+((Inputs!$G$5:$G$140&lt;&gt;"moeda")*(Inputs!$G$5:$G$140&lt;&gt;"acoes")))*INDEX(Inputs!$K$5:$AJ$140,0,MATCH(P$2,Inputs!$K$4:$AJ$4,0)))+SUMPRODUCT((Inputs!$E$5:$E$140=$B30)*Inputs!$F$5:$F$140*(((Inputs!$G$5:$G$140="moeda")+(Inputs!$G$5:$G$140="acoes"))*Inputs!$B$1+((Inputs!$G$5:$G$140&lt;&gt;"moeda")*(Inputs!$G$5:$G$140&lt;&gt;"acoes")))*INDEX(Inputs!$K$5:$AJ$140,0,MATCH(P$2,Inputs!$K$4:$AJ$4,0)))))</f>
        <v>#N/A</v>
      </c>
      <c r="Q30" s="6" t="e">
        <f>IF(ISNA(MATCH(Q$2,Inputs!$K$4:$AJ$4,0)),NA(),IF(SUMPRODUCT((Inputs!$A$5:$A$140=$B30)*ISNUMBER(INDEX(Inputs!$K$5:$AJ$140,0,MATCH(Q$2,Inputs!$K$4:$AJ$4,0))))+SUMPRODUCT((Inputs!$C$5:$C$140=$B30)*ISNUMBER(INDEX(Inputs!$K$5:$AJ$140,0,MATCH(Q$2,Inputs!$K$4:$AJ$4,0))))+SUMPRODUCT((Inputs!$E$5:$E$140=$B30)*ISNUMBER(INDEX(Inputs!$K$5:$AJ$140,0,MATCH(Q$2,Inputs!$K$4:$AJ$4,0))))=0,NA(),SUMPRODUCT((Inputs!$A$5:$A$140=$B30)*Inputs!$B$5:$B$140*(((Inputs!$G$5:$G$140="moeda")+(Inputs!$G$5:$G$140="acoes"))*Inputs!$B$1+((Inputs!$G$5:$G$140&lt;&gt;"moeda")*(Inputs!$G$5:$G$140&lt;&gt;"acoes")))*INDEX(Inputs!$K$5:$AJ$140,0,MATCH(Q$2,Inputs!$K$4:$AJ$4,0)))+SUMPRODUCT((Inputs!$C$5:$C$140=$B30)*Inputs!$D$5:$D$140*(((Inputs!$G$5:$G$140="moeda")+(Inputs!$G$5:$G$140="acoes"))*Inputs!$B$1+((Inputs!$G$5:$G$140&lt;&gt;"moeda")*(Inputs!$G$5:$G$140&lt;&gt;"acoes")))*INDEX(Inputs!$K$5:$AJ$140,0,MATCH(Q$2,Inputs!$K$4:$AJ$4,0)))+SUMPRODUCT((Inputs!$E$5:$E$140=$B30)*Inputs!$F$5:$F$140*(((Inputs!$G$5:$G$140="moeda")+(Inputs!$G$5:$G$140="acoes"))*Inputs!$B$1+((Inputs!$G$5:$G$140&lt;&gt;"moeda")*(Inputs!$G$5:$G$140&lt;&gt;"acoes")))*INDEX(Inputs!$K$5:$AJ$140,0,MATCH(Q$2,Inputs!$K$4:$AJ$4,0)))))</f>
        <v>#N/A</v>
      </c>
      <c r="R30" s="3" t="e">
        <f>Q30</f>
        <v>#N/A</v>
      </c>
      <c r="S30" s="6" t="e">
        <f>IF(ISNA(MATCH(S$2,Inputs!$K$4:$AJ$4,0)),NA(),IF(SUMPRODUCT((Inputs!$A$5:$A$140=$B30)*ISNUMBER(INDEX(Inputs!$K$5:$AJ$140,0,MATCH(S$2,Inputs!$K$4:$AJ$4,0))))+SUMPRODUCT((Inputs!$C$5:$C$140=$B30)*ISNUMBER(INDEX(Inputs!$K$5:$AJ$140,0,MATCH(S$2,Inputs!$K$4:$AJ$4,0))))+SUMPRODUCT((Inputs!$E$5:$E$140=$B30)*ISNUMBER(INDEX(Inputs!$K$5:$AJ$140,0,MATCH(S$2,Inputs!$K$4:$AJ$4,0))))=0,NA(),SUMPRODUCT((Inputs!$A$5:$A$140=$B30)*Inputs!$B$5:$B$140*(((Inputs!$G$5:$G$140="moeda")+(Inputs!$G$5:$G$140="acoes"))*Inputs!$B$1+((Inputs!$G$5:$G$140&lt;&gt;"moeda")*(Inputs!$G$5:$G$140&lt;&gt;"acoes")))*INDEX(Inputs!$K$5:$AJ$140,0,MATCH(S$2,Inputs!$K$4:$AJ$4,0)))+SUMPRODUCT((Inputs!$C$5:$C$140=$B30)*Inputs!$D$5:$D$140*(((Inputs!$G$5:$G$140="moeda")+(Inputs!$G$5:$G$140="acoes"))*Inputs!$B$1+((Inputs!$G$5:$G$140&lt;&gt;"moeda")*(Inputs!$G$5:$G$140&lt;&gt;"acoes")))*INDEX(Inputs!$K$5:$AJ$140,0,MATCH(S$2,Inputs!$K$4:$AJ$4,0)))+SUMPRODUCT((Inputs!$E$5:$E$140=$B30)*Inputs!$F$5:$F$140*(((Inputs!$G$5:$G$140="moeda")+(Inputs!$G$5:$G$140="acoes"))*Inputs!$B$1+((Inputs!$G$5:$G$140&lt;&gt;"moeda")*(Inputs!$G$5:$G$140&lt;&gt;"acoes")))*INDEX(Inputs!$K$5:$AJ$140,0,MATCH(S$2,Inputs!$K$4:$AJ$4,0)))))</f>
        <v>#N/A</v>
      </c>
      <c r="T30" s="6" t="e">
        <f>IF(ISNA(MATCH(T$2,Inputs!$K$4:$AJ$4,0)),NA(),IF(SUMPRODUCT((Inputs!$A$5:$A$140=$B30)*ISNUMBER(INDEX(Inputs!$K$5:$AJ$140,0,MATCH(T$2,Inputs!$K$4:$AJ$4,0))))+SUMPRODUCT((Inputs!$C$5:$C$140=$B30)*ISNUMBER(INDEX(Inputs!$K$5:$AJ$140,0,MATCH(T$2,Inputs!$K$4:$AJ$4,0))))+SUMPRODUCT((Inputs!$E$5:$E$140=$B30)*ISNUMBER(INDEX(Inputs!$K$5:$AJ$140,0,MATCH(T$2,Inputs!$K$4:$AJ$4,0))))=0,NA(),SUMPRODUCT((Inputs!$A$5:$A$140=$B30)*Inputs!$B$5:$B$140*(((Inputs!$G$5:$G$140="moeda")+(Inputs!$G$5:$G$140="acoes"))*Inputs!$B$1+((Inputs!$G$5:$G$140&lt;&gt;"moeda")*(Inputs!$G$5:$G$140&lt;&gt;"acoes")))*INDEX(Inputs!$K$5:$AJ$140,0,MATCH(T$2,Inputs!$K$4:$AJ$4,0)))+SUMPRODUCT((Inputs!$C$5:$C$140=$B30)*Inputs!$D$5:$D$140*(((Inputs!$G$5:$G$140="moeda")+(Inputs!$G$5:$G$140="acoes"))*Inputs!$B$1+((Inputs!$G$5:$G$140&lt;&gt;"moeda")*(Inputs!$G$5:$G$140&lt;&gt;"acoes")))*INDEX(Inputs!$K$5:$AJ$140,0,MATCH(T$2,Inputs!$K$4:$AJ$4,0)))+SUMPRODUCT((Inputs!$E$5:$E$140=$B30)*Inputs!$F$5:$F$140*(((Inputs!$G$5:$G$140="moeda")+(Inputs!$G$5:$G$140="acoes"))*Inputs!$B$1+((Inputs!$G$5:$G$140&lt;&gt;"moeda")*(Inputs!$G$5:$G$140&lt;&gt;"acoes")))*INDEX(Inputs!$K$5:$AJ$140,0,MATCH(T$2,Inputs!$K$4:$AJ$4,0)))))</f>
        <v>#N/A</v>
      </c>
      <c r="U30" s="6" t="e">
        <f>IF(ISNA(MATCH(U$2,Inputs!$K$4:$AJ$4,0)),NA(),IF(SUMPRODUCT((Inputs!$A$5:$A$140=$B30)*ISNUMBER(INDEX(Inputs!$K$5:$AJ$140,0,MATCH(U$2,Inputs!$K$4:$AJ$4,0))))+SUMPRODUCT((Inputs!$C$5:$C$140=$B30)*ISNUMBER(INDEX(Inputs!$K$5:$AJ$140,0,MATCH(U$2,Inputs!$K$4:$AJ$4,0))))+SUMPRODUCT((Inputs!$E$5:$E$140=$B30)*ISNUMBER(INDEX(Inputs!$K$5:$AJ$140,0,MATCH(U$2,Inputs!$K$4:$AJ$4,0))))=0,NA(),SUMPRODUCT((Inputs!$A$5:$A$140=$B30)*Inputs!$B$5:$B$140*(((Inputs!$G$5:$G$140="moeda")+(Inputs!$G$5:$G$140="acoes"))*Inputs!$B$1+((Inputs!$G$5:$G$140&lt;&gt;"moeda")*(Inputs!$G$5:$G$140&lt;&gt;"acoes")))*INDEX(Inputs!$K$5:$AJ$140,0,MATCH(U$2,Inputs!$K$4:$AJ$4,0)))+SUMPRODUCT((Inputs!$C$5:$C$140=$B30)*Inputs!$D$5:$D$140*(((Inputs!$G$5:$G$140="moeda")+(Inputs!$G$5:$G$140="acoes"))*Inputs!$B$1+((Inputs!$G$5:$G$140&lt;&gt;"moeda")*(Inputs!$G$5:$G$140&lt;&gt;"acoes")))*INDEX(Inputs!$K$5:$AJ$140,0,MATCH(U$2,Inputs!$K$4:$AJ$4,0)))+SUMPRODUCT((Inputs!$E$5:$E$140=$B30)*Inputs!$F$5:$F$140*(((Inputs!$G$5:$G$140="moeda")+(Inputs!$G$5:$G$140="acoes"))*Inputs!$B$1+((Inputs!$G$5:$G$140&lt;&gt;"moeda")*(Inputs!$G$5:$G$140&lt;&gt;"acoes")))*INDEX(Inputs!$K$5:$AJ$140,0,MATCH(U$2,Inputs!$K$4:$AJ$4,0)))))</f>
        <v>#N/A</v>
      </c>
      <c r="V30" s="6" t="e">
        <f>IF(ISNA(MATCH(V$2,Inputs!$K$4:$AJ$4,0)),NA(),IF(SUMPRODUCT((Inputs!$A$5:$A$140=$B30)*ISNUMBER(INDEX(Inputs!$K$5:$AJ$140,0,MATCH(V$2,Inputs!$K$4:$AJ$4,0))))+SUMPRODUCT((Inputs!$C$5:$C$140=$B30)*ISNUMBER(INDEX(Inputs!$K$5:$AJ$140,0,MATCH(V$2,Inputs!$K$4:$AJ$4,0))))+SUMPRODUCT((Inputs!$E$5:$E$140=$B30)*ISNUMBER(INDEX(Inputs!$K$5:$AJ$140,0,MATCH(V$2,Inputs!$K$4:$AJ$4,0))))=0,NA(),SUMPRODUCT((Inputs!$A$5:$A$140=$B30)*Inputs!$B$5:$B$140*(((Inputs!$G$5:$G$140="moeda")+(Inputs!$G$5:$G$140="acoes"))*Inputs!$B$1+((Inputs!$G$5:$G$140&lt;&gt;"moeda")*(Inputs!$G$5:$G$140&lt;&gt;"acoes")))*INDEX(Inputs!$K$5:$AJ$140,0,MATCH(V$2,Inputs!$K$4:$AJ$4,0)))+SUMPRODUCT((Inputs!$C$5:$C$140=$B30)*Inputs!$D$5:$D$140*(((Inputs!$G$5:$G$140="moeda")+(Inputs!$G$5:$G$140="acoes"))*Inputs!$B$1+((Inputs!$G$5:$G$140&lt;&gt;"moeda")*(Inputs!$G$5:$G$140&lt;&gt;"acoes")))*INDEX(Inputs!$K$5:$AJ$140,0,MATCH(V$2,Inputs!$K$4:$AJ$4,0)))+SUMPRODUCT((Inputs!$E$5:$E$140=$B30)*Inputs!$F$5:$F$140*(((Inputs!$G$5:$G$140="moeda")+(Inputs!$G$5:$G$140="acoes"))*Inputs!$B$1+((Inputs!$G$5:$G$140&lt;&gt;"moeda")*(Inputs!$G$5:$G$140&lt;&gt;"acoes")))*INDEX(Inputs!$K$5:$AJ$140,0,MATCH(V$2,Inputs!$K$4:$AJ$4,0)))))</f>
        <v>#N/A</v>
      </c>
      <c r="W30" s="3" t="e">
        <f>V30</f>
        <v>#N/A</v>
      </c>
      <c r="X30" s="6" t="e">
        <f>IF(ISNA(MATCH(X$2,Inputs!$K$4:$AJ$4,0)),NA(),IF(SUMPRODUCT((Inputs!$A$5:$A$140=$B30)*ISNUMBER(INDEX(Inputs!$K$5:$AJ$140,0,MATCH(X$2,Inputs!$K$4:$AJ$4,0))))+SUMPRODUCT((Inputs!$C$5:$C$140=$B30)*ISNUMBER(INDEX(Inputs!$K$5:$AJ$140,0,MATCH(X$2,Inputs!$K$4:$AJ$4,0))))+SUMPRODUCT((Inputs!$E$5:$E$140=$B30)*ISNUMBER(INDEX(Inputs!$K$5:$AJ$140,0,MATCH(X$2,Inputs!$K$4:$AJ$4,0))))=0,NA(),SUMPRODUCT((Inputs!$A$5:$A$140=$B30)*Inputs!$B$5:$B$140*(((Inputs!$G$5:$G$140="moeda")+(Inputs!$G$5:$G$140="acoes"))*Inputs!$B$1+((Inputs!$G$5:$G$140&lt;&gt;"moeda")*(Inputs!$G$5:$G$140&lt;&gt;"acoes")))*INDEX(Inputs!$K$5:$AJ$140,0,MATCH(X$2,Inputs!$K$4:$AJ$4,0)))+SUMPRODUCT((Inputs!$C$5:$C$140=$B30)*Inputs!$D$5:$D$140*(((Inputs!$G$5:$G$140="moeda")+(Inputs!$G$5:$G$140="acoes"))*Inputs!$B$1+((Inputs!$G$5:$G$140&lt;&gt;"moeda")*(Inputs!$G$5:$G$140&lt;&gt;"acoes")))*INDEX(Inputs!$K$5:$AJ$140,0,MATCH(X$2,Inputs!$K$4:$AJ$4,0)))+SUMPRODUCT((Inputs!$E$5:$E$140=$B30)*Inputs!$F$5:$F$140*(((Inputs!$G$5:$G$140="moeda")+(Inputs!$G$5:$G$140="acoes"))*Inputs!$B$1+((Inputs!$G$5:$G$140&lt;&gt;"moeda")*(Inputs!$G$5:$G$140&lt;&gt;"acoes")))*INDEX(Inputs!$K$5:$AJ$140,0,MATCH(X$2,Inputs!$K$4:$AJ$4,0)))))</f>
        <v>#N/A</v>
      </c>
      <c r="Y30" s="6" t="e">
        <f>IF(ISNA(MATCH(Y$2,Inputs!$K$4:$AJ$4,0)),NA(),IF(SUMPRODUCT((Inputs!$A$5:$A$140=$B30)*ISNUMBER(INDEX(Inputs!$K$5:$AJ$140,0,MATCH(Y$2,Inputs!$K$4:$AJ$4,0))))+SUMPRODUCT((Inputs!$C$5:$C$140=$B30)*ISNUMBER(INDEX(Inputs!$K$5:$AJ$140,0,MATCH(Y$2,Inputs!$K$4:$AJ$4,0))))+SUMPRODUCT((Inputs!$E$5:$E$140=$B30)*ISNUMBER(INDEX(Inputs!$K$5:$AJ$140,0,MATCH(Y$2,Inputs!$K$4:$AJ$4,0))))=0,NA(),SUMPRODUCT((Inputs!$A$5:$A$140=$B30)*Inputs!$B$5:$B$140*(((Inputs!$G$5:$G$140="moeda")+(Inputs!$G$5:$G$140="acoes"))*Inputs!$B$1+((Inputs!$G$5:$G$140&lt;&gt;"moeda")*(Inputs!$G$5:$G$140&lt;&gt;"acoes")))*INDEX(Inputs!$K$5:$AJ$140,0,MATCH(Y$2,Inputs!$K$4:$AJ$4,0)))+SUMPRODUCT((Inputs!$C$5:$C$140=$B30)*Inputs!$D$5:$D$140*(((Inputs!$G$5:$G$140="moeda")+(Inputs!$G$5:$G$140="acoes"))*Inputs!$B$1+((Inputs!$G$5:$G$140&lt;&gt;"moeda")*(Inputs!$G$5:$G$140&lt;&gt;"acoes")))*INDEX(Inputs!$K$5:$AJ$140,0,MATCH(Y$2,Inputs!$K$4:$AJ$4,0)))+SUMPRODUCT((Inputs!$E$5:$E$140=$B30)*Inputs!$F$5:$F$140*(((Inputs!$G$5:$G$140="moeda")+(Inputs!$G$5:$G$140="acoes"))*Inputs!$B$1+((Inputs!$G$5:$G$140&lt;&gt;"moeda")*(Inputs!$G$5:$G$140&lt;&gt;"acoes")))*INDEX(Inputs!$K$5:$AJ$140,0,MATCH(Y$2,Inputs!$K$4:$AJ$4,0)))))</f>
        <v>#N/A</v>
      </c>
      <c r="Z30" s="6" t="e">
        <f>IF(ISNA(MATCH(Z$2,Inputs!$K$4:$AJ$4,0)),NA(),IF(SUMPRODUCT((Inputs!$A$5:$A$140=$B30)*ISNUMBER(INDEX(Inputs!$K$5:$AJ$140,0,MATCH(Z$2,Inputs!$K$4:$AJ$4,0))))+SUMPRODUCT((Inputs!$C$5:$C$140=$B30)*ISNUMBER(INDEX(Inputs!$K$5:$AJ$140,0,MATCH(Z$2,Inputs!$K$4:$AJ$4,0))))+SUMPRODUCT((Inputs!$E$5:$E$140=$B30)*ISNUMBER(INDEX(Inputs!$K$5:$AJ$140,0,MATCH(Z$2,Inputs!$K$4:$AJ$4,0))))=0,NA(),SUMPRODUCT((Inputs!$A$5:$A$140=$B30)*Inputs!$B$5:$B$140*(((Inputs!$G$5:$G$140="moeda")+(Inputs!$G$5:$G$140="acoes"))*Inputs!$B$1+((Inputs!$G$5:$G$140&lt;&gt;"moeda")*(Inputs!$G$5:$G$140&lt;&gt;"acoes")))*INDEX(Inputs!$K$5:$AJ$140,0,MATCH(Z$2,Inputs!$K$4:$AJ$4,0)))+SUMPRODUCT((Inputs!$C$5:$C$140=$B30)*Inputs!$D$5:$D$140*(((Inputs!$G$5:$G$140="moeda")+(Inputs!$G$5:$G$140="acoes"))*Inputs!$B$1+((Inputs!$G$5:$G$140&lt;&gt;"moeda")*(Inputs!$G$5:$G$140&lt;&gt;"acoes")))*INDEX(Inputs!$K$5:$AJ$140,0,MATCH(Z$2,Inputs!$K$4:$AJ$4,0)))+SUMPRODUCT((Inputs!$E$5:$E$140=$B30)*Inputs!$F$5:$F$140*(((Inputs!$G$5:$G$140="moeda")+(Inputs!$G$5:$G$140="acoes"))*Inputs!$B$1+((Inputs!$G$5:$G$140&lt;&gt;"moeda")*(Inputs!$G$5:$G$140&lt;&gt;"acoes")))*INDEX(Inputs!$K$5:$AJ$140,0,MATCH(Z$2,Inputs!$K$4:$AJ$4,0)))))</f>
        <v>#N/A</v>
      </c>
      <c r="AA30" s="6" t="e">
        <f>IF(ISNA(MATCH(AA$2,Inputs!$K$4:$AJ$4,0)),NA(),IF(SUMPRODUCT((Inputs!$A$5:$A$140=$B30)*ISNUMBER(INDEX(Inputs!$K$5:$AJ$140,0,MATCH(AA$2,Inputs!$K$4:$AJ$4,0))))+SUMPRODUCT((Inputs!$C$5:$C$140=$B30)*ISNUMBER(INDEX(Inputs!$K$5:$AJ$140,0,MATCH(AA$2,Inputs!$K$4:$AJ$4,0))))+SUMPRODUCT((Inputs!$E$5:$E$140=$B30)*ISNUMBER(INDEX(Inputs!$K$5:$AJ$140,0,MATCH(AA$2,Inputs!$K$4:$AJ$4,0))))=0,NA(),SUMPRODUCT((Inputs!$A$5:$A$140=$B30)*Inputs!$B$5:$B$140*(((Inputs!$G$5:$G$140="moeda")+(Inputs!$G$5:$G$140="acoes"))*Inputs!$B$1+((Inputs!$G$5:$G$140&lt;&gt;"moeda")*(Inputs!$G$5:$G$140&lt;&gt;"acoes")))*INDEX(Inputs!$K$5:$AJ$140,0,MATCH(AA$2,Inputs!$K$4:$AJ$4,0)))+SUMPRODUCT((Inputs!$C$5:$C$140=$B30)*Inputs!$D$5:$D$140*(((Inputs!$G$5:$G$140="moeda")+(Inputs!$G$5:$G$140="acoes"))*Inputs!$B$1+((Inputs!$G$5:$G$140&lt;&gt;"moeda")*(Inputs!$G$5:$G$140&lt;&gt;"acoes")))*INDEX(Inputs!$K$5:$AJ$140,0,MATCH(AA$2,Inputs!$K$4:$AJ$4,0)))+SUMPRODUCT((Inputs!$E$5:$E$140=$B30)*Inputs!$F$5:$F$140*(((Inputs!$G$5:$G$140="moeda")+(Inputs!$G$5:$G$140="acoes"))*Inputs!$B$1+((Inputs!$G$5:$G$140&lt;&gt;"moeda")*(Inputs!$G$5:$G$140&lt;&gt;"acoes")))*INDEX(Inputs!$K$5:$AJ$140,0,MATCH(AA$2,Inputs!$K$4:$AJ$4,0)))))</f>
        <v>#N/A</v>
      </c>
      <c r="AB30" s="3" t="e">
        <f>AA30</f>
        <v>#N/A</v>
      </c>
      <c r="AC30" s="6" t="e">
        <f>IF(ISNA(MATCH(AC$2,Inputs!$K$4:$AJ$4,0)),NA(),IF(SUMPRODUCT((Inputs!$A$5:$A$140=$B30)*ISNUMBER(INDEX(Inputs!$K$5:$AJ$140,0,MATCH(AC$2,Inputs!$K$4:$AJ$4,0))))+SUMPRODUCT((Inputs!$C$5:$C$140=$B30)*ISNUMBER(INDEX(Inputs!$K$5:$AJ$140,0,MATCH(AC$2,Inputs!$K$4:$AJ$4,0))))+SUMPRODUCT((Inputs!$E$5:$E$140=$B30)*ISNUMBER(INDEX(Inputs!$K$5:$AJ$140,0,MATCH(AC$2,Inputs!$K$4:$AJ$4,0))))=0,NA(),SUMPRODUCT((Inputs!$A$5:$A$140=$B30)*Inputs!$B$5:$B$140*(((Inputs!$G$5:$G$140="moeda")+(Inputs!$G$5:$G$140="acoes"))*Inputs!$B$1+((Inputs!$G$5:$G$140&lt;&gt;"moeda")*(Inputs!$G$5:$G$140&lt;&gt;"acoes")))*INDEX(Inputs!$K$5:$AJ$140,0,MATCH(AC$2,Inputs!$K$4:$AJ$4,0)))+SUMPRODUCT((Inputs!$C$5:$C$140=$B30)*Inputs!$D$5:$D$140*(((Inputs!$G$5:$G$140="moeda")+(Inputs!$G$5:$G$140="acoes"))*Inputs!$B$1+((Inputs!$G$5:$G$140&lt;&gt;"moeda")*(Inputs!$G$5:$G$140&lt;&gt;"acoes")))*INDEX(Inputs!$K$5:$AJ$140,0,MATCH(AC$2,Inputs!$K$4:$AJ$4,0)))+SUMPRODUCT((Inputs!$E$5:$E$140=$B30)*Inputs!$F$5:$F$140*(((Inputs!$G$5:$G$140="moeda")+(Inputs!$G$5:$G$140="acoes"))*Inputs!$B$1+((Inputs!$G$5:$G$140&lt;&gt;"moeda")*(Inputs!$G$5:$G$140&lt;&gt;"acoes")))*INDEX(Inputs!$K$5:$AJ$140,0,MATCH(AC$2,Inputs!$K$4:$AJ$4,0)))))</f>
        <v>#N/A</v>
      </c>
      <c r="AD30" s="6" t="e">
        <f>IF(ISNA(MATCH(AD$2,Inputs!$K$4:$AJ$4,0)),NA(),IF(SUMPRODUCT((Inputs!$A$5:$A$140=$B30)*ISNUMBER(INDEX(Inputs!$K$5:$AJ$140,0,MATCH(AD$2,Inputs!$K$4:$AJ$4,0))))+SUMPRODUCT((Inputs!$C$5:$C$140=$B30)*ISNUMBER(INDEX(Inputs!$K$5:$AJ$140,0,MATCH(AD$2,Inputs!$K$4:$AJ$4,0))))+SUMPRODUCT((Inputs!$E$5:$E$140=$B30)*ISNUMBER(INDEX(Inputs!$K$5:$AJ$140,0,MATCH(AD$2,Inputs!$K$4:$AJ$4,0))))=0,NA(),SUMPRODUCT((Inputs!$A$5:$A$140=$B30)*Inputs!$B$5:$B$140*(((Inputs!$G$5:$G$140="moeda")+(Inputs!$G$5:$G$140="acoes"))*Inputs!$B$1+((Inputs!$G$5:$G$140&lt;&gt;"moeda")*(Inputs!$G$5:$G$140&lt;&gt;"acoes")))*INDEX(Inputs!$K$5:$AJ$140,0,MATCH(AD$2,Inputs!$K$4:$AJ$4,0)))+SUMPRODUCT((Inputs!$C$5:$C$140=$B30)*Inputs!$D$5:$D$140*(((Inputs!$G$5:$G$140="moeda")+(Inputs!$G$5:$G$140="acoes"))*Inputs!$B$1+((Inputs!$G$5:$G$140&lt;&gt;"moeda")*(Inputs!$G$5:$G$140&lt;&gt;"acoes")))*INDEX(Inputs!$K$5:$AJ$140,0,MATCH(AD$2,Inputs!$K$4:$AJ$4,0)))+SUMPRODUCT((Inputs!$E$5:$E$140=$B30)*Inputs!$F$5:$F$140*(((Inputs!$G$5:$G$140="moeda")+(Inputs!$G$5:$G$140="acoes"))*Inputs!$B$1+((Inputs!$G$5:$G$140&lt;&gt;"moeda")*(Inputs!$G$5:$G$140&lt;&gt;"acoes")))*INDEX(Inputs!$K$5:$AJ$140,0,MATCH(AD$2,Inputs!$K$4:$AJ$4,0)))))</f>
        <v>#N/A</v>
      </c>
      <c r="AE30" s="6" t="e">
        <f>IF(ISNA(MATCH(AE$2,Inputs!$K$4:$AJ$4,0)),NA(),IF(SUMPRODUCT((Inputs!$A$5:$A$140=$B30)*ISNUMBER(INDEX(Inputs!$K$5:$AJ$140,0,MATCH(AE$2,Inputs!$K$4:$AJ$4,0))))+SUMPRODUCT((Inputs!$C$5:$C$140=$B30)*ISNUMBER(INDEX(Inputs!$K$5:$AJ$140,0,MATCH(AE$2,Inputs!$K$4:$AJ$4,0))))+SUMPRODUCT((Inputs!$E$5:$E$140=$B30)*ISNUMBER(INDEX(Inputs!$K$5:$AJ$140,0,MATCH(AE$2,Inputs!$K$4:$AJ$4,0))))=0,NA(),SUMPRODUCT((Inputs!$A$5:$A$140=$B30)*Inputs!$B$5:$B$140*(((Inputs!$G$5:$G$140="moeda")+(Inputs!$G$5:$G$140="acoes"))*Inputs!$B$1+((Inputs!$G$5:$G$140&lt;&gt;"moeda")*(Inputs!$G$5:$G$140&lt;&gt;"acoes")))*INDEX(Inputs!$K$5:$AJ$140,0,MATCH(AE$2,Inputs!$K$4:$AJ$4,0)))+SUMPRODUCT((Inputs!$C$5:$C$140=$B30)*Inputs!$D$5:$D$140*(((Inputs!$G$5:$G$140="moeda")+(Inputs!$G$5:$G$140="acoes"))*Inputs!$B$1+((Inputs!$G$5:$G$140&lt;&gt;"moeda")*(Inputs!$G$5:$G$140&lt;&gt;"acoes")))*INDEX(Inputs!$K$5:$AJ$140,0,MATCH(AE$2,Inputs!$K$4:$AJ$4,0)))+SUMPRODUCT((Inputs!$E$5:$E$140=$B30)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30" s="6" t="e">
        <f>IF(ISNA(MATCH(AF$2,Inputs!$K$4:$AJ$4,0)),NA(),IF(SUMPRODUCT((Inputs!$A$5:$A$140=$B30)*ISNUMBER(INDEX(Inputs!$K$5:$AJ$140,0,MATCH(AF$2,Inputs!$K$4:$AJ$4,0))))+SUMPRODUCT((Inputs!$C$5:$C$140=$B30)*ISNUMBER(INDEX(Inputs!$K$5:$AJ$140,0,MATCH(AF$2,Inputs!$K$4:$AJ$4,0))))+SUMPRODUCT((Inputs!$E$5:$E$140=$B30)*ISNUMBER(INDEX(Inputs!$K$5:$AJ$140,0,MATCH(AF$2,Inputs!$K$4:$AJ$4,0))))=0,NA(),SUMPRODUCT((Inputs!$A$5:$A$140=$B30)*Inputs!$B$5:$B$140*(((Inputs!$G$5:$G$140="moeda")+(Inputs!$G$5:$G$140="acoes"))*Inputs!$B$1+((Inputs!$G$5:$G$140&lt;&gt;"moeda")*(Inputs!$G$5:$G$140&lt;&gt;"acoes")))*INDEX(Inputs!$K$5:$AJ$140,0,MATCH(AF$2,Inputs!$K$4:$AJ$4,0)))+SUMPRODUCT((Inputs!$C$5:$C$140=$B30)*Inputs!$D$5:$D$140*(((Inputs!$G$5:$G$140="moeda")+(Inputs!$G$5:$G$140="acoes"))*Inputs!$B$1+((Inputs!$G$5:$G$140&lt;&gt;"moeda")*(Inputs!$G$5:$G$140&lt;&gt;"acoes")))*INDEX(Inputs!$K$5:$AJ$140,0,MATCH(AF$2,Inputs!$K$4:$AJ$4,0)))+SUMPRODUCT((Inputs!$E$5:$E$140=$B30)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30" s="3" t="e">
        <f>AF30</f>
        <v>#N/A</v>
      </c>
      <c r="AH30" s="6" t="e">
        <f>IF(ISNA(MATCH(AH$2,Inputs!$K$4:$AJ$4,0)),NA(),IF(SUMPRODUCT((Inputs!$A$5:$A$140=$B30)*ISNUMBER(INDEX(Inputs!$K$5:$AJ$140,0,MATCH(AH$2,Inputs!$K$4:$AJ$4,0))))+SUMPRODUCT((Inputs!$C$5:$C$140=$B30)*ISNUMBER(INDEX(Inputs!$K$5:$AJ$140,0,MATCH(AH$2,Inputs!$K$4:$AJ$4,0))))+SUMPRODUCT((Inputs!$E$5:$E$140=$B30)*ISNUMBER(INDEX(Inputs!$K$5:$AJ$140,0,MATCH(AH$2,Inputs!$K$4:$AJ$4,0))))=0,NA(),SUMPRODUCT((Inputs!$A$5:$A$140=$B30)*Inputs!$B$5:$B$140*(((Inputs!$G$5:$G$140="moeda")+(Inputs!$G$5:$G$140="acoes"))*Inputs!$B$1+((Inputs!$G$5:$G$140&lt;&gt;"moeda")*(Inputs!$G$5:$G$140&lt;&gt;"acoes")))*INDEX(Inputs!$K$5:$AJ$140,0,MATCH(AH$2,Inputs!$K$4:$AJ$4,0)))+SUMPRODUCT((Inputs!$C$5:$C$140=$B30)*Inputs!$D$5:$D$140*(((Inputs!$G$5:$G$140="moeda")+(Inputs!$G$5:$G$140="acoes"))*Inputs!$B$1+((Inputs!$G$5:$G$140&lt;&gt;"moeda")*(Inputs!$G$5:$G$140&lt;&gt;"acoes")))*INDEX(Inputs!$K$5:$AJ$140,0,MATCH(AH$2,Inputs!$K$4:$AJ$4,0)))+SUMPRODUCT((Inputs!$E$5:$E$140=$B30)*Inputs!$F$5:$F$140*(((Inputs!$G$5:$G$140="moeda")+(Inputs!$G$5:$G$140="acoes"))*Inputs!$B$1+((Inputs!$G$5:$G$140&lt;&gt;"moeda")*(Inputs!$G$5:$G$140&lt;&gt;"acoes")))*INDEX(Inputs!$K$5:$AJ$140,0,MATCH(AH$2,Inputs!$K$4:$AJ$4,0)))))</f>
        <v>#N/A</v>
      </c>
      <c r="AI30" s="6" t="e">
        <f>IF(ISNA(MATCH(AI$2,Inputs!$K$4:$AJ$4,0)),NA(),IF(SUMPRODUCT((Inputs!$A$5:$A$140=$B30)*ISNUMBER(INDEX(Inputs!$K$5:$AJ$140,0,MATCH(AI$2,Inputs!$K$4:$AJ$4,0))))+SUMPRODUCT((Inputs!$C$5:$C$140=$B30)*ISNUMBER(INDEX(Inputs!$K$5:$AJ$140,0,MATCH(AI$2,Inputs!$K$4:$AJ$4,0))))+SUMPRODUCT((Inputs!$E$5:$E$140=$B30)*ISNUMBER(INDEX(Inputs!$K$5:$AJ$140,0,MATCH(AI$2,Inputs!$K$4:$AJ$4,0))))=0,NA(),SUMPRODUCT((Inputs!$A$5:$A$140=$B30)*Inputs!$B$5:$B$140*(((Inputs!$G$5:$G$140="moeda")+(Inputs!$G$5:$G$140="acoes"))*Inputs!$B$1+((Inputs!$G$5:$G$140&lt;&gt;"moeda")*(Inputs!$G$5:$G$140&lt;&gt;"acoes")))*INDEX(Inputs!$K$5:$AJ$140,0,MATCH(AI$2,Inputs!$K$4:$AJ$4,0)))+SUMPRODUCT((Inputs!$C$5:$C$140=$B30)*Inputs!$D$5:$D$140*(((Inputs!$G$5:$G$140="moeda")+(Inputs!$G$5:$G$140="acoes"))*Inputs!$B$1+((Inputs!$G$5:$G$140&lt;&gt;"moeda")*(Inputs!$G$5:$G$140&lt;&gt;"acoes")))*INDEX(Inputs!$K$5:$AJ$140,0,MATCH(AI$2,Inputs!$K$4:$AJ$4,0)))+SUMPRODUCT((Inputs!$E$5:$E$140=$B30)*Inputs!$F$5:$F$140*(((Inputs!$G$5:$G$140="moeda")+(Inputs!$G$5:$G$140="acoes"))*Inputs!$B$1+((Inputs!$G$5:$G$140&lt;&gt;"moeda")*(Inputs!$G$5:$G$140&lt;&gt;"acoes")))*INDEX(Inputs!$K$5:$AJ$140,0,MATCH(AI$2,Inputs!$K$4:$AJ$4,0)))))</f>
        <v>#N/A</v>
      </c>
      <c r="AJ30" s="6" t="e">
        <f>IF(ISNA(MATCH(AJ$2,Inputs!$K$4:$AJ$4,0)),NA(),IF(SUMPRODUCT((Inputs!$A$5:$A$140=$B30)*ISNUMBER(INDEX(Inputs!$K$5:$AJ$140,0,MATCH(AJ$2,Inputs!$K$4:$AJ$4,0))))+SUMPRODUCT((Inputs!$C$5:$C$140=$B30)*ISNUMBER(INDEX(Inputs!$K$5:$AJ$140,0,MATCH(AJ$2,Inputs!$K$4:$AJ$4,0))))+SUMPRODUCT((Inputs!$E$5:$E$140=$B30)*ISNUMBER(INDEX(Inputs!$K$5:$AJ$140,0,MATCH(AJ$2,Inputs!$K$4:$AJ$4,0))))=0,NA(),SUMPRODUCT((Inputs!$A$5:$A$140=$B30)*Inputs!$B$5:$B$140*(((Inputs!$G$5:$G$140="moeda")+(Inputs!$G$5:$G$140="acoes"))*Inputs!$B$1+((Inputs!$G$5:$G$140&lt;&gt;"moeda")*(Inputs!$G$5:$G$140&lt;&gt;"acoes")))*INDEX(Inputs!$K$5:$AJ$140,0,MATCH(AJ$2,Inputs!$K$4:$AJ$4,0)))+SUMPRODUCT((Inputs!$C$5:$C$140=$B30)*Inputs!$D$5:$D$140*(((Inputs!$G$5:$G$140="moeda")+(Inputs!$G$5:$G$140="acoes"))*Inputs!$B$1+((Inputs!$G$5:$G$140&lt;&gt;"moeda")*(Inputs!$G$5:$G$140&lt;&gt;"acoes")))*INDEX(Inputs!$K$5:$AJ$140,0,MATCH(AJ$2,Inputs!$K$4:$AJ$4,0)))+SUMPRODUCT((Inputs!$E$5:$E$140=$B30)*Inputs!$F$5:$F$140*(((Inputs!$G$5:$G$140="moeda")+(Inputs!$G$5:$G$140="acoes"))*Inputs!$B$1+((Inputs!$G$5:$G$140&lt;&gt;"moeda")*(Inputs!$G$5:$G$140&lt;&gt;"acoes")))*INDEX(Inputs!$K$5:$AJ$140,0,MATCH(AJ$2,Inputs!$K$4:$AJ$4,0)))))</f>
        <v>#N/A</v>
      </c>
      <c r="AK30" s="6" t="e">
        <f>IF(ISNA(MATCH(AK$2,Inputs!$K$4:$AJ$4,0)),NA(),IF(SUMPRODUCT((Inputs!$A$5:$A$140=$B30)*ISNUMBER(INDEX(Inputs!$K$5:$AJ$140,0,MATCH(AK$2,Inputs!$K$4:$AJ$4,0))))+SUMPRODUCT((Inputs!$C$5:$C$140=$B30)*ISNUMBER(INDEX(Inputs!$K$5:$AJ$140,0,MATCH(AK$2,Inputs!$K$4:$AJ$4,0))))+SUMPRODUCT((Inputs!$E$5:$E$140=$B30)*ISNUMBER(INDEX(Inputs!$K$5:$AJ$140,0,MATCH(AK$2,Inputs!$K$4:$AJ$4,0))))=0,NA(),SUMPRODUCT((Inputs!$A$5:$A$140=$B30)*Inputs!$B$5:$B$140*(((Inputs!$G$5:$G$140="moeda")+(Inputs!$G$5:$G$140="acoes"))*Inputs!$B$1+((Inputs!$G$5:$G$140&lt;&gt;"moeda")*(Inputs!$G$5:$G$140&lt;&gt;"acoes")))*INDEX(Inputs!$K$5:$AJ$140,0,MATCH(AK$2,Inputs!$K$4:$AJ$4,0)))+SUMPRODUCT((Inputs!$C$5:$C$140=$B30)*Inputs!$D$5:$D$140*(((Inputs!$G$5:$G$140="moeda")+(Inputs!$G$5:$G$140="acoes"))*Inputs!$B$1+((Inputs!$G$5:$G$140&lt;&gt;"moeda")*(Inputs!$G$5:$G$140&lt;&gt;"acoes")))*INDEX(Inputs!$K$5:$AJ$140,0,MATCH(AK$2,Inputs!$K$4:$AJ$4,0)))+SUMPRODUCT((Inputs!$E$5:$E$140=$B30)*Inputs!$F$5:$F$140*(((Inputs!$G$5:$G$140="moeda")+(Inputs!$G$5:$G$140="acoes"))*Inputs!$B$1+((Inputs!$G$5:$G$140&lt;&gt;"moeda")*(Inputs!$G$5:$G$140&lt;&gt;"acoes")))*INDEX(Inputs!$K$5:$AJ$140,0,MATCH(AK$2,Inputs!$K$4:$AJ$4,0)))))</f>
        <v>#N/A</v>
      </c>
      <c r="AL30" s="3" t="e">
        <f>AK30</f>
        <v>#N/A</v>
      </c>
    </row>
    <row r="31">
      <c r="B31" s="46" t="n">
        <v>26</v>
      </c>
      <c r="C31" s="26" t="inlineStr">
        <is>
          <t>Other current liabilities (non-debt)</t>
        </is>
      </c>
      <c r="D31" s="6" t="e">
        <f>IF(ISNA(MATCH(D$2,Inputs!$K$4:$AJ$4,0)),NA(),IF(SUMPRODUCT((Inputs!$A$5:$A$140=$B31)*ISNUMBER(INDEX(Inputs!$K$5:$AJ$140,0,MATCH(D$2,Inputs!$K$4:$AJ$4,0))))+SUMPRODUCT((Inputs!$C$5:$C$140=$B31)*ISNUMBER(INDEX(Inputs!$K$5:$AJ$140,0,MATCH(D$2,Inputs!$K$4:$AJ$4,0))))+SUMPRODUCT((Inputs!$E$5:$E$140=$B31)*ISNUMBER(INDEX(Inputs!$K$5:$AJ$140,0,MATCH(D$2,Inputs!$K$4:$AJ$4,0))))=0,NA(),SUMPRODUCT((Inputs!$A$5:$A$140=$B31)*Inputs!$B$5:$B$140*(((Inputs!$G$5:$G$140="moeda")+(Inputs!$G$5:$G$140="acoes"))*Inputs!$B$1+((Inputs!$G$5:$G$140&lt;&gt;"moeda")*(Inputs!$G$5:$G$140&lt;&gt;"acoes")))*INDEX(Inputs!$K$5:$AJ$140,0,MATCH(D$2,Inputs!$K$4:$AJ$4,0)))+SUMPRODUCT((Inputs!$C$5:$C$140=$B31)*Inputs!$D$5:$D$140*(((Inputs!$G$5:$G$140="moeda")+(Inputs!$G$5:$G$140="acoes"))*Inputs!$B$1+((Inputs!$G$5:$G$140&lt;&gt;"moeda")*(Inputs!$G$5:$G$140&lt;&gt;"acoes")))*INDEX(Inputs!$K$5:$AJ$140,0,MATCH(D$2,Inputs!$K$4:$AJ$4,0)))+SUMPRODUCT((Inputs!$E$5:$E$140=$B31)*Inputs!$F$5:$F$140*(((Inputs!$G$5:$G$140="moeda")+(Inputs!$G$5:$G$140="acoes"))*Inputs!$B$1+((Inputs!$G$5:$G$140&lt;&gt;"moeda")*(Inputs!$G$5:$G$140&lt;&gt;"acoes")))*INDEX(Inputs!$K$5:$AJ$140,0,MATCH(D$2,Inputs!$K$4:$AJ$4,0)))))</f>
        <v>#N/A</v>
      </c>
      <c r="E31" s="6" t="e">
        <f>IF(ISNA(MATCH(E$2,Inputs!$K$4:$AJ$4,0)),NA(),IF(SUMPRODUCT((Inputs!$A$5:$A$140=$B31)*ISNUMBER(INDEX(Inputs!$K$5:$AJ$140,0,MATCH(E$2,Inputs!$K$4:$AJ$4,0))))+SUMPRODUCT((Inputs!$C$5:$C$140=$B31)*ISNUMBER(INDEX(Inputs!$K$5:$AJ$140,0,MATCH(E$2,Inputs!$K$4:$AJ$4,0))))+SUMPRODUCT((Inputs!$E$5:$E$140=$B31)*ISNUMBER(INDEX(Inputs!$K$5:$AJ$140,0,MATCH(E$2,Inputs!$K$4:$AJ$4,0))))=0,NA(),SUMPRODUCT((Inputs!$A$5:$A$140=$B31)*Inputs!$B$5:$B$140*(((Inputs!$G$5:$G$140="moeda")+(Inputs!$G$5:$G$140="acoes"))*Inputs!$B$1+((Inputs!$G$5:$G$140&lt;&gt;"moeda")*(Inputs!$G$5:$G$140&lt;&gt;"acoes")))*INDEX(Inputs!$K$5:$AJ$140,0,MATCH(E$2,Inputs!$K$4:$AJ$4,0)))+SUMPRODUCT((Inputs!$C$5:$C$140=$B31)*Inputs!$D$5:$D$140*(((Inputs!$G$5:$G$140="moeda")+(Inputs!$G$5:$G$140="acoes"))*Inputs!$B$1+((Inputs!$G$5:$G$140&lt;&gt;"moeda")*(Inputs!$G$5:$G$140&lt;&gt;"acoes")))*INDEX(Inputs!$K$5:$AJ$140,0,MATCH(E$2,Inputs!$K$4:$AJ$4,0)))+SUMPRODUCT((Inputs!$E$5:$E$140=$B31)*Inputs!$F$5:$F$140*(((Inputs!$G$5:$G$140="moeda")+(Inputs!$G$5:$G$140="acoes"))*Inputs!$B$1+((Inputs!$G$5:$G$140&lt;&gt;"moeda")*(Inputs!$G$5:$G$140&lt;&gt;"acoes")))*INDEX(Inputs!$K$5:$AJ$140,0,MATCH(E$2,Inputs!$K$4:$AJ$4,0)))))</f>
        <v>#N/A</v>
      </c>
      <c r="F31" s="6" t="e">
        <f>IF(ISNA(MATCH(F$2,Inputs!$K$4:$AJ$4,0)),NA(),IF(SUMPRODUCT((Inputs!$A$5:$A$140=$B31)*ISNUMBER(INDEX(Inputs!$K$5:$AJ$140,0,MATCH(F$2,Inputs!$K$4:$AJ$4,0))))+SUMPRODUCT((Inputs!$C$5:$C$140=$B31)*ISNUMBER(INDEX(Inputs!$K$5:$AJ$140,0,MATCH(F$2,Inputs!$K$4:$AJ$4,0))))+SUMPRODUCT((Inputs!$E$5:$E$140=$B31)*ISNUMBER(INDEX(Inputs!$K$5:$AJ$140,0,MATCH(F$2,Inputs!$K$4:$AJ$4,0))))=0,NA(),SUMPRODUCT((Inputs!$A$5:$A$140=$B31)*Inputs!$B$5:$B$140*(((Inputs!$G$5:$G$140="moeda")+(Inputs!$G$5:$G$140="acoes"))*Inputs!$B$1+((Inputs!$G$5:$G$140&lt;&gt;"moeda")*(Inputs!$G$5:$G$140&lt;&gt;"acoes")))*INDEX(Inputs!$K$5:$AJ$140,0,MATCH(F$2,Inputs!$K$4:$AJ$4,0)))+SUMPRODUCT((Inputs!$C$5:$C$140=$B31)*Inputs!$D$5:$D$140*(((Inputs!$G$5:$G$140="moeda")+(Inputs!$G$5:$G$140="acoes"))*Inputs!$B$1+((Inputs!$G$5:$G$140&lt;&gt;"moeda")*(Inputs!$G$5:$G$140&lt;&gt;"acoes")))*INDEX(Inputs!$K$5:$AJ$140,0,MATCH(F$2,Inputs!$K$4:$AJ$4,0)))+SUMPRODUCT((Inputs!$E$5:$E$140=$B31)*Inputs!$F$5:$F$140*(((Inputs!$G$5:$G$140="moeda")+(Inputs!$G$5:$G$140="acoes"))*Inputs!$B$1+((Inputs!$G$5:$G$140&lt;&gt;"moeda")*(Inputs!$G$5:$G$140&lt;&gt;"acoes")))*INDEX(Inputs!$K$5:$AJ$140,0,MATCH(F$2,Inputs!$K$4:$AJ$4,0)))))</f>
        <v>#N/A</v>
      </c>
      <c r="G31" s="6" t="e">
        <f>IF(ISNA(MATCH(G$2,Inputs!$K$4:$AJ$4,0)),NA(),IF(SUMPRODUCT((Inputs!$A$5:$A$140=$B31)*ISNUMBER(INDEX(Inputs!$K$5:$AJ$140,0,MATCH(G$2,Inputs!$K$4:$AJ$4,0))))+SUMPRODUCT((Inputs!$C$5:$C$140=$B31)*ISNUMBER(INDEX(Inputs!$K$5:$AJ$140,0,MATCH(G$2,Inputs!$K$4:$AJ$4,0))))+SUMPRODUCT((Inputs!$E$5:$E$140=$B31)*ISNUMBER(INDEX(Inputs!$K$5:$AJ$140,0,MATCH(G$2,Inputs!$K$4:$AJ$4,0))))=0,NA(),SUMPRODUCT((Inputs!$A$5:$A$140=$B31)*Inputs!$B$5:$B$140*(((Inputs!$G$5:$G$140="moeda")+(Inputs!$G$5:$G$140="acoes"))*Inputs!$B$1+((Inputs!$G$5:$G$140&lt;&gt;"moeda")*(Inputs!$G$5:$G$140&lt;&gt;"acoes")))*INDEX(Inputs!$K$5:$AJ$140,0,MATCH(G$2,Inputs!$K$4:$AJ$4,0)))+SUMPRODUCT((Inputs!$C$5:$C$140=$B31)*Inputs!$D$5:$D$140*(((Inputs!$G$5:$G$140="moeda")+(Inputs!$G$5:$G$140="acoes"))*Inputs!$B$1+((Inputs!$G$5:$G$140&lt;&gt;"moeda")*(Inputs!$G$5:$G$140&lt;&gt;"acoes")))*INDEX(Inputs!$K$5:$AJ$140,0,MATCH(G$2,Inputs!$K$4:$AJ$4,0)))+SUMPRODUCT((Inputs!$E$5:$E$140=$B31)*Inputs!$F$5:$F$140*(((Inputs!$G$5:$G$140="moeda")+(Inputs!$G$5:$G$140="acoes"))*Inputs!$B$1+((Inputs!$G$5:$G$140&lt;&gt;"moeda")*(Inputs!$G$5:$G$140&lt;&gt;"acoes")))*INDEX(Inputs!$K$5:$AJ$140,0,MATCH(G$2,Inputs!$K$4:$AJ$4,0)))))</f>
        <v>#N/A</v>
      </c>
      <c r="H31" s="3" t="e">
        <f>G31</f>
        <v>#N/A</v>
      </c>
      <c r="I31" s="6" t="e">
        <f>IF(ISNA(MATCH(I$2,Inputs!$K$4:$AJ$4,0)),NA(),IF(SUMPRODUCT((Inputs!$A$5:$A$140=$B31)*ISNUMBER(INDEX(Inputs!$K$5:$AJ$140,0,MATCH(I$2,Inputs!$K$4:$AJ$4,0))))+SUMPRODUCT((Inputs!$C$5:$C$140=$B31)*ISNUMBER(INDEX(Inputs!$K$5:$AJ$140,0,MATCH(I$2,Inputs!$K$4:$AJ$4,0))))+SUMPRODUCT((Inputs!$E$5:$E$140=$B31)*ISNUMBER(INDEX(Inputs!$K$5:$AJ$140,0,MATCH(I$2,Inputs!$K$4:$AJ$4,0))))=0,NA(),SUMPRODUCT((Inputs!$A$5:$A$140=$B31)*Inputs!$B$5:$B$140*(((Inputs!$G$5:$G$140="moeda")+(Inputs!$G$5:$G$140="acoes"))*Inputs!$B$1+((Inputs!$G$5:$G$140&lt;&gt;"moeda")*(Inputs!$G$5:$G$140&lt;&gt;"acoes")))*INDEX(Inputs!$K$5:$AJ$140,0,MATCH(I$2,Inputs!$K$4:$AJ$4,0)))+SUMPRODUCT((Inputs!$C$5:$C$140=$B31)*Inputs!$D$5:$D$140*(((Inputs!$G$5:$G$140="moeda")+(Inputs!$G$5:$G$140="acoes"))*Inputs!$B$1+((Inputs!$G$5:$G$140&lt;&gt;"moeda")*(Inputs!$G$5:$G$140&lt;&gt;"acoes")))*INDEX(Inputs!$K$5:$AJ$140,0,MATCH(I$2,Inputs!$K$4:$AJ$4,0)))+SUMPRODUCT((Inputs!$E$5:$E$140=$B31)*Inputs!$F$5:$F$140*(((Inputs!$G$5:$G$140="moeda")+(Inputs!$G$5:$G$140="acoes"))*Inputs!$B$1+((Inputs!$G$5:$G$140&lt;&gt;"moeda")*(Inputs!$G$5:$G$140&lt;&gt;"acoes")))*INDEX(Inputs!$K$5:$AJ$140,0,MATCH(I$2,Inputs!$K$4:$AJ$4,0)))))</f>
        <v>#N/A</v>
      </c>
      <c r="J31" s="6" t="e">
        <f>IF(ISNA(MATCH(J$2,Inputs!$K$4:$AJ$4,0)),NA(),IF(SUMPRODUCT((Inputs!$A$5:$A$140=$B31)*ISNUMBER(INDEX(Inputs!$K$5:$AJ$140,0,MATCH(J$2,Inputs!$K$4:$AJ$4,0))))+SUMPRODUCT((Inputs!$C$5:$C$140=$B31)*ISNUMBER(INDEX(Inputs!$K$5:$AJ$140,0,MATCH(J$2,Inputs!$K$4:$AJ$4,0))))+SUMPRODUCT((Inputs!$E$5:$E$140=$B31)*ISNUMBER(INDEX(Inputs!$K$5:$AJ$140,0,MATCH(J$2,Inputs!$K$4:$AJ$4,0))))=0,NA(),SUMPRODUCT((Inputs!$A$5:$A$140=$B31)*Inputs!$B$5:$B$140*(((Inputs!$G$5:$G$140="moeda")+(Inputs!$G$5:$G$140="acoes"))*Inputs!$B$1+((Inputs!$G$5:$G$140&lt;&gt;"moeda")*(Inputs!$G$5:$G$140&lt;&gt;"acoes")))*INDEX(Inputs!$K$5:$AJ$140,0,MATCH(J$2,Inputs!$K$4:$AJ$4,0)))+SUMPRODUCT((Inputs!$C$5:$C$140=$B31)*Inputs!$D$5:$D$140*(((Inputs!$G$5:$G$140="moeda")+(Inputs!$G$5:$G$140="acoes"))*Inputs!$B$1+((Inputs!$G$5:$G$140&lt;&gt;"moeda")*(Inputs!$G$5:$G$140&lt;&gt;"acoes")))*INDEX(Inputs!$K$5:$AJ$140,0,MATCH(J$2,Inputs!$K$4:$AJ$4,0)))+SUMPRODUCT((Inputs!$E$5:$E$140=$B31)*Inputs!$F$5:$F$140*(((Inputs!$G$5:$G$140="moeda")+(Inputs!$G$5:$G$140="acoes"))*Inputs!$B$1+((Inputs!$G$5:$G$140&lt;&gt;"moeda")*(Inputs!$G$5:$G$140&lt;&gt;"acoes")))*INDEX(Inputs!$K$5:$AJ$140,0,MATCH(J$2,Inputs!$K$4:$AJ$4,0)))))</f>
        <v>#N/A</v>
      </c>
      <c r="K31" s="6" t="e">
        <f>IF(ISNA(MATCH(K$2,Inputs!$K$4:$AJ$4,0)),NA(),IF(SUMPRODUCT((Inputs!$A$5:$A$140=$B31)*ISNUMBER(INDEX(Inputs!$K$5:$AJ$140,0,MATCH(K$2,Inputs!$K$4:$AJ$4,0))))+SUMPRODUCT((Inputs!$C$5:$C$140=$B31)*ISNUMBER(INDEX(Inputs!$K$5:$AJ$140,0,MATCH(K$2,Inputs!$K$4:$AJ$4,0))))+SUMPRODUCT((Inputs!$E$5:$E$140=$B31)*ISNUMBER(INDEX(Inputs!$K$5:$AJ$140,0,MATCH(K$2,Inputs!$K$4:$AJ$4,0))))=0,NA(),SUMPRODUCT((Inputs!$A$5:$A$140=$B31)*Inputs!$B$5:$B$140*(((Inputs!$G$5:$G$140="moeda")+(Inputs!$G$5:$G$140="acoes"))*Inputs!$B$1+((Inputs!$G$5:$G$140&lt;&gt;"moeda")*(Inputs!$G$5:$G$140&lt;&gt;"acoes")))*INDEX(Inputs!$K$5:$AJ$140,0,MATCH(K$2,Inputs!$K$4:$AJ$4,0)))+SUMPRODUCT((Inputs!$C$5:$C$140=$B31)*Inputs!$D$5:$D$140*(((Inputs!$G$5:$G$140="moeda")+(Inputs!$G$5:$G$140="acoes"))*Inputs!$B$1+((Inputs!$G$5:$G$140&lt;&gt;"moeda")*(Inputs!$G$5:$G$140&lt;&gt;"acoes")))*INDEX(Inputs!$K$5:$AJ$140,0,MATCH(K$2,Inputs!$K$4:$AJ$4,0)))+SUMPRODUCT((Inputs!$E$5:$E$140=$B31)*Inputs!$F$5:$F$140*(((Inputs!$G$5:$G$140="moeda")+(Inputs!$G$5:$G$140="acoes"))*Inputs!$B$1+((Inputs!$G$5:$G$140&lt;&gt;"moeda")*(Inputs!$G$5:$G$140&lt;&gt;"acoes")))*INDEX(Inputs!$K$5:$AJ$140,0,MATCH(K$2,Inputs!$K$4:$AJ$4,0)))))</f>
        <v>#N/A</v>
      </c>
      <c r="L31" s="6" t="e">
        <f>IF(ISNA(MATCH(L$2,Inputs!$K$4:$AJ$4,0)),NA(),IF(SUMPRODUCT((Inputs!$A$5:$A$140=$B31)*ISNUMBER(INDEX(Inputs!$K$5:$AJ$140,0,MATCH(L$2,Inputs!$K$4:$AJ$4,0))))+SUMPRODUCT((Inputs!$C$5:$C$140=$B31)*ISNUMBER(INDEX(Inputs!$K$5:$AJ$140,0,MATCH(L$2,Inputs!$K$4:$AJ$4,0))))+SUMPRODUCT((Inputs!$E$5:$E$140=$B31)*ISNUMBER(INDEX(Inputs!$K$5:$AJ$140,0,MATCH(L$2,Inputs!$K$4:$AJ$4,0))))=0,NA(),SUMPRODUCT((Inputs!$A$5:$A$140=$B31)*Inputs!$B$5:$B$140*(((Inputs!$G$5:$G$140="moeda")+(Inputs!$G$5:$G$140="acoes"))*Inputs!$B$1+((Inputs!$G$5:$G$140&lt;&gt;"moeda")*(Inputs!$G$5:$G$140&lt;&gt;"acoes")))*INDEX(Inputs!$K$5:$AJ$140,0,MATCH(L$2,Inputs!$K$4:$AJ$4,0)))+SUMPRODUCT((Inputs!$C$5:$C$140=$B31)*Inputs!$D$5:$D$140*(((Inputs!$G$5:$G$140="moeda")+(Inputs!$G$5:$G$140="acoes"))*Inputs!$B$1+((Inputs!$G$5:$G$140&lt;&gt;"moeda")*(Inputs!$G$5:$G$140&lt;&gt;"acoes")))*INDEX(Inputs!$K$5:$AJ$140,0,MATCH(L$2,Inputs!$K$4:$AJ$4,0)))+SUMPRODUCT((Inputs!$E$5:$E$140=$B31)*Inputs!$F$5:$F$140*(((Inputs!$G$5:$G$140="moeda")+(Inputs!$G$5:$G$140="acoes"))*Inputs!$B$1+((Inputs!$G$5:$G$140&lt;&gt;"moeda")*(Inputs!$G$5:$G$140&lt;&gt;"acoes")))*INDEX(Inputs!$K$5:$AJ$140,0,MATCH(L$2,Inputs!$K$4:$AJ$4,0)))))</f>
        <v>#N/A</v>
      </c>
      <c r="M31" s="3" t="e">
        <f>L31</f>
        <v>#N/A</v>
      </c>
      <c r="N31" s="6" t="e">
        <f>IF(ISNA(MATCH(N$2,Inputs!$K$4:$AJ$4,0)),NA(),IF(SUMPRODUCT((Inputs!$A$5:$A$140=$B31)*ISNUMBER(INDEX(Inputs!$K$5:$AJ$140,0,MATCH(N$2,Inputs!$K$4:$AJ$4,0))))+SUMPRODUCT((Inputs!$C$5:$C$140=$B31)*ISNUMBER(INDEX(Inputs!$K$5:$AJ$140,0,MATCH(N$2,Inputs!$K$4:$AJ$4,0))))+SUMPRODUCT((Inputs!$E$5:$E$140=$B31)*ISNUMBER(INDEX(Inputs!$K$5:$AJ$140,0,MATCH(N$2,Inputs!$K$4:$AJ$4,0))))=0,NA(),SUMPRODUCT((Inputs!$A$5:$A$140=$B31)*Inputs!$B$5:$B$140*(((Inputs!$G$5:$G$140="moeda")+(Inputs!$G$5:$G$140="acoes"))*Inputs!$B$1+((Inputs!$G$5:$G$140&lt;&gt;"moeda")*(Inputs!$G$5:$G$140&lt;&gt;"acoes")))*INDEX(Inputs!$K$5:$AJ$140,0,MATCH(N$2,Inputs!$K$4:$AJ$4,0)))+SUMPRODUCT((Inputs!$C$5:$C$140=$B31)*Inputs!$D$5:$D$140*(((Inputs!$G$5:$G$140="moeda")+(Inputs!$G$5:$G$140="acoes"))*Inputs!$B$1+((Inputs!$G$5:$G$140&lt;&gt;"moeda")*(Inputs!$G$5:$G$140&lt;&gt;"acoes")))*INDEX(Inputs!$K$5:$AJ$140,0,MATCH(N$2,Inputs!$K$4:$AJ$4,0)))+SUMPRODUCT((Inputs!$E$5:$E$140=$B31)*Inputs!$F$5:$F$140*(((Inputs!$G$5:$G$140="moeda")+(Inputs!$G$5:$G$140="acoes"))*Inputs!$B$1+((Inputs!$G$5:$G$140&lt;&gt;"moeda")*(Inputs!$G$5:$G$140&lt;&gt;"acoes")))*INDEX(Inputs!$K$5:$AJ$140,0,MATCH(N$2,Inputs!$K$4:$AJ$4,0)))))</f>
        <v>#N/A</v>
      </c>
      <c r="O31" s="6" t="e">
        <f>IF(ISNA(MATCH(O$2,Inputs!$K$4:$AJ$4,0)),NA(),IF(SUMPRODUCT((Inputs!$A$5:$A$140=$B31)*ISNUMBER(INDEX(Inputs!$K$5:$AJ$140,0,MATCH(O$2,Inputs!$K$4:$AJ$4,0))))+SUMPRODUCT((Inputs!$C$5:$C$140=$B31)*ISNUMBER(INDEX(Inputs!$K$5:$AJ$140,0,MATCH(O$2,Inputs!$K$4:$AJ$4,0))))+SUMPRODUCT((Inputs!$E$5:$E$140=$B31)*ISNUMBER(INDEX(Inputs!$K$5:$AJ$140,0,MATCH(O$2,Inputs!$K$4:$AJ$4,0))))=0,NA(),SUMPRODUCT((Inputs!$A$5:$A$140=$B31)*Inputs!$B$5:$B$140*(((Inputs!$G$5:$G$140="moeda")+(Inputs!$G$5:$G$140="acoes"))*Inputs!$B$1+((Inputs!$G$5:$G$140&lt;&gt;"moeda")*(Inputs!$G$5:$G$140&lt;&gt;"acoes")))*INDEX(Inputs!$K$5:$AJ$140,0,MATCH(O$2,Inputs!$K$4:$AJ$4,0)))+SUMPRODUCT((Inputs!$C$5:$C$140=$B31)*Inputs!$D$5:$D$140*(((Inputs!$G$5:$G$140="moeda")+(Inputs!$G$5:$G$140="acoes"))*Inputs!$B$1+((Inputs!$G$5:$G$140&lt;&gt;"moeda")*(Inputs!$G$5:$G$140&lt;&gt;"acoes")))*INDEX(Inputs!$K$5:$AJ$140,0,MATCH(O$2,Inputs!$K$4:$AJ$4,0)))+SUMPRODUCT((Inputs!$E$5:$E$140=$B31)*Inputs!$F$5:$F$140*(((Inputs!$G$5:$G$140="moeda")+(Inputs!$G$5:$G$140="acoes"))*Inputs!$B$1+((Inputs!$G$5:$G$140&lt;&gt;"moeda")*(Inputs!$G$5:$G$140&lt;&gt;"acoes")))*INDEX(Inputs!$K$5:$AJ$140,0,MATCH(O$2,Inputs!$K$4:$AJ$4,0)))))</f>
        <v>#N/A</v>
      </c>
      <c r="P31" s="6" t="e">
        <f>IF(ISNA(MATCH(P$2,Inputs!$K$4:$AJ$4,0)),NA(),IF(SUMPRODUCT((Inputs!$A$5:$A$140=$B31)*ISNUMBER(INDEX(Inputs!$K$5:$AJ$140,0,MATCH(P$2,Inputs!$K$4:$AJ$4,0))))+SUMPRODUCT((Inputs!$C$5:$C$140=$B31)*ISNUMBER(INDEX(Inputs!$K$5:$AJ$140,0,MATCH(P$2,Inputs!$K$4:$AJ$4,0))))+SUMPRODUCT((Inputs!$E$5:$E$140=$B31)*ISNUMBER(INDEX(Inputs!$K$5:$AJ$140,0,MATCH(P$2,Inputs!$K$4:$AJ$4,0))))=0,NA(),SUMPRODUCT((Inputs!$A$5:$A$140=$B31)*Inputs!$B$5:$B$140*(((Inputs!$G$5:$G$140="moeda")+(Inputs!$G$5:$G$140="acoes"))*Inputs!$B$1+((Inputs!$G$5:$G$140&lt;&gt;"moeda")*(Inputs!$G$5:$G$140&lt;&gt;"acoes")))*INDEX(Inputs!$K$5:$AJ$140,0,MATCH(P$2,Inputs!$K$4:$AJ$4,0)))+SUMPRODUCT((Inputs!$C$5:$C$140=$B31)*Inputs!$D$5:$D$140*(((Inputs!$G$5:$G$140="moeda")+(Inputs!$G$5:$G$140="acoes"))*Inputs!$B$1+((Inputs!$G$5:$G$140&lt;&gt;"moeda")*(Inputs!$G$5:$G$140&lt;&gt;"acoes")))*INDEX(Inputs!$K$5:$AJ$140,0,MATCH(P$2,Inputs!$K$4:$AJ$4,0)))+SUMPRODUCT((Inputs!$E$5:$E$140=$B31)*Inputs!$F$5:$F$140*(((Inputs!$G$5:$G$140="moeda")+(Inputs!$G$5:$G$140="acoes"))*Inputs!$B$1+((Inputs!$G$5:$G$140&lt;&gt;"moeda")*(Inputs!$G$5:$G$140&lt;&gt;"acoes")))*INDEX(Inputs!$K$5:$AJ$140,0,MATCH(P$2,Inputs!$K$4:$AJ$4,0)))))</f>
        <v>#N/A</v>
      </c>
      <c r="Q31" s="6" t="e">
        <f>IF(ISNA(MATCH(Q$2,Inputs!$K$4:$AJ$4,0)),NA(),IF(SUMPRODUCT((Inputs!$A$5:$A$140=$B31)*ISNUMBER(INDEX(Inputs!$K$5:$AJ$140,0,MATCH(Q$2,Inputs!$K$4:$AJ$4,0))))+SUMPRODUCT((Inputs!$C$5:$C$140=$B31)*ISNUMBER(INDEX(Inputs!$K$5:$AJ$140,0,MATCH(Q$2,Inputs!$K$4:$AJ$4,0))))+SUMPRODUCT((Inputs!$E$5:$E$140=$B31)*ISNUMBER(INDEX(Inputs!$K$5:$AJ$140,0,MATCH(Q$2,Inputs!$K$4:$AJ$4,0))))=0,NA(),SUMPRODUCT((Inputs!$A$5:$A$140=$B31)*Inputs!$B$5:$B$140*(((Inputs!$G$5:$G$140="moeda")+(Inputs!$G$5:$G$140="acoes"))*Inputs!$B$1+((Inputs!$G$5:$G$140&lt;&gt;"moeda")*(Inputs!$G$5:$G$140&lt;&gt;"acoes")))*INDEX(Inputs!$K$5:$AJ$140,0,MATCH(Q$2,Inputs!$K$4:$AJ$4,0)))+SUMPRODUCT((Inputs!$C$5:$C$140=$B31)*Inputs!$D$5:$D$140*(((Inputs!$G$5:$G$140="moeda")+(Inputs!$G$5:$G$140="acoes"))*Inputs!$B$1+((Inputs!$G$5:$G$140&lt;&gt;"moeda")*(Inputs!$G$5:$G$140&lt;&gt;"acoes")))*INDEX(Inputs!$K$5:$AJ$140,0,MATCH(Q$2,Inputs!$K$4:$AJ$4,0)))+SUMPRODUCT((Inputs!$E$5:$E$140=$B31)*Inputs!$F$5:$F$140*(((Inputs!$G$5:$G$140="moeda")+(Inputs!$G$5:$G$140="acoes"))*Inputs!$B$1+((Inputs!$G$5:$G$140&lt;&gt;"moeda")*(Inputs!$G$5:$G$140&lt;&gt;"acoes")))*INDEX(Inputs!$K$5:$AJ$140,0,MATCH(Q$2,Inputs!$K$4:$AJ$4,0)))))</f>
        <v>#N/A</v>
      </c>
      <c r="R31" s="3" t="e">
        <f>Q31</f>
        <v>#N/A</v>
      </c>
      <c r="S31" s="6" t="e">
        <f>IF(ISNA(MATCH(S$2,Inputs!$K$4:$AJ$4,0)),NA(),IF(SUMPRODUCT((Inputs!$A$5:$A$140=$B31)*ISNUMBER(INDEX(Inputs!$K$5:$AJ$140,0,MATCH(S$2,Inputs!$K$4:$AJ$4,0))))+SUMPRODUCT((Inputs!$C$5:$C$140=$B31)*ISNUMBER(INDEX(Inputs!$K$5:$AJ$140,0,MATCH(S$2,Inputs!$K$4:$AJ$4,0))))+SUMPRODUCT((Inputs!$E$5:$E$140=$B31)*ISNUMBER(INDEX(Inputs!$K$5:$AJ$140,0,MATCH(S$2,Inputs!$K$4:$AJ$4,0))))=0,NA(),SUMPRODUCT((Inputs!$A$5:$A$140=$B31)*Inputs!$B$5:$B$140*(((Inputs!$G$5:$G$140="moeda")+(Inputs!$G$5:$G$140="acoes"))*Inputs!$B$1+((Inputs!$G$5:$G$140&lt;&gt;"moeda")*(Inputs!$G$5:$G$140&lt;&gt;"acoes")))*INDEX(Inputs!$K$5:$AJ$140,0,MATCH(S$2,Inputs!$K$4:$AJ$4,0)))+SUMPRODUCT((Inputs!$C$5:$C$140=$B31)*Inputs!$D$5:$D$140*(((Inputs!$G$5:$G$140="moeda")+(Inputs!$G$5:$G$140="acoes"))*Inputs!$B$1+((Inputs!$G$5:$G$140&lt;&gt;"moeda")*(Inputs!$G$5:$G$140&lt;&gt;"acoes")))*INDEX(Inputs!$K$5:$AJ$140,0,MATCH(S$2,Inputs!$K$4:$AJ$4,0)))+SUMPRODUCT((Inputs!$E$5:$E$140=$B31)*Inputs!$F$5:$F$140*(((Inputs!$G$5:$G$140="moeda")+(Inputs!$G$5:$G$140="acoes"))*Inputs!$B$1+((Inputs!$G$5:$G$140&lt;&gt;"moeda")*(Inputs!$G$5:$G$140&lt;&gt;"acoes")))*INDEX(Inputs!$K$5:$AJ$140,0,MATCH(S$2,Inputs!$K$4:$AJ$4,0)))))</f>
        <v>#N/A</v>
      </c>
      <c r="T31" s="6" t="e">
        <f>IF(ISNA(MATCH(T$2,Inputs!$K$4:$AJ$4,0)),NA(),IF(SUMPRODUCT((Inputs!$A$5:$A$140=$B31)*ISNUMBER(INDEX(Inputs!$K$5:$AJ$140,0,MATCH(T$2,Inputs!$K$4:$AJ$4,0))))+SUMPRODUCT((Inputs!$C$5:$C$140=$B31)*ISNUMBER(INDEX(Inputs!$K$5:$AJ$140,0,MATCH(T$2,Inputs!$K$4:$AJ$4,0))))+SUMPRODUCT((Inputs!$E$5:$E$140=$B31)*ISNUMBER(INDEX(Inputs!$K$5:$AJ$140,0,MATCH(T$2,Inputs!$K$4:$AJ$4,0))))=0,NA(),SUMPRODUCT((Inputs!$A$5:$A$140=$B31)*Inputs!$B$5:$B$140*(((Inputs!$G$5:$G$140="moeda")+(Inputs!$G$5:$G$140="acoes"))*Inputs!$B$1+((Inputs!$G$5:$G$140&lt;&gt;"moeda")*(Inputs!$G$5:$G$140&lt;&gt;"acoes")))*INDEX(Inputs!$K$5:$AJ$140,0,MATCH(T$2,Inputs!$K$4:$AJ$4,0)))+SUMPRODUCT((Inputs!$C$5:$C$140=$B31)*Inputs!$D$5:$D$140*(((Inputs!$G$5:$G$140="moeda")+(Inputs!$G$5:$G$140="acoes"))*Inputs!$B$1+((Inputs!$G$5:$G$140&lt;&gt;"moeda")*(Inputs!$G$5:$G$140&lt;&gt;"acoes")))*INDEX(Inputs!$K$5:$AJ$140,0,MATCH(T$2,Inputs!$K$4:$AJ$4,0)))+SUMPRODUCT((Inputs!$E$5:$E$140=$B31)*Inputs!$F$5:$F$140*(((Inputs!$G$5:$G$140="moeda")+(Inputs!$G$5:$G$140="acoes"))*Inputs!$B$1+((Inputs!$G$5:$G$140&lt;&gt;"moeda")*(Inputs!$G$5:$G$140&lt;&gt;"acoes")))*INDEX(Inputs!$K$5:$AJ$140,0,MATCH(T$2,Inputs!$K$4:$AJ$4,0)))))</f>
        <v>#N/A</v>
      </c>
      <c r="U31" s="6" t="e">
        <f>IF(ISNA(MATCH(U$2,Inputs!$K$4:$AJ$4,0)),NA(),IF(SUMPRODUCT((Inputs!$A$5:$A$140=$B31)*ISNUMBER(INDEX(Inputs!$K$5:$AJ$140,0,MATCH(U$2,Inputs!$K$4:$AJ$4,0))))+SUMPRODUCT((Inputs!$C$5:$C$140=$B31)*ISNUMBER(INDEX(Inputs!$K$5:$AJ$140,0,MATCH(U$2,Inputs!$K$4:$AJ$4,0))))+SUMPRODUCT((Inputs!$E$5:$E$140=$B31)*ISNUMBER(INDEX(Inputs!$K$5:$AJ$140,0,MATCH(U$2,Inputs!$K$4:$AJ$4,0))))=0,NA(),SUMPRODUCT((Inputs!$A$5:$A$140=$B31)*Inputs!$B$5:$B$140*(((Inputs!$G$5:$G$140="moeda")+(Inputs!$G$5:$G$140="acoes"))*Inputs!$B$1+((Inputs!$G$5:$G$140&lt;&gt;"moeda")*(Inputs!$G$5:$G$140&lt;&gt;"acoes")))*INDEX(Inputs!$K$5:$AJ$140,0,MATCH(U$2,Inputs!$K$4:$AJ$4,0)))+SUMPRODUCT((Inputs!$C$5:$C$140=$B31)*Inputs!$D$5:$D$140*(((Inputs!$G$5:$G$140="moeda")+(Inputs!$G$5:$G$140="acoes"))*Inputs!$B$1+((Inputs!$G$5:$G$140&lt;&gt;"moeda")*(Inputs!$G$5:$G$140&lt;&gt;"acoes")))*INDEX(Inputs!$K$5:$AJ$140,0,MATCH(U$2,Inputs!$K$4:$AJ$4,0)))+SUMPRODUCT((Inputs!$E$5:$E$140=$B31)*Inputs!$F$5:$F$140*(((Inputs!$G$5:$G$140="moeda")+(Inputs!$G$5:$G$140="acoes"))*Inputs!$B$1+((Inputs!$G$5:$G$140&lt;&gt;"moeda")*(Inputs!$G$5:$G$140&lt;&gt;"acoes")))*INDEX(Inputs!$K$5:$AJ$140,0,MATCH(U$2,Inputs!$K$4:$AJ$4,0)))))</f>
        <v>#N/A</v>
      </c>
      <c r="V31" s="6" t="e">
        <f>IF(ISNA(MATCH(V$2,Inputs!$K$4:$AJ$4,0)),NA(),IF(SUMPRODUCT((Inputs!$A$5:$A$140=$B31)*ISNUMBER(INDEX(Inputs!$K$5:$AJ$140,0,MATCH(V$2,Inputs!$K$4:$AJ$4,0))))+SUMPRODUCT((Inputs!$C$5:$C$140=$B31)*ISNUMBER(INDEX(Inputs!$K$5:$AJ$140,0,MATCH(V$2,Inputs!$K$4:$AJ$4,0))))+SUMPRODUCT((Inputs!$E$5:$E$140=$B31)*ISNUMBER(INDEX(Inputs!$K$5:$AJ$140,0,MATCH(V$2,Inputs!$K$4:$AJ$4,0))))=0,NA(),SUMPRODUCT((Inputs!$A$5:$A$140=$B31)*Inputs!$B$5:$B$140*(((Inputs!$G$5:$G$140="moeda")+(Inputs!$G$5:$G$140="acoes"))*Inputs!$B$1+((Inputs!$G$5:$G$140&lt;&gt;"moeda")*(Inputs!$G$5:$G$140&lt;&gt;"acoes")))*INDEX(Inputs!$K$5:$AJ$140,0,MATCH(V$2,Inputs!$K$4:$AJ$4,0)))+SUMPRODUCT((Inputs!$C$5:$C$140=$B31)*Inputs!$D$5:$D$140*(((Inputs!$G$5:$G$140="moeda")+(Inputs!$G$5:$G$140="acoes"))*Inputs!$B$1+((Inputs!$G$5:$G$140&lt;&gt;"moeda")*(Inputs!$G$5:$G$140&lt;&gt;"acoes")))*INDEX(Inputs!$K$5:$AJ$140,0,MATCH(V$2,Inputs!$K$4:$AJ$4,0)))+SUMPRODUCT((Inputs!$E$5:$E$140=$B31)*Inputs!$F$5:$F$140*(((Inputs!$G$5:$G$140="moeda")+(Inputs!$G$5:$G$140="acoes"))*Inputs!$B$1+((Inputs!$G$5:$G$140&lt;&gt;"moeda")*(Inputs!$G$5:$G$140&lt;&gt;"acoes")))*INDEX(Inputs!$K$5:$AJ$140,0,MATCH(V$2,Inputs!$K$4:$AJ$4,0)))))</f>
        <v>#N/A</v>
      </c>
      <c r="W31" s="3" t="e">
        <f>V31</f>
        <v>#N/A</v>
      </c>
      <c r="X31" s="6" t="e">
        <f>IF(ISNA(MATCH(X$2,Inputs!$K$4:$AJ$4,0)),NA(),IF(SUMPRODUCT((Inputs!$A$5:$A$140=$B31)*ISNUMBER(INDEX(Inputs!$K$5:$AJ$140,0,MATCH(X$2,Inputs!$K$4:$AJ$4,0))))+SUMPRODUCT((Inputs!$C$5:$C$140=$B31)*ISNUMBER(INDEX(Inputs!$K$5:$AJ$140,0,MATCH(X$2,Inputs!$K$4:$AJ$4,0))))+SUMPRODUCT((Inputs!$E$5:$E$140=$B31)*ISNUMBER(INDEX(Inputs!$K$5:$AJ$140,0,MATCH(X$2,Inputs!$K$4:$AJ$4,0))))=0,NA(),SUMPRODUCT((Inputs!$A$5:$A$140=$B31)*Inputs!$B$5:$B$140*(((Inputs!$G$5:$G$140="moeda")+(Inputs!$G$5:$G$140="acoes"))*Inputs!$B$1+((Inputs!$G$5:$G$140&lt;&gt;"moeda")*(Inputs!$G$5:$G$140&lt;&gt;"acoes")))*INDEX(Inputs!$K$5:$AJ$140,0,MATCH(X$2,Inputs!$K$4:$AJ$4,0)))+SUMPRODUCT((Inputs!$C$5:$C$140=$B31)*Inputs!$D$5:$D$140*(((Inputs!$G$5:$G$140="moeda")+(Inputs!$G$5:$G$140="acoes"))*Inputs!$B$1+((Inputs!$G$5:$G$140&lt;&gt;"moeda")*(Inputs!$G$5:$G$140&lt;&gt;"acoes")))*INDEX(Inputs!$K$5:$AJ$140,0,MATCH(X$2,Inputs!$K$4:$AJ$4,0)))+SUMPRODUCT((Inputs!$E$5:$E$140=$B31)*Inputs!$F$5:$F$140*(((Inputs!$G$5:$G$140="moeda")+(Inputs!$G$5:$G$140="acoes"))*Inputs!$B$1+((Inputs!$G$5:$G$140&lt;&gt;"moeda")*(Inputs!$G$5:$G$140&lt;&gt;"acoes")))*INDEX(Inputs!$K$5:$AJ$140,0,MATCH(X$2,Inputs!$K$4:$AJ$4,0)))))</f>
        <v>#N/A</v>
      </c>
      <c r="Y31" s="6" t="e">
        <f>IF(ISNA(MATCH(Y$2,Inputs!$K$4:$AJ$4,0)),NA(),IF(SUMPRODUCT((Inputs!$A$5:$A$140=$B31)*ISNUMBER(INDEX(Inputs!$K$5:$AJ$140,0,MATCH(Y$2,Inputs!$K$4:$AJ$4,0))))+SUMPRODUCT((Inputs!$C$5:$C$140=$B31)*ISNUMBER(INDEX(Inputs!$K$5:$AJ$140,0,MATCH(Y$2,Inputs!$K$4:$AJ$4,0))))+SUMPRODUCT((Inputs!$E$5:$E$140=$B31)*ISNUMBER(INDEX(Inputs!$K$5:$AJ$140,0,MATCH(Y$2,Inputs!$K$4:$AJ$4,0))))=0,NA(),SUMPRODUCT((Inputs!$A$5:$A$140=$B31)*Inputs!$B$5:$B$140*(((Inputs!$G$5:$G$140="moeda")+(Inputs!$G$5:$G$140="acoes"))*Inputs!$B$1+((Inputs!$G$5:$G$140&lt;&gt;"moeda")*(Inputs!$G$5:$G$140&lt;&gt;"acoes")))*INDEX(Inputs!$K$5:$AJ$140,0,MATCH(Y$2,Inputs!$K$4:$AJ$4,0)))+SUMPRODUCT((Inputs!$C$5:$C$140=$B31)*Inputs!$D$5:$D$140*(((Inputs!$G$5:$G$140="moeda")+(Inputs!$G$5:$G$140="acoes"))*Inputs!$B$1+((Inputs!$G$5:$G$140&lt;&gt;"moeda")*(Inputs!$G$5:$G$140&lt;&gt;"acoes")))*INDEX(Inputs!$K$5:$AJ$140,0,MATCH(Y$2,Inputs!$K$4:$AJ$4,0)))+SUMPRODUCT((Inputs!$E$5:$E$140=$B31)*Inputs!$F$5:$F$140*(((Inputs!$G$5:$G$140="moeda")+(Inputs!$G$5:$G$140="acoes"))*Inputs!$B$1+((Inputs!$G$5:$G$140&lt;&gt;"moeda")*(Inputs!$G$5:$G$140&lt;&gt;"acoes")))*INDEX(Inputs!$K$5:$AJ$140,0,MATCH(Y$2,Inputs!$K$4:$AJ$4,0)))))</f>
        <v>#N/A</v>
      </c>
      <c r="Z31" s="6" t="e">
        <f>IF(ISNA(MATCH(Z$2,Inputs!$K$4:$AJ$4,0)),NA(),IF(SUMPRODUCT((Inputs!$A$5:$A$140=$B31)*ISNUMBER(INDEX(Inputs!$K$5:$AJ$140,0,MATCH(Z$2,Inputs!$K$4:$AJ$4,0))))+SUMPRODUCT((Inputs!$C$5:$C$140=$B31)*ISNUMBER(INDEX(Inputs!$K$5:$AJ$140,0,MATCH(Z$2,Inputs!$K$4:$AJ$4,0))))+SUMPRODUCT((Inputs!$E$5:$E$140=$B31)*ISNUMBER(INDEX(Inputs!$K$5:$AJ$140,0,MATCH(Z$2,Inputs!$K$4:$AJ$4,0))))=0,NA(),SUMPRODUCT((Inputs!$A$5:$A$140=$B31)*Inputs!$B$5:$B$140*(((Inputs!$G$5:$G$140="moeda")+(Inputs!$G$5:$G$140="acoes"))*Inputs!$B$1+((Inputs!$G$5:$G$140&lt;&gt;"moeda")*(Inputs!$G$5:$G$140&lt;&gt;"acoes")))*INDEX(Inputs!$K$5:$AJ$140,0,MATCH(Z$2,Inputs!$K$4:$AJ$4,0)))+SUMPRODUCT((Inputs!$C$5:$C$140=$B31)*Inputs!$D$5:$D$140*(((Inputs!$G$5:$G$140="moeda")+(Inputs!$G$5:$G$140="acoes"))*Inputs!$B$1+((Inputs!$G$5:$G$140&lt;&gt;"moeda")*(Inputs!$G$5:$G$140&lt;&gt;"acoes")))*INDEX(Inputs!$K$5:$AJ$140,0,MATCH(Z$2,Inputs!$K$4:$AJ$4,0)))+SUMPRODUCT((Inputs!$E$5:$E$140=$B31)*Inputs!$F$5:$F$140*(((Inputs!$G$5:$G$140="moeda")+(Inputs!$G$5:$G$140="acoes"))*Inputs!$B$1+((Inputs!$G$5:$G$140&lt;&gt;"moeda")*(Inputs!$G$5:$G$140&lt;&gt;"acoes")))*INDEX(Inputs!$K$5:$AJ$140,0,MATCH(Z$2,Inputs!$K$4:$AJ$4,0)))))</f>
        <v>#N/A</v>
      </c>
      <c r="AA31" s="6" t="e">
        <f>IF(ISNA(MATCH(AA$2,Inputs!$K$4:$AJ$4,0)),NA(),IF(SUMPRODUCT((Inputs!$A$5:$A$140=$B31)*ISNUMBER(INDEX(Inputs!$K$5:$AJ$140,0,MATCH(AA$2,Inputs!$K$4:$AJ$4,0))))+SUMPRODUCT((Inputs!$C$5:$C$140=$B31)*ISNUMBER(INDEX(Inputs!$K$5:$AJ$140,0,MATCH(AA$2,Inputs!$K$4:$AJ$4,0))))+SUMPRODUCT((Inputs!$E$5:$E$140=$B31)*ISNUMBER(INDEX(Inputs!$K$5:$AJ$140,0,MATCH(AA$2,Inputs!$K$4:$AJ$4,0))))=0,NA(),SUMPRODUCT((Inputs!$A$5:$A$140=$B31)*Inputs!$B$5:$B$140*(((Inputs!$G$5:$G$140="moeda")+(Inputs!$G$5:$G$140="acoes"))*Inputs!$B$1+((Inputs!$G$5:$G$140&lt;&gt;"moeda")*(Inputs!$G$5:$G$140&lt;&gt;"acoes")))*INDEX(Inputs!$K$5:$AJ$140,0,MATCH(AA$2,Inputs!$K$4:$AJ$4,0)))+SUMPRODUCT((Inputs!$C$5:$C$140=$B31)*Inputs!$D$5:$D$140*(((Inputs!$G$5:$G$140="moeda")+(Inputs!$G$5:$G$140="acoes"))*Inputs!$B$1+((Inputs!$G$5:$G$140&lt;&gt;"moeda")*(Inputs!$G$5:$G$140&lt;&gt;"acoes")))*INDEX(Inputs!$K$5:$AJ$140,0,MATCH(AA$2,Inputs!$K$4:$AJ$4,0)))+SUMPRODUCT((Inputs!$E$5:$E$140=$B31)*Inputs!$F$5:$F$140*(((Inputs!$G$5:$G$140="moeda")+(Inputs!$G$5:$G$140="acoes"))*Inputs!$B$1+((Inputs!$G$5:$G$140&lt;&gt;"moeda")*(Inputs!$G$5:$G$140&lt;&gt;"acoes")))*INDEX(Inputs!$K$5:$AJ$140,0,MATCH(AA$2,Inputs!$K$4:$AJ$4,0)))))</f>
        <v>#N/A</v>
      </c>
      <c r="AB31" s="3" t="e">
        <f>AA31</f>
        <v>#N/A</v>
      </c>
      <c r="AC31" s="6" t="e">
        <f>IF(ISNA(MATCH(AC$2,Inputs!$K$4:$AJ$4,0)),NA(),IF(SUMPRODUCT((Inputs!$A$5:$A$140=$B31)*ISNUMBER(INDEX(Inputs!$K$5:$AJ$140,0,MATCH(AC$2,Inputs!$K$4:$AJ$4,0))))+SUMPRODUCT((Inputs!$C$5:$C$140=$B31)*ISNUMBER(INDEX(Inputs!$K$5:$AJ$140,0,MATCH(AC$2,Inputs!$K$4:$AJ$4,0))))+SUMPRODUCT((Inputs!$E$5:$E$140=$B31)*ISNUMBER(INDEX(Inputs!$K$5:$AJ$140,0,MATCH(AC$2,Inputs!$K$4:$AJ$4,0))))=0,NA(),SUMPRODUCT((Inputs!$A$5:$A$140=$B31)*Inputs!$B$5:$B$140*(((Inputs!$G$5:$G$140="moeda")+(Inputs!$G$5:$G$140="acoes"))*Inputs!$B$1+((Inputs!$G$5:$G$140&lt;&gt;"moeda")*(Inputs!$G$5:$G$140&lt;&gt;"acoes")))*INDEX(Inputs!$K$5:$AJ$140,0,MATCH(AC$2,Inputs!$K$4:$AJ$4,0)))+SUMPRODUCT((Inputs!$C$5:$C$140=$B31)*Inputs!$D$5:$D$140*(((Inputs!$G$5:$G$140="moeda")+(Inputs!$G$5:$G$140="acoes"))*Inputs!$B$1+((Inputs!$G$5:$G$140&lt;&gt;"moeda")*(Inputs!$G$5:$G$140&lt;&gt;"acoes")))*INDEX(Inputs!$K$5:$AJ$140,0,MATCH(AC$2,Inputs!$K$4:$AJ$4,0)))+SUMPRODUCT((Inputs!$E$5:$E$140=$B31)*Inputs!$F$5:$F$140*(((Inputs!$G$5:$G$140="moeda")+(Inputs!$G$5:$G$140="acoes"))*Inputs!$B$1+((Inputs!$G$5:$G$140&lt;&gt;"moeda")*(Inputs!$G$5:$G$140&lt;&gt;"acoes")))*INDEX(Inputs!$K$5:$AJ$140,0,MATCH(AC$2,Inputs!$K$4:$AJ$4,0)))))</f>
        <v>#N/A</v>
      </c>
      <c r="AD31" s="6" t="e">
        <f>IF(ISNA(MATCH(AD$2,Inputs!$K$4:$AJ$4,0)),NA(),IF(SUMPRODUCT((Inputs!$A$5:$A$140=$B31)*ISNUMBER(INDEX(Inputs!$K$5:$AJ$140,0,MATCH(AD$2,Inputs!$K$4:$AJ$4,0))))+SUMPRODUCT((Inputs!$C$5:$C$140=$B31)*ISNUMBER(INDEX(Inputs!$K$5:$AJ$140,0,MATCH(AD$2,Inputs!$K$4:$AJ$4,0))))+SUMPRODUCT((Inputs!$E$5:$E$140=$B31)*ISNUMBER(INDEX(Inputs!$K$5:$AJ$140,0,MATCH(AD$2,Inputs!$K$4:$AJ$4,0))))=0,NA(),SUMPRODUCT((Inputs!$A$5:$A$140=$B31)*Inputs!$B$5:$B$140*(((Inputs!$G$5:$G$140="moeda")+(Inputs!$G$5:$G$140="acoes"))*Inputs!$B$1+((Inputs!$G$5:$G$140&lt;&gt;"moeda")*(Inputs!$G$5:$G$140&lt;&gt;"acoes")))*INDEX(Inputs!$K$5:$AJ$140,0,MATCH(AD$2,Inputs!$K$4:$AJ$4,0)))+SUMPRODUCT((Inputs!$C$5:$C$140=$B31)*Inputs!$D$5:$D$140*(((Inputs!$G$5:$G$140="moeda")+(Inputs!$G$5:$G$140="acoes"))*Inputs!$B$1+((Inputs!$G$5:$G$140&lt;&gt;"moeda")*(Inputs!$G$5:$G$140&lt;&gt;"acoes")))*INDEX(Inputs!$K$5:$AJ$140,0,MATCH(AD$2,Inputs!$K$4:$AJ$4,0)))+SUMPRODUCT((Inputs!$E$5:$E$140=$B31)*Inputs!$F$5:$F$140*(((Inputs!$G$5:$G$140="moeda")+(Inputs!$G$5:$G$140="acoes"))*Inputs!$B$1+((Inputs!$G$5:$G$140&lt;&gt;"moeda")*(Inputs!$G$5:$G$140&lt;&gt;"acoes")))*INDEX(Inputs!$K$5:$AJ$140,0,MATCH(AD$2,Inputs!$K$4:$AJ$4,0)))))</f>
        <v>#N/A</v>
      </c>
      <c r="AE31" s="6" t="e">
        <f>IF(ISNA(MATCH(AE$2,Inputs!$K$4:$AJ$4,0)),NA(),IF(SUMPRODUCT((Inputs!$A$5:$A$140=$B31)*ISNUMBER(INDEX(Inputs!$K$5:$AJ$140,0,MATCH(AE$2,Inputs!$K$4:$AJ$4,0))))+SUMPRODUCT((Inputs!$C$5:$C$140=$B31)*ISNUMBER(INDEX(Inputs!$K$5:$AJ$140,0,MATCH(AE$2,Inputs!$K$4:$AJ$4,0))))+SUMPRODUCT((Inputs!$E$5:$E$140=$B31)*ISNUMBER(INDEX(Inputs!$K$5:$AJ$140,0,MATCH(AE$2,Inputs!$K$4:$AJ$4,0))))=0,NA(),SUMPRODUCT((Inputs!$A$5:$A$140=$B31)*Inputs!$B$5:$B$140*(((Inputs!$G$5:$G$140="moeda")+(Inputs!$G$5:$G$140="acoes"))*Inputs!$B$1+((Inputs!$G$5:$G$140&lt;&gt;"moeda")*(Inputs!$G$5:$G$140&lt;&gt;"acoes")))*INDEX(Inputs!$K$5:$AJ$140,0,MATCH(AE$2,Inputs!$K$4:$AJ$4,0)))+SUMPRODUCT((Inputs!$C$5:$C$140=$B31)*Inputs!$D$5:$D$140*(((Inputs!$G$5:$G$140="moeda")+(Inputs!$G$5:$G$140="acoes"))*Inputs!$B$1+((Inputs!$G$5:$G$140&lt;&gt;"moeda")*(Inputs!$G$5:$G$140&lt;&gt;"acoes")))*INDEX(Inputs!$K$5:$AJ$140,0,MATCH(AE$2,Inputs!$K$4:$AJ$4,0)))+SUMPRODUCT((Inputs!$E$5:$E$140=$B31)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31" s="6" t="e">
        <f>IF(ISNA(MATCH(AF$2,Inputs!$K$4:$AJ$4,0)),NA(),IF(SUMPRODUCT((Inputs!$A$5:$A$140=$B31)*ISNUMBER(INDEX(Inputs!$K$5:$AJ$140,0,MATCH(AF$2,Inputs!$K$4:$AJ$4,0))))+SUMPRODUCT((Inputs!$C$5:$C$140=$B31)*ISNUMBER(INDEX(Inputs!$K$5:$AJ$140,0,MATCH(AF$2,Inputs!$K$4:$AJ$4,0))))+SUMPRODUCT((Inputs!$E$5:$E$140=$B31)*ISNUMBER(INDEX(Inputs!$K$5:$AJ$140,0,MATCH(AF$2,Inputs!$K$4:$AJ$4,0))))=0,NA(),SUMPRODUCT((Inputs!$A$5:$A$140=$B31)*Inputs!$B$5:$B$140*(((Inputs!$G$5:$G$140="moeda")+(Inputs!$G$5:$G$140="acoes"))*Inputs!$B$1+((Inputs!$G$5:$G$140&lt;&gt;"moeda")*(Inputs!$G$5:$G$140&lt;&gt;"acoes")))*INDEX(Inputs!$K$5:$AJ$140,0,MATCH(AF$2,Inputs!$K$4:$AJ$4,0)))+SUMPRODUCT((Inputs!$C$5:$C$140=$B31)*Inputs!$D$5:$D$140*(((Inputs!$G$5:$G$140="moeda")+(Inputs!$G$5:$G$140="acoes"))*Inputs!$B$1+((Inputs!$G$5:$G$140&lt;&gt;"moeda")*(Inputs!$G$5:$G$140&lt;&gt;"acoes")))*INDEX(Inputs!$K$5:$AJ$140,0,MATCH(AF$2,Inputs!$K$4:$AJ$4,0)))+SUMPRODUCT((Inputs!$E$5:$E$140=$B31)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31" s="3" t="e">
        <f>AF31</f>
        <v>#N/A</v>
      </c>
      <c r="AH31" s="6" t="e">
        <f>IF(ISNA(MATCH(AH$2,Inputs!$K$4:$AJ$4,0)),NA(),IF(SUMPRODUCT((Inputs!$A$5:$A$140=$B31)*ISNUMBER(INDEX(Inputs!$K$5:$AJ$140,0,MATCH(AH$2,Inputs!$K$4:$AJ$4,0))))+SUMPRODUCT((Inputs!$C$5:$C$140=$B31)*ISNUMBER(INDEX(Inputs!$K$5:$AJ$140,0,MATCH(AH$2,Inputs!$K$4:$AJ$4,0))))+SUMPRODUCT((Inputs!$E$5:$E$140=$B31)*ISNUMBER(INDEX(Inputs!$K$5:$AJ$140,0,MATCH(AH$2,Inputs!$K$4:$AJ$4,0))))=0,NA(),SUMPRODUCT((Inputs!$A$5:$A$140=$B31)*Inputs!$B$5:$B$140*(((Inputs!$G$5:$G$140="moeda")+(Inputs!$G$5:$G$140="acoes"))*Inputs!$B$1+((Inputs!$G$5:$G$140&lt;&gt;"moeda")*(Inputs!$G$5:$G$140&lt;&gt;"acoes")))*INDEX(Inputs!$K$5:$AJ$140,0,MATCH(AH$2,Inputs!$K$4:$AJ$4,0)))+SUMPRODUCT((Inputs!$C$5:$C$140=$B31)*Inputs!$D$5:$D$140*(((Inputs!$G$5:$G$140="moeda")+(Inputs!$G$5:$G$140="acoes"))*Inputs!$B$1+((Inputs!$G$5:$G$140&lt;&gt;"moeda")*(Inputs!$G$5:$G$140&lt;&gt;"acoes")))*INDEX(Inputs!$K$5:$AJ$140,0,MATCH(AH$2,Inputs!$K$4:$AJ$4,0)))+SUMPRODUCT((Inputs!$E$5:$E$140=$B31)*Inputs!$F$5:$F$140*(((Inputs!$G$5:$G$140="moeda")+(Inputs!$G$5:$G$140="acoes"))*Inputs!$B$1+((Inputs!$G$5:$G$140&lt;&gt;"moeda")*(Inputs!$G$5:$G$140&lt;&gt;"acoes")))*INDEX(Inputs!$K$5:$AJ$140,0,MATCH(AH$2,Inputs!$K$4:$AJ$4,0)))))</f>
        <v>#N/A</v>
      </c>
      <c r="AI31" s="6" t="e">
        <f>IF(ISNA(MATCH(AI$2,Inputs!$K$4:$AJ$4,0)),NA(),IF(SUMPRODUCT((Inputs!$A$5:$A$140=$B31)*ISNUMBER(INDEX(Inputs!$K$5:$AJ$140,0,MATCH(AI$2,Inputs!$K$4:$AJ$4,0))))+SUMPRODUCT((Inputs!$C$5:$C$140=$B31)*ISNUMBER(INDEX(Inputs!$K$5:$AJ$140,0,MATCH(AI$2,Inputs!$K$4:$AJ$4,0))))+SUMPRODUCT((Inputs!$E$5:$E$140=$B31)*ISNUMBER(INDEX(Inputs!$K$5:$AJ$140,0,MATCH(AI$2,Inputs!$K$4:$AJ$4,0))))=0,NA(),SUMPRODUCT((Inputs!$A$5:$A$140=$B31)*Inputs!$B$5:$B$140*(((Inputs!$G$5:$G$140="moeda")+(Inputs!$G$5:$G$140="acoes"))*Inputs!$B$1+((Inputs!$G$5:$G$140&lt;&gt;"moeda")*(Inputs!$G$5:$G$140&lt;&gt;"acoes")))*INDEX(Inputs!$K$5:$AJ$140,0,MATCH(AI$2,Inputs!$K$4:$AJ$4,0)))+SUMPRODUCT((Inputs!$C$5:$C$140=$B31)*Inputs!$D$5:$D$140*(((Inputs!$G$5:$G$140="moeda")+(Inputs!$G$5:$G$140="acoes"))*Inputs!$B$1+((Inputs!$G$5:$G$140&lt;&gt;"moeda")*(Inputs!$G$5:$G$140&lt;&gt;"acoes")))*INDEX(Inputs!$K$5:$AJ$140,0,MATCH(AI$2,Inputs!$K$4:$AJ$4,0)))+SUMPRODUCT((Inputs!$E$5:$E$140=$B31)*Inputs!$F$5:$F$140*(((Inputs!$G$5:$G$140="moeda")+(Inputs!$G$5:$G$140="acoes"))*Inputs!$B$1+((Inputs!$G$5:$G$140&lt;&gt;"moeda")*(Inputs!$G$5:$G$140&lt;&gt;"acoes")))*INDEX(Inputs!$K$5:$AJ$140,0,MATCH(AI$2,Inputs!$K$4:$AJ$4,0)))))</f>
        <v>#N/A</v>
      </c>
      <c r="AJ31" s="6" t="e">
        <f>IF(ISNA(MATCH(AJ$2,Inputs!$K$4:$AJ$4,0)),NA(),IF(SUMPRODUCT((Inputs!$A$5:$A$140=$B31)*ISNUMBER(INDEX(Inputs!$K$5:$AJ$140,0,MATCH(AJ$2,Inputs!$K$4:$AJ$4,0))))+SUMPRODUCT((Inputs!$C$5:$C$140=$B31)*ISNUMBER(INDEX(Inputs!$K$5:$AJ$140,0,MATCH(AJ$2,Inputs!$K$4:$AJ$4,0))))+SUMPRODUCT((Inputs!$E$5:$E$140=$B31)*ISNUMBER(INDEX(Inputs!$K$5:$AJ$140,0,MATCH(AJ$2,Inputs!$K$4:$AJ$4,0))))=0,NA(),SUMPRODUCT((Inputs!$A$5:$A$140=$B31)*Inputs!$B$5:$B$140*(((Inputs!$G$5:$G$140="moeda")+(Inputs!$G$5:$G$140="acoes"))*Inputs!$B$1+((Inputs!$G$5:$G$140&lt;&gt;"moeda")*(Inputs!$G$5:$G$140&lt;&gt;"acoes")))*INDEX(Inputs!$K$5:$AJ$140,0,MATCH(AJ$2,Inputs!$K$4:$AJ$4,0)))+SUMPRODUCT((Inputs!$C$5:$C$140=$B31)*Inputs!$D$5:$D$140*(((Inputs!$G$5:$G$140="moeda")+(Inputs!$G$5:$G$140="acoes"))*Inputs!$B$1+((Inputs!$G$5:$G$140&lt;&gt;"moeda")*(Inputs!$G$5:$G$140&lt;&gt;"acoes")))*INDEX(Inputs!$K$5:$AJ$140,0,MATCH(AJ$2,Inputs!$K$4:$AJ$4,0)))+SUMPRODUCT((Inputs!$E$5:$E$140=$B31)*Inputs!$F$5:$F$140*(((Inputs!$G$5:$G$140="moeda")+(Inputs!$G$5:$G$140="acoes"))*Inputs!$B$1+((Inputs!$G$5:$G$140&lt;&gt;"moeda")*(Inputs!$G$5:$G$140&lt;&gt;"acoes")))*INDEX(Inputs!$K$5:$AJ$140,0,MATCH(AJ$2,Inputs!$K$4:$AJ$4,0)))))</f>
        <v>#N/A</v>
      </c>
      <c r="AK31" s="6" t="e">
        <f>IF(ISNA(MATCH(AK$2,Inputs!$K$4:$AJ$4,0)),NA(),IF(SUMPRODUCT((Inputs!$A$5:$A$140=$B31)*ISNUMBER(INDEX(Inputs!$K$5:$AJ$140,0,MATCH(AK$2,Inputs!$K$4:$AJ$4,0))))+SUMPRODUCT((Inputs!$C$5:$C$140=$B31)*ISNUMBER(INDEX(Inputs!$K$5:$AJ$140,0,MATCH(AK$2,Inputs!$K$4:$AJ$4,0))))+SUMPRODUCT((Inputs!$E$5:$E$140=$B31)*ISNUMBER(INDEX(Inputs!$K$5:$AJ$140,0,MATCH(AK$2,Inputs!$K$4:$AJ$4,0))))=0,NA(),SUMPRODUCT((Inputs!$A$5:$A$140=$B31)*Inputs!$B$5:$B$140*(((Inputs!$G$5:$G$140="moeda")+(Inputs!$G$5:$G$140="acoes"))*Inputs!$B$1+((Inputs!$G$5:$G$140&lt;&gt;"moeda")*(Inputs!$G$5:$G$140&lt;&gt;"acoes")))*INDEX(Inputs!$K$5:$AJ$140,0,MATCH(AK$2,Inputs!$K$4:$AJ$4,0)))+SUMPRODUCT((Inputs!$C$5:$C$140=$B31)*Inputs!$D$5:$D$140*(((Inputs!$G$5:$G$140="moeda")+(Inputs!$G$5:$G$140="acoes"))*Inputs!$B$1+((Inputs!$G$5:$G$140&lt;&gt;"moeda")*(Inputs!$G$5:$G$140&lt;&gt;"acoes")))*INDEX(Inputs!$K$5:$AJ$140,0,MATCH(AK$2,Inputs!$K$4:$AJ$4,0)))+SUMPRODUCT((Inputs!$E$5:$E$140=$B31)*Inputs!$F$5:$F$140*(((Inputs!$G$5:$G$140="moeda")+(Inputs!$G$5:$G$140="acoes"))*Inputs!$B$1+((Inputs!$G$5:$G$140&lt;&gt;"moeda")*(Inputs!$G$5:$G$140&lt;&gt;"acoes")))*INDEX(Inputs!$K$5:$AJ$140,0,MATCH(AK$2,Inputs!$K$4:$AJ$4,0)))))</f>
        <v>#N/A</v>
      </c>
      <c r="AL31" s="3" t="e">
        <f>AK31</f>
        <v>#N/A</v>
      </c>
    </row>
    <row r="32">
      <c r="B32" s="46" t="n">
        <v>27</v>
      </c>
      <c r="C32" s="26" t="inlineStr">
        <is>
          <t>Current portion of long-term debt</t>
        </is>
      </c>
      <c r="D32" s="6">
        <f>IF(ISNA(MATCH(D$2,Inputs!$K$4:$AJ$4,0)),NA(),IF(SUMPRODUCT((Inputs!$A$5:$A$140=$B32)*ISNUMBER(INDEX(Inputs!$K$5:$AJ$140,0,MATCH(D$2,Inputs!$K$4:$AJ$4,0))))+SUMPRODUCT((Inputs!$C$5:$C$140=$B32)*ISNUMBER(INDEX(Inputs!$K$5:$AJ$140,0,MATCH(D$2,Inputs!$K$4:$AJ$4,0))))+SUMPRODUCT((Inputs!$E$5:$E$140=$B32)*ISNUMBER(INDEX(Inputs!$K$5:$AJ$140,0,MATCH(D$2,Inputs!$K$4:$AJ$4,0))))=0,NA(),SUMPRODUCT((Inputs!$A$5:$A$140=$B32)*Inputs!$B$5:$B$140*(((Inputs!$G$5:$G$140="moeda")+(Inputs!$G$5:$G$140="acoes"))*Inputs!$B$1+((Inputs!$G$5:$G$140&lt;&gt;"moeda")*(Inputs!$G$5:$G$140&lt;&gt;"acoes")))*INDEX(Inputs!$K$5:$AJ$140,0,MATCH(D$2,Inputs!$K$4:$AJ$4,0)))+SUMPRODUCT((Inputs!$C$5:$C$140=$B32)*Inputs!$D$5:$D$140*(((Inputs!$G$5:$G$140="moeda")+(Inputs!$G$5:$G$140="acoes"))*Inputs!$B$1+((Inputs!$G$5:$G$140&lt;&gt;"moeda")*(Inputs!$G$5:$G$140&lt;&gt;"acoes")))*INDEX(Inputs!$K$5:$AJ$140,0,MATCH(D$2,Inputs!$K$4:$AJ$4,0)))+SUMPRODUCT((Inputs!$E$5:$E$140=$B32)*Inputs!$F$5:$F$140*(((Inputs!$G$5:$G$140="moeda")+(Inputs!$G$5:$G$140="acoes"))*Inputs!$B$1+((Inputs!$G$5:$G$140&lt;&gt;"moeda")*(Inputs!$G$5:$G$140&lt;&gt;"acoes")))*INDEX(Inputs!$K$5:$AJ$140,0,MATCH(D$2,Inputs!$K$4:$AJ$4,0)))))</f>
        <v>999</v>
      </c>
      <c r="E32" s="6">
        <f>IF(ISNA(MATCH(E$2,Inputs!$K$4:$AJ$4,0)),NA(),IF(SUMPRODUCT((Inputs!$A$5:$A$140=$B32)*ISNUMBER(INDEX(Inputs!$K$5:$AJ$140,0,MATCH(E$2,Inputs!$K$4:$AJ$4,0))))+SUMPRODUCT((Inputs!$C$5:$C$140=$B32)*ISNUMBER(INDEX(Inputs!$K$5:$AJ$140,0,MATCH(E$2,Inputs!$K$4:$AJ$4,0))))+SUMPRODUCT((Inputs!$E$5:$E$140=$B32)*ISNUMBER(INDEX(Inputs!$K$5:$AJ$140,0,MATCH(E$2,Inputs!$K$4:$AJ$4,0))))=0,NA(),SUMPRODUCT((Inputs!$A$5:$A$140=$B32)*Inputs!$B$5:$B$140*(((Inputs!$G$5:$G$140="moeda")+(Inputs!$G$5:$G$140="acoes"))*Inputs!$B$1+((Inputs!$G$5:$G$140&lt;&gt;"moeda")*(Inputs!$G$5:$G$140&lt;&gt;"acoes")))*INDEX(Inputs!$K$5:$AJ$140,0,MATCH(E$2,Inputs!$K$4:$AJ$4,0)))+SUMPRODUCT((Inputs!$C$5:$C$140=$B32)*Inputs!$D$5:$D$140*(((Inputs!$G$5:$G$140="moeda")+(Inputs!$G$5:$G$140="acoes"))*Inputs!$B$1+((Inputs!$G$5:$G$140&lt;&gt;"moeda")*(Inputs!$G$5:$G$140&lt;&gt;"acoes")))*INDEX(Inputs!$K$5:$AJ$140,0,MATCH(E$2,Inputs!$K$4:$AJ$4,0)))+SUMPRODUCT((Inputs!$E$5:$E$140=$B32)*Inputs!$F$5:$F$140*(((Inputs!$G$5:$G$140="moeda")+(Inputs!$G$5:$G$140="acoes"))*Inputs!$B$1+((Inputs!$G$5:$G$140&lt;&gt;"moeda")*(Inputs!$G$5:$G$140&lt;&gt;"acoes")))*INDEX(Inputs!$K$5:$AJ$140,0,MATCH(E$2,Inputs!$K$4:$AJ$4,0)))))</f>
        <v>1000</v>
      </c>
      <c r="F32" s="6">
        <f>IF(ISNA(MATCH(F$2,Inputs!$K$4:$AJ$4,0)),NA(),IF(SUMPRODUCT((Inputs!$A$5:$A$140=$B32)*ISNUMBER(INDEX(Inputs!$K$5:$AJ$140,0,MATCH(F$2,Inputs!$K$4:$AJ$4,0))))+SUMPRODUCT((Inputs!$C$5:$C$140=$B32)*ISNUMBER(INDEX(Inputs!$K$5:$AJ$140,0,MATCH(F$2,Inputs!$K$4:$AJ$4,0))))+SUMPRODUCT((Inputs!$E$5:$E$140=$B32)*ISNUMBER(INDEX(Inputs!$K$5:$AJ$140,0,MATCH(F$2,Inputs!$K$4:$AJ$4,0))))=0,NA(),SUMPRODUCT((Inputs!$A$5:$A$140=$B32)*Inputs!$B$5:$B$140*(((Inputs!$G$5:$G$140="moeda")+(Inputs!$G$5:$G$140="acoes"))*Inputs!$B$1+((Inputs!$G$5:$G$140&lt;&gt;"moeda")*(Inputs!$G$5:$G$140&lt;&gt;"acoes")))*INDEX(Inputs!$K$5:$AJ$140,0,MATCH(F$2,Inputs!$K$4:$AJ$4,0)))+SUMPRODUCT((Inputs!$C$5:$C$140=$B32)*Inputs!$D$5:$D$140*(((Inputs!$G$5:$G$140="moeda")+(Inputs!$G$5:$G$140="acoes"))*Inputs!$B$1+((Inputs!$G$5:$G$140&lt;&gt;"moeda")*(Inputs!$G$5:$G$140&lt;&gt;"acoes")))*INDEX(Inputs!$K$5:$AJ$140,0,MATCH(F$2,Inputs!$K$4:$AJ$4,0)))+SUMPRODUCT((Inputs!$E$5:$E$140=$B32)*Inputs!$F$5:$F$140*(((Inputs!$G$5:$G$140="moeda")+(Inputs!$G$5:$G$140="acoes"))*Inputs!$B$1+((Inputs!$G$5:$G$140&lt;&gt;"moeda")*(Inputs!$G$5:$G$140&lt;&gt;"acoes")))*INDEX(Inputs!$K$5:$AJ$140,0,MATCH(F$2,Inputs!$K$4:$AJ$4,0)))))</f>
        <v>0</v>
      </c>
      <c r="G32" s="6">
        <f>IF(ISNA(MATCH(G$2,Inputs!$K$4:$AJ$4,0)),NA(),IF(SUMPRODUCT((Inputs!$A$5:$A$140=$B32)*ISNUMBER(INDEX(Inputs!$K$5:$AJ$140,0,MATCH(G$2,Inputs!$K$4:$AJ$4,0))))+SUMPRODUCT((Inputs!$C$5:$C$140=$B32)*ISNUMBER(INDEX(Inputs!$K$5:$AJ$140,0,MATCH(G$2,Inputs!$K$4:$AJ$4,0))))+SUMPRODUCT((Inputs!$E$5:$E$140=$B32)*ISNUMBER(INDEX(Inputs!$K$5:$AJ$140,0,MATCH(G$2,Inputs!$K$4:$AJ$4,0))))=0,NA(),SUMPRODUCT((Inputs!$A$5:$A$140=$B32)*Inputs!$B$5:$B$140*(((Inputs!$G$5:$G$140="moeda")+(Inputs!$G$5:$G$140="acoes"))*Inputs!$B$1+((Inputs!$G$5:$G$140&lt;&gt;"moeda")*(Inputs!$G$5:$G$140&lt;&gt;"acoes")))*INDEX(Inputs!$K$5:$AJ$140,0,MATCH(G$2,Inputs!$K$4:$AJ$4,0)))+SUMPRODUCT((Inputs!$C$5:$C$140=$B32)*Inputs!$D$5:$D$140*(((Inputs!$G$5:$G$140="moeda")+(Inputs!$G$5:$G$140="acoes"))*Inputs!$B$1+((Inputs!$G$5:$G$140&lt;&gt;"moeda")*(Inputs!$G$5:$G$140&lt;&gt;"acoes")))*INDEX(Inputs!$K$5:$AJ$140,0,MATCH(G$2,Inputs!$K$4:$AJ$4,0)))+SUMPRODUCT((Inputs!$E$5:$E$140=$B32)*Inputs!$F$5:$F$140*(((Inputs!$G$5:$G$140="moeda")+(Inputs!$G$5:$G$140="acoes"))*Inputs!$B$1+((Inputs!$G$5:$G$140&lt;&gt;"moeda")*(Inputs!$G$5:$G$140&lt;&gt;"acoes")))*INDEX(Inputs!$K$5:$AJ$140,0,MATCH(G$2,Inputs!$K$4:$AJ$4,0)))))</f>
        <v>0</v>
      </c>
      <c r="H32" s="3">
        <f>G32</f>
        <v>0</v>
      </c>
      <c r="I32" s="6">
        <f>IF(ISNA(MATCH(I$2,Inputs!$K$4:$AJ$4,0)),NA(),IF(SUMPRODUCT((Inputs!$A$5:$A$140=$B32)*ISNUMBER(INDEX(Inputs!$K$5:$AJ$140,0,MATCH(I$2,Inputs!$K$4:$AJ$4,0))))+SUMPRODUCT((Inputs!$C$5:$C$140=$B32)*ISNUMBER(INDEX(Inputs!$K$5:$AJ$140,0,MATCH(I$2,Inputs!$K$4:$AJ$4,0))))+SUMPRODUCT((Inputs!$E$5:$E$140=$B32)*ISNUMBER(INDEX(Inputs!$K$5:$AJ$140,0,MATCH(I$2,Inputs!$K$4:$AJ$4,0))))=0,NA(),SUMPRODUCT((Inputs!$A$5:$A$140=$B32)*Inputs!$B$5:$B$140*(((Inputs!$G$5:$G$140="moeda")+(Inputs!$G$5:$G$140="acoes"))*Inputs!$B$1+((Inputs!$G$5:$G$140&lt;&gt;"moeda")*(Inputs!$G$5:$G$140&lt;&gt;"acoes")))*INDEX(Inputs!$K$5:$AJ$140,0,MATCH(I$2,Inputs!$K$4:$AJ$4,0)))+SUMPRODUCT((Inputs!$C$5:$C$140=$B32)*Inputs!$D$5:$D$140*(((Inputs!$G$5:$G$140="moeda")+(Inputs!$G$5:$G$140="acoes"))*Inputs!$B$1+((Inputs!$G$5:$G$140&lt;&gt;"moeda")*(Inputs!$G$5:$G$140&lt;&gt;"acoes")))*INDEX(Inputs!$K$5:$AJ$140,0,MATCH(I$2,Inputs!$K$4:$AJ$4,0)))+SUMPRODUCT((Inputs!$E$5:$E$140=$B32)*Inputs!$F$5:$F$140*(((Inputs!$G$5:$G$140="moeda")+(Inputs!$G$5:$G$140="acoes"))*Inputs!$B$1+((Inputs!$G$5:$G$140&lt;&gt;"moeda")*(Inputs!$G$5:$G$140&lt;&gt;"acoes")))*INDEX(Inputs!$K$5:$AJ$140,0,MATCH(I$2,Inputs!$K$4:$AJ$4,0)))))</f>
        <v>0</v>
      </c>
      <c r="J32" s="6">
        <f>IF(ISNA(MATCH(J$2,Inputs!$K$4:$AJ$4,0)),NA(),IF(SUMPRODUCT((Inputs!$A$5:$A$140=$B32)*ISNUMBER(INDEX(Inputs!$K$5:$AJ$140,0,MATCH(J$2,Inputs!$K$4:$AJ$4,0))))+SUMPRODUCT((Inputs!$C$5:$C$140=$B32)*ISNUMBER(INDEX(Inputs!$K$5:$AJ$140,0,MATCH(J$2,Inputs!$K$4:$AJ$4,0))))+SUMPRODUCT((Inputs!$E$5:$E$140=$B32)*ISNUMBER(INDEX(Inputs!$K$5:$AJ$140,0,MATCH(J$2,Inputs!$K$4:$AJ$4,0))))=0,NA(),SUMPRODUCT((Inputs!$A$5:$A$140=$B32)*Inputs!$B$5:$B$140*(((Inputs!$G$5:$G$140="moeda")+(Inputs!$G$5:$G$140="acoes"))*Inputs!$B$1+((Inputs!$G$5:$G$140&lt;&gt;"moeda")*(Inputs!$G$5:$G$140&lt;&gt;"acoes")))*INDEX(Inputs!$K$5:$AJ$140,0,MATCH(J$2,Inputs!$K$4:$AJ$4,0)))+SUMPRODUCT((Inputs!$C$5:$C$140=$B32)*Inputs!$D$5:$D$140*(((Inputs!$G$5:$G$140="moeda")+(Inputs!$G$5:$G$140="acoes"))*Inputs!$B$1+((Inputs!$G$5:$G$140&lt;&gt;"moeda")*(Inputs!$G$5:$G$140&lt;&gt;"acoes")))*INDEX(Inputs!$K$5:$AJ$140,0,MATCH(J$2,Inputs!$K$4:$AJ$4,0)))+SUMPRODUCT((Inputs!$E$5:$E$140=$B32)*Inputs!$F$5:$F$140*(((Inputs!$G$5:$G$140="moeda")+(Inputs!$G$5:$G$140="acoes"))*Inputs!$B$1+((Inputs!$G$5:$G$140&lt;&gt;"moeda")*(Inputs!$G$5:$G$140&lt;&gt;"acoes")))*INDEX(Inputs!$K$5:$AJ$140,0,MATCH(J$2,Inputs!$K$4:$AJ$4,0)))))</f>
        <v>1249</v>
      </c>
      <c r="K32" s="6">
        <f>IF(ISNA(MATCH(K$2,Inputs!$K$4:$AJ$4,0)),NA(),IF(SUMPRODUCT((Inputs!$A$5:$A$140=$B32)*ISNUMBER(INDEX(Inputs!$K$5:$AJ$140,0,MATCH(K$2,Inputs!$K$4:$AJ$4,0))))+SUMPRODUCT((Inputs!$C$5:$C$140=$B32)*ISNUMBER(INDEX(Inputs!$K$5:$AJ$140,0,MATCH(K$2,Inputs!$K$4:$AJ$4,0))))+SUMPRODUCT((Inputs!$E$5:$E$140=$B32)*ISNUMBER(INDEX(Inputs!$K$5:$AJ$140,0,MATCH(K$2,Inputs!$K$4:$AJ$4,0))))=0,NA(),SUMPRODUCT((Inputs!$A$5:$A$140=$B32)*Inputs!$B$5:$B$140*(((Inputs!$G$5:$G$140="moeda")+(Inputs!$G$5:$G$140="acoes"))*Inputs!$B$1+((Inputs!$G$5:$G$140&lt;&gt;"moeda")*(Inputs!$G$5:$G$140&lt;&gt;"acoes")))*INDEX(Inputs!$K$5:$AJ$140,0,MATCH(K$2,Inputs!$K$4:$AJ$4,0)))+SUMPRODUCT((Inputs!$C$5:$C$140=$B32)*Inputs!$D$5:$D$140*(((Inputs!$G$5:$G$140="moeda")+(Inputs!$G$5:$G$140="acoes"))*Inputs!$B$1+((Inputs!$G$5:$G$140&lt;&gt;"moeda")*(Inputs!$G$5:$G$140&lt;&gt;"acoes")))*INDEX(Inputs!$K$5:$AJ$140,0,MATCH(K$2,Inputs!$K$4:$AJ$4,0)))+SUMPRODUCT((Inputs!$E$5:$E$140=$B32)*Inputs!$F$5:$F$140*(((Inputs!$G$5:$G$140="moeda")+(Inputs!$G$5:$G$140="acoes"))*Inputs!$B$1+((Inputs!$G$5:$G$140&lt;&gt;"moeda")*(Inputs!$G$5:$G$140&lt;&gt;"acoes")))*INDEX(Inputs!$K$5:$AJ$140,0,MATCH(K$2,Inputs!$K$4:$AJ$4,0)))))</f>
        <v>1249</v>
      </c>
      <c r="L32" s="6">
        <f>IF(ISNA(MATCH(L$2,Inputs!$K$4:$AJ$4,0)),NA(),IF(SUMPRODUCT((Inputs!$A$5:$A$140=$B32)*ISNUMBER(INDEX(Inputs!$K$5:$AJ$140,0,MATCH(L$2,Inputs!$K$4:$AJ$4,0))))+SUMPRODUCT((Inputs!$C$5:$C$140=$B32)*ISNUMBER(INDEX(Inputs!$K$5:$AJ$140,0,MATCH(L$2,Inputs!$K$4:$AJ$4,0))))+SUMPRODUCT((Inputs!$E$5:$E$140=$B32)*ISNUMBER(INDEX(Inputs!$K$5:$AJ$140,0,MATCH(L$2,Inputs!$K$4:$AJ$4,0))))=0,NA(),SUMPRODUCT((Inputs!$A$5:$A$140=$B32)*Inputs!$B$5:$B$140*(((Inputs!$G$5:$G$140="moeda")+(Inputs!$G$5:$G$140="acoes"))*Inputs!$B$1+((Inputs!$G$5:$G$140&lt;&gt;"moeda")*(Inputs!$G$5:$G$140&lt;&gt;"acoes")))*INDEX(Inputs!$K$5:$AJ$140,0,MATCH(L$2,Inputs!$K$4:$AJ$4,0)))+SUMPRODUCT((Inputs!$C$5:$C$140=$B32)*Inputs!$D$5:$D$140*(((Inputs!$G$5:$G$140="moeda")+(Inputs!$G$5:$G$140="acoes"))*Inputs!$B$1+((Inputs!$G$5:$G$140&lt;&gt;"moeda")*(Inputs!$G$5:$G$140&lt;&gt;"acoes")))*INDEX(Inputs!$K$5:$AJ$140,0,MATCH(L$2,Inputs!$K$4:$AJ$4,0)))+SUMPRODUCT((Inputs!$E$5:$E$140=$B32)*Inputs!$F$5:$F$140*(((Inputs!$G$5:$G$140="moeda")+(Inputs!$G$5:$G$140="acoes"))*Inputs!$B$1+((Inputs!$G$5:$G$140&lt;&gt;"moeda")*(Inputs!$G$5:$G$140&lt;&gt;"acoes")))*INDEX(Inputs!$K$5:$AJ$140,0,MATCH(L$2,Inputs!$K$4:$AJ$4,0)))))</f>
        <v>1250</v>
      </c>
      <c r="M32" s="3">
        <f>L32</f>
        <v>1250</v>
      </c>
      <c r="N32" s="6">
        <f>IF(ISNA(MATCH(N$2,Inputs!$K$4:$AJ$4,0)),NA(),IF(SUMPRODUCT((Inputs!$A$5:$A$140=$B32)*ISNUMBER(INDEX(Inputs!$K$5:$AJ$140,0,MATCH(N$2,Inputs!$K$4:$AJ$4,0))))+SUMPRODUCT((Inputs!$C$5:$C$140=$B32)*ISNUMBER(INDEX(Inputs!$K$5:$AJ$140,0,MATCH(N$2,Inputs!$K$4:$AJ$4,0))))+SUMPRODUCT((Inputs!$E$5:$E$140=$B32)*ISNUMBER(INDEX(Inputs!$K$5:$AJ$140,0,MATCH(N$2,Inputs!$K$4:$AJ$4,0))))=0,NA(),SUMPRODUCT((Inputs!$A$5:$A$140=$B32)*Inputs!$B$5:$B$140*(((Inputs!$G$5:$G$140="moeda")+(Inputs!$G$5:$G$140="acoes"))*Inputs!$B$1+((Inputs!$G$5:$G$140&lt;&gt;"moeda")*(Inputs!$G$5:$G$140&lt;&gt;"acoes")))*INDEX(Inputs!$K$5:$AJ$140,0,MATCH(N$2,Inputs!$K$4:$AJ$4,0)))+SUMPRODUCT((Inputs!$C$5:$C$140=$B32)*Inputs!$D$5:$D$140*(((Inputs!$G$5:$G$140="moeda")+(Inputs!$G$5:$G$140="acoes"))*Inputs!$B$1+((Inputs!$G$5:$G$140&lt;&gt;"moeda")*(Inputs!$G$5:$G$140&lt;&gt;"acoes")))*INDEX(Inputs!$K$5:$AJ$140,0,MATCH(N$2,Inputs!$K$4:$AJ$4,0)))+SUMPRODUCT((Inputs!$E$5:$E$140=$B32)*Inputs!$F$5:$F$140*(((Inputs!$G$5:$G$140="moeda")+(Inputs!$G$5:$G$140="acoes"))*Inputs!$B$1+((Inputs!$G$5:$G$140&lt;&gt;"moeda")*(Inputs!$G$5:$G$140&lt;&gt;"acoes")))*INDEX(Inputs!$K$5:$AJ$140,0,MATCH(N$2,Inputs!$K$4:$AJ$4,0)))))</f>
        <v>1250</v>
      </c>
      <c r="O32" s="6">
        <f>IF(ISNA(MATCH(O$2,Inputs!$K$4:$AJ$4,0)),NA(),IF(SUMPRODUCT((Inputs!$A$5:$A$140=$B32)*ISNUMBER(INDEX(Inputs!$K$5:$AJ$140,0,MATCH(O$2,Inputs!$K$4:$AJ$4,0))))+SUMPRODUCT((Inputs!$C$5:$C$140=$B32)*ISNUMBER(INDEX(Inputs!$K$5:$AJ$140,0,MATCH(O$2,Inputs!$K$4:$AJ$4,0))))+SUMPRODUCT((Inputs!$E$5:$E$140=$B32)*ISNUMBER(INDEX(Inputs!$K$5:$AJ$140,0,MATCH(O$2,Inputs!$K$4:$AJ$4,0))))=0,NA(),SUMPRODUCT((Inputs!$A$5:$A$140=$B32)*Inputs!$B$5:$B$140*(((Inputs!$G$5:$G$140="moeda")+(Inputs!$G$5:$G$140="acoes"))*Inputs!$B$1+((Inputs!$G$5:$G$140&lt;&gt;"moeda")*(Inputs!$G$5:$G$140&lt;&gt;"acoes")))*INDEX(Inputs!$K$5:$AJ$140,0,MATCH(O$2,Inputs!$K$4:$AJ$4,0)))+SUMPRODUCT((Inputs!$C$5:$C$140=$B32)*Inputs!$D$5:$D$140*(((Inputs!$G$5:$G$140="moeda")+(Inputs!$G$5:$G$140="acoes"))*Inputs!$B$1+((Inputs!$G$5:$G$140&lt;&gt;"moeda")*(Inputs!$G$5:$G$140&lt;&gt;"acoes")))*INDEX(Inputs!$K$5:$AJ$140,0,MATCH(O$2,Inputs!$K$4:$AJ$4,0)))+SUMPRODUCT((Inputs!$E$5:$E$140=$B32)*Inputs!$F$5:$F$140*(((Inputs!$G$5:$G$140="moeda")+(Inputs!$G$5:$G$140="acoes"))*Inputs!$B$1+((Inputs!$G$5:$G$140&lt;&gt;"moeda")*(Inputs!$G$5:$G$140&lt;&gt;"acoes")))*INDEX(Inputs!$K$5:$AJ$140,0,MATCH(O$2,Inputs!$K$4:$AJ$4,0)))))</f>
        <v>1249</v>
      </c>
      <c r="P32" s="6">
        <f>IF(ISNA(MATCH(P$2,Inputs!$K$4:$AJ$4,0)),NA(),IF(SUMPRODUCT((Inputs!$A$5:$A$140=$B32)*ISNUMBER(INDEX(Inputs!$K$5:$AJ$140,0,MATCH(P$2,Inputs!$K$4:$AJ$4,0))))+SUMPRODUCT((Inputs!$C$5:$C$140=$B32)*ISNUMBER(INDEX(Inputs!$K$5:$AJ$140,0,MATCH(P$2,Inputs!$K$4:$AJ$4,0))))+SUMPRODUCT((Inputs!$E$5:$E$140=$B32)*ISNUMBER(INDEX(Inputs!$K$5:$AJ$140,0,MATCH(P$2,Inputs!$K$4:$AJ$4,0))))=0,NA(),SUMPRODUCT((Inputs!$A$5:$A$140=$B32)*Inputs!$B$5:$B$140*(((Inputs!$G$5:$G$140="moeda")+(Inputs!$G$5:$G$140="acoes"))*Inputs!$B$1+((Inputs!$G$5:$G$140&lt;&gt;"moeda")*(Inputs!$G$5:$G$140&lt;&gt;"acoes")))*INDEX(Inputs!$K$5:$AJ$140,0,MATCH(P$2,Inputs!$K$4:$AJ$4,0)))+SUMPRODUCT((Inputs!$C$5:$C$140=$B32)*Inputs!$D$5:$D$140*(((Inputs!$G$5:$G$140="moeda")+(Inputs!$G$5:$G$140="acoes"))*Inputs!$B$1+((Inputs!$G$5:$G$140&lt;&gt;"moeda")*(Inputs!$G$5:$G$140&lt;&gt;"acoes")))*INDEX(Inputs!$K$5:$AJ$140,0,MATCH(P$2,Inputs!$K$4:$AJ$4,0)))+SUMPRODUCT((Inputs!$E$5:$E$140=$B32)*Inputs!$F$5:$F$140*(((Inputs!$G$5:$G$140="moeda")+(Inputs!$G$5:$G$140="acoes"))*Inputs!$B$1+((Inputs!$G$5:$G$140&lt;&gt;"moeda")*(Inputs!$G$5:$G$140&lt;&gt;"acoes")))*INDEX(Inputs!$K$5:$AJ$140,0,MATCH(P$2,Inputs!$K$4:$AJ$4,0)))))</f>
        <v>1249</v>
      </c>
      <c r="Q32" s="6">
        <f>IF(ISNA(MATCH(Q$2,Inputs!$K$4:$AJ$4,0)),NA(),IF(SUMPRODUCT((Inputs!$A$5:$A$140=$B32)*ISNUMBER(INDEX(Inputs!$K$5:$AJ$140,0,MATCH(Q$2,Inputs!$K$4:$AJ$4,0))))+SUMPRODUCT((Inputs!$C$5:$C$140=$B32)*ISNUMBER(INDEX(Inputs!$K$5:$AJ$140,0,MATCH(Q$2,Inputs!$K$4:$AJ$4,0))))+SUMPRODUCT((Inputs!$E$5:$E$140=$B32)*ISNUMBER(INDEX(Inputs!$K$5:$AJ$140,0,MATCH(Q$2,Inputs!$K$4:$AJ$4,0))))=0,NA(),SUMPRODUCT((Inputs!$A$5:$A$140=$B32)*Inputs!$B$5:$B$140*(((Inputs!$G$5:$G$140="moeda")+(Inputs!$G$5:$G$140="acoes"))*Inputs!$B$1+((Inputs!$G$5:$G$140&lt;&gt;"moeda")*(Inputs!$G$5:$G$140&lt;&gt;"acoes")))*INDEX(Inputs!$K$5:$AJ$140,0,MATCH(Q$2,Inputs!$K$4:$AJ$4,0)))+SUMPRODUCT((Inputs!$C$5:$C$140=$B32)*Inputs!$D$5:$D$140*(((Inputs!$G$5:$G$140="moeda")+(Inputs!$G$5:$G$140="acoes"))*Inputs!$B$1+((Inputs!$G$5:$G$140&lt;&gt;"moeda")*(Inputs!$G$5:$G$140&lt;&gt;"acoes")))*INDEX(Inputs!$K$5:$AJ$140,0,MATCH(Q$2,Inputs!$K$4:$AJ$4,0)))+SUMPRODUCT((Inputs!$E$5:$E$140=$B32)*Inputs!$F$5:$F$140*(((Inputs!$G$5:$G$140="moeda")+(Inputs!$G$5:$G$140="acoes"))*Inputs!$B$1+((Inputs!$G$5:$G$140&lt;&gt;"moeda")*(Inputs!$G$5:$G$140&lt;&gt;"acoes")))*INDEX(Inputs!$K$5:$AJ$140,0,MATCH(Q$2,Inputs!$K$4:$AJ$4,0)))))</f>
        <v>1250</v>
      </c>
      <c r="R32" s="3">
        <f>Q32</f>
        <v>1250</v>
      </c>
      <c r="S32" s="6">
        <f>IF(ISNA(MATCH(S$2,Inputs!$K$4:$AJ$4,0)),NA(),IF(SUMPRODUCT((Inputs!$A$5:$A$140=$B32)*ISNUMBER(INDEX(Inputs!$K$5:$AJ$140,0,MATCH(S$2,Inputs!$K$4:$AJ$4,0))))+SUMPRODUCT((Inputs!$C$5:$C$140=$B32)*ISNUMBER(INDEX(Inputs!$K$5:$AJ$140,0,MATCH(S$2,Inputs!$K$4:$AJ$4,0))))+SUMPRODUCT((Inputs!$E$5:$E$140=$B32)*ISNUMBER(INDEX(Inputs!$K$5:$AJ$140,0,MATCH(S$2,Inputs!$K$4:$AJ$4,0))))=0,NA(),SUMPRODUCT((Inputs!$A$5:$A$140=$B32)*Inputs!$B$5:$B$140*(((Inputs!$G$5:$G$140="moeda")+(Inputs!$G$5:$G$140="acoes"))*Inputs!$B$1+((Inputs!$G$5:$G$140&lt;&gt;"moeda")*(Inputs!$G$5:$G$140&lt;&gt;"acoes")))*INDEX(Inputs!$K$5:$AJ$140,0,MATCH(S$2,Inputs!$K$4:$AJ$4,0)))+SUMPRODUCT((Inputs!$C$5:$C$140=$B32)*Inputs!$D$5:$D$140*(((Inputs!$G$5:$G$140="moeda")+(Inputs!$G$5:$G$140="acoes"))*Inputs!$B$1+((Inputs!$G$5:$G$140&lt;&gt;"moeda")*(Inputs!$G$5:$G$140&lt;&gt;"acoes")))*INDEX(Inputs!$K$5:$AJ$140,0,MATCH(S$2,Inputs!$K$4:$AJ$4,0)))+SUMPRODUCT((Inputs!$E$5:$E$140=$B32)*Inputs!$F$5:$F$140*(((Inputs!$G$5:$G$140="moeda")+(Inputs!$G$5:$G$140="acoes"))*Inputs!$B$1+((Inputs!$G$5:$G$140&lt;&gt;"moeda")*(Inputs!$G$5:$G$140&lt;&gt;"acoes")))*INDEX(Inputs!$K$5:$AJ$140,0,MATCH(S$2,Inputs!$K$4:$AJ$4,0)))))</f>
        <v>1250</v>
      </c>
      <c r="T32" s="6">
        <f>IF(ISNA(MATCH(T$2,Inputs!$K$4:$AJ$4,0)),NA(),IF(SUMPRODUCT((Inputs!$A$5:$A$140=$B32)*ISNUMBER(INDEX(Inputs!$K$5:$AJ$140,0,MATCH(T$2,Inputs!$K$4:$AJ$4,0))))+SUMPRODUCT((Inputs!$C$5:$C$140=$B32)*ISNUMBER(INDEX(Inputs!$K$5:$AJ$140,0,MATCH(T$2,Inputs!$K$4:$AJ$4,0))))+SUMPRODUCT((Inputs!$E$5:$E$140=$B32)*ISNUMBER(INDEX(Inputs!$K$5:$AJ$140,0,MATCH(T$2,Inputs!$K$4:$AJ$4,0))))=0,NA(),SUMPRODUCT((Inputs!$A$5:$A$140=$B32)*Inputs!$B$5:$B$140*(((Inputs!$G$5:$G$140="moeda")+(Inputs!$G$5:$G$140="acoes"))*Inputs!$B$1+((Inputs!$G$5:$G$140&lt;&gt;"moeda")*(Inputs!$G$5:$G$140&lt;&gt;"acoes")))*INDEX(Inputs!$K$5:$AJ$140,0,MATCH(T$2,Inputs!$K$4:$AJ$4,0)))+SUMPRODUCT((Inputs!$C$5:$C$140=$B32)*Inputs!$D$5:$D$140*(((Inputs!$G$5:$G$140="moeda")+(Inputs!$G$5:$G$140="acoes"))*Inputs!$B$1+((Inputs!$G$5:$G$140&lt;&gt;"moeda")*(Inputs!$G$5:$G$140&lt;&gt;"acoes")))*INDEX(Inputs!$K$5:$AJ$140,0,MATCH(T$2,Inputs!$K$4:$AJ$4,0)))+SUMPRODUCT((Inputs!$E$5:$E$140=$B32)*Inputs!$F$5:$F$140*(((Inputs!$G$5:$G$140="moeda")+(Inputs!$G$5:$G$140="acoes"))*Inputs!$B$1+((Inputs!$G$5:$G$140&lt;&gt;"moeda")*(Inputs!$G$5:$G$140&lt;&gt;"acoes")))*INDEX(Inputs!$K$5:$AJ$140,0,MATCH(T$2,Inputs!$K$4:$AJ$4,0)))))</f>
        <v>0</v>
      </c>
      <c r="U32" s="6">
        <f>IF(ISNA(MATCH(U$2,Inputs!$K$4:$AJ$4,0)),NA(),IF(SUMPRODUCT((Inputs!$A$5:$A$140=$B32)*ISNUMBER(INDEX(Inputs!$K$5:$AJ$140,0,MATCH(U$2,Inputs!$K$4:$AJ$4,0))))+SUMPRODUCT((Inputs!$C$5:$C$140=$B32)*ISNUMBER(INDEX(Inputs!$K$5:$AJ$140,0,MATCH(U$2,Inputs!$K$4:$AJ$4,0))))+SUMPRODUCT((Inputs!$E$5:$E$140=$B32)*ISNUMBER(INDEX(Inputs!$K$5:$AJ$140,0,MATCH(U$2,Inputs!$K$4:$AJ$4,0))))=0,NA(),SUMPRODUCT((Inputs!$A$5:$A$140=$B32)*Inputs!$B$5:$B$140*(((Inputs!$G$5:$G$140="moeda")+(Inputs!$G$5:$G$140="acoes"))*Inputs!$B$1+((Inputs!$G$5:$G$140&lt;&gt;"moeda")*(Inputs!$G$5:$G$140&lt;&gt;"acoes")))*INDEX(Inputs!$K$5:$AJ$140,0,MATCH(U$2,Inputs!$K$4:$AJ$4,0)))+SUMPRODUCT((Inputs!$C$5:$C$140=$B32)*Inputs!$D$5:$D$140*(((Inputs!$G$5:$G$140="moeda")+(Inputs!$G$5:$G$140="acoes"))*Inputs!$B$1+((Inputs!$G$5:$G$140&lt;&gt;"moeda")*(Inputs!$G$5:$G$140&lt;&gt;"acoes")))*INDEX(Inputs!$K$5:$AJ$140,0,MATCH(U$2,Inputs!$K$4:$AJ$4,0)))+SUMPRODUCT((Inputs!$E$5:$E$140=$B32)*Inputs!$F$5:$F$140*(((Inputs!$G$5:$G$140="moeda")+(Inputs!$G$5:$G$140="acoes"))*Inputs!$B$1+((Inputs!$G$5:$G$140&lt;&gt;"moeda")*(Inputs!$G$5:$G$140&lt;&gt;"acoes")))*INDEX(Inputs!$K$5:$AJ$140,0,MATCH(U$2,Inputs!$K$4:$AJ$4,0)))))</f>
        <v>0</v>
      </c>
      <c r="V32" s="6">
        <f>IF(ISNA(MATCH(V$2,Inputs!$K$4:$AJ$4,0)),NA(),IF(SUMPRODUCT((Inputs!$A$5:$A$140=$B32)*ISNUMBER(INDEX(Inputs!$K$5:$AJ$140,0,MATCH(V$2,Inputs!$K$4:$AJ$4,0))))+SUMPRODUCT((Inputs!$C$5:$C$140=$B32)*ISNUMBER(INDEX(Inputs!$K$5:$AJ$140,0,MATCH(V$2,Inputs!$K$4:$AJ$4,0))))+SUMPRODUCT((Inputs!$E$5:$E$140=$B32)*ISNUMBER(INDEX(Inputs!$K$5:$AJ$140,0,MATCH(V$2,Inputs!$K$4:$AJ$4,0))))=0,NA(),SUMPRODUCT((Inputs!$A$5:$A$140=$B32)*Inputs!$B$5:$B$140*(((Inputs!$G$5:$G$140="moeda")+(Inputs!$G$5:$G$140="acoes"))*Inputs!$B$1+((Inputs!$G$5:$G$140&lt;&gt;"moeda")*(Inputs!$G$5:$G$140&lt;&gt;"acoes")))*INDEX(Inputs!$K$5:$AJ$140,0,MATCH(V$2,Inputs!$K$4:$AJ$4,0)))+SUMPRODUCT((Inputs!$C$5:$C$140=$B32)*Inputs!$D$5:$D$140*(((Inputs!$G$5:$G$140="moeda")+(Inputs!$G$5:$G$140="acoes"))*Inputs!$B$1+((Inputs!$G$5:$G$140&lt;&gt;"moeda")*(Inputs!$G$5:$G$140&lt;&gt;"acoes")))*INDEX(Inputs!$K$5:$AJ$140,0,MATCH(V$2,Inputs!$K$4:$AJ$4,0)))+SUMPRODUCT((Inputs!$E$5:$E$140=$B32)*Inputs!$F$5:$F$140*(((Inputs!$G$5:$G$140="moeda")+(Inputs!$G$5:$G$140="acoes"))*Inputs!$B$1+((Inputs!$G$5:$G$140&lt;&gt;"moeda")*(Inputs!$G$5:$G$140&lt;&gt;"acoes")))*INDEX(Inputs!$K$5:$AJ$140,0,MATCH(V$2,Inputs!$K$4:$AJ$4,0)))))</f>
        <v>0</v>
      </c>
      <c r="W32" s="3">
        <f>V32</f>
        <v>0</v>
      </c>
      <c r="X32" s="6">
        <f>IF(ISNA(MATCH(X$2,Inputs!$K$4:$AJ$4,0)),NA(),IF(SUMPRODUCT((Inputs!$A$5:$A$140=$B32)*ISNUMBER(INDEX(Inputs!$K$5:$AJ$140,0,MATCH(X$2,Inputs!$K$4:$AJ$4,0))))+SUMPRODUCT((Inputs!$C$5:$C$140=$B32)*ISNUMBER(INDEX(Inputs!$K$5:$AJ$140,0,MATCH(X$2,Inputs!$K$4:$AJ$4,0))))+SUMPRODUCT((Inputs!$E$5:$E$140=$B32)*ISNUMBER(INDEX(Inputs!$K$5:$AJ$140,0,MATCH(X$2,Inputs!$K$4:$AJ$4,0))))=0,NA(),SUMPRODUCT((Inputs!$A$5:$A$140=$B32)*Inputs!$B$5:$B$140*(((Inputs!$G$5:$G$140="moeda")+(Inputs!$G$5:$G$140="acoes"))*Inputs!$B$1+((Inputs!$G$5:$G$140&lt;&gt;"moeda")*(Inputs!$G$5:$G$140&lt;&gt;"acoes")))*INDEX(Inputs!$K$5:$AJ$140,0,MATCH(X$2,Inputs!$K$4:$AJ$4,0)))+SUMPRODUCT((Inputs!$C$5:$C$140=$B32)*Inputs!$D$5:$D$140*(((Inputs!$G$5:$G$140="moeda")+(Inputs!$G$5:$G$140="acoes"))*Inputs!$B$1+((Inputs!$G$5:$G$140&lt;&gt;"moeda")*(Inputs!$G$5:$G$140&lt;&gt;"acoes")))*INDEX(Inputs!$K$5:$AJ$140,0,MATCH(X$2,Inputs!$K$4:$AJ$4,0)))+SUMPRODUCT((Inputs!$E$5:$E$140=$B32)*Inputs!$F$5:$F$140*(((Inputs!$G$5:$G$140="moeda")+(Inputs!$G$5:$G$140="acoes"))*Inputs!$B$1+((Inputs!$G$5:$G$140&lt;&gt;"moeda")*(Inputs!$G$5:$G$140&lt;&gt;"acoes")))*INDEX(Inputs!$K$5:$AJ$140,0,MATCH(X$2,Inputs!$K$4:$AJ$4,0)))))</f>
        <v>0</v>
      </c>
      <c r="Y32" s="6">
        <f>IF(ISNA(MATCH(Y$2,Inputs!$K$4:$AJ$4,0)),NA(),IF(SUMPRODUCT((Inputs!$A$5:$A$140=$B32)*ISNUMBER(INDEX(Inputs!$K$5:$AJ$140,0,MATCH(Y$2,Inputs!$K$4:$AJ$4,0))))+SUMPRODUCT((Inputs!$C$5:$C$140=$B32)*ISNUMBER(INDEX(Inputs!$K$5:$AJ$140,0,MATCH(Y$2,Inputs!$K$4:$AJ$4,0))))+SUMPRODUCT((Inputs!$E$5:$E$140=$B32)*ISNUMBER(INDEX(Inputs!$K$5:$AJ$140,0,MATCH(Y$2,Inputs!$K$4:$AJ$4,0))))=0,NA(),SUMPRODUCT((Inputs!$A$5:$A$140=$B32)*Inputs!$B$5:$B$140*(((Inputs!$G$5:$G$140="moeda")+(Inputs!$G$5:$G$140="acoes"))*Inputs!$B$1+((Inputs!$G$5:$G$140&lt;&gt;"moeda")*(Inputs!$G$5:$G$140&lt;&gt;"acoes")))*INDEX(Inputs!$K$5:$AJ$140,0,MATCH(Y$2,Inputs!$K$4:$AJ$4,0)))+SUMPRODUCT((Inputs!$C$5:$C$140=$B32)*Inputs!$D$5:$D$140*(((Inputs!$G$5:$G$140="moeda")+(Inputs!$G$5:$G$140="acoes"))*Inputs!$B$1+((Inputs!$G$5:$G$140&lt;&gt;"moeda")*(Inputs!$G$5:$G$140&lt;&gt;"acoes")))*INDEX(Inputs!$K$5:$AJ$140,0,MATCH(Y$2,Inputs!$K$4:$AJ$4,0)))+SUMPRODUCT((Inputs!$E$5:$E$140=$B32)*Inputs!$F$5:$F$140*(((Inputs!$G$5:$G$140="moeda")+(Inputs!$G$5:$G$140="acoes"))*Inputs!$B$1+((Inputs!$G$5:$G$140&lt;&gt;"moeda")*(Inputs!$G$5:$G$140&lt;&gt;"acoes")))*INDEX(Inputs!$K$5:$AJ$140,0,MATCH(Y$2,Inputs!$K$4:$AJ$4,0)))))</f>
        <v>0</v>
      </c>
      <c r="Z32" s="6">
        <f>IF(ISNA(MATCH(Z$2,Inputs!$K$4:$AJ$4,0)),NA(),IF(SUMPRODUCT((Inputs!$A$5:$A$140=$B32)*ISNUMBER(INDEX(Inputs!$K$5:$AJ$140,0,MATCH(Z$2,Inputs!$K$4:$AJ$4,0))))+SUMPRODUCT((Inputs!$C$5:$C$140=$B32)*ISNUMBER(INDEX(Inputs!$K$5:$AJ$140,0,MATCH(Z$2,Inputs!$K$4:$AJ$4,0))))+SUMPRODUCT((Inputs!$E$5:$E$140=$B32)*ISNUMBER(INDEX(Inputs!$K$5:$AJ$140,0,MATCH(Z$2,Inputs!$K$4:$AJ$4,0))))=0,NA(),SUMPRODUCT((Inputs!$A$5:$A$140=$B32)*Inputs!$B$5:$B$140*(((Inputs!$G$5:$G$140="moeda")+(Inputs!$G$5:$G$140="acoes"))*Inputs!$B$1+((Inputs!$G$5:$G$140&lt;&gt;"moeda")*(Inputs!$G$5:$G$140&lt;&gt;"acoes")))*INDEX(Inputs!$K$5:$AJ$140,0,MATCH(Z$2,Inputs!$K$4:$AJ$4,0)))+SUMPRODUCT((Inputs!$C$5:$C$140=$B32)*Inputs!$D$5:$D$140*(((Inputs!$G$5:$G$140="moeda")+(Inputs!$G$5:$G$140="acoes"))*Inputs!$B$1+((Inputs!$G$5:$G$140&lt;&gt;"moeda")*(Inputs!$G$5:$G$140&lt;&gt;"acoes")))*INDEX(Inputs!$K$5:$AJ$140,0,MATCH(Z$2,Inputs!$K$4:$AJ$4,0)))+SUMPRODUCT((Inputs!$E$5:$E$140=$B32)*Inputs!$F$5:$F$140*(((Inputs!$G$5:$G$140="moeda")+(Inputs!$G$5:$G$140="acoes"))*Inputs!$B$1+((Inputs!$G$5:$G$140&lt;&gt;"moeda")*(Inputs!$G$5:$G$140&lt;&gt;"acoes")))*INDEX(Inputs!$K$5:$AJ$140,0,MATCH(Z$2,Inputs!$K$4:$AJ$4,0)))))</f>
        <v>999</v>
      </c>
      <c r="AA32" s="6">
        <f>IF(ISNA(MATCH(AA$2,Inputs!$K$4:$AJ$4,0)),NA(),IF(SUMPRODUCT((Inputs!$A$5:$A$140=$B32)*ISNUMBER(INDEX(Inputs!$K$5:$AJ$140,0,MATCH(AA$2,Inputs!$K$4:$AJ$4,0))))+SUMPRODUCT((Inputs!$C$5:$C$140=$B32)*ISNUMBER(INDEX(Inputs!$K$5:$AJ$140,0,MATCH(AA$2,Inputs!$K$4:$AJ$4,0))))+SUMPRODUCT((Inputs!$E$5:$E$140=$B32)*ISNUMBER(INDEX(Inputs!$K$5:$AJ$140,0,MATCH(AA$2,Inputs!$K$4:$AJ$4,0))))=0,NA(),SUMPRODUCT((Inputs!$A$5:$A$140=$B32)*Inputs!$B$5:$B$140*(((Inputs!$G$5:$G$140="moeda")+(Inputs!$G$5:$G$140="acoes"))*Inputs!$B$1+((Inputs!$G$5:$G$140&lt;&gt;"moeda")*(Inputs!$G$5:$G$140&lt;&gt;"acoes")))*INDEX(Inputs!$K$5:$AJ$140,0,MATCH(AA$2,Inputs!$K$4:$AJ$4,0)))+SUMPRODUCT((Inputs!$C$5:$C$140=$B32)*Inputs!$D$5:$D$140*(((Inputs!$G$5:$G$140="moeda")+(Inputs!$G$5:$G$140="acoes"))*Inputs!$B$1+((Inputs!$G$5:$G$140&lt;&gt;"moeda")*(Inputs!$G$5:$G$140&lt;&gt;"acoes")))*INDEX(Inputs!$K$5:$AJ$140,0,MATCH(AA$2,Inputs!$K$4:$AJ$4,0)))+SUMPRODUCT((Inputs!$E$5:$E$140=$B32)*Inputs!$F$5:$F$140*(((Inputs!$G$5:$G$140="moeda")+(Inputs!$G$5:$G$140="acoes"))*Inputs!$B$1+((Inputs!$G$5:$G$140&lt;&gt;"moeda")*(Inputs!$G$5:$G$140&lt;&gt;"acoes")))*INDEX(Inputs!$K$5:$AJ$140,0,MATCH(AA$2,Inputs!$K$4:$AJ$4,0)))))</f>
        <v>999</v>
      </c>
      <c r="AB32" s="3">
        <f>AA32</f>
        <v>999</v>
      </c>
      <c r="AC32" s="6">
        <f>IF(ISNA(MATCH(AC$2,Inputs!$K$4:$AJ$4,0)),NA(),IF(SUMPRODUCT((Inputs!$A$5:$A$140=$B32)*ISNUMBER(INDEX(Inputs!$K$5:$AJ$140,0,MATCH(AC$2,Inputs!$K$4:$AJ$4,0))))+SUMPRODUCT((Inputs!$C$5:$C$140=$B32)*ISNUMBER(INDEX(Inputs!$K$5:$AJ$140,0,MATCH(AC$2,Inputs!$K$4:$AJ$4,0))))+SUMPRODUCT((Inputs!$E$5:$E$140=$B32)*ISNUMBER(INDEX(Inputs!$K$5:$AJ$140,0,MATCH(AC$2,Inputs!$K$4:$AJ$4,0))))=0,NA(),SUMPRODUCT((Inputs!$A$5:$A$140=$B32)*Inputs!$B$5:$B$140*(((Inputs!$G$5:$G$140="moeda")+(Inputs!$G$5:$G$140="acoes"))*Inputs!$B$1+((Inputs!$G$5:$G$140&lt;&gt;"moeda")*(Inputs!$G$5:$G$140&lt;&gt;"acoes")))*INDEX(Inputs!$K$5:$AJ$140,0,MATCH(AC$2,Inputs!$K$4:$AJ$4,0)))+SUMPRODUCT((Inputs!$C$5:$C$140=$B32)*Inputs!$D$5:$D$140*(((Inputs!$G$5:$G$140="moeda")+(Inputs!$G$5:$G$140="acoes"))*Inputs!$B$1+((Inputs!$G$5:$G$140&lt;&gt;"moeda")*(Inputs!$G$5:$G$140&lt;&gt;"acoes")))*INDEX(Inputs!$K$5:$AJ$140,0,MATCH(AC$2,Inputs!$K$4:$AJ$4,0)))+SUMPRODUCT((Inputs!$E$5:$E$140=$B32)*Inputs!$F$5:$F$140*(((Inputs!$G$5:$G$140="moeda")+(Inputs!$G$5:$G$140="acoes"))*Inputs!$B$1+((Inputs!$G$5:$G$140&lt;&gt;"moeda")*(Inputs!$G$5:$G$140&lt;&gt;"acoes")))*INDEX(Inputs!$K$5:$AJ$140,0,MATCH(AC$2,Inputs!$K$4:$AJ$4,0)))))</f>
        <v>1000</v>
      </c>
      <c r="AD32" s="6">
        <f>IF(ISNA(MATCH(AD$2,Inputs!$K$4:$AJ$4,0)),NA(),IF(SUMPRODUCT((Inputs!$A$5:$A$140=$B32)*ISNUMBER(INDEX(Inputs!$K$5:$AJ$140,0,MATCH(AD$2,Inputs!$K$4:$AJ$4,0))))+SUMPRODUCT((Inputs!$C$5:$C$140=$B32)*ISNUMBER(INDEX(Inputs!$K$5:$AJ$140,0,MATCH(AD$2,Inputs!$K$4:$AJ$4,0))))+SUMPRODUCT((Inputs!$E$5:$E$140=$B32)*ISNUMBER(INDEX(Inputs!$K$5:$AJ$140,0,MATCH(AD$2,Inputs!$K$4:$AJ$4,0))))=0,NA(),SUMPRODUCT((Inputs!$A$5:$A$140=$B32)*Inputs!$B$5:$B$140*(((Inputs!$G$5:$G$140="moeda")+(Inputs!$G$5:$G$140="acoes"))*Inputs!$B$1+((Inputs!$G$5:$G$140&lt;&gt;"moeda")*(Inputs!$G$5:$G$140&lt;&gt;"acoes")))*INDEX(Inputs!$K$5:$AJ$140,0,MATCH(AD$2,Inputs!$K$4:$AJ$4,0)))+SUMPRODUCT((Inputs!$C$5:$C$140=$B32)*Inputs!$D$5:$D$140*(((Inputs!$G$5:$G$140="moeda")+(Inputs!$G$5:$G$140="acoes"))*Inputs!$B$1+((Inputs!$G$5:$G$140&lt;&gt;"moeda")*(Inputs!$G$5:$G$140&lt;&gt;"acoes")))*INDEX(Inputs!$K$5:$AJ$140,0,MATCH(AD$2,Inputs!$K$4:$AJ$4,0)))+SUMPRODUCT((Inputs!$E$5:$E$140=$B32)*Inputs!$F$5:$F$140*(((Inputs!$G$5:$G$140="moeda")+(Inputs!$G$5:$G$140="acoes"))*Inputs!$B$1+((Inputs!$G$5:$G$140&lt;&gt;"moeda")*(Inputs!$G$5:$G$140&lt;&gt;"acoes")))*INDEX(Inputs!$K$5:$AJ$140,0,MATCH(AD$2,Inputs!$K$4:$AJ$4,0)))))</f>
        <v>1000</v>
      </c>
      <c r="AE32" s="6" t="e">
        <f>IF(ISNA(MATCH(AE$2,Inputs!$K$4:$AJ$4,0)),NA(),IF(SUMPRODUCT((Inputs!$A$5:$A$140=$B32)*ISNUMBER(INDEX(Inputs!$K$5:$AJ$140,0,MATCH(AE$2,Inputs!$K$4:$AJ$4,0))))+SUMPRODUCT((Inputs!$C$5:$C$140=$B32)*ISNUMBER(INDEX(Inputs!$K$5:$AJ$140,0,MATCH(AE$2,Inputs!$K$4:$AJ$4,0))))+SUMPRODUCT((Inputs!$E$5:$E$140=$B32)*ISNUMBER(INDEX(Inputs!$K$5:$AJ$140,0,MATCH(AE$2,Inputs!$K$4:$AJ$4,0))))=0,NA(),SUMPRODUCT((Inputs!$A$5:$A$140=$B32)*Inputs!$B$5:$B$140*(((Inputs!$G$5:$G$140="moeda")+(Inputs!$G$5:$G$140="acoes"))*Inputs!$B$1+((Inputs!$G$5:$G$140&lt;&gt;"moeda")*(Inputs!$G$5:$G$140&lt;&gt;"acoes")))*INDEX(Inputs!$K$5:$AJ$140,0,MATCH(AE$2,Inputs!$K$4:$AJ$4,0)))+SUMPRODUCT((Inputs!$C$5:$C$140=$B32)*Inputs!$D$5:$D$140*(((Inputs!$G$5:$G$140="moeda")+(Inputs!$G$5:$G$140="acoes"))*Inputs!$B$1+((Inputs!$G$5:$G$140&lt;&gt;"moeda")*(Inputs!$G$5:$G$140&lt;&gt;"acoes")))*INDEX(Inputs!$K$5:$AJ$140,0,MATCH(AE$2,Inputs!$K$4:$AJ$4,0)))+SUMPRODUCT((Inputs!$E$5:$E$140=$B32)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32" s="6" t="e">
        <f>IF(ISNA(MATCH(AF$2,Inputs!$K$4:$AJ$4,0)),NA(),IF(SUMPRODUCT((Inputs!$A$5:$A$140=$B32)*ISNUMBER(INDEX(Inputs!$K$5:$AJ$140,0,MATCH(AF$2,Inputs!$K$4:$AJ$4,0))))+SUMPRODUCT((Inputs!$C$5:$C$140=$B32)*ISNUMBER(INDEX(Inputs!$K$5:$AJ$140,0,MATCH(AF$2,Inputs!$K$4:$AJ$4,0))))+SUMPRODUCT((Inputs!$E$5:$E$140=$B32)*ISNUMBER(INDEX(Inputs!$K$5:$AJ$140,0,MATCH(AF$2,Inputs!$K$4:$AJ$4,0))))=0,NA(),SUMPRODUCT((Inputs!$A$5:$A$140=$B32)*Inputs!$B$5:$B$140*(((Inputs!$G$5:$G$140="moeda")+(Inputs!$G$5:$G$140="acoes"))*Inputs!$B$1+((Inputs!$G$5:$G$140&lt;&gt;"moeda")*(Inputs!$G$5:$G$140&lt;&gt;"acoes")))*INDEX(Inputs!$K$5:$AJ$140,0,MATCH(AF$2,Inputs!$K$4:$AJ$4,0)))+SUMPRODUCT((Inputs!$C$5:$C$140=$B32)*Inputs!$D$5:$D$140*(((Inputs!$G$5:$G$140="moeda")+(Inputs!$G$5:$G$140="acoes"))*Inputs!$B$1+((Inputs!$G$5:$G$140&lt;&gt;"moeda")*(Inputs!$G$5:$G$140&lt;&gt;"acoes")))*INDEX(Inputs!$K$5:$AJ$140,0,MATCH(AF$2,Inputs!$K$4:$AJ$4,0)))+SUMPRODUCT((Inputs!$E$5:$E$140=$B32)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32" s="3" t="e">
        <f>AF32</f>
        <v>#N/A</v>
      </c>
      <c r="AH32" s="6">
        <f>IF(ISNA(MATCH(AH$2,Inputs!$K$4:$AJ$4,0)),NA(),IF(SUMPRODUCT((Inputs!$A$5:$A$140=$B32)*ISNUMBER(INDEX(Inputs!$K$5:$AJ$140,0,MATCH(AH$2,Inputs!$K$4:$AJ$4,0))))+SUMPRODUCT((Inputs!$C$5:$C$140=$B32)*ISNUMBER(INDEX(Inputs!$K$5:$AJ$140,0,MATCH(AH$2,Inputs!$K$4:$AJ$4,0))))+SUMPRODUCT((Inputs!$E$5:$E$140=$B32)*ISNUMBER(INDEX(Inputs!$K$5:$AJ$140,0,MATCH(AH$2,Inputs!$K$4:$AJ$4,0))))=0,NA(),SUMPRODUCT((Inputs!$A$5:$A$140=$B32)*Inputs!$B$5:$B$140*(((Inputs!$G$5:$G$140="moeda")+(Inputs!$G$5:$G$140="acoes"))*Inputs!$B$1+((Inputs!$G$5:$G$140&lt;&gt;"moeda")*(Inputs!$G$5:$G$140&lt;&gt;"acoes")))*INDEX(Inputs!$K$5:$AJ$140,0,MATCH(AH$2,Inputs!$K$4:$AJ$4,0)))+SUMPRODUCT((Inputs!$C$5:$C$140=$B32)*Inputs!$D$5:$D$140*(((Inputs!$G$5:$G$140="moeda")+(Inputs!$G$5:$G$140="acoes"))*Inputs!$B$1+((Inputs!$G$5:$G$140&lt;&gt;"moeda")*(Inputs!$G$5:$G$140&lt;&gt;"acoes")))*INDEX(Inputs!$K$5:$AJ$140,0,MATCH(AH$2,Inputs!$K$4:$AJ$4,0)))+SUMPRODUCT((Inputs!$E$5:$E$140=$B32)*Inputs!$F$5:$F$140*(((Inputs!$G$5:$G$140="moeda")+(Inputs!$G$5:$G$140="acoes"))*Inputs!$B$1+((Inputs!$G$5:$G$140&lt;&gt;"moeda")*(Inputs!$G$5:$G$140&lt;&gt;"acoes")))*INDEX(Inputs!$K$5:$AJ$140,0,MATCH(AH$2,Inputs!$K$4:$AJ$4,0)))))</f>
        <v>0</v>
      </c>
      <c r="AI32" s="6">
        <f>IF(ISNA(MATCH(AI$2,Inputs!$K$4:$AJ$4,0)),NA(),IF(SUMPRODUCT((Inputs!$A$5:$A$140=$B32)*ISNUMBER(INDEX(Inputs!$K$5:$AJ$140,0,MATCH(AI$2,Inputs!$K$4:$AJ$4,0))))+SUMPRODUCT((Inputs!$C$5:$C$140=$B32)*ISNUMBER(INDEX(Inputs!$K$5:$AJ$140,0,MATCH(AI$2,Inputs!$K$4:$AJ$4,0))))+SUMPRODUCT((Inputs!$E$5:$E$140=$B32)*ISNUMBER(INDEX(Inputs!$K$5:$AJ$140,0,MATCH(AI$2,Inputs!$K$4:$AJ$4,0))))=0,NA(),SUMPRODUCT((Inputs!$A$5:$A$140=$B32)*Inputs!$B$5:$B$140*(((Inputs!$G$5:$G$140="moeda")+(Inputs!$G$5:$G$140="acoes"))*Inputs!$B$1+((Inputs!$G$5:$G$140&lt;&gt;"moeda")*(Inputs!$G$5:$G$140&lt;&gt;"acoes")))*INDEX(Inputs!$K$5:$AJ$140,0,MATCH(AI$2,Inputs!$K$4:$AJ$4,0)))+SUMPRODUCT((Inputs!$C$5:$C$140=$B32)*Inputs!$D$5:$D$140*(((Inputs!$G$5:$G$140="moeda")+(Inputs!$G$5:$G$140="acoes"))*Inputs!$B$1+((Inputs!$G$5:$G$140&lt;&gt;"moeda")*(Inputs!$G$5:$G$140&lt;&gt;"acoes")))*INDEX(Inputs!$K$5:$AJ$140,0,MATCH(AI$2,Inputs!$K$4:$AJ$4,0)))+SUMPRODUCT((Inputs!$E$5:$E$140=$B32)*Inputs!$F$5:$F$140*(((Inputs!$G$5:$G$140="moeda")+(Inputs!$G$5:$G$140="acoes"))*Inputs!$B$1+((Inputs!$G$5:$G$140&lt;&gt;"moeda")*(Inputs!$G$5:$G$140&lt;&gt;"acoes")))*INDEX(Inputs!$K$5:$AJ$140,0,MATCH(AI$2,Inputs!$K$4:$AJ$4,0)))))</f>
        <v>0</v>
      </c>
      <c r="AJ32" s="6">
        <f>IF(ISNA(MATCH(AJ$2,Inputs!$K$4:$AJ$4,0)),NA(),IF(SUMPRODUCT((Inputs!$A$5:$A$140=$B32)*ISNUMBER(INDEX(Inputs!$K$5:$AJ$140,0,MATCH(AJ$2,Inputs!$K$4:$AJ$4,0))))+SUMPRODUCT((Inputs!$C$5:$C$140=$B32)*ISNUMBER(INDEX(Inputs!$K$5:$AJ$140,0,MATCH(AJ$2,Inputs!$K$4:$AJ$4,0))))+SUMPRODUCT((Inputs!$E$5:$E$140=$B32)*ISNUMBER(INDEX(Inputs!$K$5:$AJ$140,0,MATCH(AJ$2,Inputs!$K$4:$AJ$4,0))))=0,NA(),SUMPRODUCT((Inputs!$A$5:$A$140=$B32)*Inputs!$B$5:$B$140*(((Inputs!$G$5:$G$140="moeda")+(Inputs!$G$5:$G$140="acoes"))*Inputs!$B$1+((Inputs!$G$5:$G$140&lt;&gt;"moeda")*(Inputs!$G$5:$G$140&lt;&gt;"acoes")))*INDEX(Inputs!$K$5:$AJ$140,0,MATCH(AJ$2,Inputs!$K$4:$AJ$4,0)))+SUMPRODUCT((Inputs!$C$5:$C$140=$B32)*Inputs!$D$5:$D$140*(((Inputs!$G$5:$G$140="moeda")+(Inputs!$G$5:$G$140="acoes"))*Inputs!$B$1+((Inputs!$G$5:$G$140&lt;&gt;"moeda")*(Inputs!$G$5:$G$140&lt;&gt;"acoes")))*INDEX(Inputs!$K$5:$AJ$140,0,MATCH(AJ$2,Inputs!$K$4:$AJ$4,0)))+SUMPRODUCT((Inputs!$E$5:$E$140=$B32)*Inputs!$F$5:$F$140*(((Inputs!$G$5:$G$140="moeda")+(Inputs!$G$5:$G$140="acoes"))*Inputs!$B$1+((Inputs!$G$5:$G$140&lt;&gt;"moeda")*(Inputs!$G$5:$G$140&lt;&gt;"acoes")))*INDEX(Inputs!$K$5:$AJ$140,0,MATCH(AJ$2,Inputs!$K$4:$AJ$4,0)))))</f>
        <v>998</v>
      </c>
      <c r="AK32" s="6">
        <f>IF(ISNA(MATCH(AK$2,Inputs!$K$4:$AJ$4,0)),NA(),IF(SUMPRODUCT((Inputs!$A$5:$A$140=$B32)*ISNUMBER(INDEX(Inputs!$K$5:$AJ$140,0,MATCH(AK$2,Inputs!$K$4:$AJ$4,0))))+SUMPRODUCT((Inputs!$C$5:$C$140=$B32)*ISNUMBER(INDEX(Inputs!$K$5:$AJ$140,0,MATCH(AK$2,Inputs!$K$4:$AJ$4,0))))+SUMPRODUCT((Inputs!$E$5:$E$140=$B32)*ISNUMBER(INDEX(Inputs!$K$5:$AJ$140,0,MATCH(AK$2,Inputs!$K$4:$AJ$4,0))))=0,NA(),SUMPRODUCT((Inputs!$A$5:$A$140=$B32)*Inputs!$B$5:$B$140*(((Inputs!$G$5:$G$140="moeda")+(Inputs!$G$5:$G$140="acoes"))*Inputs!$B$1+((Inputs!$G$5:$G$140&lt;&gt;"moeda")*(Inputs!$G$5:$G$140&lt;&gt;"acoes")))*INDEX(Inputs!$K$5:$AJ$140,0,MATCH(AK$2,Inputs!$K$4:$AJ$4,0)))+SUMPRODUCT((Inputs!$C$5:$C$140=$B32)*Inputs!$D$5:$D$140*(((Inputs!$G$5:$G$140="moeda")+(Inputs!$G$5:$G$140="acoes"))*Inputs!$B$1+((Inputs!$G$5:$G$140&lt;&gt;"moeda")*(Inputs!$G$5:$G$140&lt;&gt;"acoes")))*INDEX(Inputs!$K$5:$AJ$140,0,MATCH(AK$2,Inputs!$K$4:$AJ$4,0)))+SUMPRODUCT((Inputs!$E$5:$E$140=$B32)*Inputs!$F$5:$F$140*(((Inputs!$G$5:$G$140="moeda")+(Inputs!$G$5:$G$140="acoes"))*Inputs!$B$1+((Inputs!$G$5:$G$140&lt;&gt;"moeda")*(Inputs!$G$5:$G$140&lt;&gt;"acoes")))*INDEX(Inputs!$K$5:$AJ$140,0,MATCH(AK$2,Inputs!$K$4:$AJ$4,0)))))</f>
        <v>999</v>
      </c>
      <c r="AL32" s="3">
        <f>AK32</f>
        <v>999</v>
      </c>
    </row>
    <row r="33">
      <c r="B33" s="46" t="n">
        <v>28</v>
      </c>
      <c r="C33" s="26" t="inlineStr">
        <is>
          <t>Short term debt (Revolving credit facility)</t>
        </is>
      </c>
      <c r="D33" s="6" t="e">
        <f>IF(ISNA(MATCH(D$2,Inputs!$K$4:$AJ$4,0)),NA(),IF(SUMPRODUCT((Inputs!$A$5:$A$140=$B33)*ISNUMBER(INDEX(Inputs!$K$5:$AJ$140,0,MATCH(D$2,Inputs!$K$4:$AJ$4,0))))+SUMPRODUCT((Inputs!$C$5:$C$140=$B33)*ISNUMBER(INDEX(Inputs!$K$5:$AJ$140,0,MATCH(D$2,Inputs!$K$4:$AJ$4,0))))+SUMPRODUCT((Inputs!$E$5:$E$140=$B33)*ISNUMBER(INDEX(Inputs!$K$5:$AJ$140,0,MATCH(D$2,Inputs!$K$4:$AJ$4,0))))=0,NA(),SUMPRODUCT((Inputs!$A$5:$A$140=$B33)*Inputs!$B$5:$B$140*(((Inputs!$G$5:$G$140="moeda")+(Inputs!$G$5:$G$140="acoes"))*Inputs!$B$1+((Inputs!$G$5:$G$140&lt;&gt;"moeda")*(Inputs!$G$5:$G$140&lt;&gt;"acoes")))*INDEX(Inputs!$K$5:$AJ$140,0,MATCH(D$2,Inputs!$K$4:$AJ$4,0)))+SUMPRODUCT((Inputs!$C$5:$C$140=$B33)*Inputs!$D$5:$D$140*(((Inputs!$G$5:$G$140="moeda")+(Inputs!$G$5:$G$140="acoes"))*Inputs!$B$1+((Inputs!$G$5:$G$140&lt;&gt;"moeda")*(Inputs!$G$5:$G$140&lt;&gt;"acoes")))*INDEX(Inputs!$K$5:$AJ$140,0,MATCH(D$2,Inputs!$K$4:$AJ$4,0)))+SUMPRODUCT((Inputs!$E$5:$E$140=$B33)*Inputs!$F$5:$F$140*(((Inputs!$G$5:$G$140="moeda")+(Inputs!$G$5:$G$140="acoes"))*Inputs!$B$1+((Inputs!$G$5:$G$140&lt;&gt;"moeda")*(Inputs!$G$5:$G$140&lt;&gt;"acoes")))*INDEX(Inputs!$K$5:$AJ$140,0,MATCH(D$2,Inputs!$K$4:$AJ$4,0)))))</f>
        <v>#N/A</v>
      </c>
      <c r="E33" s="6" t="e">
        <f>IF(ISNA(MATCH(E$2,Inputs!$K$4:$AJ$4,0)),NA(),IF(SUMPRODUCT((Inputs!$A$5:$A$140=$B33)*ISNUMBER(INDEX(Inputs!$K$5:$AJ$140,0,MATCH(E$2,Inputs!$K$4:$AJ$4,0))))+SUMPRODUCT((Inputs!$C$5:$C$140=$B33)*ISNUMBER(INDEX(Inputs!$K$5:$AJ$140,0,MATCH(E$2,Inputs!$K$4:$AJ$4,0))))+SUMPRODUCT((Inputs!$E$5:$E$140=$B33)*ISNUMBER(INDEX(Inputs!$K$5:$AJ$140,0,MATCH(E$2,Inputs!$K$4:$AJ$4,0))))=0,NA(),SUMPRODUCT((Inputs!$A$5:$A$140=$B33)*Inputs!$B$5:$B$140*(((Inputs!$G$5:$G$140="moeda")+(Inputs!$G$5:$G$140="acoes"))*Inputs!$B$1+((Inputs!$G$5:$G$140&lt;&gt;"moeda")*(Inputs!$G$5:$G$140&lt;&gt;"acoes")))*INDEX(Inputs!$K$5:$AJ$140,0,MATCH(E$2,Inputs!$K$4:$AJ$4,0)))+SUMPRODUCT((Inputs!$C$5:$C$140=$B33)*Inputs!$D$5:$D$140*(((Inputs!$G$5:$G$140="moeda")+(Inputs!$G$5:$G$140="acoes"))*Inputs!$B$1+((Inputs!$G$5:$G$140&lt;&gt;"moeda")*(Inputs!$G$5:$G$140&lt;&gt;"acoes")))*INDEX(Inputs!$K$5:$AJ$140,0,MATCH(E$2,Inputs!$K$4:$AJ$4,0)))+SUMPRODUCT((Inputs!$E$5:$E$140=$B33)*Inputs!$F$5:$F$140*(((Inputs!$G$5:$G$140="moeda")+(Inputs!$G$5:$G$140="acoes"))*Inputs!$B$1+((Inputs!$G$5:$G$140&lt;&gt;"moeda")*(Inputs!$G$5:$G$140&lt;&gt;"acoes")))*INDEX(Inputs!$K$5:$AJ$140,0,MATCH(E$2,Inputs!$K$4:$AJ$4,0)))))</f>
        <v>#N/A</v>
      </c>
      <c r="F33" s="6" t="e">
        <f>IF(ISNA(MATCH(F$2,Inputs!$K$4:$AJ$4,0)),NA(),IF(SUMPRODUCT((Inputs!$A$5:$A$140=$B33)*ISNUMBER(INDEX(Inputs!$K$5:$AJ$140,0,MATCH(F$2,Inputs!$K$4:$AJ$4,0))))+SUMPRODUCT((Inputs!$C$5:$C$140=$B33)*ISNUMBER(INDEX(Inputs!$K$5:$AJ$140,0,MATCH(F$2,Inputs!$K$4:$AJ$4,0))))+SUMPRODUCT((Inputs!$E$5:$E$140=$B33)*ISNUMBER(INDEX(Inputs!$K$5:$AJ$140,0,MATCH(F$2,Inputs!$K$4:$AJ$4,0))))=0,NA(),SUMPRODUCT((Inputs!$A$5:$A$140=$B33)*Inputs!$B$5:$B$140*(((Inputs!$G$5:$G$140="moeda")+(Inputs!$G$5:$G$140="acoes"))*Inputs!$B$1+((Inputs!$G$5:$G$140&lt;&gt;"moeda")*(Inputs!$G$5:$G$140&lt;&gt;"acoes")))*INDEX(Inputs!$K$5:$AJ$140,0,MATCH(F$2,Inputs!$K$4:$AJ$4,0)))+SUMPRODUCT((Inputs!$C$5:$C$140=$B33)*Inputs!$D$5:$D$140*(((Inputs!$G$5:$G$140="moeda")+(Inputs!$G$5:$G$140="acoes"))*Inputs!$B$1+((Inputs!$G$5:$G$140&lt;&gt;"moeda")*(Inputs!$G$5:$G$140&lt;&gt;"acoes")))*INDEX(Inputs!$K$5:$AJ$140,0,MATCH(F$2,Inputs!$K$4:$AJ$4,0)))+SUMPRODUCT((Inputs!$E$5:$E$140=$B33)*Inputs!$F$5:$F$140*(((Inputs!$G$5:$G$140="moeda")+(Inputs!$G$5:$G$140="acoes"))*Inputs!$B$1+((Inputs!$G$5:$G$140&lt;&gt;"moeda")*(Inputs!$G$5:$G$140&lt;&gt;"acoes")))*INDEX(Inputs!$K$5:$AJ$140,0,MATCH(F$2,Inputs!$K$4:$AJ$4,0)))))</f>
        <v>#N/A</v>
      </c>
      <c r="G33" s="6" t="e">
        <f>IF(ISNA(MATCH(G$2,Inputs!$K$4:$AJ$4,0)),NA(),IF(SUMPRODUCT((Inputs!$A$5:$A$140=$B33)*ISNUMBER(INDEX(Inputs!$K$5:$AJ$140,0,MATCH(G$2,Inputs!$K$4:$AJ$4,0))))+SUMPRODUCT((Inputs!$C$5:$C$140=$B33)*ISNUMBER(INDEX(Inputs!$K$5:$AJ$140,0,MATCH(G$2,Inputs!$K$4:$AJ$4,0))))+SUMPRODUCT((Inputs!$E$5:$E$140=$B33)*ISNUMBER(INDEX(Inputs!$K$5:$AJ$140,0,MATCH(G$2,Inputs!$K$4:$AJ$4,0))))=0,NA(),SUMPRODUCT((Inputs!$A$5:$A$140=$B33)*Inputs!$B$5:$B$140*(((Inputs!$G$5:$G$140="moeda")+(Inputs!$G$5:$G$140="acoes"))*Inputs!$B$1+((Inputs!$G$5:$G$140&lt;&gt;"moeda")*(Inputs!$G$5:$G$140&lt;&gt;"acoes")))*INDEX(Inputs!$K$5:$AJ$140,0,MATCH(G$2,Inputs!$K$4:$AJ$4,0)))+SUMPRODUCT((Inputs!$C$5:$C$140=$B33)*Inputs!$D$5:$D$140*(((Inputs!$G$5:$G$140="moeda")+(Inputs!$G$5:$G$140="acoes"))*Inputs!$B$1+((Inputs!$G$5:$G$140&lt;&gt;"moeda")*(Inputs!$G$5:$G$140&lt;&gt;"acoes")))*INDEX(Inputs!$K$5:$AJ$140,0,MATCH(G$2,Inputs!$K$4:$AJ$4,0)))+SUMPRODUCT((Inputs!$E$5:$E$140=$B33)*Inputs!$F$5:$F$140*(((Inputs!$G$5:$G$140="moeda")+(Inputs!$G$5:$G$140="acoes"))*Inputs!$B$1+((Inputs!$G$5:$G$140&lt;&gt;"moeda")*(Inputs!$G$5:$G$140&lt;&gt;"acoes")))*INDEX(Inputs!$K$5:$AJ$140,0,MATCH(G$2,Inputs!$K$4:$AJ$4,0)))))</f>
        <v>#N/A</v>
      </c>
      <c r="H33" s="3" t="e">
        <f>G33</f>
        <v>#N/A</v>
      </c>
      <c r="I33" s="6" t="e">
        <f>IF(ISNA(MATCH(I$2,Inputs!$K$4:$AJ$4,0)),NA(),IF(SUMPRODUCT((Inputs!$A$5:$A$140=$B33)*ISNUMBER(INDEX(Inputs!$K$5:$AJ$140,0,MATCH(I$2,Inputs!$K$4:$AJ$4,0))))+SUMPRODUCT((Inputs!$C$5:$C$140=$B33)*ISNUMBER(INDEX(Inputs!$K$5:$AJ$140,0,MATCH(I$2,Inputs!$K$4:$AJ$4,0))))+SUMPRODUCT((Inputs!$E$5:$E$140=$B33)*ISNUMBER(INDEX(Inputs!$K$5:$AJ$140,0,MATCH(I$2,Inputs!$K$4:$AJ$4,0))))=0,NA(),SUMPRODUCT((Inputs!$A$5:$A$140=$B33)*Inputs!$B$5:$B$140*(((Inputs!$G$5:$G$140="moeda")+(Inputs!$G$5:$G$140="acoes"))*Inputs!$B$1+((Inputs!$G$5:$G$140&lt;&gt;"moeda")*(Inputs!$G$5:$G$140&lt;&gt;"acoes")))*INDEX(Inputs!$K$5:$AJ$140,0,MATCH(I$2,Inputs!$K$4:$AJ$4,0)))+SUMPRODUCT((Inputs!$C$5:$C$140=$B33)*Inputs!$D$5:$D$140*(((Inputs!$G$5:$G$140="moeda")+(Inputs!$G$5:$G$140="acoes"))*Inputs!$B$1+((Inputs!$G$5:$G$140&lt;&gt;"moeda")*(Inputs!$G$5:$G$140&lt;&gt;"acoes")))*INDEX(Inputs!$K$5:$AJ$140,0,MATCH(I$2,Inputs!$K$4:$AJ$4,0)))+SUMPRODUCT((Inputs!$E$5:$E$140=$B33)*Inputs!$F$5:$F$140*(((Inputs!$G$5:$G$140="moeda")+(Inputs!$G$5:$G$140="acoes"))*Inputs!$B$1+((Inputs!$G$5:$G$140&lt;&gt;"moeda")*(Inputs!$G$5:$G$140&lt;&gt;"acoes")))*INDEX(Inputs!$K$5:$AJ$140,0,MATCH(I$2,Inputs!$K$4:$AJ$4,0)))))</f>
        <v>#N/A</v>
      </c>
      <c r="J33" s="6" t="e">
        <f>IF(ISNA(MATCH(J$2,Inputs!$K$4:$AJ$4,0)),NA(),IF(SUMPRODUCT((Inputs!$A$5:$A$140=$B33)*ISNUMBER(INDEX(Inputs!$K$5:$AJ$140,0,MATCH(J$2,Inputs!$K$4:$AJ$4,0))))+SUMPRODUCT((Inputs!$C$5:$C$140=$B33)*ISNUMBER(INDEX(Inputs!$K$5:$AJ$140,0,MATCH(J$2,Inputs!$K$4:$AJ$4,0))))+SUMPRODUCT((Inputs!$E$5:$E$140=$B33)*ISNUMBER(INDEX(Inputs!$K$5:$AJ$140,0,MATCH(J$2,Inputs!$K$4:$AJ$4,0))))=0,NA(),SUMPRODUCT((Inputs!$A$5:$A$140=$B33)*Inputs!$B$5:$B$140*(((Inputs!$G$5:$G$140="moeda")+(Inputs!$G$5:$G$140="acoes"))*Inputs!$B$1+((Inputs!$G$5:$G$140&lt;&gt;"moeda")*(Inputs!$G$5:$G$140&lt;&gt;"acoes")))*INDEX(Inputs!$K$5:$AJ$140,0,MATCH(J$2,Inputs!$K$4:$AJ$4,0)))+SUMPRODUCT((Inputs!$C$5:$C$140=$B33)*Inputs!$D$5:$D$140*(((Inputs!$G$5:$G$140="moeda")+(Inputs!$G$5:$G$140="acoes"))*Inputs!$B$1+((Inputs!$G$5:$G$140&lt;&gt;"moeda")*(Inputs!$G$5:$G$140&lt;&gt;"acoes")))*INDEX(Inputs!$K$5:$AJ$140,0,MATCH(J$2,Inputs!$K$4:$AJ$4,0)))+SUMPRODUCT((Inputs!$E$5:$E$140=$B33)*Inputs!$F$5:$F$140*(((Inputs!$G$5:$G$140="moeda")+(Inputs!$G$5:$G$140="acoes"))*Inputs!$B$1+((Inputs!$G$5:$G$140&lt;&gt;"moeda")*(Inputs!$G$5:$G$140&lt;&gt;"acoes")))*INDEX(Inputs!$K$5:$AJ$140,0,MATCH(J$2,Inputs!$K$4:$AJ$4,0)))))</f>
        <v>#N/A</v>
      </c>
      <c r="K33" s="6" t="e">
        <f>IF(ISNA(MATCH(K$2,Inputs!$K$4:$AJ$4,0)),NA(),IF(SUMPRODUCT((Inputs!$A$5:$A$140=$B33)*ISNUMBER(INDEX(Inputs!$K$5:$AJ$140,0,MATCH(K$2,Inputs!$K$4:$AJ$4,0))))+SUMPRODUCT((Inputs!$C$5:$C$140=$B33)*ISNUMBER(INDEX(Inputs!$K$5:$AJ$140,0,MATCH(K$2,Inputs!$K$4:$AJ$4,0))))+SUMPRODUCT((Inputs!$E$5:$E$140=$B33)*ISNUMBER(INDEX(Inputs!$K$5:$AJ$140,0,MATCH(K$2,Inputs!$K$4:$AJ$4,0))))=0,NA(),SUMPRODUCT((Inputs!$A$5:$A$140=$B33)*Inputs!$B$5:$B$140*(((Inputs!$G$5:$G$140="moeda")+(Inputs!$G$5:$G$140="acoes"))*Inputs!$B$1+((Inputs!$G$5:$G$140&lt;&gt;"moeda")*(Inputs!$G$5:$G$140&lt;&gt;"acoes")))*INDEX(Inputs!$K$5:$AJ$140,0,MATCH(K$2,Inputs!$K$4:$AJ$4,0)))+SUMPRODUCT((Inputs!$C$5:$C$140=$B33)*Inputs!$D$5:$D$140*(((Inputs!$G$5:$G$140="moeda")+(Inputs!$G$5:$G$140="acoes"))*Inputs!$B$1+((Inputs!$G$5:$G$140&lt;&gt;"moeda")*(Inputs!$G$5:$G$140&lt;&gt;"acoes")))*INDEX(Inputs!$K$5:$AJ$140,0,MATCH(K$2,Inputs!$K$4:$AJ$4,0)))+SUMPRODUCT((Inputs!$E$5:$E$140=$B33)*Inputs!$F$5:$F$140*(((Inputs!$G$5:$G$140="moeda")+(Inputs!$G$5:$G$140="acoes"))*Inputs!$B$1+((Inputs!$G$5:$G$140&lt;&gt;"moeda")*(Inputs!$G$5:$G$140&lt;&gt;"acoes")))*INDEX(Inputs!$K$5:$AJ$140,0,MATCH(K$2,Inputs!$K$4:$AJ$4,0)))))</f>
        <v>#N/A</v>
      </c>
      <c r="L33" s="6" t="e">
        <f>IF(ISNA(MATCH(L$2,Inputs!$K$4:$AJ$4,0)),NA(),IF(SUMPRODUCT((Inputs!$A$5:$A$140=$B33)*ISNUMBER(INDEX(Inputs!$K$5:$AJ$140,0,MATCH(L$2,Inputs!$K$4:$AJ$4,0))))+SUMPRODUCT((Inputs!$C$5:$C$140=$B33)*ISNUMBER(INDEX(Inputs!$K$5:$AJ$140,0,MATCH(L$2,Inputs!$K$4:$AJ$4,0))))+SUMPRODUCT((Inputs!$E$5:$E$140=$B33)*ISNUMBER(INDEX(Inputs!$K$5:$AJ$140,0,MATCH(L$2,Inputs!$K$4:$AJ$4,0))))=0,NA(),SUMPRODUCT((Inputs!$A$5:$A$140=$B33)*Inputs!$B$5:$B$140*(((Inputs!$G$5:$G$140="moeda")+(Inputs!$G$5:$G$140="acoes"))*Inputs!$B$1+((Inputs!$G$5:$G$140&lt;&gt;"moeda")*(Inputs!$G$5:$G$140&lt;&gt;"acoes")))*INDEX(Inputs!$K$5:$AJ$140,0,MATCH(L$2,Inputs!$K$4:$AJ$4,0)))+SUMPRODUCT((Inputs!$C$5:$C$140=$B33)*Inputs!$D$5:$D$140*(((Inputs!$G$5:$G$140="moeda")+(Inputs!$G$5:$G$140="acoes"))*Inputs!$B$1+((Inputs!$G$5:$G$140&lt;&gt;"moeda")*(Inputs!$G$5:$G$140&lt;&gt;"acoes")))*INDEX(Inputs!$K$5:$AJ$140,0,MATCH(L$2,Inputs!$K$4:$AJ$4,0)))+SUMPRODUCT((Inputs!$E$5:$E$140=$B33)*Inputs!$F$5:$F$140*(((Inputs!$G$5:$G$140="moeda")+(Inputs!$G$5:$G$140="acoes"))*Inputs!$B$1+((Inputs!$G$5:$G$140&lt;&gt;"moeda")*(Inputs!$G$5:$G$140&lt;&gt;"acoes")))*INDEX(Inputs!$K$5:$AJ$140,0,MATCH(L$2,Inputs!$K$4:$AJ$4,0)))))</f>
        <v>#N/A</v>
      </c>
      <c r="M33" s="3" t="e">
        <f>L33</f>
        <v>#N/A</v>
      </c>
      <c r="N33" s="6" t="e">
        <f>IF(ISNA(MATCH(N$2,Inputs!$K$4:$AJ$4,0)),NA(),IF(SUMPRODUCT((Inputs!$A$5:$A$140=$B33)*ISNUMBER(INDEX(Inputs!$K$5:$AJ$140,0,MATCH(N$2,Inputs!$K$4:$AJ$4,0))))+SUMPRODUCT((Inputs!$C$5:$C$140=$B33)*ISNUMBER(INDEX(Inputs!$K$5:$AJ$140,0,MATCH(N$2,Inputs!$K$4:$AJ$4,0))))+SUMPRODUCT((Inputs!$E$5:$E$140=$B33)*ISNUMBER(INDEX(Inputs!$K$5:$AJ$140,0,MATCH(N$2,Inputs!$K$4:$AJ$4,0))))=0,NA(),SUMPRODUCT((Inputs!$A$5:$A$140=$B33)*Inputs!$B$5:$B$140*(((Inputs!$G$5:$G$140="moeda")+(Inputs!$G$5:$G$140="acoes"))*Inputs!$B$1+((Inputs!$G$5:$G$140&lt;&gt;"moeda")*(Inputs!$G$5:$G$140&lt;&gt;"acoes")))*INDEX(Inputs!$K$5:$AJ$140,0,MATCH(N$2,Inputs!$K$4:$AJ$4,0)))+SUMPRODUCT((Inputs!$C$5:$C$140=$B33)*Inputs!$D$5:$D$140*(((Inputs!$G$5:$G$140="moeda")+(Inputs!$G$5:$G$140="acoes"))*Inputs!$B$1+((Inputs!$G$5:$G$140&lt;&gt;"moeda")*(Inputs!$G$5:$G$140&lt;&gt;"acoes")))*INDEX(Inputs!$K$5:$AJ$140,0,MATCH(N$2,Inputs!$K$4:$AJ$4,0)))+SUMPRODUCT((Inputs!$E$5:$E$140=$B33)*Inputs!$F$5:$F$140*(((Inputs!$G$5:$G$140="moeda")+(Inputs!$G$5:$G$140="acoes"))*Inputs!$B$1+((Inputs!$G$5:$G$140&lt;&gt;"moeda")*(Inputs!$G$5:$G$140&lt;&gt;"acoes")))*INDEX(Inputs!$K$5:$AJ$140,0,MATCH(N$2,Inputs!$K$4:$AJ$4,0)))))</f>
        <v>#N/A</v>
      </c>
      <c r="O33" s="6" t="e">
        <f>IF(ISNA(MATCH(O$2,Inputs!$K$4:$AJ$4,0)),NA(),IF(SUMPRODUCT((Inputs!$A$5:$A$140=$B33)*ISNUMBER(INDEX(Inputs!$K$5:$AJ$140,0,MATCH(O$2,Inputs!$K$4:$AJ$4,0))))+SUMPRODUCT((Inputs!$C$5:$C$140=$B33)*ISNUMBER(INDEX(Inputs!$K$5:$AJ$140,0,MATCH(O$2,Inputs!$K$4:$AJ$4,0))))+SUMPRODUCT((Inputs!$E$5:$E$140=$B33)*ISNUMBER(INDEX(Inputs!$K$5:$AJ$140,0,MATCH(O$2,Inputs!$K$4:$AJ$4,0))))=0,NA(),SUMPRODUCT((Inputs!$A$5:$A$140=$B33)*Inputs!$B$5:$B$140*(((Inputs!$G$5:$G$140="moeda")+(Inputs!$G$5:$G$140="acoes"))*Inputs!$B$1+((Inputs!$G$5:$G$140&lt;&gt;"moeda")*(Inputs!$G$5:$G$140&lt;&gt;"acoes")))*INDEX(Inputs!$K$5:$AJ$140,0,MATCH(O$2,Inputs!$K$4:$AJ$4,0)))+SUMPRODUCT((Inputs!$C$5:$C$140=$B33)*Inputs!$D$5:$D$140*(((Inputs!$G$5:$G$140="moeda")+(Inputs!$G$5:$G$140="acoes"))*Inputs!$B$1+((Inputs!$G$5:$G$140&lt;&gt;"moeda")*(Inputs!$G$5:$G$140&lt;&gt;"acoes")))*INDEX(Inputs!$K$5:$AJ$140,0,MATCH(O$2,Inputs!$K$4:$AJ$4,0)))+SUMPRODUCT((Inputs!$E$5:$E$140=$B33)*Inputs!$F$5:$F$140*(((Inputs!$G$5:$G$140="moeda")+(Inputs!$G$5:$G$140="acoes"))*Inputs!$B$1+((Inputs!$G$5:$G$140&lt;&gt;"moeda")*(Inputs!$G$5:$G$140&lt;&gt;"acoes")))*INDEX(Inputs!$K$5:$AJ$140,0,MATCH(O$2,Inputs!$K$4:$AJ$4,0)))))</f>
        <v>#N/A</v>
      </c>
      <c r="P33" s="6" t="e">
        <f>IF(ISNA(MATCH(P$2,Inputs!$K$4:$AJ$4,0)),NA(),IF(SUMPRODUCT((Inputs!$A$5:$A$140=$B33)*ISNUMBER(INDEX(Inputs!$K$5:$AJ$140,0,MATCH(P$2,Inputs!$K$4:$AJ$4,0))))+SUMPRODUCT((Inputs!$C$5:$C$140=$B33)*ISNUMBER(INDEX(Inputs!$K$5:$AJ$140,0,MATCH(P$2,Inputs!$K$4:$AJ$4,0))))+SUMPRODUCT((Inputs!$E$5:$E$140=$B33)*ISNUMBER(INDEX(Inputs!$K$5:$AJ$140,0,MATCH(P$2,Inputs!$K$4:$AJ$4,0))))=0,NA(),SUMPRODUCT((Inputs!$A$5:$A$140=$B33)*Inputs!$B$5:$B$140*(((Inputs!$G$5:$G$140="moeda")+(Inputs!$G$5:$G$140="acoes"))*Inputs!$B$1+((Inputs!$G$5:$G$140&lt;&gt;"moeda")*(Inputs!$G$5:$G$140&lt;&gt;"acoes")))*INDEX(Inputs!$K$5:$AJ$140,0,MATCH(P$2,Inputs!$K$4:$AJ$4,0)))+SUMPRODUCT((Inputs!$C$5:$C$140=$B33)*Inputs!$D$5:$D$140*(((Inputs!$G$5:$G$140="moeda")+(Inputs!$G$5:$G$140="acoes"))*Inputs!$B$1+((Inputs!$G$5:$G$140&lt;&gt;"moeda")*(Inputs!$G$5:$G$140&lt;&gt;"acoes")))*INDEX(Inputs!$K$5:$AJ$140,0,MATCH(P$2,Inputs!$K$4:$AJ$4,0)))+SUMPRODUCT((Inputs!$E$5:$E$140=$B33)*Inputs!$F$5:$F$140*(((Inputs!$G$5:$G$140="moeda")+(Inputs!$G$5:$G$140="acoes"))*Inputs!$B$1+((Inputs!$G$5:$G$140&lt;&gt;"moeda")*(Inputs!$G$5:$G$140&lt;&gt;"acoes")))*INDEX(Inputs!$K$5:$AJ$140,0,MATCH(P$2,Inputs!$K$4:$AJ$4,0)))))</f>
        <v>#N/A</v>
      </c>
      <c r="Q33" s="6" t="e">
        <f>IF(ISNA(MATCH(Q$2,Inputs!$K$4:$AJ$4,0)),NA(),IF(SUMPRODUCT((Inputs!$A$5:$A$140=$B33)*ISNUMBER(INDEX(Inputs!$K$5:$AJ$140,0,MATCH(Q$2,Inputs!$K$4:$AJ$4,0))))+SUMPRODUCT((Inputs!$C$5:$C$140=$B33)*ISNUMBER(INDEX(Inputs!$K$5:$AJ$140,0,MATCH(Q$2,Inputs!$K$4:$AJ$4,0))))+SUMPRODUCT((Inputs!$E$5:$E$140=$B33)*ISNUMBER(INDEX(Inputs!$K$5:$AJ$140,0,MATCH(Q$2,Inputs!$K$4:$AJ$4,0))))=0,NA(),SUMPRODUCT((Inputs!$A$5:$A$140=$B33)*Inputs!$B$5:$B$140*(((Inputs!$G$5:$G$140="moeda")+(Inputs!$G$5:$G$140="acoes"))*Inputs!$B$1+((Inputs!$G$5:$G$140&lt;&gt;"moeda")*(Inputs!$G$5:$G$140&lt;&gt;"acoes")))*INDEX(Inputs!$K$5:$AJ$140,0,MATCH(Q$2,Inputs!$K$4:$AJ$4,0)))+SUMPRODUCT((Inputs!$C$5:$C$140=$B33)*Inputs!$D$5:$D$140*(((Inputs!$G$5:$G$140="moeda")+(Inputs!$G$5:$G$140="acoes"))*Inputs!$B$1+((Inputs!$G$5:$G$140&lt;&gt;"moeda")*(Inputs!$G$5:$G$140&lt;&gt;"acoes")))*INDEX(Inputs!$K$5:$AJ$140,0,MATCH(Q$2,Inputs!$K$4:$AJ$4,0)))+SUMPRODUCT((Inputs!$E$5:$E$140=$B33)*Inputs!$F$5:$F$140*(((Inputs!$G$5:$G$140="moeda")+(Inputs!$G$5:$G$140="acoes"))*Inputs!$B$1+((Inputs!$G$5:$G$140&lt;&gt;"moeda")*(Inputs!$G$5:$G$140&lt;&gt;"acoes")))*INDEX(Inputs!$K$5:$AJ$140,0,MATCH(Q$2,Inputs!$K$4:$AJ$4,0)))))</f>
        <v>#N/A</v>
      </c>
      <c r="R33" s="3" t="e">
        <f>Q33</f>
        <v>#N/A</v>
      </c>
      <c r="S33" s="6" t="e">
        <f>IF(ISNA(MATCH(S$2,Inputs!$K$4:$AJ$4,0)),NA(),IF(SUMPRODUCT((Inputs!$A$5:$A$140=$B33)*ISNUMBER(INDEX(Inputs!$K$5:$AJ$140,0,MATCH(S$2,Inputs!$K$4:$AJ$4,0))))+SUMPRODUCT((Inputs!$C$5:$C$140=$B33)*ISNUMBER(INDEX(Inputs!$K$5:$AJ$140,0,MATCH(S$2,Inputs!$K$4:$AJ$4,0))))+SUMPRODUCT((Inputs!$E$5:$E$140=$B33)*ISNUMBER(INDEX(Inputs!$K$5:$AJ$140,0,MATCH(S$2,Inputs!$K$4:$AJ$4,0))))=0,NA(),SUMPRODUCT((Inputs!$A$5:$A$140=$B33)*Inputs!$B$5:$B$140*(((Inputs!$G$5:$G$140="moeda")+(Inputs!$G$5:$G$140="acoes"))*Inputs!$B$1+((Inputs!$G$5:$G$140&lt;&gt;"moeda")*(Inputs!$G$5:$G$140&lt;&gt;"acoes")))*INDEX(Inputs!$K$5:$AJ$140,0,MATCH(S$2,Inputs!$K$4:$AJ$4,0)))+SUMPRODUCT((Inputs!$C$5:$C$140=$B33)*Inputs!$D$5:$D$140*(((Inputs!$G$5:$G$140="moeda")+(Inputs!$G$5:$G$140="acoes"))*Inputs!$B$1+((Inputs!$G$5:$G$140&lt;&gt;"moeda")*(Inputs!$G$5:$G$140&lt;&gt;"acoes")))*INDEX(Inputs!$K$5:$AJ$140,0,MATCH(S$2,Inputs!$K$4:$AJ$4,0)))+SUMPRODUCT((Inputs!$E$5:$E$140=$B33)*Inputs!$F$5:$F$140*(((Inputs!$G$5:$G$140="moeda")+(Inputs!$G$5:$G$140="acoes"))*Inputs!$B$1+((Inputs!$G$5:$G$140&lt;&gt;"moeda")*(Inputs!$G$5:$G$140&lt;&gt;"acoes")))*INDEX(Inputs!$K$5:$AJ$140,0,MATCH(S$2,Inputs!$K$4:$AJ$4,0)))))</f>
        <v>#N/A</v>
      </c>
      <c r="T33" s="6" t="e">
        <f>IF(ISNA(MATCH(T$2,Inputs!$K$4:$AJ$4,0)),NA(),IF(SUMPRODUCT((Inputs!$A$5:$A$140=$B33)*ISNUMBER(INDEX(Inputs!$K$5:$AJ$140,0,MATCH(T$2,Inputs!$K$4:$AJ$4,0))))+SUMPRODUCT((Inputs!$C$5:$C$140=$B33)*ISNUMBER(INDEX(Inputs!$K$5:$AJ$140,0,MATCH(T$2,Inputs!$K$4:$AJ$4,0))))+SUMPRODUCT((Inputs!$E$5:$E$140=$B33)*ISNUMBER(INDEX(Inputs!$K$5:$AJ$140,0,MATCH(T$2,Inputs!$K$4:$AJ$4,0))))=0,NA(),SUMPRODUCT((Inputs!$A$5:$A$140=$B33)*Inputs!$B$5:$B$140*(((Inputs!$G$5:$G$140="moeda")+(Inputs!$G$5:$G$140="acoes"))*Inputs!$B$1+((Inputs!$G$5:$G$140&lt;&gt;"moeda")*(Inputs!$G$5:$G$140&lt;&gt;"acoes")))*INDEX(Inputs!$K$5:$AJ$140,0,MATCH(T$2,Inputs!$K$4:$AJ$4,0)))+SUMPRODUCT((Inputs!$C$5:$C$140=$B33)*Inputs!$D$5:$D$140*(((Inputs!$G$5:$G$140="moeda")+(Inputs!$G$5:$G$140="acoes"))*Inputs!$B$1+((Inputs!$G$5:$G$140&lt;&gt;"moeda")*(Inputs!$G$5:$G$140&lt;&gt;"acoes")))*INDEX(Inputs!$K$5:$AJ$140,0,MATCH(T$2,Inputs!$K$4:$AJ$4,0)))+SUMPRODUCT((Inputs!$E$5:$E$140=$B33)*Inputs!$F$5:$F$140*(((Inputs!$G$5:$G$140="moeda")+(Inputs!$G$5:$G$140="acoes"))*Inputs!$B$1+((Inputs!$G$5:$G$140&lt;&gt;"moeda")*(Inputs!$G$5:$G$140&lt;&gt;"acoes")))*INDEX(Inputs!$K$5:$AJ$140,0,MATCH(T$2,Inputs!$K$4:$AJ$4,0)))))</f>
        <v>#N/A</v>
      </c>
      <c r="U33" s="6" t="e">
        <f>IF(ISNA(MATCH(U$2,Inputs!$K$4:$AJ$4,0)),NA(),IF(SUMPRODUCT((Inputs!$A$5:$A$140=$B33)*ISNUMBER(INDEX(Inputs!$K$5:$AJ$140,0,MATCH(U$2,Inputs!$K$4:$AJ$4,0))))+SUMPRODUCT((Inputs!$C$5:$C$140=$B33)*ISNUMBER(INDEX(Inputs!$K$5:$AJ$140,0,MATCH(U$2,Inputs!$K$4:$AJ$4,0))))+SUMPRODUCT((Inputs!$E$5:$E$140=$B33)*ISNUMBER(INDEX(Inputs!$K$5:$AJ$140,0,MATCH(U$2,Inputs!$K$4:$AJ$4,0))))=0,NA(),SUMPRODUCT((Inputs!$A$5:$A$140=$B33)*Inputs!$B$5:$B$140*(((Inputs!$G$5:$G$140="moeda")+(Inputs!$G$5:$G$140="acoes"))*Inputs!$B$1+((Inputs!$G$5:$G$140&lt;&gt;"moeda")*(Inputs!$G$5:$G$140&lt;&gt;"acoes")))*INDEX(Inputs!$K$5:$AJ$140,0,MATCH(U$2,Inputs!$K$4:$AJ$4,0)))+SUMPRODUCT((Inputs!$C$5:$C$140=$B33)*Inputs!$D$5:$D$140*(((Inputs!$G$5:$G$140="moeda")+(Inputs!$G$5:$G$140="acoes"))*Inputs!$B$1+((Inputs!$G$5:$G$140&lt;&gt;"moeda")*(Inputs!$G$5:$G$140&lt;&gt;"acoes")))*INDEX(Inputs!$K$5:$AJ$140,0,MATCH(U$2,Inputs!$K$4:$AJ$4,0)))+SUMPRODUCT((Inputs!$E$5:$E$140=$B33)*Inputs!$F$5:$F$140*(((Inputs!$G$5:$G$140="moeda")+(Inputs!$G$5:$G$140="acoes"))*Inputs!$B$1+((Inputs!$G$5:$G$140&lt;&gt;"moeda")*(Inputs!$G$5:$G$140&lt;&gt;"acoes")))*INDEX(Inputs!$K$5:$AJ$140,0,MATCH(U$2,Inputs!$K$4:$AJ$4,0)))))</f>
        <v>#N/A</v>
      </c>
      <c r="V33" s="6" t="e">
        <f>IF(ISNA(MATCH(V$2,Inputs!$K$4:$AJ$4,0)),NA(),IF(SUMPRODUCT((Inputs!$A$5:$A$140=$B33)*ISNUMBER(INDEX(Inputs!$K$5:$AJ$140,0,MATCH(V$2,Inputs!$K$4:$AJ$4,0))))+SUMPRODUCT((Inputs!$C$5:$C$140=$B33)*ISNUMBER(INDEX(Inputs!$K$5:$AJ$140,0,MATCH(V$2,Inputs!$K$4:$AJ$4,0))))+SUMPRODUCT((Inputs!$E$5:$E$140=$B33)*ISNUMBER(INDEX(Inputs!$K$5:$AJ$140,0,MATCH(V$2,Inputs!$K$4:$AJ$4,0))))=0,NA(),SUMPRODUCT((Inputs!$A$5:$A$140=$B33)*Inputs!$B$5:$B$140*(((Inputs!$G$5:$G$140="moeda")+(Inputs!$G$5:$G$140="acoes"))*Inputs!$B$1+((Inputs!$G$5:$G$140&lt;&gt;"moeda")*(Inputs!$G$5:$G$140&lt;&gt;"acoes")))*INDEX(Inputs!$K$5:$AJ$140,0,MATCH(V$2,Inputs!$K$4:$AJ$4,0)))+SUMPRODUCT((Inputs!$C$5:$C$140=$B33)*Inputs!$D$5:$D$140*(((Inputs!$G$5:$G$140="moeda")+(Inputs!$G$5:$G$140="acoes"))*Inputs!$B$1+((Inputs!$G$5:$G$140&lt;&gt;"moeda")*(Inputs!$G$5:$G$140&lt;&gt;"acoes")))*INDEX(Inputs!$K$5:$AJ$140,0,MATCH(V$2,Inputs!$K$4:$AJ$4,0)))+SUMPRODUCT((Inputs!$E$5:$E$140=$B33)*Inputs!$F$5:$F$140*(((Inputs!$G$5:$G$140="moeda")+(Inputs!$G$5:$G$140="acoes"))*Inputs!$B$1+((Inputs!$G$5:$G$140&lt;&gt;"moeda")*(Inputs!$G$5:$G$140&lt;&gt;"acoes")))*INDEX(Inputs!$K$5:$AJ$140,0,MATCH(V$2,Inputs!$K$4:$AJ$4,0)))))</f>
        <v>#N/A</v>
      </c>
      <c r="W33" s="3" t="e">
        <f>V33</f>
        <v>#N/A</v>
      </c>
      <c r="X33" s="6" t="e">
        <f>IF(ISNA(MATCH(X$2,Inputs!$K$4:$AJ$4,0)),NA(),IF(SUMPRODUCT((Inputs!$A$5:$A$140=$B33)*ISNUMBER(INDEX(Inputs!$K$5:$AJ$140,0,MATCH(X$2,Inputs!$K$4:$AJ$4,0))))+SUMPRODUCT((Inputs!$C$5:$C$140=$B33)*ISNUMBER(INDEX(Inputs!$K$5:$AJ$140,0,MATCH(X$2,Inputs!$K$4:$AJ$4,0))))+SUMPRODUCT((Inputs!$E$5:$E$140=$B33)*ISNUMBER(INDEX(Inputs!$K$5:$AJ$140,0,MATCH(X$2,Inputs!$K$4:$AJ$4,0))))=0,NA(),SUMPRODUCT((Inputs!$A$5:$A$140=$B33)*Inputs!$B$5:$B$140*(((Inputs!$G$5:$G$140="moeda")+(Inputs!$G$5:$G$140="acoes"))*Inputs!$B$1+((Inputs!$G$5:$G$140&lt;&gt;"moeda")*(Inputs!$G$5:$G$140&lt;&gt;"acoes")))*INDEX(Inputs!$K$5:$AJ$140,0,MATCH(X$2,Inputs!$K$4:$AJ$4,0)))+SUMPRODUCT((Inputs!$C$5:$C$140=$B33)*Inputs!$D$5:$D$140*(((Inputs!$G$5:$G$140="moeda")+(Inputs!$G$5:$G$140="acoes"))*Inputs!$B$1+((Inputs!$G$5:$G$140&lt;&gt;"moeda")*(Inputs!$G$5:$G$140&lt;&gt;"acoes")))*INDEX(Inputs!$K$5:$AJ$140,0,MATCH(X$2,Inputs!$K$4:$AJ$4,0)))+SUMPRODUCT((Inputs!$E$5:$E$140=$B33)*Inputs!$F$5:$F$140*(((Inputs!$G$5:$G$140="moeda")+(Inputs!$G$5:$G$140="acoes"))*Inputs!$B$1+((Inputs!$G$5:$G$140&lt;&gt;"moeda")*(Inputs!$G$5:$G$140&lt;&gt;"acoes")))*INDEX(Inputs!$K$5:$AJ$140,0,MATCH(X$2,Inputs!$K$4:$AJ$4,0)))))</f>
        <v>#N/A</v>
      </c>
      <c r="Y33" s="6" t="e">
        <f>IF(ISNA(MATCH(Y$2,Inputs!$K$4:$AJ$4,0)),NA(),IF(SUMPRODUCT((Inputs!$A$5:$A$140=$B33)*ISNUMBER(INDEX(Inputs!$K$5:$AJ$140,0,MATCH(Y$2,Inputs!$K$4:$AJ$4,0))))+SUMPRODUCT((Inputs!$C$5:$C$140=$B33)*ISNUMBER(INDEX(Inputs!$K$5:$AJ$140,0,MATCH(Y$2,Inputs!$K$4:$AJ$4,0))))+SUMPRODUCT((Inputs!$E$5:$E$140=$B33)*ISNUMBER(INDEX(Inputs!$K$5:$AJ$140,0,MATCH(Y$2,Inputs!$K$4:$AJ$4,0))))=0,NA(),SUMPRODUCT((Inputs!$A$5:$A$140=$B33)*Inputs!$B$5:$B$140*(((Inputs!$G$5:$G$140="moeda")+(Inputs!$G$5:$G$140="acoes"))*Inputs!$B$1+((Inputs!$G$5:$G$140&lt;&gt;"moeda")*(Inputs!$G$5:$G$140&lt;&gt;"acoes")))*INDEX(Inputs!$K$5:$AJ$140,0,MATCH(Y$2,Inputs!$K$4:$AJ$4,0)))+SUMPRODUCT((Inputs!$C$5:$C$140=$B33)*Inputs!$D$5:$D$140*(((Inputs!$G$5:$G$140="moeda")+(Inputs!$G$5:$G$140="acoes"))*Inputs!$B$1+((Inputs!$G$5:$G$140&lt;&gt;"moeda")*(Inputs!$G$5:$G$140&lt;&gt;"acoes")))*INDEX(Inputs!$K$5:$AJ$140,0,MATCH(Y$2,Inputs!$K$4:$AJ$4,0)))+SUMPRODUCT((Inputs!$E$5:$E$140=$B33)*Inputs!$F$5:$F$140*(((Inputs!$G$5:$G$140="moeda")+(Inputs!$G$5:$G$140="acoes"))*Inputs!$B$1+((Inputs!$G$5:$G$140&lt;&gt;"moeda")*(Inputs!$G$5:$G$140&lt;&gt;"acoes")))*INDEX(Inputs!$K$5:$AJ$140,0,MATCH(Y$2,Inputs!$K$4:$AJ$4,0)))))</f>
        <v>#N/A</v>
      </c>
      <c r="Z33" s="6" t="e">
        <f>IF(ISNA(MATCH(Z$2,Inputs!$K$4:$AJ$4,0)),NA(),IF(SUMPRODUCT((Inputs!$A$5:$A$140=$B33)*ISNUMBER(INDEX(Inputs!$K$5:$AJ$140,0,MATCH(Z$2,Inputs!$K$4:$AJ$4,0))))+SUMPRODUCT((Inputs!$C$5:$C$140=$B33)*ISNUMBER(INDEX(Inputs!$K$5:$AJ$140,0,MATCH(Z$2,Inputs!$K$4:$AJ$4,0))))+SUMPRODUCT((Inputs!$E$5:$E$140=$B33)*ISNUMBER(INDEX(Inputs!$K$5:$AJ$140,0,MATCH(Z$2,Inputs!$K$4:$AJ$4,0))))=0,NA(),SUMPRODUCT((Inputs!$A$5:$A$140=$B33)*Inputs!$B$5:$B$140*(((Inputs!$G$5:$G$140="moeda")+(Inputs!$G$5:$G$140="acoes"))*Inputs!$B$1+((Inputs!$G$5:$G$140&lt;&gt;"moeda")*(Inputs!$G$5:$G$140&lt;&gt;"acoes")))*INDEX(Inputs!$K$5:$AJ$140,0,MATCH(Z$2,Inputs!$K$4:$AJ$4,0)))+SUMPRODUCT((Inputs!$C$5:$C$140=$B33)*Inputs!$D$5:$D$140*(((Inputs!$G$5:$G$140="moeda")+(Inputs!$G$5:$G$140="acoes"))*Inputs!$B$1+((Inputs!$G$5:$G$140&lt;&gt;"moeda")*(Inputs!$G$5:$G$140&lt;&gt;"acoes")))*INDEX(Inputs!$K$5:$AJ$140,0,MATCH(Z$2,Inputs!$K$4:$AJ$4,0)))+SUMPRODUCT((Inputs!$E$5:$E$140=$B33)*Inputs!$F$5:$F$140*(((Inputs!$G$5:$G$140="moeda")+(Inputs!$G$5:$G$140="acoes"))*Inputs!$B$1+((Inputs!$G$5:$G$140&lt;&gt;"moeda")*(Inputs!$G$5:$G$140&lt;&gt;"acoes")))*INDEX(Inputs!$K$5:$AJ$140,0,MATCH(Z$2,Inputs!$K$4:$AJ$4,0)))))</f>
        <v>#N/A</v>
      </c>
      <c r="AA33" s="6" t="e">
        <f>IF(ISNA(MATCH(AA$2,Inputs!$K$4:$AJ$4,0)),NA(),IF(SUMPRODUCT((Inputs!$A$5:$A$140=$B33)*ISNUMBER(INDEX(Inputs!$K$5:$AJ$140,0,MATCH(AA$2,Inputs!$K$4:$AJ$4,0))))+SUMPRODUCT((Inputs!$C$5:$C$140=$B33)*ISNUMBER(INDEX(Inputs!$K$5:$AJ$140,0,MATCH(AA$2,Inputs!$K$4:$AJ$4,0))))+SUMPRODUCT((Inputs!$E$5:$E$140=$B33)*ISNUMBER(INDEX(Inputs!$K$5:$AJ$140,0,MATCH(AA$2,Inputs!$K$4:$AJ$4,0))))=0,NA(),SUMPRODUCT((Inputs!$A$5:$A$140=$B33)*Inputs!$B$5:$B$140*(((Inputs!$G$5:$G$140="moeda")+(Inputs!$G$5:$G$140="acoes"))*Inputs!$B$1+((Inputs!$G$5:$G$140&lt;&gt;"moeda")*(Inputs!$G$5:$G$140&lt;&gt;"acoes")))*INDEX(Inputs!$K$5:$AJ$140,0,MATCH(AA$2,Inputs!$K$4:$AJ$4,0)))+SUMPRODUCT((Inputs!$C$5:$C$140=$B33)*Inputs!$D$5:$D$140*(((Inputs!$G$5:$G$140="moeda")+(Inputs!$G$5:$G$140="acoes"))*Inputs!$B$1+((Inputs!$G$5:$G$140&lt;&gt;"moeda")*(Inputs!$G$5:$G$140&lt;&gt;"acoes")))*INDEX(Inputs!$K$5:$AJ$140,0,MATCH(AA$2,Inputs!$K$4:$AJ$4,0)))+SUMPRODUCT((Inputs!$E$5:$E$140=$B33)*Inputs!$F$5:$F$140*(((Inputs!$G$5:$G$140="moeda")+(Inputs!$G$5:$G$140="acoes"))*Inputs!$B$1+((Inputs!$G$5:$G$140&lt;&gt;"moeda")*(Inputs!$G$5:$G$140&lt;&gt;"acoes")))*INDEX(Inputs!$K$5:$AJ$140,0,MATCH(AA$2,Inputs!$K$4:$AJ$4,0)))))</f>
        <v>#N/A</v>
      </c>
      <c r="AB33" s="3" t="e">
        <f>AA33</f>
        <v>#N/A</v>
      </c>
      <c r="AC33" s="6" t="e">
        <f>IF(ISNA(MATCH(AC$2,Inputs!$K$4:$AJ$4,0)),NA(),IF(SUMPRODUCT((Inputs!$A$5:$A$140=$B33)*ISNUMBER(INDEX(Inputs!$K$5:$AJ$140,0,MATCH(AC$2,Inputs!$K$4:$AJ$4,0))))+SUMPRODUCT((Inputs!$C$5:$C$140=$B33)*ISNUMBER(INDEX(Inputs!$K$5:$AJ$140,0,MATCH(AC$2,Inputs!$K$4:$AJ$4,0))))+SUMPRODUCT((Inputs!$E$5:$E$140=$B33)*ISNUMBER(INDEX(Inputs!$K$5:$AJ$140,0,MATCH(AC$2,Inputs!$K$4:$AJ$4,0))))=0,NA(),SUMPRODUCT((Inputs!$A$5:$A$140=$B33)*Inputs!$B$5:$B$140*(((Inputs!$G$5:$G$140="moeda")+(Inputs!$G$5:$G$140="acoes"))*Inputs!$B$1+((Inputs!$G$5:$G$140&lt;&gt;"moeda")*(Inputs!$G$5:$G$140&lt;&gt;"acoes")))*INDEX(Inputs!$K$5:$AJ$140,0,MATCH(AC$2,Inputs!$K$4:$AJ$4,0)))+SUMPRODUCT((Inputs!$C$5:$C$140=$B33)*Inputs!$D$5:$D$140*(((Inputs!$G$5:$G$140="moeda")+(Inputs!$G$5:$G$140="acoes"))*Inputs!$B$1+((Inputs!$G$5:$G$140&lt;&gt;"moeda")*(Inputs!$G$5:$G$140&lt;&gt;"acoes")))*INDEX(Inputs!$K$5:$AJ$140,0,MATCH(AC$2,Inputs!$K$4:$AJ$4,0)))+SUMPRODUCT((Inputs!$E$5:$E$140=$B33)*Inputs!$F$5:$F$140*(((Inputs!$G$5:$G$140="moeda")+(Inputs!$G$5:$G$140="acoes"))*Inputs!$B$1+((Inputs!$G$5:$G$140&lt;&gt;"moeda")*(Inputs!$G$5:$G$140&lt;&gt;"acoes")))*INDEX(Inputs!$K$5:$AJ$140,0,MATCH(AC$2,Inputs!$K$4:$AJ$4,0)))))</f>
        <v>#N/A</v>
      </c>
      <c r="AD33" s="6" t="e">
        <f>IF(ISNA(MATCH(AD$2,Inputs!$K$4:$AJ$4,0)),NA(),IF(SUMPRODUCT((Inputs!$A$5:$A$140=$B33)*ISNUMBER(INDEX(Inputs!$K$5:$AJ$140,0,MATCH(AD$2,Inputs!$K$4:$AJ$4,0))))+SUMPRODUCT((Inputs!$C$5:$C$140=$B33)*ISNUMBER(INDEX(Inputs!$K$5:$AJ$140,0,MATCH(AD$2,Inputs!$K$4:$AJ$4,0))))+SUMPRODUCT((Inputs!$E$5:$E$140=$B33)*ISNUMBER(INDEX(Inputs!$K$5:$AJ$140,0,MATCH(AD$2,Inputs!$K$4:$AJ$4,0))))=0,NA(),SUMPRODUCT((Inputs!$A$5:$A$140=$B33)*Inputs!$B$5:$B$140*(((Inputs!$G$5:$G$140="moeda")+(Inputs!$G$5:$G$140="acoes"))*Inputs!$B$1+((Inputs!$G$5:$G$140&lt;&gt;"moeda")*(Inputs!$G$5:$G$140&lt;&gt;"acoes")))*INDEX(Inputs!$K$5:$AJ$140,0,MATCH(AD$2,Inputs!$K$4:$AJ$4,0)))+SUMPRODUCT((Inputs!$C$5:$C$140=$B33)*Inputs!$D$5:$D$140*(((Inputs!$G$5:$G$140="moeda")+(Inputs!$G$5:$G$140="acoes"))*Inputs!$B$1+((Inputs!$G$5:$G$140&lt;&gt;"moeda")*(Inputs!$G$5:$G$140&lt;&gt;"acoes")))*INDEX(Inputs!$K$5:$AJ$140,0,MATCH(AD$2,Inputs!$K$4:$AJ$4,0)))+SUMPRODUCT((Inputs!$E$5:$E$140=$B33)*Inputs!$F$5:$F$140*(((Inputs!$G$5:$G$140="moeda")+(Inputs!$G$5:$G$140="acoes"))*Inputs!$B$1+((Inputs!$G$5:$G$140&lt;&gt;"moeda")*(Inputs!$G$5:$G$140&lt;&gt;"acoes")))*INDEX(Inputs!$K$5:$AJ$140,0,MATCH(AD$2,Inputs!$K$4:$AJ$4,0)))))</f>
        <v>#N/A</v>
      </c>
      <c r="AE33" s="6" t="e">
        <f>IF(ISNA(MATCH(AE$2,Inputs!$K$4:$AJ$4,0)),NA(),IF(SUMPRODUCT((Inputs!$A$5:$A$140=$B33)*ISNUMBER(INDEX(Inputs!$K$5:$AJ$140,0,MATCH(AE$2,Inputs!$K$4:$AJ$4,0))))+SUMPRODUCT((Inputs!$C$5:$C$140=$B33)*ISNUMBER(INDEX(Inputs!$K$5:$AJ$140,0,MATCH(AE$2,Inputs!$K$4:$AJ$4,0))))+SUMPRODUCT((Inputs!$E$5:$E$140=$B33)*ISNUMBER(INDEX(Inputs!$K$5:$AJ$140,0,MATCH(AE$2,Inputs!$K$4:$AJ$4,0))))=0,NA(),SUMPRODUCT((Inputs!$A$5:$A$140=$B33)*Inputs!$B$5:$B$140*(((Inputs!$G$5:$G$140="moeda")+(Inputs!$G$5:$G$140="acoes"))*Inputs!$B$1+((Inputs!$G$5:$G$140&lt;&gt;"moeda")*(Inputs!$G$5:$G$140&lt;&gt;"acoes")))*INDEX(Inputs!$K$5:$AJ$140,0,MATCH(AE$2,Inputs!$K$4:$AJ$4,0)))+SUMPRODUCT((Inputs!$C$5:$C$140=$B33)*Inputs!$D$5:$D$140*(((Inputs!$G$5:$G$140="moeda")+(Inputs!$G$5:$G$140="acoes"))*Inputs!$B$1+((Inputs!$G$5:$G$140&lt;&gt;"moeda")*(Inputs!$G$5:$G$140&lt;&gt;"acoes")))*INDEX(Inputs!$K$5:$AJ$140,0,MATCH(AE$2,Inputs!$K$4:$AJ$4,0)))+SUMPRODUCT((Inputs!$E$5:$E$140=$B33)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33" s="6" t="e">
        <f>IF(ISNA(MATCH(AF$2,Inputs!$K$4:$AJ$4,0)),NA(),IF(SUMPRODUCT((Inputs!$A$5:$A$140=$B33)*ISNUMBER(INDEX(Inputs!$K$5:$AJ$140,0,MATCH(AF$2,Inputs!$K$4:$AJ$4,0))))+SUMPRODUCT((Inputs!$C$5:$C$140=$B33)*ISNUMBER(INDEX(Inputs!$K$5:$AJ$140,0,MATCH(AF$2,Inputs!$K$4:$AJ$4,0))))+SUMPRODUCT((Inputs!$E$5:$E$140=$B33)*ISNUMBER(INDEX(Inputs!$K$5:$AJ$140,0,MATCH(AF$2,Inputs!$K$4:$AJ$4,0))))=0,NA(),SUMPRODUCT((Inputs!$A$5:$A$140=$B33)*Inputs!$B$5:$B$140*(((Inputs!$G$5:$G$140="moeda")+(Inputs!$G$5:$G$140="acoes"))*Inputs!$B$1+((Inputs!$G$5:$G$140&lt;&gt;"moeda")*(Inputs!$G$5:$G$140&lt;&gt;"acoes")))*INDEX(Inputs!$K$5:$AJ$140,0,MATCH(AF$2,Inputs!$K$4:$AJ$4,0)))+SUMPRODUCT((Inputs!$C$5:$C$140=$B33)*Inputs!$D$5:$D$140*(((Inputs!$G$5:$G$140="moeda")+(Inputs!$G$5:$G$140="acoes"))*Inputs!$B$1+((Inputs!$G$5:$G$140&lt;&gt;"moeda")*(Inputs!$G$5:$G$140&lt;&gt;"acoes")))*INDEX(Inputs!$K$5:$AJ$140,0,MATCH(AF$2,Inputs!$K$4:$AJ$4,0)))+SUMPRODUCT((Inputs!$E$5:$E$140=$B33)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33" s="3" t="e">
        <f>AF33</f>
        <v>#N/A</v>
      </c>
      <c r="AH33" s="6" t="e">
        <f>IF(ISNA(MATCH(AH$2,Inputs!$K$4:$AJ$4,0)),NA(),IF(SUMPRODUCT((Inputs!$A$5:$A$140=$B33)*ISNUMBER(INDEX(Inputs!$K$5:$AJ$140,0,MATCH(AH$2,Inputs!$K$4:$AJ$4,0))))+SUMPRODUCT((Inputs!$C$5:$C$140=$B33)*ISNUMBER(INDEX(Inputs!$K$5:$AJ$140,0,MATCH(AH$2,Inputs!$K$4:$AJ$4,0))))+SUMPRODUCT((Inputs!$E$5:$E$140=$B33)*ISNUMBER(INDEX(Inputs!$K$5:$AJ$140,0,MATCH(AH$2,Inputs!$K$4:$AJ$4,0))))=0,NA(),SUMPRODUCT((Inputs!$A$5:$A$140=$B33)*Inputs!$B$5:$B$140*(((Inputs!$G$5:$G$140="moeda")+(Inputs!$G$5:$G$140="acoes"))*Inputs!$B$1+((Inputs!$G$5:$G$140&lt;&gt;"moeda")*(Inputs!$G$5:$G$140&lt;&gt;"acoes")))*INDEX(Inputs!$K$5:$AJ$140,0,MATCH(AH$2,Inputs!$K$4:$AJ$4,0)))+SUMPRODUCT((Inputs!$C$5:$C$140=$B33)*Inputs!$D$5:$D$140*(((Inputs!$G$5:$G$140="moeda")+(Inputs!$G$5:$G$140="acoes"))*Inputs!$B$1+((Inputs!$G$5:$G$140&lt;&gt;"moeda")*(Inputs!$G$5:$G$140&lt;&gt;"acoes")))*INDEX(Inputs!$K$5:$AJ$140,0,MATCH(AH$2,Inputs!$K$4:$AJ$4,0)))+SUMPRODUCT((Inputs!$E$5:$E$140=$B33)*Inputs!$F$5:$F$140*(((Inputs!$G$5:$G$140="moeda")+(Inputs!$G$5:$G$140="acoes"))*Inputs!$B$1+((Inputs!$G$5:$G$140&lt;&gt;"moeda")*(Inputs!$G$5:$G$140&lt;&gt;"acoes")))*INDEX(Inputs!$K$5:$AJ$140,0,MATCH(AH$2,Inputs!$K$4:$AJ$4,0)))))</f>
        <v>#N/A</v>
      </c>
      <c r="AI33" s="6" t="e">
        <f>IF(ISNA(MATCH(AI$2,Inputs!$K$4:$AJ$4,0)),NA(),IF(SUMPRODUCT((Inputs!$A$5:$A$140=$B33)*ISNUMBER(INDEX(Inputs!$K$5:$AJ$140,0,MATCH(AI$2,Inputs!$K$4:$AJ$4,0))))+SUMPRODUCT((Inputs!$C$5:$C$140=$B33)*ISNUMBER(INDEX(Inputs!$K$5:$AJ$140,0,MATCH(AI$2,Inputs!$K$4:$AJ$4,0))))+SUMPRODUCT((Inputs!$E$5:$E$140=$B33)*ISNUMBER(INDEX(Inputs!$K$5:$AJ$140,0,MATCH(AI$2,Inputs!$K$4:$AJ$4,0))))=0,NA(),SUMPRODUCT((Inputs!$A$5:$A$140=$B33)*Inputs!$B$5:$B$140*(((Inputs!$G$5:$G$140="moeda")+(Inputs!$G$5:$G$140="acoes"))*Inputs!$B$1+((Inputs!$G$5:$G$140&lt;&gt;"moeda")*(Inputs!$G$5:$G$140&lt;&gt;"acoes")))*INDEX(Inputs!$K$5:$AJ$140,0,MATCH(AI$2,Inputs!$K$4:$AJ$4,0)))+SUMPRODUCT((Inputs!$C$5:$C$140=$B33)*Inputs!$D$5:$D$140*(((Inputs!$G$5:$G$140="moeda")+(Inputs!$G$5:$G$140="acoes"))*Inputs!$B$1+((Inputs!$G$5:$G$140&lt;&gt;"moeda")*(Inputs!$G$5:$G$140&lt;&gt;"acoes")))*INDEX(Inputs!$K$5:$AJ$140,0,MATCH(AI$2,Inputs!$K$4:$AJ$4,0)))+SUMPRODUCT((Inputs!$E$5:$E$140=$B33)*Inputs!$F$5:$F$140*(((Inputs!$G$5:$G$140="moeda")+(Inputs!$G$5:$G$140="acoes"))*Inputs!$B$1+((Inputs!$G$5:$G$140&lt;&gt;"moeda")*(Inputs!$G$5:$G$140&lt;&gt;"acoes")))*INDEX(Inputs!$K$5:$AJ$140,0,MATCH(AI$2,Inputs!$K$4:$AJ$4,0)))))</f>
        <v>#N/A</v>
      </c>
      <c r="AJ33" s="6" t="e">
        <f>IF(ISNA(MATCH(AJ$2,Inputs!$K$4:$AJ$4,0)),NA(),IF(SUMPRODUCT((Inputs!$A$5:$A$140=$B33)*ISNUMBER(INDEX(Inputs!$K$5:$AJ$140,0,MATCH(AJ$2,Inputs!$K$4:$AJ$4,0))))+SUMPRODUCT((Inputs!$C$5:$C$140=$B33)*ISNUMBER(INDEX(Inputs!$K$5:$AJ$140,0,MATCH(AJ$2,Inputs!$K$4:$AJ$4,0))))+SUMPRODUCT((Inputs!$E$5:$E$140=$B33)*ISNUMBER(INDEX(Inputs!$K$5:$AJ$140,0,MATCH(AJ$2,Inputs!$K$4:$AJ$4,0))))=0,NA(),SUMPRODUCT((Inputs!$A$5:$A$140=$B33)*Inputs!$B$5:$B$140*(((Inputs!$G$5:$G$140="moeda")+(Inputs!$G$5:$G$140="acoes"))*Inputs!$B$1+((Inputs!$G$5:$G$140&lt;&gt;"moeda")*(Inputs!$G$5:$G$140&lt;&gt;"acoes")))*INDEX(Inputs!$K$5:$AJ$140,0,MATCH(AJ$2,Inputs!$K$4:$AJ$4,0)))+SUMPRODUCT((Inputs!$C$5:$C$140=$B33)*Inputs!$D$5:$D$140*(((Inputs!$G$5:$G$140="moeda")+(Inputs!$G$5:$G$140="acoes"))*Inputs!$B$1+((Inputs!$G$5:$G$140&lt;&gt;"moeda")*(Inputs!$G$5:$G$140&lt;&gt;"acoes")))*INDEX(Inputs!$K$5:$AJ$140,0,MATCH(AJ$2,Inputs!$K$4:$AJ$4,0)))+SUMPRODUCT((Inputs!$E$5:$E$140=$B33)*Inputs!$F$5:$F$140*(((Inputs!$G$5:$G$140="moeda")+(Inputs!$G$5:$G$140="acoes"))*Inputs!$B$1+((Inputs!$G$5:$G$140&lt;&gt;"moeda")*(Inputs!$G$5:$G$140&lt;&gt;"acoes")))*INDEX(Inputs!$K$5:$AJ$140,0,MATCH(AJ$2,Inputs!$K$4:$AJ$4,0)))))</f>
        <v>#N/A</v>
      </c>
      <c r="AK33" s="6" t="e">
        <f>IF(ISNA(MATCH(AK$2,Inputs!$K$4:$AJ$4,0)),NA(),IF(SUMPRODUCT((Inputs!$A$5:$A$140=$B33)*ISNUMBER(INDEX(Inputs!$K$5:$AJ$140,0,MATCH(AK$2,Inputs!$K$4:$AJ$4,0))))+SUMPRODUCT((Inputs!$C$5:$C$140=$B33)*ISNUMBER(INDEX(Inputs!$K$5:$AJ$140,0,MATCH(AK$2,Inputs!$K$4:$AJ$4,0))))+SUMPRODUCT((Inputs!$E$5:$E$140=$B33)*ISNUMBER(INDEX(Inputs!$K$5:$AJ$140,0,MATCH(AK$2,Inputs!$K$4:$AJ$4,0))))=0,NA(),SUMPRODUCT((Inputs!$A$5:$A$140=$B33)*Inputs!$B$5:$B$140*(((Inputs!$G$5:$G$140="moeda")+(Inputs!$G$5:$G$140="acoes"))*Inputs!$B$1+((Inputs!$G$5:$G$140&lt;&gt;"moeda")*(Inputs!$G$5:$G$140&lt;&gt;"acoes")))*INDEX(Inputs!$K$5:$AJ$140,0,MATCH(AK$2,Inputs!$K$4:$AJ$4,0)))+SUMPRODUCT((Inputs!$C$5:$C$140=$B33)*Inputs!$D$5:$D$140*(((Inputs!$G$5:$G$140="moeda")+(Inputs!$G$5:$G$140="acoes"))*Inputs!$B$1+((Inputs!$G$5:$G$140&lt;&gt;"moeda")*(Inputs!$G$5:$G$140&lt;&gt;"acoes")))*INDEX(Inputs!$K$5:$AJ$140,0,MATCH(AK$2,Inputs!$K$4:$AJ$4,0)))+SUMPRODUCT((Inputs!$E$5:$E$140=$B33)*Inputs!$F$5:$F$140*(((Inputs!$G$5:$G$140="moeda")+(Inputs!$G$5:$G$140="acoes"))*Inputs!$B$1+((Inputs!$G$5:$G$140&lt;&gt;"moeda")*(Inputs!$G$5:$G$140&lt;&gt;"acoes")))*INDEX(Inputs!$K$5:$AJ$140,0,MATCH(AK$2,Inputs!$K$4:$AJ$4,0)))))</f>
        <v>#N/A</v>
      </c>
      <c r="AL33" s="3" t="e">
        <f>AK33</f>
        <v>#N/A</v>
      </c>
    </row>
    <row r="34">
      <c r="B34" s="46" t="n">
        <v>29</v>
      </c>
      <c r="C34" s="26" t="inlineStr">
        <is>
          <t>Short term operating leases</t>
        </is>
      </c>
      <c r="D34" s="6" t="e">
        <f>IF(ISNA(MATCH(D$2,Inputs!$K$4:$AJ$4,0)),NA(),IF(SUMPRODUCT((Inputs!$A$5:$A$140=$B34)*ISNUMBER(INDEX(Inputs!$K$5:$AJ$140,0,MATCH(D$2,Inputs!$K$4:$AJ$4,0))))+SUMPRODUCT((Inputs!$C$5:$C$140=$B34)*ISNUMBER(INDEX(Inputs!$K$5:$AJ$140,0,MATCH(D$2,Inputs!$K$4:$AJ$4,0))))+SUMPRODUCT((Inputs!$E$5:$E$140=$B34)*ISNUMBER(INDEX(Inputs!$K$5:$AJ$140,0,MATCH(D$2,Inputs!$K$4:$AJ$4,0))))=0,NA(),SUMPRODUCT((Inputs!$A$5:$A$140=$B34)*Inputs!$B$5:$B$140*(((Inputs!$G$5:$G$140="moeda")+(Inputs!$G$5:$G$140="acoes"))*Inputs!$B$1+((Inputs!$G$5:$G$140&lt;&gt;"moeda")*(Inputs!$G$5:$G$140&lt;&gt;"acoes")))*INDEX(Inputs!$K$5:$AJ$140,0,MATCH(D$2,Inputs!$K$4:$AJ$4,0)))+SUMPRODUCT((Inputs!$C$5:$C$140=$B34)*Inputs!$D$5:$D$140*(((Inputs!$G$5:$G$140="moeda")+(Inputs!$G$5:$G$140="acoes"))*Inputs!$B$1+((Inputs!$G$5:$G$140&lt;&gt;"moeda")*(Inputs!$G$5:$G$140&lt;&gt;"acoes")))*INDEX(Inputs!$K$5:$AJ$140,0,MATCH(D$2,Inputs!$K$4:$AJ$4,0)))+SUMPRODUCT((Inputs!$E$5:$E$140=$B34)*Inputs!$F$5:$F$140*(((Inputs!$G$5:$G$140="moeda")+(Inputs!$G$5:$G$140="acoes"))*Inputs!$B$1+((Inputs!$G$5:$G$140&lt;&gt;"moeda")*(Inputs!$G$5:$G$140&lt;&gt;"acoes")))*INDEX(Inputs!$K$5:$AJ$140,0,MATCH(D$2,Inputs!$K$4:$AJ$4,0)))))</f>
        <v>#N/A</v>
      </c>
      <c r="E34" s="6" t="e">
        <f>IF(ISNA(MATCH(E$2,Inputs!$K$4:$AJ$4,0)),NA(),IF(SUMPRODUCT((Inputs!$A$5:$A$140=$B34)*ISNUMBER(INDEX(Inputs!$K$5:$AJ$140,0,MATCH(E$2,Inputs!$K$4:$AJ$4,0))))+SUMPRODUCT((Inputs!$C$5:$C$140=$B34)*ISNUMBER(INDEX(Inputs!$K$5:$AJ$140,0,MATCH(E$2,Inputs!$K$4:$AJ$4,0))))+SUMPRODUCT((Inputs!$E$5:$E$140=$B34)*ISNUMBER(INDEX(Inputs!$K$5:$AJ$140,0,MATCH(E$2,Inputs!$K$4:$AJ$4,0))))=0,NA(),SUMPRODUCT((Inputs!$A$5:$A$140=$B34)*Inputs!$B$5:$B$140*(((Inputs!$G$5:$G$140="moeda")+(Inputs!$G$5:$G$140="acoes"))*Inputs!$B$1+((Inputs!$G$5:$G$140&lt;&gt;"moeda")*(Inputs!$G$5:$G$140&lt;&gt;"acoes")))*INDEX(Inputs!$K$5:$AJ$140,0,MATCH(E$2,Inputs!$K$4:$AJ$4,0)))+SUMPRODUCT((Inputs!$C$5:$C$140=$B34)*Inputs!$D$5:$D$140*(((Inputs!$G$5:$G$140="moeda")+(Inputs!$G$5:$G$140="acoes"))*Inputs!$B$1+((Inputs!$G$5:$G$140&lt;&gt;"moeda")*(Inputs!$G$5:$G$140&lt;&gt;"acoes")))*INDEX(Inputs!$K$5:$AJ$140,0,MATCH(E$2,Inputs!$K$4:$AJ$4,0)))+SUMPRODUCT((Inputs!$E$5:$E$140=$B34)*Inputs!$F$5:$F$140*(((Inputs!$G$5:$G$140="moeda")+(Inputs!$G$5:$G$140="acoes"))*Inputs!$B$1+((Inputs!$G$5:$G$140&lt;&gt;"moeda")*(Inputs!$G$5:$G$140&lt;&gt;"acoes")))*INDEX(Inputs!$K$5:$AJ$140,0,MATCH(E$2,Inputs!$K$4:$AJ$4,0)))))</f>
        <v>#N/A</v>
      </c>
      <c r="F34" s="6" t="e">
        <f>IF(ISNA(MATCH(F$2,Inputs!$K$4:$AJ$4,0)),NA(),IF(SUMPRODUCT((Inputs!$A$5:$A$140=$B34)*ISNUMBER(INDEX(Inputs!$K$5:$AJ$140,0,MATCH(F$2,Inputs!$K$4:$AJ$4,0))))+SUMPRODUCT((Inputs!$C$5:$C$140=$B34)*ISNUMBER(INDEX(Inputs!$K$5:$AJ$140,0,MATCH(F$2,Inputs!$K$4:$AJ$4,0))))+SUMPRODUCT((Inputs!$E$5:$E$140=$B34)*ISNUMBER(INDEX(Inputs!$K$5:$AJ$140,0,MATCH(F$2,Inputs!$K$4:$AJ$4,0))))=0,NA(),SUMPRODUCT((Inputs!$A$5:$A$140=$B34)*Inputs!$B$5:$B$140*(((Inputs!$G$5:$G$140="moeda")+(Inputs!$G$5:$G$140="acoes"))*Inputs!$B$1+((Inputs!$G$5:$G$140&lt;&gt;"moeda")*(Inputs!$G$5:$G$140&lt;&gt;"acoes")))*INDEX(Inputs!$K$5:$AJ$140,0,MATCH(F$2,Inputs!$K$4:$AJ$4,0)))+SUMPRODUCT((Inputs!$C$5:$C$140=$B34)*Inputs!$D$5:$D$140*(((Inputs!$G$5:$G$140="moeda")+(Inputs!$G$5:$G$140="acoes"))*Inputs!$B$1+((Inputs!$G$5:$G$140&lt;&gt;"moeda")*(Inputs!$G$5:$G$140&lt;&gt;"acoes")))*INDEX(Inputs!$K$5:$AJ$140,0,MATCH(F$2,Inputs!$K$4:$AJ$4,0)))+SUMPRODUCT((Inputs!$E$5:$E$140=$B34)*Inputs!$F$5:$F$140*(((Inputs!$G$5:$G$140="moeda")+(Inputs!$G$5:$G$140="acoes"))*Inputs!$B$1+((Inputs!$G$5:$G$140&lt;&gt;"moeda")*(Inputs!$G$5:$G$140&lt;&gt;"acoes")))*INDEX(Inputs!$K$5:$AJ$140,0,MATCH(F$2,Inputs!$K$4:$AJ$4,0)))))</f>
        <v>#N/A</v>
      </c>
      <c r="G34" s="6" t="e">
        <f>IF(ISNA(MATCH(G$2,Inputs!$K$4:$AJ$4,0)),NA(),IF(SUMPRODUCT((Inputs!$A$5:$A$140=$B34)*ISNUMBER(INDEX(Inputs!$K$5:$AJ$140,0,MATCH(G$2,Inputs!$K$4:$AJ$4,0))))+SUMPRODUCT((Inputs!$C$5:$C$140=$B34)*ISNUMBER(INDEX(Inputs!$K$5:$AJ$140,0,MATCH(G$2,Inputs!$K$4:$AJ$4,0))))+SUMPRODUCT((Inputs!$E$5:$E$140=$B34)*ISNUMBER(INDEX(Inputs!$K$5:$AJ$140,0,MATCH(G$2,Inputs!$K$4:$AJ$4,0))))=0,NA(),SUMPRODUCT((Inputs!$A$5:$A$140=$B34)*Inputs!$B$5:$B$140*(((Inputs!$G$5:$G$140="moeda")+(Inputs!$G$5:$G$140="acoes"))*Inputs!$B$1+((Inputs!$G$5:$G$140&lt;&gt;"moeda")*(Inputs!$G$5:$G$140&lt;&gt;"acoes")))*INDEX(Inputs!$K$5:$AJ$140,0,MATCH(G$2,Inputs!$K$4:$AJ$4,0)))+SUMPRODUCT((Inputs!$C$5:$C$140=$B34)*Inputs!$D$5:$D$140*(((Inputs!$G$5:$G$140="moeda")+(Inputs!$G$5:$G$140="acoes"))*Inputs!$B$1+((Inputs!$G$5:$G$140&lt;&gt;"moeda")*(Inputs!$G$5:$G$140&lt;&gt;"acoes")))*INDEX(Inputs!$K$5:$AJ$140,0,MATCH(G$2,Inputs!$K$4:$AJ$4,0)))+SUMPRODUCT((Inputs!$E$5:$E$140=$B34)*Inputs!$F$5:$F$140*(((Inputs!$G$5:$G$140="moeda")+(Inputs!$G$5:$G$140="acoes"))*Inputs!$B$1+((Inputs!$G$5:$G$140&lt;&gt;"moeda")*(Inputs!$G$5:$G$140&lt;&gt;"acoes")))*INDEX(Inputs!$K$5:$AJ$140,0,MATCH(G$2,Inputs!$K$4:$AJ$4,0)))))</f>
        <v>#N/A</v>
      </c>
      <c r="H34" s="3" t="e">
        <f>G34</f>
        <v>#N/A</v>
      </c>
      <c r="I34" s="6" t="e">
        <f>IF(ISNA(MATCH(I$2,Inputs!$K$4:$AJ$4,0)),NA(),IF(SUMPRODUCT((Inputs!$A$5:$A$140=$B34)*ISNUMBER(INDEX(Inputs!$K$5:$AJ$140,0,MATCH(I$2,Inputs!$K$4:$AJ$4,0))))+SUMPRODUCT((Inputs!$C$5:$C$140=$B34)*ISNUMBER(INDEX(Inputs!$K$5:$AJ$140,0,MATCH(I$2,Inputs!$K$4:$AJ$4,0))))+SUMPRODUCT((Inputs!$E$5:$E$140=$B34)*ISNUMBER(INDEX(Inputs!$K$5:$AJ$140,0,MATCH(I$2,Inputs!$K$4:$AJ$4,0))))=0,NA(),SUMPRODUCT((Inputs!$A$5:$A$140=$B34)*Inputs!$B$5:$B$140*(((Inputs!$G$5:$G$140="moeda")+(Inputs!$G$5:$G$140="acoes"))*Inputs!$B$1+((Inputs!$G$5:$G$140&lt;&gt;"moeda")*(Inputs!$G$5:$G$140&lt;&gt;"acoes")))*INDEX(Inputs!$K$5:$AJ$140,0,MATCH(I$2,Inputs!$K$4:$AJ$4,0)))+SUMPRODUCT((Inputs!$C$5:$C$140=$B34)*Inputs!$D$5:$D$140*(((Inputs!$G$5:$G$140="moeda")+(Inputs!$G$5:$G$140="acoes"))*Inputs!$B$1+((Inputs!$G$5:$G$140&lt;&gt;"moeda")*(Inputs!$G$5:$G$140&lt;&gt;"acoes")))*INDEX(Inputs!$K$5:$AJ$140,0,MATCH(I$2,Inputs!$K$4:$AJ$4,0)))+SUMPRODUCT((Inputs!$E$5:$E$140=$B34)*Inputs!$F$5:$F$140*(((Inputs!$G$5:$G$140="moeda")+(Inputs!$G$5:$G$140="acoes"))*Inputs!$B$1+((Inputs!$G$5:$G$140&lt;&gt;"moeda")*(Inputs!$G$5:$G$140&lt;&gt;"acoes")))*INDEX(Inputs!$K$5:$AJ$140,0,MATCH(I$2,Inputs!$K$4:$AJ$4,0)))))</f>
        <v>#N/A</v>
      </c>
      <c r="J34" s="6" t="e">
        <f>IF(ISNA(MATCH(J$2,Inputs!$K$4:$AJ$4,0)),NA(),IF(SUMPRODUCT((Inputs!$A$5:$A$140=$B34)*ISNUMBER(INDEX(Inputs!$K$5:$AJ$140,0,MATCH(J$2,Inputs!$K$4:$AJ$4,0))))+SUMPRODUCT((Inputs!$C$5:$C$140=$B34)*ISNUMBER(INDEX(Inputs!$K$5:$AJ$140,0,MATCH(J$2,Inputs!$K$4:$AJ$4,0))))+SUMPRODUCT((Inputs!$E$5:$E$140=$B34)*ISNUMBER(INDEX(Inputs!$K$5:$AJ$140,0,MATCH(J$2,Inputs!$K$4:$AJ$4,0))))=0,NA(),SUMPRODUCT((Inputs!$A$5:$A$140=$B34)*Inputs!$B$5:$B$140*(((Inputs!$G$5:$G$140="moeda")+(Inputs!$G$5:$G$140="acoes"))*Inputs!$B$1+((Inputs!$G$5:$G$140&lt;&gt;"moeda")*(Inputs!$G$5:$G$140&lt;&gt;"acoes")))*INDEX(Inputs!$K$5:$AJ$140,0,MATCH(J$2,Inputs!$K$4:$AJ$4,0)))+SUMPRODUCT((Inputs!$C$5:$C$140=$B34)*Inputs!$D$5:$D$140*(((Inputs!$G$5:$G$140="moeda")+(Inputs!$G$5:$G$140="acoes"))*Inputs!$B$1+((Inputs!$G$5:$G$140&lt;&gt;"moeda")*(Inputs!$G$5:$G$140&lt;&gt;"acoes")))*INDEX(Inputs!$K$5:$AJ$140,0,MATCH(J$2,Inputs!$K$4:$AJ$4,0)))+SUMPRODUCT((Inputs!$E$5:$E$140=$B34)*Inputs!$F$5:$F$140*(((Inputs!$G$5:$G$140="moeda")+(Inputs!$G$5:$G$140="acoes"))*Inputs!$B$1+((Inputs!$G$5:$G$140&lt;&gt;"moeda")*(Inputs!$G$5:$G$140&lt;&gt;"acoes")))*INDEX(Inputs!$K$5:$AJ$140,0,MATCH(J$2,Inputs!$K$4:$AJ$4,0)))))</f>
        <v>#N/A</v>
      </c>
      <c r="K34" s="6" t="e">
        <f>IF(ISNA(MATCH(K$2,Inputs!$K$4:$AJ$4,0)),NA(),IF(SUMPRODUCT((Inputs!$A$5:$A$140=$B34)*ISNUMBER(INDEX(Inputs!$K$5:$AJ$140,0,MATCH(K$2,Inputs!$K$4:$AJ$4,0))))+SUMPRODUCT((Inputs!$C$5:$C$140=$B34)*ISNUMBER(INDEX(Inputs!$K$5:$AJ$140,0,MATCH(K$2,Inputs!$K$4:$AJ$4,0))))+SUMPRODUCT((Inputs!$E$5:$E$140=$B34)*ISNUMBER(INDEX(Inputs!$K$5:$AJ$140,0,MATCH(K$2,Inputs!$K$4:$AJ$4,0))))=0,NA(),SUMPRODUCT((Inputs!$A$5:$A$140=$B34)*Inputs!$B$5:$B$140*(((Inputs!$G$5:$G$140="moeda")+(Inputs!$G$5:$G$140="acoes"))*Inputs!$B$1+((Inputs!$G$5:$G$140&lt;&gt;"moeda")*(Inputs!$G$5:$G$140&lt;&gt;"acoes")))*INDEX(Inputs!$K$5:$AJ$140,0,MATCH(K$2,Inputs!$K$4:$AJ$4,0)))+SUMPRODUCT((Inputs!$C$5:$C$140=$B34)*Inputs!$D$5:$D$140*(((Inputs!$G$5:$G$140="moeda")+(Inputs!$G$5:$G$140="acoes"))*Inputs!$B$1+((Inputs!$G$5:$G$140&lt;&gt;"moeda")*(Inputs!$G$5:$G$140&lt;&gt;"acoes")))*INDEX(Inputs!$K$5:$AJ$140,0,MATCH(K$2,Inputs!$K$4:$AJ$4,0)))+SUMPRODUCT((Inputs!$E$5:$E$140=$B34)*Inputs!$F$5:$F$140*(((Inputs!$G$5:$G$140="moeda")+(Inputs!$G$5:$G$140="acoes"))*Inputs!$B$1+((Inputs!$G$5:$G$140&lt;&gt;"moeda")*(Inputs!$G$5:$G$140&lt;&gt;"acoes")))*INDEX(Inputs!$K$5:$AJ$140,0,MATCH(K$2,Inputs!$K$4:$AJ$4,0)))))</f>
        <v>#N/A</v>
      </c>
      <c r="L34" s="6" t="e">
        <f>IF(ISNA(MATCH(L$2,Inputs!$K$4:$AJ$4,0)),NA(),IF(SUMPRODUCT((Inputs!$A$5:$A$140=$B34)*ISNUMBER(INDEX(Inputs!$K$5:$AJ$140,0,MATCH(L$2,Inputs!$K$4:$AJ$4,0))))+SUMPRODUCT((Inputs!$C$5:$C$140=$B34)*ISNUMBER(INDEX(Inputs!$K$5:$AJ$140,0,MATCH(L$2,Inputs!$K$4:$AJ$4,0))))+SUMPRODUCT((Inputs!$E$5:$E$140=$B34)*ISNUMBER(INDEX(Inputs!$K$5:$AJ$140,0,MATCH(L$2,Inputs!$K$4:$AJ$4,0))))=0,NA(),SUMPRODUCT((Inputs!$A$5:$A$140=$B34)*Inputs!$B$5:$B$140*(((Inputs!$G$5:$G$140="moeda")+(Inputs!$G$5:$G$140="acoes"))*Inputs!$B$1+((Inputs!$G$5:$G$140&lt;&gt;"moeda")*(Inputs!$G$5:$G$140&lt;&gt;"acoes")))*INDEX(Inputs!$K$5:$AJ$140,0,MATCH(L$2,Inputs!$K$4:$AJ$4,0)))+SUMPRODUCT((Inputs!$C$5:$C$140=$B34)*Inputs!$D$5:$D$140*(((Inputs!$G$5:$G$140="moeda")+(Inputs!$G$5:$G$140="acoes"))*Inputs!$B$1+((Inputs!$G$5:$G$140&lt;&gt;"moeda")*(Inputs!$G$5:$G$140&lt;&gt;"acoes")))*INDEX(Inputs!$K$5:$AJ$140,0,MATCH(L$2,Inputs!$K$4:$AJ$4,0)))+SUMPRODUCT((Inputs!$E$5:$E$140=$B34)*Inputs!$F$5:$F$140*(((Inputs!$G$5:$G$140="moeda")+(Inputs!$G$5:$G$140="acoes"))*Inputs!$B$1+((Inputs!$G$5:$G$140&lt;&gt;"moeda")*(Inputs!$G$5:$G$140&lt;&gt;"acoes")))*INDEX(Inputs!$K$5:$AJ$140,0,MATCH(L$2,Inputs!$K$4:$AJ$4,0)))))</f>
        <v>#N/A</v>
      </c>
      <c r="M34" s="3" t="e">
        <f>L34</f>
        <v>#N/A</v>
      </c>
      <c r="N34" s="6" t="e">
        <f>IF(ISNA(MATCH(N$2,Inputs!$K$4:$AJ$4,0)),NA(),IF(SUMPRODUCT((Inputs!$A$5:$A$140=$B34)*ISNUMBER(INDEX(Inputs!$K$5:$AJ$140,0,MATCH(N$2,Inputs!$K$4:$AJ$4,0))))+SUMPRODUCT((Inputs!$C$5:$C$140=$B34)*ISNUMBER(INDEX(Inputs!$K$5:$AJ$140,0,MATCH(N$2,Inputs!$K$4:$AJ$4,0))))+SUMPRODUCT((Inputs!$E$5:$E$140=$B34)*ISNUMBER(INDEX(Inputs!$K$5:$AJ$140,0,MATCH(N$2,Inputs!$K$4:$AJ$4,0))))=0,NA(),SUMPRODUCT((Inputs!$A$5:$A$140=$B34)*Inputs!$B$5:$B$140*(((Inputs!$G$5:$G$140="moeda")+(Inputs!$G$5:$G$140="acoes"))*Inputs!$B$1+((Inputs!$G$5:$G$140&lt;&gt;"moeda")*(Inputs!$G$5:$G$140&lt;&gt;"acoes")))*INDEX(Inputs!$K$5:$AJ$140,0,MATCH(N$2,Inputs!$K$4:$AJ$4,0)))+SUMPRODUCT((Inputs!$C$5:$C$140=$B34)*Inputs!$D$5:$D$140*(((Inputs!$G$5:$G$140="moeda")+(Inputs!$G$5:$G$140="acoes"))*Inputs!$B$1+((Inputs!$G$5:$G$140&lt;&gt;"moeda")*(Inputs!$G$5:$G$140&lt;&gt;"acoes")))*INDEX(Inputs!$K$5:$AJ$140,0,MATCH(N$2,Inputs!$K$4:$AJ$4,0)))+SUMPRODUCT((Inputs!$E$5:$E$140=$B34)*Inputs!$F$5:$F$140*(((Inputs!$G$5:$G$140="moeda")+(Inputs!$G$5:$G$140="acoes"))*Inputs!$B$1+((Inputs!$G$5:$G$140&lt;&gt;"moeda")*(Inputs!$G$5:$G$140&lt;&gt;"acoes")))*INDEX(Inputs!$K$5:$AJ$140,0,MATCH(N$2,Inputs!$K$4:$AJ$4,0)))))</f>
        <v>#N/A</v>
      </c>
      <c r="O34" s="6" t="e">
        <f>IF(ISNA(MATCH(O$2,Inputs!$K$4:$AJ$4,0)),NA(),IF(SUMPRODUCT((Inputs!$A$5:$A$140=$B34)*ISNUMBER(INDEX(Inputs!$K$5:$AJ$140,0,MATCH(O$2,Inputs!$K$4:$AJ$4,0))))+SUMPRODUCT((Inputs!$C$5:$C$140=$B34)*ISNUMBER(INDEX(Inputs!$K$5:$AJ$140,0,MATCH(O$2,Inputs!$K$4:$AJ$4,0))))+SUMPRODUCT((Inputs!$E$5:$E$140=$B34)*ISNUMBER(INDEX(Inputs!$K$5:$AJ$140,0,MATCH(O$2,Inputs!$K$4:$AJ$4,0))))=0,NA(),SUMPRODUCT((Inputs!$A$5:$A$140=$B34)*Inputs!$B$5:$B$140*(((Inputs!$G$5:$G$140="moeda")+(Inputs!$G$5:$G$140="acoes"))*Inputs!$B$1+((Inputs!$G$5:$G$140&lt;&gt;"moeda")*(Inputs!$G$5:$G$140&lt;&gt;"acoes")))*INDEX(Inputs!$K$5:$AJ$140,0,MATCH(O$2,Inputs!$K$4:$AJ$4,0)))+SUMPRODUCT((Inputs!$C$5:$C$140=$B34)*Inputs!$D$5:$D$140*(((Inputs!$G$5:$G$140="moeda")+(Inputs!$G$5:$G$140="acoes"))*Inputs!$B$1+((Inputs!$G$5:$G$140&lt;&gt;"moeda")*(Inputs!$G$5:$G$140&lt;&gt;"acoes")))*INDEX(Inputs!$K$5:$AJ$140,0,MATCH(O$2,Inputs!$K$4:$AJ$4,0)))+SUMPRODUCT((Inputs!$E$5:$E$140=$B34)*Inputs!$F$5:$F$140*(((Inputs!$G$5:$G$140="moeda")+(Inputs!$G$5:$G$140="acoes"))*Inputs!$B$1+((Inputs!$G$5:$G$140&lt;&gt;"moeda")*(Inputs!$G$5:$G$140&lt;&gt;"acoes")))*INDEX(Inputs!$K$5:$AJ$140,0,MATCH(O$2,Inputs!$K$4:$AJ$4,0)))))</f>
        <v>#N/A</v>
      </c>
      <c r="P34" s="6" t="e">
        <f>IF(ISNA(MATCH(P$2,Inputs!$K$4:$AJ$4,0)),NA(),IF(SUMPRODUCT((Inputs!$A$5:$A$140=$B34)*ISNUMBER(INDEX(Inputs!$K$5:$AJ$140,0,MATCH(P$2,Inputs!$K$4:$AJ$4,0))))+SUMPRODUCT((Inputs!$C$5:$C$140=$B34)*ISNUMBER(INDEX(Inputs!$K$5:$AJ$140,0,MATCH(P$2,Inputs!$K$4:$AJ$4,0))))+SUMPRODUCT((Inputs!$E$5:$E$140=$B34)*ISNUMBER(INDEX(Inputs!$K$5:$AJ$140,0,MATCH(P$2,Inputs!$K$4:$AJ$4,0))))=0,NA(),SUMPRODUCT((Inputs!$A$5:$A$140=$B34)*Inputs!$B$5:$B$140*(((Inputs!$G$5:$G$140="moeda")+(Inputs!$G$5:$G$140="acoes"))*Inputs!$B$1+((Inputs!$G$5:$G$140&lt;&gt;"moeda")*(Inputs!$G$5:$G$140&lt;&gt;"acoes")))*INDEX(Inputs!$K$5:$AJ$140,0,MATCH(P$2,Inputs!$K$4:$AJ$4,0)))+SUMPRODUCT((Inputs!$C$5:$C$140=$B34)*Inputs!$D$5:$D$140*(((Inputs!$G$5:$G$140="moeda")+(Inputs!$G$5:$G$140="acoes"))*Inputs!$B$1+((Inputs!$G$5:$G$140&lt;&gt;"moeda")*(Inputs!$G$5:$G$140&lt;&gt;"acoes")))*INDEX(Inputs!$K$5:$AJ$140,0,MATCH(P$2,Inputs!$K$4:$AJ$4,0)))+SUMPRODUCT((Inputs!$E$5:$E$140=$B34)*Inputs!$F$5:$F$140*(((Inputs!$G$5:$G$140="moeda")+(Inputs!$G$5:$G$140="acoes"))*Inputs!$B$1+((Inputs!$G$5:$G$140&lt;&gt;"moeda")*(Inputs!$G$5:$G$140&lt;&gt;"acoes")))*INDEX(Inputs!$K$5:$AJ$140,0,MATCH(P$2,Inputs!$K$4:$AJ$4,0)))))</f>
        <v>#N/A</v>
      </c>
      <c r="Q34" s="6" t="e">
        <f>IF(ISNA(MATCH(Q$2,Inputs!$K$4:$AJ$4,0)),NA(),IF(SUMPRODUCT((Inputs!$A$5:$A$140=$B34)*ISNUMBER(INDEX(Inputs!$K$5:$AJ$140,0,MATCH(Q$2,Inputs!$K$4:$AJ$4,0))))+SUMPRODUCT((Inputs!$C$5:$C$140=$B34)*ISNUMBER(INDEX(Inputs!$K$5:$AJ$140,0,MATCH(Q$2,Inputs!$K$4:$AJ$4,0))))+SUMPRODUCT((Inputs!$E$5:$E$140=$B34)*ISNUMBER(INDEX(Inputs!$K$5:$AJ$140,0,MATCH(Q$2,Inputs!$K$4:$AJ$4,0))))=0,NA(),SUMPRODUCT((Inputs!$A$5:$A$140=$B34)*Inputs!$B$5:$B$140*(((Inputs!$G$5:$G$140="moeda")+(Inputs!$G$5:$G$140="acoes"))*Inputs!$B$1+((Inputs!$G$5:$G$140&lt;&gt;"moeda")*(Inputs!$G$5:$G$140&lt;&gt;"acoes")))*INDEX(Inputs!$K$5:$AJ$140,0,MATCH(Q$2,Inputs!$K$4:$AJ$4,0)))+SUMPRODUCT((Inputs!$C$5:$C$140=$B34)*Inputs!$D$5:$D$140*(((Inputs!$G$5:$G$140="moeda")+(Inputs!$G$5:$G$140="acoes"))*Inputs!$B$1+((Inputs!$G$5:$G$140&lt;&gt;"moeda")*(Inputs!$G$5:$G$140&lt;&gt;"acoes")))*INDEX(Inputs!$K$5:$AJ$140,0,MATCH(Q$2,Inputs!$K$4:$AJ$4,0)))+SUMPRODUCT((Inputs!$E$5:$E$140=$B34)*Inputs!$F$5:$F$140*(((Inputs!$G$5:$G$140="moeda")+(Inputs!$G$5:$G$140="acoes"))*Inputs!$B$1+((Inputs!$G$5:$G$140&lt;&gt;"moeda")*(Inputs!$G$5:$G$140&lt;&gt;"acoes")))*INDEX(Inputs!$K$5:$AJ$140,0,MATCH(Q$2,Inputs!$K$4:$AJ$4,0)))))</f>
        <v>#N/A</v>
      </c>
      <c r="R34" s="3" t="e">
        <f>Q34</f>
        <v>#N/A</v>
      </c>
      <c r="S34" s="6" t="e">
        <f>IF(ISNA(MATCH(S$2,Inputs!$K$4:$AJ$4,0)),NA(),IF(SUMPRODUCT((Inputs!$A$5:$A$140=$B34)*ISNUMBER(INDEX(Inputs!$K$5:$AJ$140,0,MATCH(S$2,Inputs!$K$4:$AJ$4,0))))+SUMPRODUCT((Inputs!$C$5:$C$140=$B34)*ISNUMBER(INDEX(Inputs!$K$5:$AJ$140,0,MATCH(S$2,Inputs!$K$4:$AJ$4,0))))+SUMPRODUCT((Inputs!$E$5:$E$140=$B34)*ISNUMBER(INDEX(Inputs!$K$5:$AJ$140,0,MATCH(S$2,Inputs!$K$4:$AJ$4,0))))=0,NA(),SUMPRODUCT((Inputs!$A$5:$A$140=$B34)*Inputs!$B$5:$B$140*(((Inputs!$G$5:$G$140="moeda")+(Inputs!$G$5:$G$140="acoes"))*Inputs!$B$1+((Inputs!$G$5:$G$140&lt;&gt;"moeda")*(Inputs!$G$5:$G$140&lt;&gt;"acoes")))*INDEX(Inputs!$K$5:$AJ$140,0,MATCH(S$2,Inputs!$K$4:$AJ$4,0)))+SUMPRODUCT((Inputs!$C$5:$C$140=$B34)*Inputs!$D$5:$D$140*(((Inputs!$G$5:$G$140="moeda")+(Inputs!$G$5:$G$140="acoes"))*Inputs!$B$1+((Inputs!$G$5:$G$140&lt;&gt;"moeda")*(Inputs!$G$5:$G$140&lt;&gt;"acoes")))*INDEX(Inputs!$K$5:$AJ$140,0,MATCH(S$2,Inputs!$K$4:$AJ$4,0)))+SUMPRODUCT((Inputs!$E$5:$E$140=$B34)*Inputs!$F$5:$F$140*(((Inputs!$G$5:$G$140="moeda")+(Inputs!$G$5:$G$140="acoes"))*Inputs!$B$1+((Inputs!$G$5:$G$140&lt;&gt;"moeda")*(Inputs!$G$5:$G$140&lt;&gt;"acoes")))*INDEX(Inputs!$K$5:$AJ$140,0,MATCH(S$2,Inputs!$K$4:$AJ$4,0)))))</f>
        <v>#N/A</v>
      </c>
      <c r="T34" s="6" t="e">
        <f>IF(ISNA(MATCH(T$2,Inputs!$K$4:$AJ$4,0)),NA(),IF(SUMPRODUCT((Inputs!$A$5:$A$140=$B34)*ISNUMBER(INDEX(Inputs!$K$5:$AJ$140,0,MATCH(T$2,Inputs!$K$4:$AJ$4,0))))+SUMPRODUCT((Inputs!$C$5:$C$140=$B34)*ISNUMBER(INDEX(Inputs!$K$5:$AJ$140,0,MATCH(T$2,Inputs!$K$4:$AJ$4,0))))+SUMPRODUCT((Inputs!$E$5:$E$140=$B34)*ISNUMBER(INDEX(Inputs!$K$5:$AJ$140,0,MATCH(T$2,Inputs!$K$4:$AJ$4,0))))=0,NA(),SUMPRODUCT((Inputs!$A$5:$A$140=$B34)*Inputs!$B$5:$B$140*(((Inputs!$G$5:$G$140="moeda")+(Inputs!$G$5:$G$140="acoes"))*Inputs!$B$1+((Inputs!$G$5:$G$140&lt;&gt;"moeda")*(Inputs!$G$5:$G$140&lt;&gt;"acoes")))*INDEX(Inputs!$K$5:$AJ$140,0,MATCH(T$2,Inputs!$K$4:$AJ$4,0)))+SUMPRODUCT((Inputs!$C$5:$C$140=$B34)*Inputs!$D$5:$D$140*(((Inputs!$G$5:$G$140="moeda")+(Inputs!$G$5:$G$140="acoes"))*Inputs!$B$1+((Inputs!$G$5:$G$140&lt;&gt;"moeda")*(Inputs!$G$5:$G$140&lt;&gt;"acoes")))*INDEX(Inputs!$K$5:$AJ$140,0,MATCH(T$2,Inputs!$K$4:$AJ$4,0)))+SUMPRODUCT((Inputs!$E$5:$E$140=$B34)*Inputs!$F$5:$F$140*(((Inputs!$G$5:$G$140="moeda")+(Inputs!$G$5:$G$140="acoes"))*Inputs!$B$1+((Inputs!$G$5:$G$140&lt;&gt;"moeda")*(Inputs!$G$5:$G$140&lt;&gt;"acoes")))*INDEX(Inputs!$K$5:$AJ$140,0,MATCH(T$2,Inputs!$K$4:$AJ$4,0)))))</f>
        <v>#N/A</v>
      </c>
      <c r="U34" s="6" t="e">
        <f>IF(ISNA(MATCH(U$2,Inputs!$K$4:$AJ$4,0)),NA(),IF(SUMPRODUCT((Inputs!$A$5:$A$140=$B34)*ISNUMBER(INDEX(Inputs!$K$5:$AJ$140,0,MATCH(U$2,Inputs!$K$4:$AJ$4,0))))+SUMPRODUCT((Inputs!$C$5:$C$140=$B34)*ISNUMBER(INDEX(Inputs!$K$5:$AJ$140,0,MATCH(U$2,Inputs!$K$4:$AJ$4,0))))+SUMPRODUCT((Inputs!$E$5:$E$140=$B34)*ISNUMBER(INDEX(Inputs!$K$5:$AJ$140,0,MATCH(U$2,Inputs!$K$4:$AJ$4,0))))=0,NA(),SUMPRODUCT((Inputs!$A$5:$A$140=$B34)*Inputs!$B$5:$B$140*(((Inputs!$G$5:$G$140="moeda")+(Inputs!$G$5:$G$140="acoes"))*Inputs!$B$1+((Inputs!$G$5:$G$140&lt;&gt;"moeda")*(Inputs!$G$5:$G$140&lt;&gt;"acoes")))*INDEX(Inputs!$K$5:$AJ$140,0,MATCH(U$2,Inputs!$K$4:$AJ$4,0)))+SUMPRODUCT((Inputs!$C$5:$C$140=$B34)*Inputs!$D$5:$D$140*(((Inputs!$G$5:$G$140="moeda")+(Inputs!$G$5:$G$140="acoes"))*Inputs!$B$1+((Inputs!$G$5:$G$140&lt;&gt;"moeda")*(Inputs!$G$5:$G$140&lt;&gt;"acoes")))*INDEX(Inputs!$K$5:$AJ$140,0,MATCH(U$2,Inputs!$K$4:$AJ$4,0)))+SUMPRODUCT((Inputs!$E$5:$E$140=$B34)*Inputs!$F$5:$F$140*(((Inputs!$G$5:$G$140="moeda")+(Inputs!$G$5:$G$140="acoes"))*Inputs!$B$1+((Inputs!$G$5:$G$140&lt;&gt;"moeda")*(Inputs!$G$5:$G$140&lt;&gt;"acoes")))*INDEX(Inputs!$K$5:$AJ$140,0,MATCH(U$2,Inputs!$K$4:$AJ$4,0)))))</f>
        <v>#N/A</v>
      </c>
      <c r="V34" s="6" t="e">
        <f>IF(ISNA(MATCH(V$2,Inputs!$K$4:$AJ$4,0)),NA(),IF(SUMPRODUCT((Inputs!$A$5:$A$140=$B34)*ISNUMBER(INDEX(Inputs!$K$5:$AJ$140,0,MATCH(V$2,Inputs!$K$4:$AJ$4,0))))+SUMPRODUCT((Inputs!$C$5:$C$140=$B34)*ISNUMBER(INDEX(Inputs!$K$5:$AJ$140,0,MATCH(V$2,Inputs!$K$4:$AJ$4,0))))+SUMPRODUCT((Inputs!$E$5:$E$140=$B34)*ISNUMBER(INDEX(Inputs!$K$5:$AJ$140,0,MATCH(V$2,Inputs!$K$4:$AJ$4,0))))=0,NA(),SUMPRODUCT((Inputs!$A$5:$A$140=$B34)*Inputs!$B$5:$B$140*(((Inputs!$G$5:$G$140="moeda")+(Inputs!$G$5:$G$140="acoes"))*Inputs!$B$1+((Inputs!$G$5:$G$140&lt;&gt;"moeda")*(Inputs!$G$5:$G$140&lt;&gt;"acoes")))*INDEX(Inputs!$K$5:$AJ$140,0,MATCH(V$2,Inputs!$K$4:$AJ$4,0)))+SUMPRODUCT((Inputs!$C$5:$C$140=$B34)*Inputs!$D$5:$D$140*(((Inputs!$G$5:$G$140="moeda")+(Inputs!$G$5:$G$140="acoes"))*Inputs!$B$1+((Inputs!$G$5:$G$140&lt;&gt;"moeda")*(Inputs!$G$5:$G$140&lt;&gt;"acoes")))*INDEX(Inputs!$K$5:$AJ$140,0,MATCH(V$2,Inputs!$K$4:$AJ$4,0)))+SUMPRODUCT((Inputs!$E$5:$E$140=$B34)*Inputs!$F$5:$F$140*(((Inputs!$G$5:$G$140="moeda")+(Inputs!$G$5:$G$140="acoes"))*Inputs!$B$1+((Inputs!$G$5:$G$140&lt;&gt;"moeda")*(Inputs!$G$5:$G$140&lt;&gt;"acoes")))*INDEX(Inputs!$K$5:$AJ$140,0,MATCH(V$2,Inputs!$K$4:$AJ$4,0)))))</f>
        <v>#N/A</v>
      </c>
      <c r="W34" s="3" t="e">
        <f>V34</f>
        <v>#N/A</v>
      </c>
      <c r="X34" s="6" t="e">
        <f>IF(ISNA(MATCH(X$2,Inputs!$K$4:$AJ$4,0)),NA(),IF(SUMPRODUCT((Inputs!$A$5:$A$140=$B34)*ISNUMBER(INDEX(Inputs!$K$5:$AJ$140,0,MATCH(X$2,Inputs!$K$4:$AJ$4,0))))+SUMPRODUCT((Inputs!$C$5:$C$140=$B34)*ISNUMBER(INDEX(Inputs!$K$5:$AJ$140,0,MATCH(X$2,Inputs!$K$4:$AJ$4,0))))+SUMPRODUCT((Inputs!$E$5:$E$140=$B34)*ISNUMBER(INDEX(Inputs!$K$5:$AJ$140,0,MATCH(X$2,Inputs!$K$4:$AJ$4,0))))=0,NA(),SUMPRODUCT((Inputs!$A$5:$A$140=$B34)*Inputs!$B$5:$B$140*(((Inputs!$G$5:$G$140="moeda")+(Inputs!$G$5:$G$140="acoes"))*Inputs!$B$1+((Inputs!$G$5:$G$140&lt;&gt;"moeda")*(Inputs!$G$5:$G$140&lt;&gt;"acoes")))*INDEX(Inputs!$K$5:$AJ$140,0,MATCH(X$2,Inputs!$K$4:$AJ$4,0)))+SUMPRODUCT((Inputs!$C$5:$C$140=$B34)*Inputs!$D$5:$D$140*(((Inputs!$G$5:$G$140="moeda")+(Inputs!$G$5:$G$140="acoes"))*Inputs!$B$1+((Inputs!$G$5:$G$140&lt;&gt;"moeda")*(Inputs!$G$5:$G$140&lt;&gt;"acoes")))*INDEX(Inputs!$K$5:$AJ$140,0,MATCH(X$2,Inputs!$K$4:$AJ$4,0)))+SUMPRODUCT((Inputs!$E$5:$E$140=$B34)*Inputs!$F$5:$F$140*(((Inputs!$G$5:$G$140="moeda")+(Inputs!$G$5:$G$140="acoes"))*Inputs!$B$1+((Inputs!$G$5:$G$140&lt;&gt;"moeda")*(Inputs!$G$5:$G$140&lt;&gt;"acoes")))*INDEX(Inputs!$K$5:$AJ$140,0,MATCH(X$2,Inputs!$K$4:$AJ$4,0)))))</f>
        <v>#N/A</v>
      </c>
      <c r="Y34" s="6" t="e">
        <f>IF(ISNA(MATCH(Y$2,Inputs!$K$4:$AJ$4,0)),NA(),IF(SUMPRODUCT((Inputs!$A$5:$A$140=$B34)*ISNUMBER(INDEX(Inputs!$K$5:$AJ$140,0,MATCH(Y$2,Inputs!$K$4:$AJ$4,0))))+SUMPRODUCT((Inputs!$C$5:$C$140=$B34)*ISNUMBER(INDEX(Inputs!$K$5:$AJ$140,0,MATCH(Y$2,Inputs!$K$4:$AJ$4,0))))+SUMPRODUCT((Inputs!$E$5:$E$140=$B34)*ISNUMBER(INDEX(Inputs!$K$5:$AJ$140,0,MATCH(Y$2,Inputs!$K$4:$AJ$4,0))))=0,NA(),SUMPRODUCT((Inputs!$A$5:$A$140=$B34)*Inputs!$B$5:$B$140*(((Inputs!$G$5:$G$140="moeda")+(Inputs!$G$5:$G$140="acoes"))*Inputs!$B$1+((Inputs!$G$5:$G$140&lt;&gt;"moeda")*(Inputs!$G$5:$G$140&lt;&gt;"acoes")))*INDEX(Inputs!$K$5:$AJ$140,0,MATCH(Y$2,Inputs!$K$4:$AJ$4,0)))+SUMPRODUCT((Inputs!$C$5:$C$140=$B34)*Inputs!$D$5:$D$140*(((Inputs!$G$5:$G$140="moeda")+(Inputs!$G$5:$G$140="acoes"))*Inputs!$B$1+((Inputs!$G$5:$G$140&lt;&gt;"moeda")*(Inputs!$G$5:$G$140&lt;&gt;"acoes")))*INDEX(Inputs!$K$5:$AJ$140,0,MATCH(Y$2,Inputs!$K$4:$AJ$4,0)))+SUMPRODUCT((Inputs!$E$5:$E$140=$B34)*Inputs!$F$5:$F$140*(((Inputs!$G$5:$G$140="moeda")+(Inputs!$G$5:$G$140="acoes"))*Inputs!$B$1+((Inputs!$G$5:$G$140&lt;&gt;"moeda")*(Inputs!$G$5:$G$140&lt;&gt;"acoes")))*INDEX(Inputs!$K$5:$AJ$140,0,MATCH(Y$2,Inputs!$K$4:$AJ$4,0)))))</f>
        <v>#N/A</v>
      </c>
      <c r="Z34" s="6" t="e">
        <f>IF(ISNA(MATCH(Z$2,Inputs!$K$4:$AJ$4,0)),NA(),IF(SUMPRODUCT((Inputs!$A$5:$A$140=$B34)*ISNUMBER(INDEX(Inputs!$K$5:$AJ$140,0,MATCH(Z$2,Inputs!$K$4:$AJ$4,0))))+SUMPRODUCT((Inputs!$C$5:$C$140=$B34)*ISNUMBER(INDEX(Inputs!$K$5:$AJ$140,0,MATCH(Z$2,Inputs!$K$4:$AJ$4,0))))+SUMPRODUCT((Inputs!$E$5:$E$140=$B34)*ISNUMBER(INDEX(Inputs!$K$5:$AJ$140,0,MATCH(Z$2,Inputs!$K$4:$AJ$4,0))))=0,NA(),SUMPRODUCT((Inputs!$A$5:$A$140=$B34)*Inputs!$B$5:$B$140*(((Inputs!$G$5:$G$140="moeda")+(Inputs!$G$5:$G$140="acoes"))*Inputs!$B$1+((Inputs!$G$5:$G$140&lt;&gt;"moeda")*(Inputs!$G$5:$G$140&lt;&gt;"acoes")))*INDEX(Inputs!$K$5:$AJ$140,0,MATCH(Z$2,Inputs!$K$4:$AJ$4,0)))+SUMPRODUCT((Inputs!$C$5:$C$140=$B34)*Inputs!$D$5:$D$140*(((Inputs!$G$5:$G$140="moeda")+(Inputs!$G$5:$G$140="acoes"))*Inputs!$B$1+((Inputs!$G$5:$G$140&lt;&gt;"moeda")*(Inputs!$G$5:$G$140&lt;&gt;"acoes")))*INDEX(Inputs!$K$5:$AJ$140,0,MATCH(Z$2,Inputs!$K$4:$AJ$4,0)))+SUMPRODUCT((Inputs!$E$5:$E$140=$B34)*Inputs!$F$5:$F$140*(((Inputs!$G$5:$G$140="moeda")+(Inputs!$G$5:$G$140="acoes"))*Inputs!$B$1+((Inputs!$G$5:$G$140&lt;&gt;"moeda")*(Inputs!$G$5:$G$140&lt;&gt;"acoes")))*INDEX(Inputs!$K$5:$AJ$140,0,MATCH(Z$2,Inputs!$K$4:$AJ$4,0)))))</f>
        <v>#N/A</v>
      </c>
      <c r="AA34" s="6" t="e">
        <f>IF(ISNA(MATCH(AA$2,Inputs!$K$4:$AJ$4,0)),NA(),IF(SUMPRODUCT((Inputs!$A$5:$A$140=$B34)*ISNUMBER(INDEX(Inputs!$K$5:$AJ$140,0,MATCH(AA$2,Inputs!$K$4:$AJ$4,0))))+SUMPRODUCT((Inputs!$C$5:$C$140=$B34)*ISNUMBER(INDEX(Inputs!$K$5:$AJ$140,0,MATCH(AA$2,Inputs!$K$4:$AJ$4,0))))+SUMPRODUCT((Inputs!$E$5:$E$140=$B34)*ISNUMBER(INDEX(Inputs!$K$5:$AJ$140,0,MATCH(AA$2,Inputs!$K$4:$AJ$4,0))))=0,NA(),SUMPRODUCT((Inputs!$A$5:$A$140=$B34)*Inputs!$B$5:$B$140*(((Inputs!$G$5:$G$140="moeda")+(Inputs!$G$5:$G$140="acoes"))*Inputs!$B$1+((Inputs!$G$5:$G$140&lt;&gt;"moeda")*(Inputs!$G$5:$G$140&lt;&gt;"acoes")))*INDEX(Inputs!$K$5:$AJ$140,0,MATCH(AA$2,Inputs!$K$4:$AJ$4,0)))+SUMPRODUCT((Inputs!$C$5:$C$140=$B34)*Inputs!$D$5:$D$140*(((Inputs!$G$5:$G$140="moeda")+(Inputs!$G$5:$G$140="acoes"))*Inputs!$B$1+((Inputs!$G$5:$G$140&lt;&gt;"moeda")*(Inputs!$G$5:$G$140&lt;&gt;"acoes")))*INDEX(Inputs!$K$5:$AJ$140,0,MATCH(AA$2,Inputs!$K$4:$AJ$4,0)))+SUMPRODUCT((Inputs!$E$5:$E$140=$B34)*Inputs!$F$5:$F$140*(((Inputs!$G$5:$G$140="moeda")+(Inputs!$G$5:$G$140="acoes"))*Inputs!$B$1+((Inputs!$G$5:$G$140&lt;&gt;"moeda")*(Inputs!$G$5:$G$140&lt;&gt;"acoes")))*INDEX(Inputs!$K$5:$AJ$140,0,MATCH(AA$2,Inputs!$K$4:$AJ$4,0)))))</f>
        <v>#N/A</v>
      </c>
      <c r="AB34" s="3" t="e">
        <f>AA34</f>
        <v>#N/A</v>
      </c>
      <c r="AC34" s="6" t="e">
        <f>IF(ISNA(MATCH(AC$2,Inputs!$K$4:$AJ$4,0)),NA(),IF(SUMPRODUCT((Inputs!$A$5:$A$140=$B34)*ISNUMBER(INDEX(Inputs!$K$5:$AJ$140,0,MATCH(AC$2,Inputs!$K$4:$AJ$4,0))))+SUMPRODUCT((Inputs!$C$5:$C$140=$B34)*ISNUMBER(INDEX(Inputs!$K$5:$AJ$140,0,MATCH(AC$2,Inputs!$K$4:$AJ$4,0))))+SUMPRODUCT((Inputs!$E$5:$E$140=$B34)*ISNUMBER(INDEX(Inputs!$K$5:$AJ$140,0,MATCH(AC$2,Inputs!$K$4:$AJ$4,0))))=0,NA(),SUMPRODUCT((Inputs!$A$5:$A$140=$B34)*Inputs!$B$5:$B$140*(((Inputs!$G$5:$G$140="moeda")+(Inputs!$G$5:$G$140="acoes"))*Inputs!$B$1+((Inputs!$G$5:$G$140&lt;&gt;"moeda")*(Inputs!$G$5:$G$140&lt;&gt;"acoes")))*INDEX(Inputs!$K$5:$AJ$140,0,MATCH(AC$2,Inputs!$K$4:$AJ$4,0)))+SUMPRODUCT((Inputs!$C$5:$C$140=$B34)*Inputs!$D$5:$D$140*(((Inputs!$G$5:$G$140="moeda")+(Inputs!$G$5:$G$140="acoes"))*Inputs!$B$1+((Inputs!$G$5:$G$140&lt;&gt;"moeda")*(Inputs!$G$5:$G$140&lt;&gt;"acoes")))*INDEX(Inputs!$K$5:$AJ$140,0,MATCH(AC$2,Inputs!$K$4:$AJ$4,0)))+SUMPRODUCT((Inputs!$E$5:$E$140=$B34)*Inputs!$F$5:$F$140*(((Inputs!$G$5:$G$140="moeda")+(Inputs!$G$5:$G$140="acoes"))*Inputs!$B$1+((Inputs!$G$5:$G$140&lt;&gt;"moeda")*(Inputs!$G$5:$G$140&lt;&gt;"acoes")))*INDEX(Inputs!$K$5:$AJ$140,0,MATCH(AC$2,Inputs!$K$4:$AJ$4,0)))))</f>
        <v>#N/A</v>
      </c>
      <c r="AD34" s="6" t="e">
        <f>IF(ISNA(MATCH(AD$2,Inputs!$K$4:$AJ$4,0)),NA(),IF(SUMPRODUCT((Inputs!$A$5:$A$140=$B34)*ISNUMBER(INDEX(Inputs!$K$5:$AJ$140,0,MATCH(AD$2,Inputs!$K$4:$AJ$4,0))))+SUMPRODUCT((Inputs!$C$5:$C$140=$B34)*ISNUMBER(INDEX(Inputs!$K$5:$AJ$140,0,MATCH(AD$2,Inputs!$K$4:$AJ$4,0))))+SUMPRODUCT((Inputs!$E$5:$E$140=$B34)*ISNUMBER(INDEX(Inputs!$K$5:$AJ$140,0,MATCH(AD$2,Inputs!$K$4:$AJ$4,0))))=0,NA(),SUMPRODUCT((Inputs!$A$5:$A$140=$B34)*Inputs!$B$5:$B$140*(((Inputs!$G$5:$G$140="moeda")+(Inputs!$G$5:$G$140="acoes"))*Inputs!$B$1+((Inputs!$G$5:$G$140&lt;&gt;"moeda")*(Inputs!$G$5:$G$140&lt;&gt;"acoes")))*INDEX(Inputs!$K$5:$AJ$140,0,MATCH(AD$2,Inputs!$K$4:$AJ$4,0)))+SUMPRODUCT((Inputs!$C$5:$C$140=$B34)*Inputs!$D$5:$D$140*(((Inputs!$G$5:$G$140="moeda")+(Inputs!$G$5:$G$140="acoes"))*Inputs!$B$1+((Inputs!$G$5:$G$140&lt;&gt;"moeda")*(Inputs!$G$5:$G$140&lt;&gt;"acoes")))*INDEX(Inputs!$K$5:$AJ$140,0,MATCH(AD$2,Inputs!$K$4:$AJ$4,0)))+SUMPRODUCT((Inputs!$E$5:$E$140=$B34)*Inputs!$F$5:$F$140*(((Inputs!$G$5:$G$140="moeda")+(Inputs!$G$5:$G$140="acoes"))*Inputs!$B$1+((Inputs!$G$5:$G$140&lt;&gt;"moeda")*(Inputs!$G$5:$G$140&lt;&gt;"acoes")))*INDEX(Inputs!$K$5:$AJ$140,0,MATCH(AD$2,Inputs!$K$4:$AJ$4,0)))))</f>
        <v>#N/A</v>
      </c>
      <c r="AE34" s="6" t="e">
        <f>IF(ISNA(MATCH(AE$2,Inputs!$K$4:$AJ$4,0)),NA(),IF(SUMPRODUCT((Inputs!$A$5:$A$140=$B34)*ISNUMBER(INDEX(Inputs!$K$5:$AJ$140,0,MATCH(AE$2,Inputs!$K$4:$AJ$4,0))))+SUMPRODUCT((Inputs!$C$5:$C$140=$B34)*ISNUMBER(INDEX(Inputs!$K$5:$AJ$140,0,MATCH(AE$2,Inputs!$K$4:$AJ$4,0))))+SUMPRODUCT((Inputs!$E$5:$E$140=$B34)*ISNUMBER(INDEX(Inputs!$K$5:$AJ$140,0,MATCH(AE$2,Inputs!$K$4:$AJ$4,0))))=0,NA(),SUMPRODUCT((Inputs!$A$5:$A$140=$B34)*Inputs!$B$5:$B$140*(((Inputs!$G$5:$G$140="moeda")+(Inputs!$G$5:$G$140="acoes"))*Inputs!$B$1+((Inputs!$G$5:$G$140&lt;&gt;"moeda")*(Inputs!$G$5:$G$140&lt;&gt;"acoes")))*INDEX(Inputs!$K$5:$AJ$140,0,MATCH(AE$2,Inputs!$K$4:$AJ$4,0)))+SUMPRODUCT((Inputs!$C$5:$C$140=$B34)*Inputs!$D$5:$D$140*(((Inputs!$G$5:$G$140="moeda")+(Inputs!$G$5:$G$140="acoes"))*Inputs!$B$1+((Inputs!$G$5:$G$140&lt;&gt;"moeda")*(Inputs!$G$5:$G$140&lt;&gt;"acoes")))*INDEX(Inputs!$K$5:$AJ$140,0,MATCH(AE$2,Inputs!$K$4:$AJ$4,0)))+SUMPRODUCT((Inputs!$E$5:$E$140=$B34)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34" s="6" t="e">
        <f>IF(ISNA(MATCH(AF$2,Inputs!$K$4:$AJ$4,0)),NA(),IF(SUMPRODUCT((Inputs!$A$5:$A$140=$B34)*ISNUMBER(INDEX(Inputs!$K$5:$AJ$140,0,MATCH(AF$2,Inputs!$K$4:$AJ$4,0))))+SUMPRODUCT((Inputs!$C$5:$C$140=$B34)*ISNUMBER(INDEX(Inputs!$K$5:$AJ$140,0,MATCH(AF$2,Inputs!$K$4:$AJ$4,0))))+SUMPRODUCT((Inputs!$E$5:$E$140=$B34)*ISNUMBER(INDEX(Inputs!$K$5:$AJ$140,0,MATCH(AF$2,Inputs!$K$4:$AJ$4,0))))=0,NA(),SUMPRODUCT((Inputs!$A$5:$A$140=$B34)*Inputs!$B$5:$B$140*(((Inputs!$G$5:$G$140="moeda")+(Inputs!$G$5:$G$140="acoes"))*Inputs!$B$1+((Inputs!$G$5:$G$140&lt;&gt;"moeda")*(Inputs!$G$5:$G$140&lt;&gt;"acoes")))*INDEX(Inputs!$K$5:$AJ$140,0,MATCH(AF$2,Inputs!$K$4:$AJ$4,0)))+SUMPRODUCT((Inputs!$C$5:$C$140=$B34)*Inputs!$D$5:$D$140*(((Inputs!$G$5:$G$140="moeda")+(Inputs!$G$5:$G$140="acoes"))*Inputs!$B$1+((Inputs!$G$5:$G$140&lt;&gt;"moeda")*(Inputs!$G$5:$G$140&lt;&gt;"acoes")))*INDEX(Inputs!$K$5:$AJ$140,0,MATCH(AF$2,Inputs!$K$4:$AJ$4,0)))+SUMPRODUCT((Inputs!$E$5:$E$140=$B34)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34" s="3" t="e">
        <f>AF34</f>
        <v>#N/A</v>
      </c>
      <c r="AH34" s="6" t="e">
        <f>IF(ISNA(MATCH(AH$2,Inputs!$K$4:$AJ$4,0)),NA(),IF(SUMPRODUCT((Inputs!$A$5:$A$140=$B34)*ISNUMBER(INDEX(Inputs!$K$5:$AJ$140,0,MATCH(AH$2,Inputs!$K$4:$AJ$4,0))))+SUMPRODUCT((Inputs!$C$5:$C$140=$B34)*ISNUMBER(INDEX(Inputs!$K$5:$AJ$140,0,MATCH(AH$2,Inputs!$K$4:$AJ$4,0))))+SUMPRODUCT((Inputs!$E$5:$E$140=$B34)*ISNUMBER(INDEX(Inputs!$K$5:$AJ$140,0,MATCH(AH$2,Inputs!$K$4:$AJ$4,0))))=0,NA(),SUMPRODUCT((Inputs!$A$5:$A$140=$B34)*Inputs!$B$5:$B$140*(((Inputs!$G$5:$G$140="moeda")+(Inputs!$G$5:$G$140="acoes"))*Inputs!$B$1+((Inputs!$G$5:$G$140&lt;&gt;"moeda")*(Inputs!$G$5:$G$140&lt;&gt;"acoes")))*INDEX(Inputs!$K$5:$AJ$140,0,MATCH(AH$2,Inputs!$K$4:$AJ$4,0)))+SUMPRODUCT((Inputs!$C$5:$C$140=$B34)*Inputs!$D$5:$D$140*(((Inputs!$G$5:$G$140="moeda")+(Inputs!$G$5:$G$140="acoes"))*Inputs!$B$1+((Inputs!$G$5:$G$140&lt;&gt;"moeda")*(Inputs!$G$5:$G$140&lt;&gt;"acoes")))*INDEX(Inputs!$K$5:$AJ$140,0,MATCH(AH$2,Inputs!$K$4:$AJ$4,0)))+SUMPRODUCT((Inputs!$E$5:$E$140=$B34)*Inputs!$F$5:$F$140*(((Inputs!$G$5:$G$140="moeda")+(Inputs!$G$5:$G$140="acoes"))*Inputs!$B$1+((Inputs!$G$5:$G$140&lt;&gt;"moeda")*(Inputs!$G$5:$G$140&lt;&gt;"acoes")))*INDEX(Inputs!$K$5:$AJ$140,0,MATCH(AH$2,Inputs!$K$4:$AJ$4,0)))))</f>
        <v>#N/A</v>
      </c>
      <c r="AI34" s="6" t="e">
        <f>IF(ISNA(MATCH(AI$2,Inputs!$K$4:$AJ$4,0)),NA(),IF(SUMPRODUCT((Inputs!$A$5:$A$140=$B34)*ISNUMBER(INDEX(Inputs!$K$5:$AJ$140,0,MATCH(AI$2,Inputs!$K$4:$AJ$4,0))))+SUMPRODUCT((Inputs!$C$5:$C$140=$B34)*ISNUMBER(INDEX(Inputs!$K$5:$AJ$140,0,MATCH(AI$2,Inputs!$K$4:$AJ$4,0))))+SUMPRODUCT((Inputs!$E$5:$E$140=$B34)*ISNUMBER(INDEX(Inputs!$K$5:$AJ$140,0,MATCH(AI$2,Inputs!$K$4:$AJ$4,0))))=0,NA(),SUMPRODUCT((Inputs!$A$5:$A$140=$B34)*Inputs!$B$5:$B$140*(((Inputs!$G$5:$G$140="moeda")+(Inputs!$G$5:$G$140="acoes"))*Inputs!$B$1+((Inputs!$G$5:$G$140&lt;&gt;"moeda")*(Inputs!$G$5:$G$140&lt;&gt;"acoes")))*INDEX(Inputs!$K$5:$AJ$140,0,MATCH(AI$2,Inputs!$K$4:$AJ$4,0)))+SUMPRODUCT((Inputs!$C$5:$C$140=$B34)*Inputs!$D$5:$D$140*(((Inputs!$G$5:$G$140="moeda")+(Inputs!$G$5:$G$140="acoes"))*Inputs!$B$1+((Inputs!$G$5:$G$140&lt;&gt;"moeda")*(Inputs!$G$5:$G$140&lt;&gt;"acoes")))*INDEX(Inputs!$K$5:$AJ$140,0,MATCH(AI$2,Inputs!$K$4:$AJ$4,0)))+SUMPRODUCT((Inputs!$E$5:$E$140=$B34)*Inputs!$F$5:$F$140*(((Inputs!$G$5:$G$140="moeda")+(Inputs!$G$5:$G$140="acoes"))*Inputs!$B$1+((Inputs!$G$5:$G$140&lt;&gt;"moeda")*(Inputs!$G$5:$G$140&lt;&gt;"acoes")))*INDEX(Inputs!$K$5:$AJ$140,0,MATCH(AI$2,Inputs!$K$4:$AJ$4,0)))))</f>
        <v>#N/A</v>
      </c>
      <c r="AJ34" s="6" t="e">
        <f>IF(ISNA(MATCH(AJ$2,Inputs!$K$4:$AJ$4,0)),NA(),IF(SUMPRODUCT((Inputs!$A$5:$A$140=$B34)*ISNUMBER(INDEX(Inputs!$K$5:$AJ$140,0,MATCH(AJ$2,Inputs!$K$4:$AJ$4,0))))+SUMPRODUCT((Inputs!$C$5:$C$140=$B34)*ISNUMBER(INDEX(Inputs!$K$5:$AJ$140,0,MATCH(AJ$2,Inputs!$K$4:$AJ$4,0))))+SUMPRODUCT((Inputs!$E$5:$E$140=$B34)*ISNUMBER(INDEX(Inputs!$K$5:$AJ$140,0,MATCH(AJ$2,Inputs!$K$4:$AJ$4,0))))=0,NA(),SUMPRODUCT((Inputs!$A$5:$A$140=$B34)*Inputs!$B$5:$B$140*(((Inputs!$G$5:$G$140="moeda")+(Inputs!$G$5:$G$140="acoes"))*Inputs!$B$1+((Inputs!$G$5:$G$140&lt;&gt;"moeda")*(Inputs!$G$5:$G$140&lt;&gt;"acoes")))*INDEX(Inputs!$K$5:$AJ$140,0,MATCH(AJ$2,Inputs!$K$4:$AJ$4,0)))+SUMPRODUCT((Inputs!$C$5:$C$140=$B34)*Inputs!$D$5:$D$140*(((Inputs!$G$5:$G$140="moeda")+(Inputs!$G$5:$G$140="acoes"))*Inputs!$B$1+((Inputs!$G$5:$G$140&lt;&gt;"moeda")*(Inputs!$G$5:$G$140&lt;&gt;"acoes")))*INDEX(Inputs!$K$5:$AJ$140,0,MATCH(AJ$2,Inputs!$K$4:$AJ$4,0)))+SUMPRODUCT((Inputs!$E$5:$E$140=$B34)*Inputs!$F$5:$F$140*(((Inputs!$G$5:$G$140="moeda")+(Inputs!$G$5:$G$140="acoes"))*Inputs!$B$1+((Inputs!$G$5:$G$140&lt;&gt;"moeda")*(Inputs!$G$5:$G$140&lt;&gt;"acoes")))*INDEX(Inputs!$K$5:$AJ$140,0,MATCH(AJ$2,Inputs!$K$4:$AJ$4,0)))))</f>
        <v>#N/A</v>
      </c>
      <c r="AK34" s="6" t="e">
        <f>IF(ISNA(MATCH(AK$2,Inputs!$K$4:$AJ$4,0)),NA(),IF(SUMPRODUCT((Inputs!$A$5:$A$140=$B34)*ISNUMBER(INDEX(Inputs!$K$5:$AJ$140,0,MATCH(AK$2,Inputs!$K$4:$AJ$4,0))))+SUMPRODUCT((Inputs!$C$5:$C$140=$B34)*ISNUMBER(INDEX(Inputs!$K$5:$AJ$140,0,MATCH(AK$2,Inputs!$K$4:$AJ$4,0))))+SUMPRODUCT((Inputs!$E$5:$E$140=$B34)*ISNUMBER(INDEX(Inputs!$K$5:$AJ$140,0,MATCH(AK$2,Inputs!$K$4:$AJ$4,0))))=0,NA(),SUMPRODUCT((Inputs!$A$5:$A$140=$B34)*Inputs!$B$5:$B$140*(((Inputs!$G$5:$G$140="moeda")+(Inputs!$G$5:$G$140="acoes"))*Inputs!$B$1+((Inputs!$G$5:$G$140&lt;&gt;"moeda")*(Inputs!$G$5:$G$140&lt;&gt;"acoes")))*INDEX(Inputs!$K$5:$AJ$140,0,MATCH(AK$2,Inputs!$K$4:$AJ$4,0)))+SUMPRODUCT((Inputs!$C$5:$C$140=$B34)*Inputs!$D$5:$D$140*(((Inputs!$G$5:$G$140="moeda")+(Inputs!$G$5:$G$140="acoes"))*Inputs!$B$1+((Inputs!$G$5:$G$140&lt;&gt;"moeda")*(Inputs!$G$5:$G$140&lt;&gt;"acoes")))*INDEX(Inputs!$K$5:$AJ$140,0,MATCH(AK$2,Inputs!$K$4:$AJ$4,0)))+SUMPRODUCT((Inputs!$E$5:$E$140=$B34)*Inputs!$F$5:$F$140*(((Inputs!$G$5:$G$140="moeda")+(Inputs!$G$5:$G$140="acoes"))*Inputs!$B$1+((Inputs!$G$5:$G$140&lt;&gt;"moeda")*(Inputs!$G$5:$G$140&lt;&gt;"acoes")))*INDEX(Inputs!$K$5:$AJ$140,0,MATCH(AK$2,Inputs!$K$4:$AJ$4,0)))))</f>
        <v>#N/A</v>
      </c>
      <c r="AL34" s="3" t="e">
        <f>AK34</f>
        <v>#N/A</v>
      </c>
    </row>
    <row r="35">
      <c r="B35" s="46" t="n">
        <v>30</v>
      </c>
      <c r="C35" s="26" t="inlineStr">
        <is>
          <t>Long term debt</t>
        </is>
      </c>
      <c r="D35" s="6">
        <f>IF(ISNA(MATCH(D$2,Inputs!$K$4:$AJ$4,0)),NA(),IF(SUMPRODUCT((Inputs!$A$5:$A$140=$B35)*ISNUMBER(INDEX(Inputs!$K$5:$AJ$140,0,MATCH(D$2,Inputs!$K$4:$AJ$4,0))))+SUMPRODUCT((Inputs!$C$5:$C$140=$B35)*ISNUMBER(INDEX(Inputs!$K$5:$AJ$140,0,MATCH(D$2,Inputs!$K$4:$AJ$4,0))))+SUMPRODUCT((Inputs!$E$5:$E$140=$B35)*ISNUMBER(INDEX(Inputs!$K$5:$AJ$140,0,MATCH(D$2,Inputs!$K$4:$AJ$4,0))))=0,NA(),SUMPRODUCT((Inputs!$A$5:$A$140=$B35)*Inputs!$B$5:$B$140*(((Inputs!$G$5:$G$140="moeda")+(Inputs!$G$5:$G$140="acoes"))*Inputs!$B$1+((Inputs!$G$5:$G$140&lt;&gt;"moeda")*(Inputs!$G$5:$G$140&lt;&gt;"acoes")))*INDEX(Inputs!$K$5:$AJ$140,0,MATCH(D$2,Inputs!$K$4:$AJ$4,0)))+SUMPRODUCT((Inputs!$C$5:$C$140=$B35)*Inputs!$D$5:$D$140*(((Inputs!$G$5:$G$140="moeda")+(Inputs!$G$5:$G$140="acoes"))*Inputs!$B$1+((Inputs!$G$5:$G$140&lt;&gt;"moeda")*(Inputs!$G$5:$G$140&lt;&gt;"acoes")))*INDEX(Inputs!$K$5:$AJ$140,0,MATCH(D$2,Inputs!$K$4:$AJ$4,0)))+SUMPRODUCT((Inputs!$E$5:$E$140=$B35)*Inputs!$F$5:$F$140*(((Inputs!$G$5:$G$140="moeda")+(Inputs!$G$5:$G$140="acoes"))*Inputs!$B$1+((Inputs!$G$5:$G$140&lt;&gt;"moeda")*(Inputs!$G$5:$G$140&lt;&gt;"acoes")))*INDEX(Inputs!$K$5:$AJ$140,0,MATCH(D$2,Inputs!$K$4:$AJ$4,0)))))</f>
        <v>5964</v>
      </c>
      <c r="E35" s="6">
        <f>IF(ISNA(MATCH(E$2,Inputs!$K$4:$AJ$4,0)),NA(),IF(SUMPRODUCT((Inputs!$A$5:$A$140=$B35)*ISNUMBER(INDEX(Inputs!$K$5:$AJ$140,0,MATCH(E$2,Inputs!$K$4:$AJ$4,0))))+SUMPRODUCT((Inputs!$C$5:$C$140=$B35)*ISNUMBER(INDEX(Inputs!$K$5:$AJ$140,0,MATCH(E$2,Inputs!$K$4:$AJ$4,0))))+SUMPRODUCT((Inputs!$E$5:$E$140=$B35)*ISNUMBER(INDEX(Inputs!$K$5:$AJ$140,0,MATCH(E$2,Inputs!$K$4:$AJ$4,0))))=0,NA(),SUMPRODUCT((Inputs!$A$5:$A$140=$B35)*Inputs!$B$5:$B$140*(((Inputs!$G$5:$G$140="moeda")+(Inputs!$G$5:$G$140="acoes"))*Inputs!$B$1+((Inputs!$G$5:$G$140&lt;&gt;"moeda")*(Inputs!$G$5:$G$140&lt;&gt;"acoes")))*INDEX(Inputs!$K$5:$AJ$140,0,MATCH(E$2,Inputs!$K$4:$AJ$4,0)))+SUMPRODUCT((Inputs!$C$5:$C$140=$B35)*Inputs!$D$5:$D$140*(((Inputs!$G$5:$G$140="moeda")+(Inputs!$G$5:$G$140="acoes"))*Inputs!$B$1+((Inputs!$G$5:$G$140&lt;&gt;"moeda")*(Inputs!$G$5:$G$140&lt;&gt;"acoes")))*INDEX(Inputs!$K$5:$AJ$140,0,MATCH(E$2,Inputs!$K$4:$AJ$4,0)))+SUMPRODUCT((Inputs!$E$5:$E$140=$B35)*Inputs!$F$5:$F$140*(((Inputs!$G$5:$G$140="moeda")+(Inputs!$G$5:$G$140="acoes"))*Inputs!$B$1+((Inputs!$G$5:$G$140&lt;&gt;"moeda")*(Inputs!$G$5:$G$140&lt;&gt;"acoes")))*INDEX(Inputs!$K$5:$AJ$140,0,MATCH(E$2,Inputs!$K$4:$AJ$4,0)))))</f>
        <v>10943</v>
      </c>
      <c r="F35" s="6">
        <f>IF(ISNA(MATCH(F$2,Inputs!$K$4:$AJ$4,0)),NA(),IF(SUMPRODUCT((Inputs!$A$5:$A$140=$B35)*ISNUMBER(INDEX(Inputs!$K$5:$AJ$140,0,MATCH(F$2,Inputs!$K$4:$AJ$4,0))))+SUMPRODUCT((Inputs!$C$5:$C$140=$B35)*ISNUMBER(INDEX(Inputs!$K$5:$AJ$140,0,MATCH(F$2,Inputs!$K$4:$AJ$4,0))))+SUMPRODUCT((Inputs!$E$5:$E$140=$B35)*ISNUMBER(INDEX(Inputs!$K$5:$AJ$140,0,MATCH(F$2,Inputs!$K$4:$AJ$4,0))))=0,NA(),SUMPRODUCT((Inputs!$A$5:$A$140=$B35)*Inputs!$B$5:$B$140*(((Inputs!$G$5:$G$140="moeda")+(Inputs!$G$5:$G$140="acoes"))*Inputs!$B$1+((Inputs!$G$5:$G$140&lt;&gt;"moeda")*(Inputs!$G$5:$G$140&lt;&gt;"acoes")))*INDEX(Inputs!$K$5:$AJ$140,0,MATCH(F$2,Inputs!$K$4:$AJ$4,0)))+SUMPRODUCT((Inputs!$C$5:$C$140=$B35)*Inputs!$D$5:$D$140*(((Inputs!$G$5:$G$140="moeda")+(Inputs!$G$5:$G$140="acoes"))*Inputs!$B$1+((Inputs!$G$5:$G$140&lt;&gt;"moeda")*(Inputs!$G$5:$G$140&lt;&gt;"acoes")))*INDEX(Inputs!$K$5:$AJ$140,0,MATCH(F$2,Inputs!$K$4:$AJ$4,0)))+SUMPRODUCT((Inputs!$E$5:$E$140=$B35)*Inputs!$F$5:$F$140*(((Inputs!$G$5:$G$140="moeda")+(Inputs!$G$5:$G$140="acoes"))*Inputs!$B$1+((Inputs!$G$5:$G$140&lt;&gt;"moeda")*(Inputs!$G$5:$G$140&lt;&gt;"acoes")))*INDEX(Inputs!$K$5:$AJ$140,0,MATCH(F$2,Inputs!$K$4:$AJ$4,0)))))</f>
        <v>10944</v>
      </c>
      <c r="G35" s="6">
        <f>IF(ISNA(MATCH(G$2,Inputs!$K$4:$AJ$4,0)),NA(),IF(SUMPRODUCT((Inputs!$A$5:$A$140=$B35)*ISNUMBER(INDEX(Inputs!$K$5:$AJ$140,0,MATCH(G$2,Inputs!$K$4:$AJ$4,0))))+SUMPRODUCT((Inputs!$C$5:$C$140=$B35)*ISNUMBER(INDEX(Inputs!$K$5:$AJ$140,0,MATCH(G$2,Inputs!$K$4:$AJ$4,0))))+SUMPRODUCT((Inputs!$E$5:$E$140=$B35)*ISNUMBER(INDEX(Inputs!$K$5:$AJ$140,0,MATCH(G$2,Inputs!$K$4:$AJ$4,0))))=0,NA(),SUMPRODUCT((Inputs!$A$5:$A$140=$B35)*Inputs!$B$5:$B$140*(((Inputs!$G$5:$G$140="moeda")+(Inputs!$G$5:$G$140="acoes"))*Inputs!$B$1+((Inputs!$G$5:$G$140&lt;&gt;"moeda")*(Inputs!$G$5:$G$140&lt;&gt;"acoes")))*INDEX(Inputs!$K$5:$AJ$140,0,MATCH(G$2,Inputs!$K$4:$AJ$4,0)))+SUMPRODUCT((Inputs!$C$5:$C$140=$B35)*Inputs!$D$5:$D$140*(((Inputs!$G$5:$G$140="moeda")+(Inputs!$G$5:$G$140="acoes"))*Inputs!$B$1+((Inputs!$G$5:$G$140&lt;&gt;"moeda")*(Inputs!$G$5:$G$140&lt;&gt;"acoes")))*INDEX(Inputs!$K$5:$AJ$140,0,MATCH(G$2,Inputs!$K$4:$AJ$4,0)))+SUMPRODUCT((Inputs!$E$5:$E$140=$B35)*Inputs!$F$5:$F$140*(((Inputs!$G$5:$G$140="moeda")+(Inputs!$G$5:$G$140="acoes"))*Inputs!$B$1+((Inputs!$G$5:$G$140&lt;&gt;"moeda")*(Inputs!$G$5:$G$140&lt;&gt;"acoes")))*INDEX(Inputs!$K$5:$AJ$140,0,MATCH(G$2,Inputs!$K$4:$AJ$4,0)))))</f>
        <v>10946</v>
      </c>
      <c r="H35" s="3">
        <f>G35</f>
        <v>10946</v>
      </c>
      <c r="I35" s="6">
        <f>IF(ISNA(MATCH(I$2,Inputs!$K$4:$AJ$4,0)),NA(),IF(SUMPRODUCT((Inputs!$A$5:$A$140=$B35)*ISNUMBER(INDEX(Inputs!$K$5:$AJ$140,0,MATCH(I$2,Inputs!$K$4:$AJ$4,0))))+SUMPRODUCT((Inputs!$C$5:$C$140=$B35)*ISNUMBER(INDEX(Inputs!$K$5:$AJ$140,0,MATCH(I$2,Inputs!$K$4:$AJ$4,0))))+SUMPRODUCT((Inputs!$E$5:$E$140=$B35)*ISNUMBER(INDEX(Inputs!$K$5:$AJ$140,0,MATCH(I$2,Inputs!$K$4:$AJ$4,0))))=0,NA(),SUMPRODUCT((Inputs!$A$5:$A$140=$B35)*Inputs!$B$5:$B$140*(((Inputs!$G$5:$G$140="moeda")+(Inputs!$G$5:$G$140="acoes"))*Inputs!$B$1+((Inputs!$G$5:$G$140&lt;&gt;"moeda")*(Inputs!$G$5:$G$140&lt;&gt;"acoes")))*INDEX(Inputs!$K$5:$AJ$140,0,MATCH(I$2,Inputs!$K$4:$AJ$4,0)))+SUMPRODUCT((Inputs!$C$5:$C$140=$B35)*Inputs!$D$5:$D$140*(((Inputs!$G$5:$G$140="moeda")+(Inputs!$G$5:$G$140="acoes"))*Inputs!$B$1+((Inputs!$G$5:$G$140&lt;&gt;"moeda")*(Inputs!$G$5:$G$140&lt;&gt;"acoes")))*INDEX(Inputs!$K$5:$AJ$140,0,MATCH(I$2,Inputs!$K$4:$AJ$4,0)))+SUMPRODUCT((Inputs!$E$5:$E$140=$B35)*Inputs!$F$5:$F$140*(((Inputs!$G$5:$G$140="moeda")+(Inputs!$G$5:$G$140="acoes"))*Inputs!$B$1+((Inputs!$G$5:$G$140&lt;&gt;"moeda")*(Inputs!$G$5:$G$140&lt;&gt;"acoes")))*INDEX(Inputs!$K$5:$AJ$140,0,MATCH(I$2,Inputs!$K$4:$AJ$4,0)))))</f>
        <v>10947</v>
      </c>
      <c r="J35" s="6">
        <f>IF(ISNA(MATCH(J$2,Inputs!$K$4:$AJ$4,0)),NA(),IF(SUMPRODUCT((Inputs!$A$5:$A$140=$B35)*ISNUMBER(INDEX(Inputs!$K$5:$AJ$140,0,MATCH(J$2,Inputs!$K$4:$AJ$4,0))))+SUMPRODUCT((Inputs!$C$5:$C$140=$B35)*ISNUMBER(INDEX(Inputs!$K$5:$AJ$140,0,MATCH(J$2,Inputs!$K$4:$AJ$4,0))))+SUMPRODUCT((Inputs!$E$5:$E$140=$B35)*ISNUMBER(INDEX(Inputs!$K$5:$AJ$140,0,MATCH(J$2,Inputs!$K$4:$AJ$4,0))))=0,NA(),SUMPRODUCT((Inputs!$A$5:$A$140=$B35)*Inputs!$B$5:$B$140*(((Inputs!$G$5:$G$140="moeda")+(Inputs!$G$5:$G$140="acoes"))*Inputs!$B$1+((Inputs!$G$5:$G$140&lt;&gt;"moeda")*(Inputs!$G$5:$G$140&lt;&gt;"acoes")))*INDEX(Inputs!$K$5:$AJ$140,0,MATCH(J$2,Inputs!$K$4:$AJ$4,0)))+SUMPRODUCT((Inputs!$C$5:$C$140=$B35)*Inputs!$D$5:$D$140*(((Inputs!$G$5:$G$140="moeda")+(Inputs!$G$5:$G$140="acoes"))*Inputs!$B$1+((Inputs!$G$5:$G$140&lt;&gt;"moeda")*(Inputs!$G$5:$G$140&lt;&gt;"acoes")))*INDEX(Inputs!$K$5:$AJ$140,0,MATCH(J$2,Inputs!$K$4:$AJ$4,0)))+SUMPRODUCT((Inputs!$E$5:$E$140=$B35)*Inputs!$F$5:$F$140*(((Inputs!$G$5:$G$140="moeda")+(Inputs!$G$5:$G$140="acoes"))*Inputs!$B$1+((Inputs!$G$5:$G$140&lt;&gt;"moeda")*(Inputs!$G$5:$G$140&lt;&gt;"acoes")))*INDEX(Inputs!$K$5:$AJ$140,0,MATCH(J$2,Inputs!$K$4:$AJ$4,0)))))</f>
        <v>9700</v>
      </c>
      <c r="K35" s="6">
        <f>IF(ISNA(MATCH(K$2,Inputs!$K$4:$AJ$4,0)),NA(),IF(SUMPRODUCT((Inputs!$A$5:$A$140=$B35)*ISNUMBER(INDEX(Inputs!$K$5:$AJ$140,0,MATCH(K$2,Inputs!$K$4:$AJ$4,0))))+SUMPRODUCT((Inputs!$C$5:$C$140=$B35)*ISNUMBER(INDEX(Inputs!$K$5:$AJ$140,0,MATCH(K$2,Inputs!$K$4:$AJ$4,0))))+SUMPRODUCT((Inputs!$E$5:$E$140=$B35)*ISNUMBER(INDEX(Inputs!$K$5:$AJ$140,0,MATCH(K$2,Inputs!$K$4:$AJ$4,0))))=0,NA(),SUMPRODUCT((Inputs!$A$5:$A$140=$B35)*Inputs!$B$5:$B$140*(((Inputs!$G$5:$G$140="moeda")+(Inputs!$G$5:$G$140="acoes"))*Inputs!$B$1+((Inputs!$G$5:$G$140&lt;&gt;"moeda")*(Inputs!$G$5:$G$140&lt;&gt;"acoes")))*INDEX(Inputs!$K$5:$AJ$140,0,MATCH(K$2,Inputs!$K$4:$AJ$4,0)))+SUMPRODUCT((Inputs!$C$5:$C$140=$B35)*Inputs!$D$5:$D$140*(((Inputs!$G$5:$G$140="moeda")+(Inputs!$G$5:$G$140="acoes"))*Inputs!$B$1+((Inputs!$G$5:$G$140&lt;&gt;"moeda")*(Inputs!$G$5:$G$140&lt;&gt;"acoes")))*INDEX(Inputs!$K$5:$AJ$140,0,MATCH(K$2,Inputs!$K$4:$AJ$4,0)))+SUMPRODUCT((Inputs!$E$5:$E$140=$B35)*Inputs!$F$5:$F$140*(((Inputs!$G$5:$G$140="moeda")+(Inputs!$G$5:$G$140="acoes"))*Inputs!$B$1+((Inputs!$G$5:$G$140&lt;&gt;"moeda")*(Inputs!$G$5:$G$140&lt;&gt;"acoes")))*INDEX(Inputs!$K$5:$AJ$140,0,MATCH(K$2,Inputs!$K$4:$AJ$4,0)))))</f>
        <v>9701</v>
      </c>
      <c r="L35" s="6">
        <f>IF(ISNA(MATCH(L$2,Inputs!$K$4:$AJ$4,0)),NA(),IF(SUMPRODUCT((Inputs!$A$5:$A$140=$B35)*ISNUMBER(INDEX(Inputs!$K$5:$AJ$140,0,MATCH(L$2,Inputs!$K$4:$AJ$4,0))))+SUMPRODUCT((Inputs!$C$5:$C$140=$B35)*ISNUMBER(INDEX(Inputs!$K$5:$AJ$140,0,MATCH(L$2,Inputs!$K$4:$AJ$4,0))))+SUMPRODUCT((Inputs!$E$5:$E$140=$B35)*ISNUMBER(INDEX(Inputs!$K$5:$AJ$140,0,MATCH(L$2,Inputs!$K$4:$AJ$4,0))))=0,NA(),SUMPRODUCT((Inputs!$A$5:$A$140=$B35)*Inputs!$B$5:$B$140*(((Inputs!$G$5:$G$140="moeda")+(Inputs!$G$5:$G$140="acoes"))*Inputs!$B$1+((Inputs!$G$5:$G$140&lt;&gt;"moeda")*(Inputs!$G$5:$G$140&lt;&gt;"acoes")))*INDEX(Inputs!$K$5:$AJ$140,0,MATCH(L$2,Inputs!$K$4:$AJ$4,0)))+SUMPRODUCT((Inputs!$C$5:$C$140=$B35)*Inputs!$D$5:$D$140*(((Inputs!$G$5:$G$140="moeda")+(Inputs!$G$5:$G$140="acoes"))*Inputs!$B$1+((Inputs!$G$5:$G$140&lt;&gt;"moeda")*(Inputs!$G$5:$G$140&lt;&gt;"acoes")))*INDEX(Inputs!$K$5:$AJ$140,0,MATCH(L$2,Inputs!$K$4:$AJ$4,0)))+SUMPRODUCT((Inputs!$E$5:$E$140=$B35)*Inputs!$F$5:$F$140*(((Inputs!$G$5:$G$140="moeda")+(Inputs!$G$5:$G$140="acoes"))*Inputs!$B$1+((Inputs!$G$5:$G$140&lt;&gt;"moeda")*(Inputs!$G$5:$G$140&lt;&gt;"acoes")))*INDEX(Inputs!$K$5:$AJ$140,0,MATCH(L$2,Inputs!$K$4:$AJ$4,0)))))</f>
        <v>9703</v>
      </c>
      <c r="M35" s="3">
        <f>L35</f>
        <v>9703</v>
      </c>
      <c r="N35" s="6">
        <f>IF(ISNA(MATCH(N$2,Inputs!$K$4:$AJ$4,0)),NA(),IF(SUMPRODUCT((Inputs!$A$5:$A$140=$B35)*ISNUMBER(INDEX(Inputs!$K$5:$AJ$140,0,MATCH(N$2,Inputs!$K$4:$AJ$4,0))))+SUMPRODUCT((Inputs!$C$5:$C$140=$B35)*ISNUMBER(INDEX(Inputs!$K$5:$AJ$140,0,MATCH(N$2,Inputs!$K$4:$AJ$4,0))))+SUMPRODUCT((Inputs!$E$5:$E$140=$B35)*ISNUMBER(INDEX(Inputs!$K$5:$AJ$140,0,MATCH(N$2,Inputs!$K$4:$AJ$4,0))))=0,NA(),SUMPRODUCT((Inputs!$A$5:$A$140=$B35)*Inputs!$B$5:$B$140*(((Inputs!$G$5:$G$140="moeda")+(Inputs!$G$5:$G$140="acoes"))*Inputs!$B$1+((Inputs!$G$5:$G$140&lt;&gt;"moeda")*(Inputs!$G$5:$G$140&lt;&gt;"acoes")))*INDEX(Inputs!$K$5:$AJ$140,0,MATCH(N$2,Inputs!$K$4:$AJ$4,0)))+SUMPRODUCT((Inputs!$C$5:$C$140=$B35)*Inputs!$D$5:$D$140*(((Inputs!$G$5:$G$140="moeda")+(Inputs!$G$5:$G$140="acoes"))*Inputs!$B$1+((Inputs!$G$5:$G$140&lt;&gt;"moeda")*(Inputs!$G$5:$G$140&lt;&gt;"acoes")))*INDEX(Inputs!$K$5:$AJ$140,0,MATCH(N$2,Inputs!$K$4:$AJ$4,0)))+SUMPRODUCT((Inputs!$E$5:$E$140=$B35)*Inputs!$F$5:$F$140*(((Inputs!$G$5:$G$140="moeda")+(Inputs!$G$5:$G$140="acoes"))*Inputs!$B$1+((Inputs!$G$5:$G$140&lt;&gt;"moeda")*(Inputs!$G$5:$G$140&lt;&gt;"acoes")))*INDEX(Inputs!$K$5:$AJ$140,0,MATCH(N$2,Inputs!$K$4:$AJ$4,0)))))</f>
        <v>9704</v>
      </c>
      <c r="O35" s="6">
        <f>IF(ISNA(MATCH(O$2,Inputs!$K$4:$AJ$4,0)),NA(),IF(SUMPRODUCT((Inputs!$A$5:$A$140=$B35)*ISNUMBER(INDEX(Inputs!$K$5:$AJ$140,0,MATCH(O$2,Inputs!$K$4:$AJ$4,0))))+SUMPRODUCT((Inputs!$C$5:$C$140=$B35)*ISNUMBER(INDEX(Inputs!$K$5:$AJ$140,0,MATCH(O$2,Inputs!$K$4:$AJ$4,0))))+SUMPRODUCT((Inputs!$E$5:$E$140=$B35)*ISNUMBER(INDEX(Inputs!$K$5:$AJ$140,0,MATCH(O$2,Inputs!$K$4:$AJ$4,0))))=0,NA(),SUMPRODUCT((Inputs!$A$5:$A$140=$B35)*Inputs!$B$5:$B$140*(((Inputs!$G$5:$G$140="moeda")+(Inputs!$G$5:$G$140="acoes"))*Inputs!$B$1+((Inputs!$G$5:$G$140&lt;&gt;"moeda")*(Inputs!$G$5:$G$140&lt;&gt;"acoes")))*INDEX(Inputs!$K$5:$AJ$140,0,MATCH(O$2,Inputs!$K$4:$AJ$4,0)))+SUMPRODUCT((Inputs!$C$5:$C$140=$B35)*Inputs!$D$5:$D$140*(((Inputs!$G$5:$G$140="moeda")+(Inputs!$G$5:$G$140="acoes"))*Inputs!$B$1+((Inputs!$G$5:$G$140&lt;&gt;"moeda")*(Inputs!$G$5:$G$140&lt;&gt;"acoes")))*INDEX(Inputs!$K$5:$AJ$140,0,MATCH(O$2,Inputs!$K$4:$AJ$4,0)))+SUMPRODUCT((Inputs!$E$5:$E$140=$B35)*Inputs!$F$5:$F$140*(((Inputs!$G$5:$G$140="moeda")+(Inputs!$G$5:$G$140="acoes"))*Inputs!$B$1+((Inputs!$G$5:$G$140&lt;&gt;"moeda")*(Inputs!$G$5:$G$140&lt;&gt;"acoes")))*INDEX(Inputs!$K$5:$AJ$140,0,MATCH(O$2,Inputs!$K$4:$AJ$4,0)))))</f>
        <v>8456</v>
      </c>
      <c r="P35" s="6">
        <f>IF(ISNA(MATCH(P$2,Inputs!$K$4:$AJ$4,0)),NA(),IF(SUMPRODUCT((Inputs!$A$5:$A$140=$B35)*ISNUMBER(INDEX(Inputs!$K$5:$AJ$140,0,MATCH(P$2,Inputs!$K$4:$AJ$4,0))))+SUMPRODUCT((Inputs!$C$5:$C$140=$B35)*ISNUMBER(INDEX(Inputs!$K$5:$AJ$140,0,MATCH(P$2,Inputs!$K$4:$AJ$4,0))))+SUMPRODUCT((Inputs!$E$5:$E$140=$B35)*ISNUMBER(INDEX(Inputs!$K$5:$AJ$140,0,MATCH(P$2,Inputs!$K$4:$AJ$4,0))))=0,NA(),SUMPRODUCT((Inputs!$A$5:$A$140=$B35)*Inputs!$B$5:$B$140*(((Inputs!$G$5:$G$140="moeda")+(Inputs!$G$5:$G$140="acoes"))*Inputs!$B$1+((Inputs!$G$5:$G$140&lt;&gt;"moeda")*(Inputs!$G$5:$G$140&lt;&gt;"acoes")))*INDEX(Inputs!$K$5:$AJ$140,0,MATCH(P$2,Inputs!$K$4:$AJ$4,0)))+SUMPRODUCT((Inputs!$C$5:$C$140=$B35)*Inputs!$D$5:$D$140*(((Inputs!$G$5:$G$140="moeda")+(Inputs!$G$5:$G$140="acoes"))*Inputs!$B$1+((Inputs!$G$5:$G$140&lt;&gt;"moeda")*(Inputs!$G$5:$G$140&lt;&gt;"acoes")))*INDEX(Inputs!$K$5:$AJ$140,0,MATCH(P$2,Inputs!$K$4:$AJ$4,0)))+SUMPRODUCT((Inputs!$E$5:$E$140=$B35)*Inputs!$F$5:$F$140*(((Inputs!$G$5:$G$140="moeda")+(Inputs!$G$5:$G$140="acoes"))*Inputs!$B$1+((Inputs!$G$5:$G$140&lt;&gt;"moeda")*(Inputs!$G$5:$G$140&lt;&gt;"acoes")))*INDEX(Inputs!$K$5:$AJ$140,0,MATCH(P$2,Inputs!$K$4:$AJ$4,0)))))</f>
        <v>8457</v>
      </c>
      <c r="Q35" s="6">
        <f>IF(ISNA(MATCH(Q$2,Inputs!$K$4:$AJ$4,0)),NA(),IF(SUMPRODUCT((Inputs!$A$5:$A$140=$B35)*ISNUMBER(INDEX(Inputs!$K$5:$AJ$140,0,MATCH(Q$2,Inputs!$K$4:$AJ$4,0))))+SUMPRODUCT((Inputs!$C$5:$C$140=$B35)*ISNUMBER(INDEX(Inputs!$K$5:$AJ$140,0,MATCH(Q$2,Inputs!$K$4:$AJ$4,0))))+SUMPRODUCT((Inputs!$E$5:$E$140=$B35)*ISNUMBER(INDEX(Inputs!$K$5:$AJ$140,0,MATCH(Q$2,Inputs!$K$4:$AJ$4,0))))=0,NA(),SUMPRODUCT((Inputs!$A$5:$A$140=$B35)*Inputs!$B$5:$B$140*(((Inputs!$G$5:$G$140="moeda")+(Inputs!$G$5:$G$140="acoes"))*Inputs!$B$1+((Inputs!$G$5:$G$140&lt;&gt;"moeda")*(Inputs!$G$5:$G$140&lt;&gt;"acoes")))*INDEX(Inputs!$K$5:$AJ$140,0,MATCH(Q$2,Inputs!$K$4:$AJ$4,0)))+SUMPRODUCT((Inputs!$C$5:$C$140=$B35)*Inputs!$D$5:$D$140*(((Inputs!$G$5:$G$140="moeda")+(Inputs!$G$5:$G$140="acoes"))*Inputs!$B$1+((Inputs!$G$5:$G$140&lt;&gt;"moeda")*(Inputs!$G$5:$G$140&lt;&gt;"acoes")))*INDEX(Inputs!$K$5:$AJ$140,0,MATCH(Q$2,Inputs!$K$4:$AJ$4,0)))+SUMPRODUCT((Inputs!$E$5:$E$140=$B35)*Inputs!$F$5:$F$140*(((Inputs!$G$5:$G$140="moeda")+(Inputs!$G$5:$G$140="acoes"))*Inputs!$B$1+((Inputs!$G$5:$G$140&lt;&gt;"moeda")*(Inputs!$G$5:$G$140&lt;&gt;"acoes")))*INDEX(Inputs!$K$5:$AJ$140,0,MATCH(Q$2,Inputs!$K$4:$AJ$4,0)))))</f>
        <v>8459</v>
      </c>
      <c r="R35" s="3">
        <f>Q35</f>
        <v>8459</v>
      </c>
      <c r="S35" s="6">
        <f>IF(ISNA(MATCH(S$2,Inputs!$K$4:$AJ$4,0)),NA(),IF(SUMPRODUCT((Inputs!$A$5:$A$140=$B35)*ISNUMBER(INDEX(Inputs!$K$5:$AJ$140,0,MATCH(S$2,Inputs!$K$4:$AJ$4,0))))+SUMPRODUCT((Inputs!$C$5:$C$140=$B35)*ISNUMBER(INDEX(Inputs!$K$5:$AJ$140,0,MATCH(S$2,Inputs!$K$4:$AJ$4,0))))+SUMPRODUCT((Inputs!$E$5:$E$140=$B35)*ISNUMBER(INDEX(Inputs!$K$5:$AJ$140,0,MATCH(S$2,Inputs!$K$4:$AJ$4,0))))=0,NA(),SUMPRODUCT((Inputs!$A$5:$A$140=$B35)*Inputs!$B$5:$B$140*(((Inputs!$G$5:$G$140="moeda")+(Inputs!$G$5:$G$140="acoes"))*Inputs!$B$1+((Inputs!$G$5:$G$140&lt;&gt;"moeda")*(Inputs!$G$5:$G$140&lt;&gt;"acoes")))*INDEX(Inputs!$K$5:$AJ$140,0,MATCH(S$2,Inputs!$K$4:$AJ$4,0)))+SUMPRODUCT((Inputs!$C$5:$C$140=$B35)*Inputs!$D$5:$D$140*(((Inputs!$G$5:$G$140="moeda")+(Inputs!$G$5:$G$140="acoes"))*Inputs!$B$1+((Inputs!$G$5:$G$140&lt;&gt;"moeda")*(Inputs!$G$5:$G$140&lt;&gt;"acoes")))*INDEX(Inputs!$K$5:$AJ$140,0,MATCH(S$2,Inputs!$K$4:$AJ$4,0)))+SUMPRODUCT((Inputs!$E$5:$E$140=$B35)*Inputs!$F$5:$F$140*(((Inputs!$G$5:$G$140="moeda")+(Inputs!$G$5:$G$140="acoes"))*Inputs!$B$1+((Inputs!$G$5:$G$140&lt;&gt;"moeda")*(Inputs!$G$5:$G$140&lt;&gt;"acoes")))*INDEX(Inputs!$K$5:$AJ$140,0,MATCH(S$2,Inputs!$K$4:$AJ$4,0)))))</f>
        <v>8460</v>
      </c>
      <c r="T35" s="6">
        <f>IF(ISNA(MATCH(T$2,Inputs!$K$4:$AJ$4,0)),NA(),IF(SUMPRODUCT((Inputs!$A$5:$A$140=$B35)*ISNUMBER(INDEX(Inputs!$K$5:$AJ$140,0,MATCH(T$2,Inputs!$K$4:$AJ$4,0))))+SUMPRODUCT((Inputs!$C$5:$C$140=$B35)*ISNUMBER(INDEX(Inputs!$K$5:$AJ$140,0,MATCH(T$2,Inputs!$K$4:$AJ$4,0))))+SUMPRODUCT((Inputs!$E$5:$E$140=$B35)*ISNUMBER(INDEX(Inputs!$K$5:$AJ$140,0,MATCH(T$2,Inputs!$K$4:$AJ$4,0))))=0,NA(),SUMPRODUCT((Inputs!$A$5:$A$140=$B35)*Inputs!$B$5:$B$140*(((Inputs!$G$5:$G$140="moeda")+(Inputs!$G$5:$G$140="acoes"))*Inputs!$B$1+((Inputs!$G$5:$G$140&lt;&gt;"moeda")*(Inputs!$G$5:$G$140&lt;&gt;"acoes")))*INDEX(Inputs!$K$5:$AJ$140,0,MATCH(T$2,Inputs!$K$4:$AJ$4,0)))+SUMPRODUCT((Inputs!$C$5:$C$140=$B35)*Inputs!$D$5:$D$140*(((Inputs!$G$5:$G$140="moeda")+(Inputs!$G$5:$G$140="acoes"))*Inputs!$B$1+((Inputs!$G$5:$G$140&lt;&gt;"moeda")*(Inputs!$G$5:$G$140&lt;&gt;"acoes")))*INDEX(Inputs!$K$5:$AJ$140,0,MATCH(T$2,Inputs!$K$4:$AJ$4,0)))+SUMPRODUCT((Inputs!$E$5:$E$140=$B35)*Inputs!$F$5:$F$140*(((Inputs!$G$5:$G$140="moeda")+(Inputs!$G$5:$G$140="acoes"))*Inputs!$B$1+((Inputs!$G$5:$G$140&lt;&gt;"moeda")*(Inputs!$G$5:$G$140&lt;&gt;"acoes")))*INDEX(Inputs!$K$5:$AJ$140,0,MATCH(T$2,Inputs!$K$4:$AJ$4,0)))))</f>
        <v>8461</v>
      </c>
      <c r="U35" s="6">
        <f>IF(ISNA(MATCH(U$2,Inputs!$K$4:$AJ$4,0)),NA(),IF(SUMPRODUCT((Inputs!$A$5:$A$140=$B35)*ISNUMBER(INDEX(Inputs!$K$5:$AJ$140,0,MATCH(U$2,Inputs!$K$4:$AJ$4,0))))+SUMPRODUCT((Inputs!$C$5:$C$140=$B35)*ISNUMBER(INDEX(Inputs!$K$5:$AJ$140,0,MATCH(U$2,Inputs!$K$4:$AJ$4,0))))+SUMPRODUCT((Inputs!$E$5:$E$140=$B35)*ISNUMBER(INDEX(Inputs!$K$5:$AJ$140,0,MATCH(U$2,Inputs!$K$4:$AJ$4,0))))=0,NA(),SUMPRODUCT((Inputs!$A$5:$A$140=$B35)*Inputs!$B$5:$B$140*(((Inputs!$G$5:$G$140="moeda")+(Inputs!$G$5:$G$140="acoes"))*Inputs!$B$1+((Inputs!$G$5:$G$140&lt;&gt;"moeda")*(Inputs!$G$5:$G$140&lt;&gt;"acoes")))*INDEX(Inputs!$K$5:$AJ$140,0,MATCH(U$2,Inputs!$K$4:$AJ$4,0)))+SUMPRODUCT((Inputs!$C$5:$C$140=$B35)*Inputs!$D$5:$D$140*(((Inputs!$G$5:$G$140="moeda")+(Inputs!$G$5:$G$140="acoes"))*Inputs!$B$1+((Inputs!$G$5:$G$140&lt;&gt;"moeda")*(Inputs!$G$5:$G$140&lt;&gt;"acoes")))*INDEX(Inputs!$K$5:$AJ$140,0,MATCH(U$2,Inputs!$K$4:$AJ$4,0)))+SUMPRODUCT((Inputs!$E$5:$E$140=$B35)*Inputs!$F$5:$F$140*(((Inputs!$G$5:$G$140="moeda")+(Inputs!$G$5:$G$140="acoes"))*Inputs!$B$1+((Inputs!$G$5:$G$140&lt;&gt;"moeda")*(Inputs!$G$5:$G$140&lt;&gt;"acoes")))*INDEX(Inputs!$K$5:$AJ$140,0,MATCH(U$2,Inputs!$K$4:$AJ$4,0)))))</f>
        <v>8462</v>
      </c>
      <c r="V35" s="6">
        <f>IF(ISNA(MATCH(V$2,Inputs!$K$4:$AJ$4,0)),NA(),IF(SUMPRODUCT((Inputs!$A$5:$A$140=$B35)*ISNUMBER(INDEX(Inputs!$K$5:$AJ$140,0,MATCH(V$2,Inputs!$K$4:$AJ$4,0))))+SUMPRODUCT((Inputs!$C$5:$C$140=$B35)*ISNUMBER(INDEX(Inputs!$K$5:$AJ$140,0,MATCH(V$2,Inputs!$K$4:$AJ$4,0))))+SUMPRODUCT((Inputs!$E$5:$E$140=$B35)*ISNUMBER(INDEX(Inputs!$K$5:$AJ$140,0,MATCH(V$2,Inputs!$K$4:$AJ$4,0))))=0,NA(),SUMPRODUCT((Inputs!$A$5:$A$140=$B35)*Inputs!$B$5:$B$140*(((Inputs!$G$5:$G$140="moeda")+(Inputs!$G$5:$G$140="acoes"))*Inputs!$B$1+((Inputs!$G$5:$G$140&lt;&gt;"moeda")*(Inputs!$G$5:$G$140&lt;&gt;"acoes")))*INDEX(Inputs!$K$5:$AJ$140,0,MATCH(V$2,Inputs!$K$4:$AJ$4,0)))+SUMPRODUCT((Inputs!$C$5:$C$140=$B35)*Inputs!$D$5:$D$140*(((Inputs!$G$5:$G$140="moeda")+(Inputs!$G$5:$G$140="acoes"))*Inputs!$B$1+((Inputs!$G$5:$G$140&lt;&gt;"moeda")*(Inputs!$G$5:$G$140&lt;&gt;"acoes")))*INDEX(Inputs!$K$5:$AJ$140,0,MATCH(V$2,Inputs!$K$4:$AJ$4,0)))+SUMPRODUCT((Inputs!$E$5:$E$140=$B35)*Inputs!$F$5:$F$140*(((Inputs!$G$5:$G$140="moeda")+(Inputs!$G$5:$G$140="acoes"))*Inputs!$B$1+((Inputs!$G$5:$G$140&lt;&gt;"moeda")*(Inputs!$G$5:$G$140&lt;&gt;"acoes")))*INDEX(Inputs!$K$5:$AJ$140,0,MATCH(V$2,Inputs!$K$4:$AJ$4,0)))))</f>
        <v>8463</v>
      </c>
      <c r="W35" s="3">
        <f>V35</f>
        <v>8463</v>
      </c>
      <c r="X35" s="6">
        <f>IF(ISNA(MATCH(X$2,Inputs!$K$4:$AJ$4,0)),NA(),IF(SUMPRODUCT((Inputs!$A$5:$A$140=$B35)*ISNUMBER(INDEX(Inputs!$K$5:$AJ$140,0,MATCH(X$2,Inputs!$K$4:$AJ$4,0))))+SUMPRODUCT((Inputs!$C$5:$C$140=$B35)*ISNUMBER(INDEX(Inputs!$K$5:$AJ$140,0,MATCH(X$2,Inputs!$K$4:$AJ$4,0))))+SUMPRODUCT((Inputs!$E$5:$E$140=$B35)*ISNUMBER(INDEX(Inputs!$K$5:$AJ$140,0,MATCH(X$2,Inputs!$K$4:$AJ$4,0))))=0,NA(),SUMPRODUCT((Inputs!$A$5:$A$140=$B35)*Inputs!$B$5:$B$140*(((Inputs!$G$5:$G$140="moeda")+(Inputs!$G$5:$G$140="acoes"))*Inputs!$B$1+((Inputs!$G$5:$G$140&lt;&gt;"moeda")*(Inputs!$G$5:$G$140&lt;&gt;"acoes")))*INDEX(Inputs!$K$5:$AJ$140,0,MATCH(X$2,Inputs!$K$4:$AJ$4,0)))+SUMPRODUCT((Inputs!$C$5:$C$140=$B35)*Inputs!$D$5:$D$140*(((Inputs!$G$5:$G$140="moeda")+(Inputs!$G$5:$G$140="acoes"))*Inputs!$B$1+((Inputs!$G$5:$G$140&lt;&gt;"moeda")*(Inputs!$G$5:$G$140&lt;&gt;"acoes")))*INDEX(Inputs!$K$5:$AJ$140,0,MATCH(X$2,Inputs!$K$4:$AJ$4,0)))+SUMPRODUCT((Inputs!$E$5:$E$140=$B35)*Inputs!$F$5:$F$140*(((Inputs!$G$5:$G$140="moeda")+(Inputs!$G$5:$G$140="acoes"))*Inputs!$B$1+((Inputs!$G$5:$G$140&lt;&gt;"moeda")*(Inputs!$G$5:$G$140&lt;&gt;"acoes")))*INDEX(Inputs!$K$5:$AJ$140,0,MATCH(X$2,Inputs!$K$4:$AJ$4,0)))))</f>
        <v>8464</v>
      </c>
      <c r="Y35" s="6">
        <f>IF(ISNA(MATCH(Y$2,Inputs!$K$4:$AJ$4,0)),NA(),IF(SUMPRODUCT((Inputs!$A$5:$A$140=$B35)*ISNUMBER(INDEX(Inputs!$K$5:$AJ$140,0,MATCH(Y$2,Inputs!$K$4:$AJ$4,0))))+SUMPRODUCT((Inputs!$C$5:$C$140=$B35)*ISNUMBER(INDEX(Inputs!$K$5:$AJ$140,0,MATCH(Y$2,Inputs!$K$4:$AJ$4,0))))+SUMPRODUCT((Inputs!$E$5:$E$140=$B35)*ISNUMBER(INDEX(Inputs!$K$5:$AJ$140,0,MATCH(Y$2,Inputs!$K$4:$AJ$4,0))))=0,NA(),SUMPRODUCT((Inputs!$A$5:$A$140=$B35)*Inputs!$B$5:$B$140*(((Inputs!$G$5:$G$140="moeda")+(Inputs!$G$5:$G$140="acoes"))*Inputs!$B$1+((Inputs!$G$5:$G$140&lt;&gt;"moeda")*(Inputs!$G$5:$G$140&lt;&gt;"acoes")))*INDEX(Inputs!$K$5:$AJ$140,0,MATCH(Y$2,Inputs!$K$4:$AJ$4,0)))+SUMPRODUCT((Inputs!$C$5:$C$140=$B35)*Inputs!$D$5:$D$140*(((Inputs!$G$5:$G$140="moeda")+(Inputs!$G$5:$G$140="acoes"))*Inputs!$B$1+((Inputs!$G$5:$G$140&lt;&gt;"moeda")*(Inputs!$G$5:$G$140&lt;&gt;"acoes")))*INDEX(Inputs!$K$5:$AJ$140,0,MATCH(Y$2,Inputs!$K$4:$AJ$4,0)))+SUMPRODUCT((Inputs!$E$5:$E$140=$B35)*Inputs!$F$5:$F$140*(((Inputs!$G$5:$G$140="moeda")+(Inputs!$G$5:$G$140="acoes"))*Inputs!$B$1+((Inputs!$G$5:$G$140&lt;&gt;"moeda")*(Inputs!$G$5:$G$140&lt;&gt;"acoes")))*INDEX(Inputs!$K$5:$AJ$140,0,MATCH(Y$2,Inputs!$K$4:$AJ$4,0)))))</f>
        <v>8466</v>
      </c>
      <c r="Z35" s="6">
        <f>IF(ISNA(MATCH(Z$2,Inputs!$K$4:$AJ$4,0)),NA(),IF(SUMPRODUCT((Inputs!$A$5:$A$140=$B35)*ISNUMBER(INDEX(Inputs!$K$5:$AJ$140,0,MATCH(Z$2,Inputs!$K$4:$AJ$4,0))))+SUMPRODUCT((Inputs!$C$5:$C$140=$B35)*ISNUMBER(INDEX(Inputs!$K$5:$AJ$140,0,MATCH(Z$2,Inputs!$K$4:$AJ$4,0))))+SUMPRODUCT((Inputs!$E$5:$E$140=$B35)*ISNUMBER(INDEX(Inputs!$K$5:$AJ$140,0,MATCH(Z$2,Inputs!$K$4:$AJ$4,0))))=0,NA(),SUMPRODUCT((Inputs!$A$5:$A$140=$B35)*Inputs!$B$5:$B$140*(((Inputs!$G$5:$G$140="moeda")+(Inputs!$G$5:$G$140="acoes"))*Inputs!$B$1+((Inputs!$G$5:$G$140&lt;&gt;"moeda")*(Inputs!$G$5:$G$140&lt;&gt;"acoes")))*INDEX(Inputs!$K$5:$AJ$140,0,MATCH(Z$2,Inputs!$K$4:$AJ$4,0)))+SUMPRODUCT((Inputs!$C$5:$C$140=$B35)*Inputs!$D$5:$D$140*(((Inputs!$G$5:$G$140="moeda")+(Inputs!$G$5:$G$140="acoes"))*Inputs!$B$1+((Inputs!$G$5:$G$140&lt;&gt;"moeda")*(Inputs!$G$5:$G$140&lt;&gt;"acoes")))*INDEX(Inputs!$K$5:$AJ$140,0,MATCH(Z$2,Inputs!$K$4:$AJ$4,0)))+SUMPRODUCT((Inputs!$E$5:$E$140=$B35)*Inputs!$F$5:$F$140*(((Inputs!$G$5:$G$140="moeda")+(Inputs!$G$5:$G$140="acoes"))*Inputs!$B$1+((Inputs!$G$5:$G$140&lt;&gt;"moeda")*(Inputs!$G$5:$G$140&lt;&gt;"acoes")))*INDEX(Inputs!$K$5:$AJ$140,0,MATCH(Z$2,Inputs!$K$4:$AJ$4,0)))))</f>
        <v>7468</v>
      </c>
      <c r="AA35" s="6">
        <f>IF(ISNA(MATCH(AA$2,Inputs!$K$4:$AJ$4,0)),NA(),IF(SUMPRODUCT((Inputs!$A$5:$A$140=$B35)*ISNUMBER(INDEX(Inputs!$K$5:$AJ$140,0,MATCH(AA$2,Inputs!$K$4:$AJ$4,0))))+SUMPRODUCT((Inputs!$C$5:$C$140=$B35)*ISNUMBER(INDEX(Inputs!$K$5:$AJ$140,0,MATCH(AA$2,Inputs!$K$4:$AJ$4,0))))+SUMPRODUCT((Inputs!$E$5:$E$140=$B35)*ISNUMBER(INDEX(Inputs!$K$5:$AJ$140,0,MATCH(AA$2,Inputs!$K$4:$AJ$4,0))))=0,NA(),SUMPRODUCT((Inputs!$A$5:$A$140=$B35)*Inputs!$B$5:$B$140*(((Inputs!$G$5:$G$140="moeda")+(Inputs!$G$5:$G$140="acoes"))*Inputs!$B$1+((Inputs!$G$5:$G$140&lt;&gt;"moeda")*(Inputs!$G$5:$G$140&lt;&gt;"acoes")))*INDEX(Inputs!$K$5:$AJ$140,0,MATCH(AA$2,Inputs!$K$4:$AJ$4,0)))+SUMPRODUCT((Inputs!$C$5:$C$140=$B35)*Inputs!$D$5:$D$140*(((Inputs!$G$5:$G$140="moeda")+(Inputs!$G$5:$G$140="acoes"))*Inputs!$B$1+((Inputs!$G$5:$G$140&lt;&gt;"moeda")*(Inputs!$G$5:$G$140&lt;&gt;"acoes")))*INDEX(Inputs!$K$5:$AJ$140,0,MATCH(AA$2,Inputs!$K$4:$AJ$4,0)))+SUMPRODUCT((Inputs!$E$5:$E$140=$B35)*Inputs!$F$5:$F$140*(((Inputs!$G$5:$G$140="moeda")+(Inputs!$G$5:$G$140="acoes"))*Inputs!$B$1+((Inputs!$G$5:$G$140&lt;&gt;"moeda")*(Inputs!$G$5:$G$140&lt;&gt;"acoes")))*INDEX(Inputs!$K$5:$AJ$140,0,MATCH(AA$2,Inputs!$K$4:$AJ$4,0)))))</f>
        <v>7469</v>
      </c>
      <c r="AB35" s="3">
        <f>AA35</f>
        <v>7469</v>
      </c>
      <c r="AC35" s="6">
        <f>IF(ISNA(MATCH(AC$2,Inputs!$K$4:$AJ$4,0)),NA(),IF(SUMPRODUCT((Inputs!$A$5:$A$140=$B35)*ISNUMBER(INDEX(Inputs!$K$5:$AJ$140,0,MATCH(AC$2,Inputs!$K$4:$AJ$4,0))))+SUMPRODUCT((Inputs!$C$5:$C$140=$B35)*ISNUMBER(INDEX(Inputs!$K$5:$AJ$140,0,MATCH(AC$2,Inputs!$K$4:$AJ$4,0))))+SUMPRODUCT((Inputs!$E$5:$E$140=$B35)*ISNUMBER(INDEX(Inputs!$K$5:$AJ$140,0,MATCH(AC$2,Inputs!$K$4:$AJ$4,0))))=0,NA(),SUMPRODUCT((Inputs!$A$5:$A$140=$B35)*Inputs!$B$5:$B$140*(((Inputs!$G$5:$G$140="moeda")+(Inputs!$G$5:$G$140="acoes"))*Inputs!$B$1+((Inputs!$G$5:$G$140&lt;&gt;"moeda")*(Inputs!$G$5:$G$140&lt;&gt;"acoes")))*INDEX(Inputs!$K$5:$AJ$140,0,MATCH(AC$2,Inputs!$K$4:$AJ$4,0)))+SUMPRODUCT((Inputs!$C$5:$C$140=$B35)*Inputs!$D$5:$D$140*(((Inputs!$G$5:$G$140="moeda")+(Inputs!$G$5:$G$140="acoes"))*Inputs!$B$1+((Inputs!$G$5:$G$140&lt;&gt;"moeda")*(Inputs!$G$5:$G$140&lt;&gt;"acoes")))*INDEX(Inputs!$K$5:$AJ$140,0,MATCH(AC$2,Inputs!$K$4:$AJ$4,0)))+SUMPRODUCT((Inputs!$E$5:$E$140=$B35)*Inputs!$F$5:$F$140*(((Inputs!$G$5:$G$140="moeda")+(Inputs!$G$5:$G$140="acoes"))*Inputs!$B$1+((Inputs!$G$5:$G$140&lt;&gt;"moeda")*(Inputs!$G$5:$G$140&lt;&gt;"acoes")))*INDEX(Inputs!$K$5:$AJ$140,0,MATCH(AC$2,Inputs!$K$4:$AJ$4,0)))))</f>
        <v>7470</v>
      </c>
      <c r="AD35" s="6">
        <f>IF(ISNA(MATCH(AD$2,Inputs!$K$4:$AJ$4,0)),NA(),IF(SUMPRODUCT((Inputs!$A$5:$A$140=$B35)*ISNUMBER(INDEX(Inputs!$K$5:$AJ$140,0,MATCH(AD$2,Inputs!$K$4:$AJ$4,0))))+SUMPRODUCT((Inputs!$C$5:$C$140=$B35)*ISNUMBER(INDEX(Inputs!$K$5:$AJ$140,0,MATCH(AD$2,Inputs!$K$4:$AJ$4,0))))+SUMPRODUCT((Inputs!$E$5:$E$140=$B35)*ISNUMBER(INDEX(Inputs!$K$5:$AJ$140,0,MATCH(AD$2,Inputs!$K$4:$AJ$4,0))))=0,NA(),SUMPRODUCT((Inputs!$A$5:$A$140=$B35)*Inputs!$B$5:$B$140*(((Inputs!$G$5:$G$140="moeda")+(Inputs!$G$5:$G$140="acoes"))*Inputs!$B$1+((Inputs!$G$5:$G$140&lt;&gt;"moeda")*(Inputs!$G$5:$G$140&lt;&gt;"acoes")))*INDEX(Inputs!$K$5:$AJ$140,0,MATCH(AD$2,Inputs!$K$4:$AJ$4,0)))+SUMPRODUCT((Inputs!$C$5:$C$140=$B35)*Inputs!$D$5:$D$140*(((Inputs!$G$5:$G$140="moeda")+(Inputs!$G$5:$G$140="acoes"))*Inputs!$B$1+((Inputs!$G$5:$G$140&lt;&gt;"moeda")*(Inputs!$G$5:$G$140&lt;&gt;"acoes")))*INDEX(Inputs!$K$5:$AJ$140,0,MATCH(AD$2,Inputs!$K$4:$AJ$4,0)))+SUMPRODUCT((Inputs!$E$5:$E$140=$B35)*Inputs!$F$5:$F$140*(((Inputs!$G$5:$G$140="moeda")+(Inputs!$G$5:$G$140="acoes"))*Inputs!$B$1+((Inputs!$G$5:$G$140&lt;&gt;"moeda")*(Inputs!$G$5:$G$140&lt;&gt;"acoes")))*INDEX(Inputs!$K$5:$AJ$140,0,MATCH(AD$2,Inputs!$K$4:$AJ$4,0)))))</f>
        <v>32366</v>
      </c>
      <c r="AE35" s="6" t="e">
        <f>IF(ISNA(MATCH(AE$2,Inputs!$K$4:$AJ$4,0)),NA(),IF(SUMPRODUCT((Inputs!$A$5:$A$140=$B35)*ISNUMBER(INDEX(Inputs!$K$5:$AJ$140,0,MATCH(AE$2,Inputs!$K$4:$AJ$4,0))))+SUMPRODUCT((Inputs!$C$5:$C$140=$B35)*ISNUMBER(INDEX(Inputs!$K$5:$AJ$140,0,MATCH(AE$2,Inputs!$K$4:$AJ$4,0))))+SUMPRODUCT((Inputs!$E$5:$E$140=$B35)*ISNUMBER(INDEX(Inputs!$K$5:$AJ$140,0,MATCH(AE$2,Inputs!$K$4:$AJ$4,0))))=0,NA(),SUMPRODUCT((Inputs!$A$5:$A$140=$B35)*Inputs!$B$5:$B$140*(((Inputs!$G$5:$G$140="moeda")+(Inputs!$G$5:$G$140="acoes"))*Inputs!$B$1+((Inputs!$G$5:$G$140&lt;&gt;"moeda")*(Inputs!$G$5:$G$140&lt;&gt;"acoes")))*INDEX(Inputs!$K$5:$AJ$140,0,MATCH(AE$2,Inputs!$K$4:$AJ$4,0)))+SUMPRODUCT((Inputs!$C$5:$C$140=$B35)*Inputs!$D$5:$D$140*(((Inputs!$G$5:$G$140="moeda")+(Inputs!$G$5:$G$140="acoes"))*Inputs!$B$1+((Inputs!$G$5:$G$140&lt;&gt;"moeda")*(Inputs!$G$5:$G$140&lt;&gt;"acoes")))*INDEX(Inputs!$K$5:$AJ$140,0,MATCH(AE$2,Inputs!$K$4:$AJ$4,0)))+SUMPRODUCT((Inputs!$E$5:$E$140=$B35)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35" s="6" t="e">
        <f>IF(ISNA(MATCH(AF$2,Inputs!$K$4:$AJ$4,0)),NA(),IF(SUMPRODUCT((Inputs!$A$5:$A$140=$B35)*ISNUMBER(INDEX(Inputs!$K$5:$AJ$140,0,MATCH(AF$2,Inputs!$K$4:$AJ$4,0))))+SUMPRODUCT((Inputs!$C$5:$C$140=$B35)*ISNUMBER(INDEX(Inputs!$K$5:$AJ$140,0,MATCH(AF$2,Inputs!$K$4:$AJ$4,0))))+SUMPRODUCT((Inputs!$E$5:$E$140=$B35)*ISNUMBER(INDEX(Inputs!$K$5:$AJ$140,0,MATCH(AF$2,Inputs!$K$4:$AJ$4,0))))=0,NA(),SUMPRODUCT((Inputs!$A$5:$A$140=$B35)*Inputs!$B$5:$B$140*(((Inputs!$G$5:$G$140="moeda")+(Inputs!$G$5:$G$140="acoes"))*Inputs!$B$1+((Inputs!$G$5:$G$140&lt;&gt;"moeda")*(Inputs!$G$5:$G$140&lt;&gt;"acoes")))*INDEX(Inputs!$K$5:$AJ$140,0,MATCH(AF$2,Inputs!$K$4:$AJ$4,0)))+SUMPRODUCT((Inputs!$C$5:$C$140=$B35)*Inputs!$D$5:$D$140*(((Inputs!$G$5:$G$140="moeda")+(Inputs!$G$5:$G$140="acoes"))*Inputs!$B$1+((Inputs!$G$5:$G$140&lt;&gt;"moeda")*(Inputs!$G$5:$G$140&lt;&gt;"acoes")))*INDEX(Inputs!$K$5:$AJ$140,0,MATCH(AF$2,Inputs!$K$4:$AJ$4,0)))+SUMPRODUCT((Inputs!$E$5:$E$140=$B35)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35" s="3" t="e">
        <f>AF35</f>
        <v>#N/A</v>
      </c>
      <c r="AH35" s="6">
        <f>IF(ISNA(MATCH(AH$2,Inputs!$K$4:$AJ$4,0)),NA(),IF(SUMPRODUCT((Inputs!$A$5:$A$140=$B35)*ISNUMBER(INDEX(Inputs!$K$5:$AJ$140,0,MATCH(AH$2,Inputs!$K$4:$AJ$4,0))))+SUMPRODUCT((Inputs!$C$5:$C$140=$B35)*ISNUMBER(INDEX(Inputs!$K$5:$AJ$140,0,MATCH(AH$2,Inputs!$K$4:$AJ$4,0))))+SUMPRODUCT((Inputs!$E$5:$E$140=$B35)*ISNUMBER(INDEX(Inputs!$K$5:$AJ$140,0,MATCH(AH$2,Inputs!$K$4:$AJ$4,0))))=0,NA(),SUMPRODUCT((Inputs!$A$5:$A$140=$B35)*Inputs!$B$5:$B$140*(((Inputs!$G$5:$G$140="moeda")+(Inputs!$G$5:$G$140="acoes"))*Inputs!$B$1+((Inputs!$G$5:$G$140&lt;&gt;"moeda")*(Inputs!$G$5:$G$140&lt;&gt;"acoes")))*INDEX(Inputs!$K$5:$AJ$140,0,MATCH(AH$2,Inputs!$K$4:$AJ$4,0)))+SUMPRODUCT((Inputs!$C$5:$C$140=$B35)*Inputs!$D$5:$D$140*(((Inputs!$G$5:$G$140="moeda")+(Inputs!$G$5:$G$140="acoes"))*Inputs!$B$1+((Inputs!$G$5:$G$140&lt;&gt;"moeda")*(Inputs!$G$5:$G$140&lt;&gt;"acoes")))*INDEX(Inputs!$K$5:$AJ$140,0,MATCH(AH$2,Inputs!$K$4:$AJ$4,0)))+SUMPRODUCT((Inputs!$E$5:$E$140=$B35)*Inputs!$F$5:$F$140*(((Inputs!$G$5:$G$140="moeda")+(Inputs!$G$5:$G$140="acoes"))*Inputs!$B$1+((Inputs!$G$5:$G$140&lt;&gt;"moeda")*(Inputs!$G$5:$G$140&lt;&gt;"acoes")))*INDEX(Inputs!$K$5:$AJ$140,0,MATCH(AH$2,Inputs!$K$4:$AJ$4,0)))))</f>
        <v>6959</v>
      </c>
      <c r="AI35" s="6">
        <f>IF(ISNA(MATCH(AI$2,Inputs!$K$4:$AJ$4,0)),NA(),IF(SUMPRODUCT((Inputs!$A$5:$A$140=$B35)*ISNUMBER(INDEX(Inputs!$K$5:$AJ$140,0,MATCH(AI$2,Inputs!$K$4:$AJ$4,0))))+SUMPRODUCT((Inputs!$C$5:$C$140=$B35)*ISNUMBER(INDEX(Inputs!$K$5:$AJ$140,0,MATCH(AI$2,Inputs!$K$4:$AJ$4,0))))+SUMPRODUCT((Inputs!$E$5:$E$140=$B35)*ISNUMBER(INDEX(Inputs!$K$5:$AJ$140,0,MATCH(AI$2,Inputs!$K$4:$AJ$4,0))))=0,NA(),SUMPRODUCT((Inputs!$A$5:$A$140=$B35)*Inputs!$B$5:$B$140*(((Inputs!$G$5:$G$140="moeda")+(Inputs!$G$5:$G$140="acoes"))*Inputs!$B$1+((Inputs!$G$5:$G$140&lt;&gt;"moeda")*(Inputs!$G$5:$G$140&lt;&gt;"acoes")))*INDEX(Inputs!$K$5:$AJ$140,0,MATCH(AI$2,Inputs!$K$4:$AJ$4,0)))+SUMPRODUCT((Inputs!$C$5:$C$140=$B35)*Inputs!$D$5:$D$140*(((Inputs!$G$5:$G$140="moeda")+(Inputs!$G$5:$G$140="acoes"))*Inputs!$B$1+((Inputs!$G$5:$G$140&lt;&gt;"moeda")*(Inputs!$G$5:$G$140&lt;&gt;"acoes")))*INDEX(Inputs!$K$5:$AJ$140,0,MATCH(AI$2,Inputs!$K$4:$AJ$4,0)))+SUMPRODUCT((Inputs!$E$5:$E$140=$B35)*Inputs!$F$5:$F$140*(((Inputs!$G$5:$G$140="moeda")+(Inputs!$G$5:$G$140="acoes"))*Inputs!$B$1+((Inputs!$G$5:$G$140&lt;&gt;"moeda")*(Inputs!$G$5:$G$140&lt;&gt;"acoes")))*INDEX(Inputs!$K$5:$AJ$140,0,MATCH(AI$2,Inputs!$K$4:$AJ$4,0)))))</f>
        <v>6960</v>
      </c>
      <c r="AJ35" s="6">
        <f>IF(ISNA(MATCH(AJ$2,Inputs!$K$4:$AJ$4,0)),NA(),IF(SUMPRODUCT((Inputs!$A$5:$A$140=$B35)*ISNUMBER(INDEX(Inputs!$K$5:$AJ$140,0,MATCH(AJ$2,Inputs!$K$4:$AJ$4,0))))+SUMPRODUCT((Inputs!$C$5:$C$140=$B35)*ISNUMBER(INDEX(Inputs!$K$5:$AJ$140,0,MATCH(AJ$2,Inputs!$K$4:$AJ$4,0))))+SUMPRODUCT((Inputs!$E$5:$E$140=$B35)*ISNUMBER(INDEX(Inputs!$K$5:$AJ$140,0,MATCH(AJ$2,Inputs!$K$4:$AJ$4,0))))=0,NA(),SUMPRODUCT((Inputs!$A$5:$A$140=$B35)*Inputs!$B$5:$B$140*(((Inputs!$G$5:$G$140="moeda")+(Inputs!$G$5:$G$140="acoes"))*Inputs!$B$1+((Inputs!$G$5:$G$140&lt;&gt;"moeda")*(Inputs!$G$5:$G$140&lt;&gt;"acoes")))*INDEX(Inputs!$K$5:$AJ$140,0,MATCH(AJ$2,Inputs!$K$4:$AJ$4,0)))+SUMPRODUCT((Inputs!$C$5:$C$140=$B35)*Inputs!$D$5:$D$140*(((Inputs!$G$5:$G$140="moeda")+(Inputs!$G$5:$G$140="acoes"))*Inputs!$B$1+((Inputs!$G$5:$G$140&lt;&gt;"moeda")*(Inputs!$G$5:$G$140&lt;&gt;"acoes")))*INDEX(Inputs!$K$5:$AJ$140,0,MATCH(AJ$2,Inputs!$K$4:$AJ$4,0)))+SUMPRODUCT((Inputs!$E$5:$E$140=$B35)*Inputs!$F$5:$F$140*(((Inputs!$G$5:$G$140="moeda")+(Inputs!$G$5:$G$140="acoes"))*Inputs!$B$1+((Inputs!$G$5:$G$140&lt;&gt;"moeda")*(Inputs!$G$5:$G$140&lt;&gt;"acoes")))*INDEX(Inputs!$K$5:$AJ$140,0,MATCH(AJ$2,Inputs!$K$4:$AJ$4,0)))))</f>
        <v>5963</v>
      </c>
      <c r="AK35" s="6">
        <f>IF(ISNA(MATCH(AK$2,Inputs!$K$4:$AJ$4,0)),NA(),IF(SUMPRODUCT((Inputs!$A$5:$A$140=$B35)*ISNUMBER(INDEX(Inputs!$K$5:$AJ$140,0,MATCH(AK$2,Inputs!$K$4:$AJ$4,0))))+SUMPRODUCT((Inputs!$C$5:$C$140=$B35)*ISNUMBER(INDEX(Inputs!$K$5:$AJ$140,0,MATCH(AK$2,Inputs!$K$4:$AJ$4,0))))+SUMPRODUCT((Inputs!$E$5:$E$140=$B35)*ISNUMBER(INDEX(Inputs!$K$5:$AJ$140,0,MATCH(AK$2,Inputs!$K$4:$AJ$4,0))))=0,NA(),SUMPRODUCT((Inputs!$A$5:$A$140=$B35)*Inputs!$B$5:$B$140*(((Inputs!$G$5:$G$140="moeda")+(Inputs!$G$5:$G$140="acoes"))*Inputs!$B$1+((Inputs!$G$5:$G$140&lt;&gt;"moeda")*(Inputs!$G$5:$G$140&lt;&gt;"acoes")))*INDEX(Inputs!$K$5:$AJ$140,0,MATCH(AK$2,Inputs!$K$4:$AJ$4,0)))+SUMPRODUCT((Inputs!$C$5:$C$140=$B35)*Inputs!$D$5:$D$140*(((Inputs!$G$5:$G$140="moeda")+(Inputs!$G$5:$G$140="acoes"))*Inputs!$B$1+((Inputs!$G$5:$G$140&lt;&gt;"moeda")*(Inputs!$G$5:$G$140&lt;&gt;"acoes")))*INDEX(Inputs!$K$5:$AJ$140,0,MATCH(AK$2,Inputs!$K$4:$AJ$4,0)))+SUMPRODUCT((Inputs!$E$5:$E$140=$B35)*Inputs!$F$5:$F$140*(((Inputs!$G$5:$G$140="moeda")+(Inputs!$G$5:$G$140="acoes"))*Inputs!$B$1+((Inputs!$G$5:$G$140&lt;&gt;"moeda")*(Inputs!$G$5:$G$140&lt;&gt;"acoes")))*INDEX(Inputs!$K$5:$AJ$140,0,MATCH(AK$2,Inputs!$K$4:$AJ$4,0)))))</f>
        <v>5964</v>
      </c>
      <c r="AL35" s="3">
        <f>AK35</f>
        <v>5964</v>
      </c>
    </row>
    <row r="36">
      <c r="B36" s="46" t="n">
        <v>31</v>
      </c>
      <c r="C36" s="26" t="inlineStr">
        <is>
          <t>Long term operating leases</t>
        </is>
      </c>
      <c r="D36" s="6">
        <f>IF(ISNA(MATCH(D$2,Inputs!$K$4:$AJ$4,0)),NA(),IF(SUMPRODUCT((Inputs!$A$5:$A$140=$B36)*ISNUMBER(INDEX(Inputs!$K$5:$AJ$140,0,MATCH(D$2,Inputs!$K$4:$AJ$4,0))))+SUMPRODUCT((Inputs!$C$5:$C$140=$B36)*ISNUMBER(INDEX(Inputs!$K$5:$AJ$140,0,MATCH(D$2,Inputs!$K$4:$AJ$4,0))))+SUMPRODUCT((Inputs!$E$5:$E$140=$B36)*ISNUMBER(INDEX(Inputs!$K$5:$AJ$140,0,MATCH(D$2,Inputs!$K$4:$AJ$4,0))))=0,NA(),SUMPRODUCT((Inputs!$A$5:$A$140=$B36)*Inputs!$B$5:$B$140*(((Inputs!$G$5:$G$140="moeda")+(Inputs!$G$5:$G$140="acoes"))*Inputs!$B$1+((Inputs!$G$5:$G$140&lt;&gt;"moeda")*(Inputs!$G$5:$G$140&lt;&gt;"acoes")))*INDEX(Inputs!$K$5:$AJ$140,0,MATCH(D$2,Inputs!$K$4:$AJ$4,0)))+SUMPRODUCT((Inputs!$C$5:$C$140=$B36)*Inputs!$D$5:$D$140*(((Inputs!$G$5:$G$140="moeda")+(Inputs!$G$5:$G$140="acoes"))*Inputs!$B$1+((Inputs!$G$5:$G$140&lt;&gt;"moeda")*(Inputs!$G$5:$G$140&lt;&gt;"acoes")))*INDEX(Inputs!$K$5:$AJ$140,0,MATCH(D$2,Inputs!$K$4:$AJ$4,0)))+SUMPRODUCT((Inputs!$E$5:$E$140=$B36)*Inputs!$F$5:$F$140*(((Inputs!$G$5:$G$140="moeda")+(Inputs!$G$5:$G$140="acoes"))*Inputs!$B$1+((Inputs!$G$5:$G$140&lt;&gt;"moeda")*(Inputs!$G$5:$G$140&lt;&gt;"acoes")))*INDEX(Inputs!$K$5:$AJ$140,0,MATCH(D$2,Inputs!$K$4:$AJ$4,0)))))</f>
        <v>640</v>
      </c>
      <c r="E36" s="6">
        <f>IF(ISNA(MATCH(E$2,Inputs!$K$4:$AJ$4,0)),NA(),IF(SUMPRODUCT((Inputs!$A$5:$A$140=$B36)*ISNUMBER(INDEX(Inputs!$K$5:$AJ$140,0,MATCH(E$2,Inputs!$K$4:$AJ$4,0))))+SUMPRODUCT((Inputs!$C$5:$C$140=$B36)*ISNUMBER(INDEX(Inputs!$K$5:$AJ$140,0,MATCH(E$2,Inputs!$K$4:$AJ$4,0))))+SUMPRODUCT((Inputs!$E$5:$E$140=$B36)*ISNUMBER(INDEX(Inputs!$K$5:$AJ$140,0,MATCH(E$2,Inputs!$K$4:$AJ$4,0))))=0,NA(),SUMPRODUCT((Inputs!$A$5:$A$140=$B36)*Inputs!$B$5:$B$140*(((Inputs!$G$5:$G$140="moeda")+(Inputs!$G$5:$G$140="acoes"))*Inputs!$B$1+((Inputs!$G$5:$G$140&lt;&gt;"moeda")*(Inputs!$G$5:$G$140&lt;&gt;"acoes")))*INDEX(Inputs!$K$5:$AJ$140,0,MATCH(E$2,Inputs!$K$4:$AJ$4,0)))+SUMPRODUCT((Inputs!$C$5:$C$140=$B36)*Inputs!$D$5:$D$140*(((Inputs!$G$5:$G$140="moeda")+(Inputs!$G$5:$G$140="acoes"))*Inputs!$B$1+((Inputs!$G$5:$G$140&lt;&gt;"moeda")*(Inputs!$G$5:$G$140&lt;&gt;"acoes")))*INDEX(Inputs!$K$5:$AJ$140,0,MATCH(E$2,Inputs!$K$4:$AJ$4,0)))+SUMPRODUCT((Inputs!$E$5:$E$140=$B36)*Inputs!$F$5:$F$140*(((Inputs!$G$5:$G$140="moeda")+(Inputs!$G$5:$G$140="acoes"))*Inputs!$B$1+((Inputs!$G$5:$G$140&lt;&gt;"moeda")*(Inputs!$G$5:$G$140&lt;&gt;"acoes")))*INDEX(Inputs!$K$5:$AJ$140,0,MATCH(E$2,Inputs!$K$4:$AJ$4,0)))))</f>
        <v>716</v>
      </c>
      <c r="F36" s="6">
        <f>IF(ISNA(MATCH(F$2,Inputs!$K$4:$AJ$4,0)),NA(),IF(SUMPRODUCT((Inputs!$A$5:$A$140=$B36)*ISNUMBER(INDEX(Inputs!$K$5:$AJ$140,0,MATCH(F$2,Inputs!$K$4:$AJ$4,0))))+SUMPRODUCT((Inputs!$C$5:$C$140=$B36)*ISNUMBER(INDEX(Inputs!$K$5:$AJ$140,0,MATCH(F$2,Inputs!$K$4:$AJ$4,0))))+SUMPRODUCT((Inputs!$E$5:$E$140=$B36)*ISNUMBER(INDEX(Inputs!$K$5:$AJ$140,0,MATCH(F$2,Inputs!$K$4:$AJ$4,0))))=0,NA(),SUMPRODUCT((Inputs!$A$5:$A$140=$B36)*Inputs!$B$5:$B$140*(((Inputs!$G$5:$G$140="moeda")+(Inputs!$G$5:$G$140="acoes"))*Inputs!$B$1+((Inputs!$G$5:$G$140&lt;&gt;"moeda")*(Inputs!$G$5:$G$140&lt;&gt;"acoes")))*INDEX(Inputs!$K$5:$AJ$140,0,MATCH(F$2,Inputs!$K$4:$AJ$4,0)))+SUMPRODUCT((Inputs!$C$5:$C$140=$B36)*Inputs!$D$5:$D$140*(((Inputs!$G$5:$G$140="moeda")+(Inputs!$G$5:$G$140="acoes"))*Inputs!$B$1+((Inputs!$G$5:$G$140&lt;&gt;"moeda")*(Inputs!$G$5:$G$140&lt;&gt;"acoes")))*INDEX(Inputs!$K$5:$AJ$140,0,MATCH(F$2,Inputs!$K$4:$AJ$4,0)))+SUMPRODUCT((Inputs!$E$5:$E$140=$B36)*Inputs!$F$5:$F$140*(((Inputs!$G$5:$G$140="moeda")+(Inputs!$G$5:$G$140="acoes"))*Inputs!$B$1+((Inputs!$G$5:$G$140&lt;&gt;"moeda")*(Inputs!$G$5:$G$140&lt;&gt;"acoes")))*INDEX(Inputs!$K$5:$AJ$140,0,MATCH(F$2,Inputs!$K$4:$AJ$4,0)))))</f>
        <v>743</v>
      </c>
      <c r="G36" s="6">
        <f>IF(ISNA(MATCH(G$2,Inputs!$K$4:$AJ$4,0)),NA(),IF(SUMPRODUCT((Inputs!$A$5:$A$140=$B36)*ISNUMBER(INDEX(Inputs!$K$5:$AJ$140,0,MATCH(G$2,Inputs!$K$4:$AJ$4,0))))+SUMPRODUCT((Inputs!$C$5:$C$140=$B36)*ISNUMBER(INDEX(Inputs!$K$5:$AJ$140,0,MATCH(G$2,Inputs!$K$4:$AJ$4,0))))+SUMPRODUCT((Inputs!$E$5:$E$140=$B36)*ISNUMBER(INDEX(Inputs!$K$5:$AJ$140,0,MATCH(G$2,Inputs!$K$4:$AJ$4,0))))=0,NA(),SUMPRODUCT((Inputs!$A$5:$A$140=$B36)*Inputs!$B$5:$B$140*(((Inputs!$G$5:$G$140="moeda")+(Inputs!$G$5:$G$140="acoes"))*Inputs!$B$1+((Inputs!$G$5:$G$140&lt;&gt;"moeda")*(Inputs!$G$5:$G$140&lt;&gt;"acoes")))*INDEX(Inputs!$K$5:$AJ$140,0,MATCH(G$2,Inputs!$K$4:$AJ$4,0)))+SUMPRODUCT((Inputs!$C$5:$C$140=$B36)*Inputs!$D$5:$D$140*(((Inputs!$G$5:$G$140="moeda")+(Inputs!$G$5:$G$140="acoes"))*Inputs!$B$1+((Inputs!$G$5:$G$140&lt;&gt;"moeda")*(Inputs!$G$5:$G$140&lt;&gt;"acoes")))*INDEX(Inputs!$K$5:$AJ$140,0,MATCH(G$2,Inputs!$K$4:$AJ$4,0)))+SUMPRODUCT((Inputs!$E$5:$E$140=$B36)*Inputs!$F$5:$F$140*(((Inputs!$G$5:$G$140="moeda")+(Inputs!$G$5:$G$140="acoes"))*Inputs!$B$1+((Inputs!$G$5:$G$140&lt;&gt;"moeda")*(Inputs!$G$5:$G$140&lt;&gt;"acoes")))*INDEX(Inputs!$K$5:$AJ$140,0,MATCH(G$2,Inputs!$K$4:$AJ$4,0)))))</f>
        <v>741</v>
      </c>
      <c r="H36" s="3">
        <f>G36</f>
        <v>741</v>
      </c>
      <c r="I36" s="6">
        <f>IF(ISNA(MATCH(I$2,Inputs!$K$4:$AJ$4,0)),NA(),IF(SUMPRODUCT((Inputs!$A$5:$A$140=$B36)*ISNUMBER(INDEX(Inputs!$K$5:$AJ$140,0,MATCH(I$2,Inputs!$K$4:$AJ$4,0))))+SUMPRODUCT((Inputs!$C$5:$C$140=$B36)*ISNUMBER(INDEX(Inputs!$K$5:$AJ$140,0,MATCH(I$2,Inputs!$K$4:$AJ$4,0))))+SUMPRODUCT((Inputs!$E$5:$E$140=$B36)*ISNUMBER(INDEX(Inputs!$K$5:$AJ$140,0,MATCH(I$2,Inputs!$K$4:$AJ$4,0))))=0,NA(),SUMPRODUCT((Inputs!$A$5:$A$140=$B36)*Inputs!$B$5:$B$140*(((Inputs!$G$5:$G$140="moeda")+(Inputs!$G$5:$G$140="acoes"))*Inputs!$B$1+((Inputs!$G$5:$G$140&lt;&gt;"moeda")*(Inputs!$G$5:$G$140&lt;&gt;"acoes")))*INDEX(Inputs!$K$5:$AJ$140,0,MATCH(I$2,Inputs!$K$4:$AJ$4,0)))+SUMPRODUCT((Inputs!$C$5:$C$140=$B36)*Inputs!$D$5:$D$140*(((Inputs!$G$5:$G$140="moeda")+(Inputs!$G$5:$G$140="acoes"))*Inputs!$B$1+((Inputs!$G$5:$G$140&lt;&gt;"moeda")*(Inputs!$G$5:$G$140&lt;&gt;"acoes")))*INDEX(Inputs!$K$5:$AJ$140,0,MATCH(I$2,Inputs!$K$4:$AJ$4,0)))+SUMPRODUCT((Inputs!$E$5:$E$140=$B36)*Inputs!$F$5:$F$140*(((Inputs!$G$5:$G$140="moeda")+(Inputs!$G$5:$G$140="acoes"))*Inputs!$B$1+((Inputs!$G$5:$G$140&lt;&gt;"moeda")*(Inputs!$G$5:$G$140&lt;&gt;"acoes")))*INDEX(Inputs!$K$5:$AJ$140,0,MATCH(I$2,Inputs!$K$4:$AJ$4,0)))))</f>
        <v>752</v>
      </c>
      <c r="J36" s="6">
        <f>IF(ISNA(MATCH(J$2,Inputs!$K$4:$AJ$4,0)),NA(),IF(SUMPRODUCT((Inputs!$A$5:$A$140=$B36)*ISNUMBER(INDEX(Inputs!$K$5:$AJ$140,0,MATCH(J$2,Inputs!$K$4:$AJ$4,0))))+SUMPRODUCT((Inputs!$C$5:$C$140=$B36)*ISNUMBER(INDEX(Inputs!$K$5:$AJ$140,0,MATCH(J$2,Inputs!$K$4:$AJ$4,0))))+SUMPRODUCT((Inputs!$E$5:$E$140=$B36)*ISNUMBER(INDEX(Inputs!$K$5:$AJ$140,0,MATCH(J$2,Inputs!$K$4:$AJ$4,0))))=0,NA(),SUMPRODUCT((Inputs!$A$5:$A$140=$B36)*Inputs!$B$5:$B$140*(((Inputs!$G$5:$G$140="moeda")+(Inputs!$G$5:$G$140="acoes"))*Inputs!$B$1+((Inputs!$G$5:$G$140&lt;&gt;"moeda")*(Inputs!$G$5:$G$140&lt;&gt;"acoes")))*INDEX(Inputs!$K$5:$AJ$140,0,MATCH(J$2,Inputs!$K$4:$AJ$4,0)))+SUMPRODUCT((Inputs!$C$5:$C$140=$B36)*Inputs!$D$5:$D$140*(((Inputs!$G$5:$G$140="moeda")+(Inputs!$G$5:$G$140="acoes"))*Inputs!$B$1+((Inputs!$G$5:$G$140&lt;&gt;"moeda")*(Inputs!$G$5:$G$140&lt;&gt;"acoes")))*INDEX(Inputs!$K$5:$AJ$140,0,MATCH(J$2,Inputs!$K$4:$AJ$4,0)))+SUMPRODUCT((Inputs!$E$5:$E$140=$B36)*Inputs!$F$5:$F$140*(((Inputs!$G$5:$G$140="moeda")+(Inputs!$G$5:$G$140="acoes"))*Inputs!$B$1+((Inputs!$G$5:$G$140&lt;&gt;"moeda")*(Inputs!$G$5:$G$140&lt;&gt;"acoes")))*INDEX(Inputs!$K$5:$AJ$140,0,MATCH(J$2,Inputs!$K$4:$AJ$4,0)))))</f>
        <v>743</v>
      </c>
      <c r="K36" s="6">
        <f>IF(ISNA(MATCH(K$2,Inputs!$K$4:$AJ$4,0)),NA(),IF(SUMPRODUCT((Inputs!$A$5:$A$140=$B36)*ISNUMBER(INDEX(Inputs!$K$5:$AJ$140,0,MATCH(K$2,Inputs!$K$4:$AJ$4,0))))+SUMPRODUCT((Inputs!$C$5:$C$140=$B36)*ISNUMBER(INDEX(Inputs!$K$5:$AJ$140,0,MATCH(K$2,Inputs!$K$4:$AJ$4,0))))+SUMPRODUCT((Inputs!$E$5:$E$140=$B36)*ISNUMBER(INDEX(Inputs!$K$5:$AJ$140,0,MATCH(K$2,Inputs!$K$4:$AJ$4,0))))=0,NA(),SUMPRODUCT((Inputs!$A$5:$A$140=$B36)*Inputs!$B$5:$B$140*(((Inputs!$G$5:$G$140="moeda")+(Inputs!$G$5:$G$140="acoes"))*Inputs!$B$1+((Inputs!$G$5:$G$140&lt;&gt;"moeda")*(Inputs!$G$5:$G$140&lt;&gt;"acoes")))*INDEX(Inputs!$K$5:$AJ$140,0,MATCH(K$2,Inputs!$K$4:$AJ$4,0)))+SUMPRODUCT((Inputs!$C$5:$C$140=$B36)*Inputs!$D$5:$D$140*(((Inputs!$G$5:$G$140="moeda")+(Inputs!$G$5:$G$140="acoes"))*Inputs!$B$1+((Inputs!$G$5:$G$140&lt;&gt;"moeda")*(Inputs!$G$5:$G$140&lt;&gt;"acoes")))*INDEX(Inputs!$K$5:$AJ$140,0,MATCH(K$2,Inputs!$K$4:$AJ$4,0)))+SUMPRODUCT((Inputs!$E$5:$E$140=$B36)*Inputs!$F$5:$F$140*(((Inputs!$G$5:$G$140="moeda")+(Inputs!$G$5:$G$140="acoes"))*Inputs!$B$1+((Inputs!$G$5:$G$140&lt;&gt;"moeda")*(Inputs!$G$5:$G$140&lt;&gt;"acoes")))*INDEX(Inputs!$K$5:$AJ$140,0,MATCH(K$2,Inputs!$K$4:$AJ$4,0)))))</f>
        <v>798</v>
      </c>
      <c r="L36" s="6">
        <f>IF(ISNA(MATCH(L$2,Inputs!$K$4:$AJ$4,0)),NA(),IF(SUMPRODUCT((Inputs!$A$5:$A$140=$B36)*ISNUMBER(INDEX(Inputs!$K$5:$AJ$140,0,MATCH(L$2,Inputs!$K$4:$AJ$4,0))))+SUMPRODUCT((Inputs!$C$5:$C$140=$B36)*ISNUMBER(INDEX(Inputs!$K$5:$AJ$140,0,MATCH(L$2,Inputs!$K$4:$AJ$4,0))))+SUMPRODUCT((Inputs!$E$5:$E$140=$B36)*ISNUMBER(INDEX(Inputs!$K$5:$AJ$140,0,MATCH(L$2,Inputs!$K$4:$AJ$4,0))))=0,NA(),SUMPRODUCT((Inputs!$A$5:$A$140=$B36)*Inputs!$B$5:$B$140*(((Inputs!$G$5:$G$140="moeda")+(Inputs!$G$5:$G$140="acoes"))*Inputs!$B$1+((Inputs!$G$5:$G$140&lt;&gt;"moeda")*(Inputs!$G$5:$G$140&lt;&gt;"acoes")))*INDEX(Inputs!$K$5:$AJ$140,0,MATCH(L$2,Inputs!$K$4:$AJ$4,0)))+SUMPRODUCT((Inputs!$C$5:$C$140=$B36)*Inputs!$D$5:$D$140*(((Inputs!$G$5:$G$140="moeda")+(Inputs!$G$5:$G$140="acoes"))*Inputs!$B$1+((Inputs!$G$5:$G$140&lt;&gt;"moeda")*(Inputs!$G$5:$G$140&lt;&gt;"acoes")))*INDEX(Inputs!$K$5:$AJ$140,0,MATCH(L$2,Inputs!$K$4:$AJ$4,0)))+SUMPRODUCT((Inputs!$E$5:$E$140=$B36)*Inputs!$F$5:$F$140*(((Inputs!$G$5:$G$140="moeda")+(Inputs!$G$5:$G$140="acoes"))*Inputs!$B$1+((Inputs!$G$5:$G$140&lt;&gt;"moeda")*(Inputs!$G$5:$G$140&lt;&gt;"acoes")))*INDEX(Inputs!$K$5:$AJ$140,0,MATCH(L$2,Inputs!$K$4:$AJ$4,0)))))</f>
        <v>902</v>
      </c>
      <c r="M36" s="3">
        <f>L36</f>
        <v>902</v>
      </c>
      <c r="N36" s="6">
        <f>IF(ISNA(MATCH(N$2,Inputs!$K$4:$AJ$4,0)),NA(),IF(SUMPRODUCT((Inputs!$A$5:$A$140=$B36)*ISNUMBER(INDEX(Inputs!$K$5:$AJ$140,0,MATCH(N$2,Inputs!$K$4:$AJ$4,0))))+SUMPRODUCT((Inputs!$C$5:$C$140=$B36)*ISNUMBER(INDEX(Inputs!$K$5:$AJ$140,0,MATCH(N$2,Inputs!$K$4:$AJ$4,0))))+SUMPRODUCT((Inputs!$E$5:$E$140=$B36)*ISNUMBER(INDEX(Inputs!$K$5:$AJ$140,0,MATCH(N$2,Inputs!$K$4:$AJ$4,0))))=0,NA(),SUMPRODUCT((Inputs!$A$5:$A$140=$B36)*Inputs!$B$5:$B$140*(((Inputs!$G$5:$G$140="moeda")+(Inputs!$G$5:$G$140="acoes"))*Inputs!$B$1+((Inputs!$G$5:$G$140&lt;&gt;"moeda")*(Inputs!$G$5:$G$140&lt;&gt;"acoes")))*INDEX(Inputs!$K$5:$AJ$140,0,MATCH(N$2,Inputs!$K$4:$AJ$4,0)))+SUMPRODUCT((Inputs!$C$5:$C$140=$B36)*Inputs!$D$5:$D$140*(((Inputs!$G$5:$G$140="moeda")+(Inputs!$G$5:$G$140="acoes"))*Inputs!$B$1+((Inputs!$G$5:$G$140&lt;&gt;"moeda")*(Inputs!$G$5:$G$140&lt;&gt;"acoes")))*INDEX(Inputs!$K$5:$AJ$140,0,MATCH(N$2,Inputs!$K$4:$AJ$4,0)))+SUMPRODUCT((Inputs!$E$5:$E$140=$B36)*Inputs!$F$5:$F$140*(((Inputs!$G$5:$G$140="moeda")+(Inputs!$G$5:$G$140="acoes"))*Inputs!$B$1+((Inputs!$G$5:$G$140&lt;&gt;"moeda")*(Inputs!$G$5:$G$140&lt;&gt;"acoes")))*INDEX(Inputs!$K$5:$AJ$140,0,MATCH(N$2,Inputs!$K$4:$AJ$4,0)))))</f>
        <v>939</v>
      </c>
      <c r="O36" s="6">
        <f>IF(ISNA(MATCH(O$2,Inputs!$K$4:$AJ$4,0)),NA(),IF(SUMPRODUCT((Inputs!$A$5:$A$140=$B36)*ISNUMBER(INDEX(Inputs!$K$5:$AJ$140,0,MATCH(O$2,Inputs!$K$4:$AJ$4,0))))+SUMPRODUCT((Inputs!$C$5:$C$140=$B36)*ISNUMBER(INDEX(Inputs!$K$5:$AJ$140,0,MATCH(O$2,Inputs!$K$4:$AJ$4,0))))+SUMPRODUCT((Inputs!$E$5:$E$140=$B36)*ISNUMBER(INDEX(Inputs!$K$5:$AJ$140,0,MATCH(O$2,Inputs!$K$4:$AJ$4,0))))=0,NA(),SUMPRODUCT((Inputs!$A$5:$A$140=$B36)*Inputs!$B$5:$B$140*(((Inputs!$G$5:$G$140="moeda")+(Inputs!$G$5:$G$140="acoes"))*Inputs!$B$1+((Inputs!$G$5:$G$140&lt;&gt;"moeda")*(Inputs!$G$5:$G$140&lt;&gt;"acoes")))*INDEX(Inputs!$K$5:$AJ$140,0,MATCH(O$2,Inputs!$K$4:$AJ$4,0)))+SUMPRODUCT((Inputs!$C$5:$C$140=$B36)*Inputs!$D$5:$D$140*(((Inputs!$G$5:$G$140="moeda")+(Inputs!$G$5:$G$140="acoes"))*Inputs!$B$1+((Inputs!$G$5:$G$140&lt;&gt;"moeda")*(Inputs!$G$5:$G$140&lt;&gt;"acoes")))*INDEX(Inputs!$K$5:$AJ$140,0,MATCH(O$2,Inputs!$K$4:$AJ$4,0)))+SUMPRODUCT((Inputs!$E$5:$E$140=$B36)*Inputs!$F$5:$F$140*(((Inputs!$G$5:$G$140="moeda")+(Inputs!$G$5:$G$140="acoes"))*Inputs!$B$1+((Inputs!$G$5:$G$140&lt;&gt;"moeda")*(Inputs!$G$5:$G$140&lt;&gt;"acoes")))*INDEX(Inputs!$K$5:$AJ$140,0,MATCH(O$2,Inputs!$K$4:$AJ$4,0)))))</f>
        <v>1041</v>
      </c>
      <c r="P36" s="6">
        <f>IF(ISNA(MATCH(P$2,Inputs!$K$4:$AJ$4,0)),NA(),IF(SUMPRODUCT((Inputs!$A$5:$A$140=$B36)*ISNUMBER(INDEX(Inputs!$K$5:$AJ$140,0,MATCH(P$2,Inputs!$K$4:$AJ$4,0))))+SUMPRODUCT((Inputs!$C$5:$C$140=$B36)*ISNUMBER(INDEX(Inputs!$K$5:$AJ$140,0,MATCH(P$2,Inputs!$K$4:$AJ$4,0))))+SUMPRODUCT((Inputs!$E$5:$E$140=$B36)*ISNUMBER(INDEX(Inputs!$K$5:$AJ$140,0,MATCH(P$2,Inputs!$K$4:$AJ$4,0))))=0,NA(),SUMPRODUCT((Inputs!$A$5:$A$140=$B36)*Inputs!$B$5:$B$140*(((Inputs!$G$5:$G$140="moeda")+(Inputs!$G$5:$G$140="acoes"))*Inputs!$B$1+((Inputs!$G$5:$G$140&lt;&gt;"moeda")*(Inputs!$G$5:$G$140&lt;&gt;"acoes")))*INDEX(Inputs!$K$5:$AJ$140,0,MATCH(P$2,Inputs!$K$4:$AJ$4,0)))+SUMPRODUCT((Inputs!$C$5:$C$140=$B36)*Inputs!$D$5:$D$140*(((Inputs!$G$5:$G$140="moeda")+(Inputs!$G$5:$G$140="acoes"))*Inputs!$B$1+((Inputs!$G$5:$G$140&lt;&gt;"moeda")*(Inputs!$G$5:$G$140&lt;&gt;"acoes")))*INDEX(Inputs!$K$5:$AJ$140,0,MATCH(P$2,Inputs!$K$4:$AJ$4,0)))+SUMPRODUCT((Inputs!$E$5:$E$140=$B36)*Inputs!$F$5:$F$140*(((Inputs!$G$5:$G$140="moeda")+(Inputs!$G$5:$G$140="acoes"))*Inputs!$B$1+((Inputs!$G$5:$G$140&lt;&gt;"moeda")*(Inputs!$G$5:$G$140&lt;&gt;"acoes")))*INDEX(Inputs!$K$5:$AJ$140,0,MATCH(P$2,Inputs!$K$4:$AJ$4,0)))))</f>
        <v>1091</v>
      </c>
      <c r="Q36" s="6">
        <f>IF(ISNA(MATCH(Q$2,Inputs!$K$4:$AJ$4,0)),NA(),IF(SUMPRODUCT((Inputs!$A$5:$A$140=$B36)*ISNUMBER(INDEX(Inputs!$K$5:$AJ$140,0,MATCH(Q$2,Inputs!$K$4:$AJ$4,0))))+SUMPRODUCT((Inputs!$C$5:$C$140=$B36)*ISNUMBER(INDEX(Inputs!$K$5:$AJ$140,0,MATCH(Q$2,Inputs!$K$4:$AJ$4,0))))+SUMPRODUCT((Inputs!$E$5:$E$140=$B36)*ISNUMBER(INDEX(Inputs!$K$5:$AJ$140,0,MATCH(Q$2,Inputs!$K$4:$AJ$4,0))))=0,NA(),SUMPRODUCT((Inputs!$A$5:$A$140=$B36)*Inputs!$B$5:$B$140*(((Inputs!$G$5:$G$140="moeda")+(Inputs!$G$5:$G$140="acoes"))*Inputs!$B$1+((Inputs!$G$5:$G$140&lt;&gt;"moeda")*(Inputs!$G$5:$G$140&lt;&gt;"acoes")))*INDEX(Inputs!$K$5:$AJ$140,0,MATCH(Q$2,Inputs!$K$4:$AJ$4,0)))+SUMPRODUCT((Inputs!$C$5:$C$140=$B36)*Inputs!$D$5:$D$140*(((Inputs!$G$5:$G$140="moeda")+(Inputs!$G$5:$G$140="acoes"))*Inputs!$B$1+((Inputs!$G$5:$G$140&lt;&gt;"moeda")*(Inputs!$G$5:$G$140&lt;&gt;"acoes")))*INDEX(Inputs!$K$5:$AJ$140,0,MATCH(Q$2,Inputs!$K$4:$AJ$4,0)))+SUMPRODUCT((Inputs!$E$5:$E$140=$B36)*Inputs!$F$5:$F$140*(((Inputs!$G$5:$G$140="moeda")+(Inputs!$G$5:$G$140="acoes"))*Inputs!$B$1+((Inputs!$G$5:$G$140&lt;&gt;"moeda")*(Inputs!$G$5:$G$140&lt;&gt;"acoes")))*INDEX(Inputs!$K$5:$AJ$140,0,MATCH(Q$2,Inputs!$K$4:$AJ$4,0)))))</f>
        <v>1119</v>
      </c>
      <c r="R36" s="3">
        <f>Q36</f>
        <v>1119</v>
      </c>
      <c r="S36" s="6">
        <f>IF(ISNA(MATCH(S$2,Inputs!$K$4:$AJ$4,0)),NA(),IF(SUMPRODUCT((Inputs!$A$5:$A$140=$B36)*ISNUMBER(INDEX(Inputs!$K$5:$AJ$140,0,MATCH(S$2,Inputs!$K$4:$AJ$4,0))))+SUMPRODUCT((Inputs!$C$5:$C$140=$B36)*ISNUMBER(INDEX(Inputs!$K$5:$AJ$140,0,MATCH(S$2,Inputs!$K$4:$AJ$4,0))))+SUMPRODUCT((Inputs!$E$5:$E$140=$B36)*ISNUMBER(INDEX(Inputs!$K$5:$AJ$140,0,MATCH(S$2,Inputs!$K$4:$AJ$4,0))))=0,NA(),SUMPRODUCT((Inputs!$A$5:$A$140=$B36)*Inputs!$B$5:$B$140*(((Inputs!$G$5:$G$140="moeda")+(Inputs!$G$5:$G$140="acoes"))*Inputs!$B$1+((Inputs!$G$5:$G$140&lt;&gt;"moeda")*(Inputs!$G$5:$G$140&lt;&gt;"acoes")))*INDEX(Inputs!$K$5:$AJ$140,0,MATCH(S$2,Inputs!$K$4:$AJ$4,0)))+SUMPRODUCT((Inputs!$C$5:$C$140=$B36)*Inputs!$D$5:$D$140*(((Inputs!$G$5:$G$140="moeda")+(Inputs!$G$5:$G$140="acoes"))*Inputs!$B$1+((Inputs!$G$5:$G$140&lt;&gt;"moeda")*(Inputs!$G$5:$G$140&lt;&gt;"acoes")))*INDEX(Inputs!$K$5:$AJ$140,0,MATCH(S$2,Inputs!$K$4:$AJ$4,0)))+SUMPRODUCT((Inputs!$E$5:$E$140=$B36)*Inputs!$F$5:$F$140*(((Inputs!$G$5:$G$140="moeda")+(Inputs!$G$5:$G$140="acoes"))*Inputs!$B$1+((Inputs!$G$5:$G$140&lt;&gt;"moeda")*(Inputs!$G$5:$G$140&lt;&gt;"acoes")))*INDEX(Inputs!$K$5:$AJ$140,0,MATCH(S$2,Inputs!$K$4:$AJ$4,0)))))</f>
        <v>1281</v>
      </c>
      <c r="T36" s="6">
        <f>IF(ISNA(MATCH(T$2,Inputs!$K$4:$AJ$4,0)),NA(),IF(SUMPRODUCT((Inputs!$A$5:$A$140=$B36)*ISNUMBER(INDEX(Inputs!$K$5:$AJ$140,0,MATCH(T$2,Inputs!$K$4:$AJ$4,0))))+SUMPRODUCT((Inputs!$C$5:$C$140=$B36)*ISNUMBER(INDEX(Inputs!$K$5:$AJ$140,0,MATCH(T$2,Inputs!$K$4:$AJ$4,0))))+SUMPRODUCT((Inputs!$E$5:$E$140=$B36)*ISNUMBER(INDEX(Inputs!$K$5:$AJ$140,0,MATCH(T$2,Inputs!$K$4:$AJ$4,0))))=0,NA(),SUMPRODUCT((Inputs!$A$5:$A$140=$B36)*Inputs!$B$5:$B$140*(((Inputs!$G$5:$G$140="moeda")+(Inputs!$G$5:$G$140="acoes"))*Inputs!$B$1+((Inputs!$G$5:$G$140&lt;&gt;"moeda")*(Inputs!$G$5:$G$140&lt;&gt;"acoes")))*INDEX(Inputs!$K$5:$AJ$140,0,MATCH(T$2,Inputs!$K$4:$AJ$4,0)))+SUMPRODUCT((Inputs!$C$5:$C$140=$B36)*Inputs!$D$5:$D$140*(((Inputs!$G$5:$G$140="moeda")+(Inputs!$G$5:$G$140="acoes"))*Inputs!$B$1+((Inputs!$G$5:$G$140&lt;&gt;"moeda")*(Inputs!$G$5:$G$140&lt;&gt;"acoes")))*INDEX(Inputs!$K$5:$AJ$140,0,MATCH(T$2,Inputs!$K$4:$AJ$4,0)))+SUMPRODUCT((Inputs!$E$5:$E$140=$B36)*Inputs!$F$5:$F$140*(((Inputs!$G$5:$G$140="moeda")+(Inputs!$G$5:$G$140="acoes"))*Inputs!$B$1+((Inputs!$G$5:$G$140&lt;&gt;"moeda")*(Inputs!$G$5:$G$140&lt;&gt;"acoes")))*INDEX(Inputs!$K$5:$AJ$140,0,MATCH(T$2,Inputs!$K$4:$AJ$4,0)))))</f>
        <v>1304</v>
      </c>
      <c r="U36" s="6">
        <f>IF(ISNA(MATCH(U$2,Inputs!$K$4:$AJ$4,0)),NA(),IF(SUMPRODUCT((Inputs!$A$5:$A$140=$B36)*ISNUMBER(INDEX(Inputs!$K$5:$AJ$140,0,MATCH(U$2,Inputs!$K$4:$AJ$4,0))))+SUMPRODUCT((Inputs!$C$5:$C$140=$B36)*ISNUMBER(INDEX(Inputs!$K$5:$AJ$140,0,MATCH(U$2,Inputs!$K$4:$AJ$4,0))))+SUMPRODUCT((Inputs!$E$5:$E$140=$B36)*ISNUMBER(INDEX(Inputs!$K$5:$AJ$140,0,MATCH(U$2,Inputs!$K$4:$AJ$4,0))))=0,NA(),SUMPRODUCT((Inputs!$A$5:$A$140=$B36)*Inputs!$B$5:$B$140*(((Inputs!$G$5:$G$140="moeda")+(Inputs!$G$5:$G$140="acoes"))*Inputs!$B$1+((Inputs!$G$5:$G$140&lt;&gt;"moeda")*(Inputs!$G$5:$G$140&lt;&gt;"acoes")))*INDEX(Inputs!$K$5:$AJ$140,0,MATCH(U$2,Inputs!$K$4:$AJ$4,0)))+SUMPRODUCT((Inputs!$C$5:$C$140=$B36)*Inputs!$D$5:$D$140*(((Inputs!$G$5:$G$140="moeda")+(Inputs!$G$5:$G$140="acoes"))*Inputs!$B$1+((Inputs!$G$5:$G$140&lt;&gt;"moeda")*(Inputs!$G$5:$G$140&lt;&gt;"acoes")))*INDEX(Inputs!$K$5:$AJ$140,0,MATCH(U$2,Inputs!$K$4:$AJ$4,0)))+SUMPRODUCT((Inputs!$E$5:$E$140=$B36)*Inputs!$F$5:$F$140*(((Inputs!$G$5:$G$140="moeda")+(Inputs!$G$5:$G$140="acoes"))*Inputs!$B$1+((Inputs!$G$5:$G$140&lt;&gt;"moeda")*(Inputs!$G$5:$G$140&lt;&gt;"acoes")))*INDEX(Inputs!$K$5:$AJ$140,0,MATCH(U$2,Inputs!$K$4:$AJ$4,0)))))</f>
        <v>1490</v>
      </c>
      <c r="V36" s="6">
        <f>IF(ISNA(MATCH(V$2,Inputs!$K$4:$AJ$4,0)),NA(),IF(SUMPRODUCT((Inputs!$A$5:$A$140=$B36)*ISNUMBER(INDEX(Inputs!$K$5:$AJ$140,0,MATCH(V$2,Inputs!$K$4:$AJ$4,0))))+SUMPRODUCT((Inputs!$C$5:$C$140=$B36)*ISNUMBER(INDEX(Inputs!$K$5:$AJ$140,0,MATCH(V$2,Inputs!$K$4:$AJ$4,0))))+SUMPRODUCT((Inputs!$E$5:$E$140=$B36)*ISNUMBER(INDEX(Inputs!$K$5:$AJ$140,0,MATCH(V$2,Inputs!$K$4:$AJ$4,0))))=0,NA(),SUMPRODUCT((Inputs!$A$5:$A$140=$B36)*Inputs!$B$5:$B$140*(((Inputs!$G$5:$G$140="moeda")+(Inputs!$G$5:$G$140="acoes"))*Inputs!$B$1+((Inputs!$G$5:$G$140&lt;&gt;"moeda")*(Inputs!$G$5:$G$140&lt;&gt;"acoes")))*INDEX(Inputs!$K$5:$AJ$140,0,MATCH(V$2,Inputs!$K$4:$AJ$4,0)))+SUMPRODUCT((Inputs!$C$5:$C$140=$B36)*Inputs!$D$5:$D$140*(((Inputs!$G$5:$G$140="moeda")+(Inputs!$G$5:$G$140="acoes"))*Inputs!$B$1+((Inputs!$G$5:$G$140&lt;&gt;"moeda")*(Inputs!$G$5:$G$140&lt;&gt;"acoes")))*INDEX(Inputs!$K$5:$AJ$140,0,MATCH(V$2,Inputs!$K$4:$AJ$4,0)))+SUMPRODUCT((Inputs!$E$5:$E$140=$B36)*Inputs!$F$5:$F$140*(((Inputs!$G$5:$G$140="moeda")+(Inputs!$G$5:$G$140="acoes"))*Inputs!$B$1+((Inputs!$G$5:$G$140&lt;&gt;"moeda")*(Inputs!$G$5:$G$140&lt;&gt;"acoes")))*INDEX(Inputs!$K$5:$AJ$140,0,MATCH(V$2,Inputs!$K$4:$AJ$4,0)))))</f>
        <v>1519</v>
      </c>
      <c r="W36" s="3">
        <f>V36</f>
        <v>1519</v>
      </c>
      <c r="X36" s="6">
        <f>IF(ISNA(MATCH(X$2,Inputs!$K$4:$AJ$4,0)),NA(),IF(SUMPRODUCT((Inputs!$A$5:$A$140=$B36)*ISNUMBER(INDEX(Inputs!$K$5:$AJ$140,0,MATCH(X$2,Inputs!$K$4:$AJ$4,0))))+SUMPRODUCT((Inputs!$C$5:$C$140=$B36)*ISNUMBER(INDEX(Inputs!$K$5:$AJ$140,0,MATCH(X$2,Inputs!$K$4:$AJ$4,0))))+SUMPRODUCT((Inputs!$E$5:$E$140=$B36)*ISNUMBER(INDEX(Inputs!$K$5:$AJ$140,0,MATCH(X$2,Inputs!$K$4:$AJ$4,0))))=0,NA(),SUMPRODUCT((Inputs!$A$5:$A$140=$B36)*Inputs!$B$5:$B$140*(((Inputs!$G$5:$G$140="moeda")+(Inputs!$G$5:$G$140="acoes"))*Inputs!$B$1+((Inputs!$G$5:$G$140&lt;&gt;"moeda")*(Inputs!$G$5:$G$140&lt;&gt;"acoes")))*INDEX(Inputs!$K$5:$AJ$140,0,MATCH(X$2,Inputs!$K$4:$AJ$4,0)))+SUMPRODUCT((Inputs!$C$5:$C$140=$B36)*Inputs!$D$5:$D$140*(((Inputs!$G$5:$G$140="moeda")+(Inputs!$G$5:$G$140="acoes"))*Inputs!$B$1+((Inputs!$G$5:$G$140&lt;&gt;"moeda")*(Inputs!$G$5:$G$140&lt;&gt;"acoes")))*INDEX(Inputs!$K$5:$AJ$140,0,MATCH(X$2,Inputs!$K$4:$AJ$4,0)))+SUMPRODUCT((Inputs!$E$5:$E$140=$B36)*Inputs!$F$5:$F$140*(((Inputs!$G$5:$G$140="moeda")+(Inputs!$G$5:$G$140="acoes"))*Inputs!$B$1+((Inputs!$G$5:$G$140&lt;&gt;"moeda")*(Inputs!$G$5:$G$140&lt;&gt;"acoes")))*INDEX(Inputs!$K$5:$AJ$140,0,MATCH(X$2,Inputs!$K$4:$AJ$4,0)))))</f>
        <v>1521</v>
      </c>
      <c r="Y36" s="6">
        <f>IF(ISNA(MATCH(Y$2,Inputs!$K$4:$AJ$4,0)),NA(),IF(SUMPRODUCT((Inputs!$A$5:$A$140=$B36)*ISNUMBER(INDEX(Inputs!$K$5:$AJ$140,0,MATCH(Y$2,Inputs!$K$4:$AJ$4,0))))+SUMPRODUCT((Inputs!$C$5:$C$140=$B36)*ISNUMBER(INDEX(Inputs!$K$5:$AJ$140,0,MATCH(Y$2,Inputs!$K$4:$AJ$4,0))))+SUMPRODUCT((Inputs!$E$5:$E$140=$B36)*ISNUMBER(INDEX(Inputs!$K$5:$AJ$140,0,MATCH(Y$2,Inputs!$K$4:$AJ$4,0))))=0,NA(),SUMPRODUCT((Inputs!$A$5:$A$140=$B36)*Inputs!$B$5:$B$140*(((Inputs!$G$5:$G$140="moeda")+(Inputs!$G$5:$G$140="acoes"))*Inputs!$B$1+((Inputs!$G$5:$G$140&lt;&gt;"moeda")*(Inputs!$G$5:$G$140&lt;&gt;"acoes")))*INDEX(Inputs!$K$5:$AJ$140,0,MATCH(Y$2,Inputs!$K$4:$AJ$4,0)))+SUMPRODUCT((Inputs!$C$5:$C$140=$B36)*Inputs!$D$5:$D$140*(((Inputs!$G$5:$G$140="moeda")+(Inputs!$G$5:$G$140="acoes"))*Inputs!$B$1+((Inputs!$G$5:$G$140&lt;&gt;"moeda")*(Inputs!$G$5:$G$140&lt;&gt;"acoes")))*INDEX(Inputs!$K$5:$AJ$140,0,MATCH(Y$2,Inputs!$K$4:$AJ$4,0)))+SUMPRODUCT((Inputs!$E$5:$E$140=$B36)*Inputs!$F$5:$F$140*(((Inputs!$G$5:$G$140="moeda")+(Inputs!$G$5:$G$140="acoes"))*Inputs!$B$1+((Inputs!$G$5:$G$140&lt;&gt;"moeda")*(Inputs!$G$5:$G$140&lt;&gt;"acoes")))*INDEX(Inputs!$K$5:$AJ$140,0,MATCH(Y$2,Inputs!$K$4:$AJ$4,0)))))</f>
        <v>1831</v>
      </c>
      <c r="Z36" s="6">
        <f>IF(ISNA(MATCH(Z$2,Inputs!$K$4:$AJ$4,0)),NA(),IF(SUMPRODUCT((Inputs!$A$5:$A$140=$B36)*ISNUMBER(INDEX(Inputs!$K$5:$AJ$140,0,MATCH(Z$2,Inputs!$K$4:$AJ$4,0))))+SUMPRODUCT((Inputs!$C$5:$C$140=$B36)*ISNUMBER(INDEX(Inputs!$K$5:$AJ$140,0,MATCH(Z$2,Inputs!$K$4:$AJ$4,0))))+SUMPRODUCT((Inputs!$E$5:$E$140=$B36)*ISNUMBER(INDEX(Inputs!$K$5:$AJ$140,0,MATCH(Z$2,Inputs!$K$4:$AJ$4,0))))=0,NA(),SUMPRODUCT((Inputs!$A$5:$A$140=$B36)*Inputs!$B$5:$B$140*(((Inputs!$G$5:$G$140="moeda")+(Inputs!$G$5:$G$140="acoes"))*Inputs!$B$1+((Inputs!$G$5:$G$140&lt;&gt;"moeda")*(Inputs!$G$5:$G$140&lt;&gt;"acoes")))*INDEX(Inputs!$K$5:$AJ$140,0,MATCH(Z$2,Inputs!$K$4:$AJ$4,0)))+SUMPRODUCT((Inputs!$C$5:$C$140=$B36)*Inputs!$D$5:$D$140*(((Inputs!$G$5:$G$140="moeda")+(Inputs!$G$5:$G$140="acoes"))*Inputs!$B$1+((Inputs!$G$5:$G$140&lt;&gt;"moeda")*(Inputs!$G$5:$G$140&lt;&gt;"acoes")))*INDEX(Inputs!$K$5:$AJ$140,0,MATCH(Z$2,Inputs!$K$4:$AJ$4,0)))+SUMPRODUCT((Inputs!$E$5:$E$140=$B36)*Inputs!$F$5:$F$140*(((Inputs!$G$5:$G$140="moeda")+(Inputs!$G$5:$G$140="acoes"))*Inputs!$B$1+((Inputs!$G$5:$G$140&lt;&gt;"moeda")*(Inputs!$G$5:$G$140&lt;&gt;"acoes")))*INDEX(Inputs!$K$5:$AJ$140,0,MATCH(Z$2,Inputs!$K$4:$AJ$4,0)))))</f>
        <v>2014</v>
      </c>
      <c r="AA36" s="6">
        <f>IF(ISNA(MATCH(AA$2,Inputs!$K$4:$AJ$4,0)),NA(),IF(SUMPRODUCT((Inputs!$A$5:$A$140=$B36)*ISNUMBER(INDEX(Inputs!$K$5:$AJ$140,0,MATCH(AA$2,Inputs!$K$4:$AJ$4,0))))+SUMPRODUCT((Inputs!$C$5:$C$140=$B36)*ISNUMBER(INDEX(Inputs!$K$5:$AJ$140,0,MATCH(AA$2,Inputs!$K$4:$AJ$4,0))))+SUMPRODUCT((Inputs!$E$5:$E$140=$B36)*ISNUMBER(INDEX(Inputs!$K$5:$AJ$140,0,MATCH(AA$2,Inputs!$K$4:$AJ$4,0))))=0,NA(),SUMPRODUCT((Inputs!$A$5:$A$140=$B36)*Inputs!$B$5:$B$140*(((Inputs!$G$5:$G$140="moeda")+(Inputs!$G$5:$G$140="acoes"))*Inputs!$B$1+((Inputs!$G$5:$G$140&lt;&gt;"moeda")*(Inputs!$G$5:$G$140&lt;&gt;"acoes")))*INDEX(Inputs!$K$5:$AJ$140,0,MATCH(AA$2,Inputs!$K$4:$AJ$4,0)))+SUMPRODUCT((Inputs!$C$5:$C$140=$B36)*Inputs!$D$5:$D$140*(((Inputs!$G$5:$G$140="moeda")+(Inputs!$G$5:$G$140="acoes"))*Inputs!$B$1+((Inputs!$G$5:$G$140&lt;&gt;"moeda")*(Inputs!$G$5:$G$140&lt;&gt;"acoes")))*INDEX(Inputs!$K$5:$AJ$140,0,MATCH(AA$2,Inputs!$K$4:$AJ$4,0)))+SUMPRODUCT((Inputs!$E$5:$E$140=$B36)*Inputs!$F$5:$F$140*(((Inputs!$G$5:$G$140="moeda")+(Inputs!$G$5:$G$140="acoes"))*Inputs!$B$1+((Inputs!$G$5:$G$140&lt;&gt;"moeda")*(Inputs!$G$5:$G$140&lt;&gt;"acoes")))*INDEX(Inputs!$K$5:$AJ$140,0,MATCH(AA$2,Inputs!$K$4:$AJ$4,0)))))</f>
        <v>2572</v>
      </c>
      <c r="AB36" s="3">
        <f>AA36</f>
        <v>2572</v>
      </c>
      <c r="AC36" s="6">
        <f>IF(ISNA(MATCH(AC$2,Inputs!$K$4:$AJ$4,0)),NA(),IF(SUMPRODUCT((Inputs!$A$5:$A$140=$B36)*ISNUMBER(INDEX(Inputs!$K$5:$AJ$140,0,MATCH(AC$2,Inputs!$K$4:$AJ$4,0))))+SUMPRODUCT((Inputs!$C$5:$C$140=$B36)*ISNUMBER(INDEX(Inputs!$K$5:$AJ$140,0,MATCH(AC$2,Inputs!$K$4:$AJ$4,0))))+SUMPRODUCT((Inputs!$E$5:$E$140=$B36)*ISNUMBER(INDEX(Inputs!$K$5:$AJ$140,0,MATCH(AC$2,Inputs!$K$4:$AJ$4,0))))=0,NA(),SUMPRODUCT((Inputs!$A$5:$A$140=$B36)*Inputs!$B$5:$B$140*(((Inputs!$G$5:$G$140="moeda")+(Inputs!$G$5:$G$140="acoes"))*Inputs!$B$1+((Inputs!$G$5:$G$140&lt;&gt;"moeda")*(Inputs!$G$5:$G$140&lt;&gt;"acoes")))*INDEX(Inputs!$K$5:$AJ$140,0,MATCH(AC$2,Inputs!$K$4:$AJ$4,0)))+SUMPRODUCT((Inputs!$C$5:$C$140=$B36)*Inputs!$D$5:$D$140*(((Inputs!$G$5:$G$140="moeda")+(Inputs!$G$5:$G$140="acoes"))*Inputs!$B$1+((Inputs!$G$5:$G$140&lt;&gt;"moeda")*(Inputs!$G$5:$G$140&lt;&gt;"acoes")))*INDEX(Inputs!$K$5:$AJ$140,0,MATCH(AC$2,Inputs!$K$4:$AJ$4,0)))+SUMPRODUCT((Inputs!$E$5:$E$140=$B36)*Inputs!$F$5:$F$140*(((Inputs!$G$5:$G$140="moeda")+(Inputs!$G$5:$G$140="acoes"))*Inputs!$B$1+((Inputs!$G$5:$G$140&lt;&gt;"moeda")*(Inputs!$G$5:$G$140&lt;&gt;"acoes")))*INDEX(Inputs!$K$5:$AJ$140,0,MATCH(AC$2,Inputs!$K$4:$AJ$4,0)))))</f>
        <v>3878</v>
      </c>
      <c r="AD36" s="6">
        <f>IF(ISNA(MATCH(AD$2,Inputs!$K$4:$AJ$4,0)),NA(),IF(SUMPRODUCT((Inputs!$A$5:$A$140=$B36)*ISNUMBER(INDEX(Inputs!$K$5:$AJ$140,0,MATCH(AD$2,Inputs!$K$4:$AJ$4,0))))+SUMPRODUCT((Inputs!$C$5:$C$140=$B36)*ISNUMBER(INDEX(Inputs!$K$5:$AJ$140,0,MATCH(AD$2,Inputs!$K$4:$AJ$4,0))))+SUMPRODUCT((Inputs!$E$5:$E$140=$B36)*ISNUMBER(INDEX(Inputs!$K$5:$AJ$140,0,MATCH(AD$2,Inputs!$K$4:$AJ$4,0))))=0,NA(),SUMPRODUCT((Inputs!$A$5:$A$140=$B36)*Inputs!$B$5:$B$140*(((Inputs!$G$5:$G$140="moeda")+(Inputs!$G$5:$G$140="acoes"))*Inputs!$B$1+((Inputs!$G$5:$G$140&lt;&gt;"moeda")*(Inputs!$G$5:$G$140&lt;&gt;"acoes")))*INDEX(Inputs!$K$5:$AJ$140,0,MATCH(AD$2,Inputs!$K$4:$AJ$4,0)))+SUMPRODUCT((Inputs!$C$5:$C$140=$B36)*Inputs!$D$5:$D$140*(((Inputs!$G$5:$G$140="moeda")+(Inputs!$G$5:$G$140="acoes"))*Inputs!$B$1+((Inputs!$G$5:$G$140&lt;&gt;"moeda")*(Inputs!$G$5:$G$140&lt;&gt;"acoes")))*INDEX(Inputs!$K$5:$AJ$140,0,MATCH(AD$2,Inputs!$K$4:$AJ$4,0)))+SUMPRODUCT((Inputs!$E$5:$E$140=$B36)*Inputs!$F$5:$F$140*(((Inputs!$G$5:$G$140="moeda")+(Inputs!$G$5:$G$140="acoes"))*Inputs!$B$1+((Inputs!$G$5:$G$140&lt;&gt;"moeda")*(Inputs!$G$5:$G$140&lt;&gt;"acoes")))*INDEX(Inputs!$K$5:$AJ$140,0,MATCH(AD$2,Inputs!$K$4:$AJ$4,0)))))</f>
        <v>4985</v>
      </c>
      <c r="AE36" s="6" t="e">
        <f>IF(ISNA(MATCH(AE$2,Inputs!$K$4:$AJ$4,0)),NA(),IF(SUMPRODUCT((Inputs!$A$5:$A$140=$B36)*ISNUMBER(INDEX(Inputs!$K$5:$AJ$140,0,MATCH(AE$2,Inputs!$K$4:$AJ$4,0))))+SUMPRODUCT((Inputs!$C$5:$C$140=$B36)*ISNUMBER(INDEX(Inputs!$K$5:$AJ$140,0,MATCH(AE$2,Inputs!$K$4:$AJ$4,0))))+SUMPRODUCT((Inputs!$E$5:$E$140=$B36)*ISNUMBER(INDEX(Inputs!$K$5:$AJ$140,0,MATCH(AE$2,Inputs!$K$4:$AJ$4,0))))=0,NA(),SUMPRODUCT((Inputs!$A$5:$A$140=$B36)*Inputs!$B$5:$B$140*(((Inputs!$G$5:$G$140="moeda")+(Inputs!$G$5:$G$140="acoes"))*Inputs!$B$1+((Inputs!$G$5:$G$140&lt;&gt;"moeda")*(Inputs!$G$5:$G$140&lt;&gt;"acoes")))*INDEX(Inputs!$K$5:$AJ$140,0,MATCH(AE$2,Inputs!$K$4:$AJ$4,0)))+SUMPRODUCT((Inputs!$C$5:$C$140=$B36)*Inputs!$D$5:$D$140*(((Inputs!$G$5:$G$140="moeda")+(Inputs!$G$5:$G$140="acoes"))*Inputs!$B$1+((Inputs!$G$5:$G$140&lt;&gt;"moeda")*(Inputs!$G$5:$G$140&lt;&gt;"acoes")))*INDEX(Inputs!$K$5:$AJ$140,0,MATCH(AE$2,Inputs!$K$4:$AJ$4,0)))+SUMPRODUCT((Inputs!$E$5:$E$140=$B36)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36" s="6" t="e">
        <f>IF(ISNA(MATCH(AF$2,Inputs!$K$4:$AJ$4,0)),NA(),IF(SUMPRODUCT((Inputs!$A$5:$A$140=$B36)*ISNUMBER(INDEX(Inputs!$K$5:$AJ$140,0,MATCH(AF$2,Inputs!$K$4:$AJ$4,0))))+SUMPRODUCT((Inputs!$C$5:$C$140=$B36)*ISNUMBER(INDEX(Inputs!$K$5:$AJ$140,0,MATCH(AF$2,Inputs!$K$4:$AJ$4,0))))+SUMPRODUCT((Inputs!$E$5:$E$140=$B36)*ISNUMBER(INDEX(Inputs!$K$5:$AJ$140,0,MATCH(AF$2,Inputs!$K$4:$AJ$4,0))))=0,NA(),SUMPRODUCT((Inputs!$A$5:$A$140=$B36)*Inputs!$B$5:$B$140*(((Inputs!$G$5:$G$140="moeda")+(Inputs!$G$5:$G$140="acoes"))*Inputs!$B$1+((Inputs!$G$5:$G$140&lt;&gt;"moeda")*(Inputs!$G$5:$G$140&lt;&gt;"acoes")))*INDEX(Inputs!$K$5:$AJ$140,0,MATCH(AF$2,Inputs!$K$4:$AJ$4,0)))+SUMPRODUCT((Inputs!$C$5:$C$140=$B36)*Inputs!$D$5:$D$140*(((Inputs!$G$5:$G$140="moeda")+(Inputs!$G$5:$G$140="acoes"))*Inputs!$B$1+((Inputs!$G$5:$G$140&lt;&gt;"moeda")*(Inputs!$G$5:$G$140&lt;&gt;"acoes")))*INDEX(Inputs!$K$5:$AJ$140,0,MATCH(AF$2,Inputs!$K$4:$AJ$4,0)))+SUMPRODUCT((Inputs!$E$5:$E$140=$B36)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36" s="3" t="e">
        <f>AF36</f>
        <v>#N/A</v>
      </c>
      <c r="AH36" s="6">
        <f>IF(ISNA(MATCH(AH$2,Inputs!$K$4:$AJ$4,0)),NA(),IF(SUMPRODUCT((Inputs!$A$5:$A$140=$B36)*ISNUMBER(INDEX(Inputs!$K$5:$AJ$140,0,MATCH(AH$2,Inputs!$K$4:$AJ$4,0))))+SUMPRODUCT((Inputs!$C$5:$C$140=$B36)*ISNUMBER(INDEX(Inputs!$K$5:$AJ$140,0,MATCH(AH$2,Inputs!$K$4:$AJ$4,0))))+SUMPRODUCT((Inputs!$E$5:$E$140=$B36)*ISNUMBER(INDEX(Inputs!$K$5:$AJ$140,0,MATCH(AH$2,Inputs!$K$4:$AJ$4,0))))=0,NA(),SUMPRODUCT((Inputs!$A$5:$A$140=$B36)*Inputs!$B$5:$B$140*(((Inputs!$G$5:$G$140="moeda")+(Inputs!$G$5:$G$140="acoes"))*Inputs!$B$1+((Inputs!$G$5:$G$140&lt;&gt;"moeda")*(Inputs!$G$5:$G$140&lt;&gt;"acoes")))*INDEX(Inputs!$K$5:$AJ$140,0,MATCH(AH$2,Inputs!$K$4:$AJ$4,0)))+SUMPRODUCT((Inputs!$C$5:$C$140=$B36)*Inputs!$D$5:$D$140*(((Inputs!$G$5:$G$140="moeda")+(Inputs!$G$5:$G$140="acoes"))*Inputs!$B$1+((Inputs!$G$5:$G$140&lt;&gt;"moeda")*(Inputs!$G$5:$G$140&lt;&gt;"acoes")))*INDEX(Inputs!$K$5:$AJ$140,0,MATCH(AH$2,Inputs!$K$4:$AJ$4,0)))+SUMPRODUCT((Inputs!$E$5:$E$140=$B36)*Inputs!$F$5:$F$140*(((Inputs!$G$5:$G$140="moeda")+(Inputs!$G$5:$G$140="acoes"))*Inputs!$B$1+((Inputs!$G$5:$G$140&lt;&gt;"moeda")*(Inputs!$G$5:$G$140&lt;&gt;"acoes")))*INDEX(Inputs!$K$5:$AJ$140,0,MATCH(AH$2,Inputs!$K$4:$AJ$4,0)))))</f>
        <v>519</v>
      </c>
      <c r="AI36" s="6">
        <f>IF(ISNA(MATCH(AI$2,Inputs!$K$4:$AJ$4,0)),NA(),IF(SUMPRODUCT((Inputs!$A$5:$A$140=$B36)*ISNUMBER(INDEX(Inputs!$K$5:$AJ$140,0,MATCH(AI$2,Inputs!$K$4:$AJ$4,0))))+SUMPRODUCT((Inputs!$C$5:$C$140=$B36)*ISNUMBER(INDEX(Inputs!$K$5:$AJ$140,0,MATCH(AI$2,Inputs!$K$4:$AJ$4,0))))+SUMPRODUCT((Inputs!$E$5:$E$140=$B36)*ISNUMBER(INDEX(Inputs!$K$5:$AJ$140,0,MATCH(AI$2,Inputs!$K$4:$AJ$4,0))))=0,NA(),SUMPRODUCT((Inputs!$A$5:$A$140=$B36)*Inputs!$B$5:$B$140*(((Inputs!$G$5:$G$140="moeda")+(Inputs!$G$5:$G$140="acoes"))*Inputs!$B$1+((Inputs!$G$5:$G$140&lt;&gt;"moeda")*(Inputs!$G$5:$G$140&lt;&gt;"acoes")))*INDEX(Inputs!$K$5:$AJ$140,0,MATCH(AI$2,Inputs!$K$4:$AJ$4,0)))+SUMPRODUCT((Inputs!$C$5:$C$140=$B36)*Inputs!$D$5:$D$140*(((Inputs!$G$5:$G$140="moeda")+(Inputs!$G$5:$G$140="acoes"))*Inputs!$B$1+((Inputs!$G$5:$G$140&lt;&gt;"moeda")*(Inputs!$G$5:$G$140&lt;&gt;"acoes")))*INDEX(Inputs!$K$5:$AJ$140,0,MATCH(AI$2,Inputs!$K$4:$AJ$4,0)))+SUMPRODUCT((Inputs!$E$5:$E$140=$B36)*Inputs!$F$5:$F$140*(((Inputs!$G$5:$G$140="moeda")+(Inputs!$G$5:$G$140="acoes"))*Inputs!$B$1+((Inputs!$G$5:$G$140&lt;&gt;"moeda")*(Inputs!$G$5:$G$140&lt;&gt;"acoes")))*INDEX(Inputs!$K$5:$AJ$140,0,MATCH(AI$2,Inputs!$K$4:$AJ$4,0)))))</f>
        <v>611</v>
      </c>
      <c r="AJ36" s="6">
        <f>IF(ISNA(MATCH(AJ$2,Inputs!$K$4:$AJ$4,0)),NA(),IF(SUMPRODUCT((Inputs!$A$5:$A$140=$B36)*ISNUMBER(INDEX(Inputs!$K$5:$AJ$140,0,MATCH(AJ$2,Inputs!$K$4:$AJ$4,0))))+SUMPRODUCT((Inputs!$C$5:$C$140=$B36)*ISNUMBER(INDEX(Inputs!$K$5:$AJ$140,0,MATCH(AJ$2,Inputs!$K$4:$AJ$4,0))))+SUMPRODUCT((Inputs!$E$5:$E$140=$B36)*ISNUMBER(INDEX(Inputs!$K$5:$AJ$140,0,MATCH(AJ$2,Inputs!$K$4:$AJ$4,0))))=0,NA(),SUMPRODUCT((Inputs!$A$5:$A$140=$B36)*Inputs!$B$5:$B$140*(((Inputs!$G$5:$G$140="moeda")+(Inputs!$G$5:$G$140="acoes"))*Inputs!$B$1+((Inputs!$G$5:$G$140&lt;&gt;"moeda")*(Inputs!$G$5:$G$140&lt;&gt;"acoes")))*INDEX(Inputs!$K$5:$AJ$140,0,MATCH(AJ$2,Inputs!$K$4:$AJ$4,0)))+SUMPRODUCT((Inputs!$C$5:$C$140=$B36)*Inputs!$D$5:$D$140*(((Inputs!$G$5:$G$140="moeda")+(Inputs!$G$5:$G$140="acoes"))*Inputs!$B$1+((Inputs!$G$5:$G$140&lt;&gt;"moeda")*(Inputs!$G$5:$G$140&lt;&gt;"acoes")))*INDEX(Inputs!$K$5:$AJ$140,0,MATCH(AJ$2,Inputs!$K$4:$AJ$4,0)))+SUMPRODUCT((Inputs!$E$5:$E$140=$B36)*Inputs!$F$5:$F$140*(((Inputs!$G$5:$G$140="moeda")+(Inputs!$G$5:$G$140="acoes"))*Inputs!$B$1+((Inputs!$G$5:$G$140&lt;&gt;"moeda")*(Inputs!$G$5:$G$140&lt;&gt;"acoes")))*INDEX(Inputs!$K$5:$AJ$140,0,MATCH(AJ$2,Inputs!$K$4:$AJ$4,0)))))</f>
        <v>604</v>
      </c>
      <c r="AK36" s="6">
        <f>IF(ISNA(MATCH(AK$2,Inputs!$K$4:$AJ$4,0)),NA(),IF(SUMPRODUCT((Inputs!$A$5:$A$140=$B36)*ISNUMBER(INDEX(Inputs!$K$5:$AJ$140,0,MATCH(AK$2,Inputs!$K$4:$AJ$4,0))))+SUMPRODUCT((Inputs!$C$5:$C$140=$B36)*ISNUMBER(INDEX(Inputs!$K$5:$AJ$140,0,MATCH(AK$2,Inputs!$K$4:$AJ$4,0))))+SUMPRODUCT((Inputs!$E$5:$E$140=$B36)*ISNUMBER(INDEX(Inputs!$K$5:$AJ$140,0,MATCH(AK$2,Inputs!$K$4:$AJ$4,0))))=0,NA(),SUMPRODUCT((Inputs!$A$5:$A$140=$B36)*Inputs!$B$5:$B$140*(((Inputs!$G$5:$G$140="moeda")+(Inputs!$G$5:$G$140="acoes"))*Inputs!$B$1+((Inputs!$G$5:$G$140&lt;&gt;"moeda")*(Inputs!$G$5:$G$140&lt;&gt;"acoes")))*INDEX(Inputs!$K$5:$AJ$140,0,MATCH(AK$2,Inputs!$K$4:$AJ$4,0)))+SUMPRODUCT((Inputs!$C$5:$C$140=$B36)*Inputs!$D$5:$D$140*(((Inputs!$G$5:$G$140="moeda")+(Inputs!$G$5:$G$140="acoes"))*Inputs!$B$1+((Inputs!$G$5:$G$140&lt;&gt;"moeda")*(Inputs!$G$5:$G$140&lt;&gt;"acoes")))*INDEX(Inputs!$K$5:$AJ$140,0,MATCH(AK$2,Inputs!$K$4:$AJ$4,0)))+SUMPRODUCT((Inputs!$E$5:$E$140=$B36)*Inputs!$F$5:$F$140*(((Inputs!$G$5:$G$140="moeda")+(Inputs!$G$5:$G$140="acoes"))*Inputs!$B$1+((Inputs!$G$5:$G$140&lt;&gt;"moeda")*(Inputs!$G$5:$G$140&lt;&gt;"acoes")))*INDEX(Inputs!$K$5:$AJ$140,0,MATCH(AK$2,Inputs!$K$4:$AJ$4,0)))))</f>
        <v>634</v>
      </c>
      <c r="AL36" s="3">
        <f>AK36</f>
        <v>634</v>
      </c>
    </row>
    <row r="37">
      <c r="B37" s="46" t="n">
        <v>32</v>
      </c>
      <c r="C37" s="26" t="inlineStr">
        <is>
          <t>Convertible debt</t>
        </is>
      </c>
      <c r="D37" s="6" t="e">
        <f>IF(ISNA(MATCH(D$2,Inputs!$K$4:$AJ$4,0)),NA(),IF(SUMPRODUCT((Inputs!$A$5:$A$140=$B37)*ISNUMBER(INDEX(Inputs!$K$5:$AJ$140,0,MATCH(D$2,Inputs!$K$4:$AJ$4,0))))+SUMPRODUCT((Inputs!$C$5:$C$140=$B37)*ISNUMBER(INDEX(Inputs!$K$5:$AJ$140,0,MATCH(D$2,Inputs!$K$4:$AJ$4,0))))+SUMPRODUCT((Inputs!$E$5:$E$140=$B37)*ISNUMBER(INDEX(Inputs!$K$5:$AJ$140,0,MATCH(D$2,Inputs!$K$4:$AJ$4,0))))=0,NA(),SUMPRODUCT((Inputs!$A$5:$A$140=$B37)*Inputs!$B$5:$B$140*(((Inputs!$G$5:$G$140="moeda")+(Inputs!$G$5:$G$140="acoes"))*Inputs!$B$1+((Inputs!$G$5:$G$140&lt;&gt;"moeda")*(Inputs!$G$5:$G$140&lt;&gt;"acoes")))*INDEX(Inputs!$K$5:$AJ$140,0,MATCH(D$2,Inputs!$K$4:$AJ$4,0)))+SUMPRODUCT((Inputs!$C$5:$C$140=$B37)*Inputs!$D$5:$D$140*(((Inputs!$G$5:$G$140="moeda")+(Inputs!$G$5:$G$140="acoes"))*Inputs!$B$1+((Inputs!$G$5:$G$140&lt;&gt;"moeda")*(Inputs!$G$5:$G$140&lt;&gt;"acoes")))*INDEX(Inputs!$K$5:$AJ$140,0,MATCH(D$2,Inputs!$K$4:$AJ$4,0)))+SUMPRODUCT((Inputs!$E$5:$E$140=$B37)*Inputs!$F$5:$F$140*(((Inputs!$G$5:$G$140="moeda")+(Inputs!$G$5:$G$140="acoes"))*Inputs!$B$1+((Inputs!$G$5:$G$140&lt;&gt;"moeda")*(Inputs!$G$5:$G$140&lt;&gt;"acoes")))*INDEX(Inputs!$K$5:$AJ$140,0,MATCH(D$2,Inputs!$K$4:$AJ$4,0)))))</f>
        <v>#N/A</v>
      </c>
      <c r="E37" s="6" t="e">
        <f>IF(ISNA(MATCH(E$2,Inputs!$K$4:$AJ$4,0)),NA(),IF(SUMPRODUCT((Inputs!$A$5:$A$140=$B37)*ISNUMBER(INDEX(Inputs!$K$5:$AJ$140,0,MATCH(E$2,Inputs!$K$4:$AJ$4,0))))+SUMPRODUCT((Inputs!$C$5:$C$140=$B37)*ISNUMBER(INDEX(Inputs!$K$5:$AJ$140,0,MATCH(E$2,Inputs!$K$4:$AJ$4,0))))+SUMPRODUCT((Inputs!$E$5:$E$140=$B37)*ISNUMBER(INDEX(Inputs!$K$5:$AJ$140,0,MATCH(E$2,Inputs!$K$4:$AJ$4,0))))=0,NA(),SUMPRODUCT((Inputs!$A$5:$A$140=$B37)*Inputs!$B$5:$B$140*(((Inputs!$G$5:$G$140="moeda")+(Inputs!$G$5:$G$140="acoes"))*Inputs!$B$1+((Inputs!$G$5:$G$140&lt;&gt;"moeda")*(Inputs!$G$5:$G$140&lt;&gt;"acoes")))*INDEX(Inputs!$K$5:$AJ$140,0,MATCH(E$2,Inputs!$K$4:$AJ$4,0)))+SUMPRODUCT((Inputs!$C$5:$C$140=$B37)*Inputs!$D$5:$D$140*(((Inputs!$G$5:$G$140="moeda")+(Inputs!$G$5:$G$140="acoes"))*Inputs!$B$1+((Inputs!$G$5:$G$140&lt;&gt;"moeda")*(Inputs!$G$5:$G$140&lt;&gt;"acoes")))*INDEX(Inputs!$K$5:$AJ$140,0,MATCH(E$2,Inputs!$K$4:$AJ$4,0)))+SUMPRODUCT((Inputs!$E$5:$E$140=$B37)*Inputs!$F$5:$F$140*(((Inputs!$G$5:$G$140="moeda")+(Inputs!$G$5:$G$140="acoes"))*Inputs!$B$1+((Inputs!$G$5:$G$140&lt;&gt;"moeda")*(Inputs!$G$5:$G$140&lt;&gt;"acoes")))*INDEX(Inputs!$K$5:$AJ$140,0,MATCH(E$2,Inputs!$K$4:$AJ$4,0)))))</f>
        <v>#N/A</v>
      </c>
      <c r="F37" s="6" t="e">
        <f>IF(ISNA(MATCH(F$2,Inputs!$K$4:$AJ$4,0)),NA(),IF(SUMPRODUCT((Inputs!$A$5:$A$140=$B37)*ISNUMBER(INDEX(Inputs!$K$5:$AJ$140,0,MATCH(F$2,Inputs!$K$4:$AJ$4,0))))+SUMPRODUCT((Inputs!$C$5:$C$140=$B37)*ISNUMBER(INDEX(Inputs!$K$5:$AJ$140,0,MATCH(F$2,Inputs!$K$4:$AJ$4,0))))+SUMPRODUCT((Inputs!$E$5:$E$140=$B37)*ISNUMBER(INDEX(Inputs!$K$5:$AJ$140,0,MATCH(F$2,Inputs!$K$4:$AJ$4,0))))=0,NA(),SUMPRODUCT((Inputs!$A$5:$A$140=$B37)*Inputs!$B$5:$B$140*(((Inputs!$G$5:$G$140="moeda")+(Inputs!$G$5:$G$140="acoes"))*Inputs!$B$1+((Inputs!$G$5:$G$140&lt;&gt;"moeda")*(Inputs!$G$5:$G$140&lt;&gt;"acoes")))*INDEX(Inputs!$K$5:$AJ$140,0,MATCH(F$2,Inputs!$K$4:$AJ$4,0)))+SUMPRODUCT((Inputs!$C$5:$C$140=$B37)*Inputs!$D$5:$D$140*(((Inputs!$G$5:$G$140="moeda")+(Inputs!$G$5:$G$140="acoes"))*Inputs!$B$1+((Inputs!$G$5:$G$140&lt;&gt;"moeda")*(Inputs!$G$5:$G$140&lt;&gt;"acoes")))*INDEX(Inputs!$K$5:$AJ$140,0,MATCH(F$2,Inputs!$K$4:$AJ$4,0)))+SUMPRODUCT((Inputs!$E$5:$E$140=$B37)*Inputs!$F$5:$F$140*(((Inputs!$G$5:$G$140="moeda")+(Inputs!$G$5:$G$140="acoes"))*Inputs!$B$1+((Inputs!$G$5:$G$140&lt;&gt;"moeda")*(Inputs!$G$5:$G$140&lt;&gt;"acoes")))*INDEX(Inputs!$K$5:$AJ$140,0,MATCH(F$2,Inputs!$K$4:$AJ$4,0)))))</f>
        <v>#N/A</v>
      </c>
      <c r="G37" s="6" t="e">
        <f>IF(ISNA(MATCH(G$2,Inputs!$K$4:$AJ$4,0)),NA(),IF(SUMPRODUCT((Inputs!$A$5:$A$140=$B37)*ISNUMBER(INDEX(Inputs!$K$5:$AJ$140,0,MATCH(G$2,Inputs!$K$4:$AJ$4,0))))+SUMPRODUCT((Inputs!$C$5:$C$140=$B37)*ISNUMBER(INDEX(Inputs!$K$5:$AJ$140,0,MATCH(G$2,Inputs!$K$4:$AJ$4,0))))+SUMPRODUCT((Inputs!$E$5:$E$140=$B37)*ISNUMBER(INDEX(Inputs!$K$5:$AJ$140,0,MATCH(G$2,Inputs!$K$4:$AJ$4,0))))=0,NA(),SUMPRODUCT((Inputs!$A$5:$A$140=$B37)*Inputs!$B$5:$B$140*(((Inputs!$G$5:$G$140="moeda")+(Inputs!$G$5:$G$140="acoes"))*Inputs!$B$1+((Inputs!$G$5:$G$140&lt;&gt;"moeda")*(Inputs!$G$5:$G$140&lt;&gt;"acoes")))*INDEX(Inputs!$K$5:$AJ$140,0,MATCH(G$2,Inputs!$K$4:$AJ$4,0)))+SUMPRODUCT((Inputs!$C$5:$C$140=$B37)*Inputs!$D$5:$D$140*(((Inputs!$G$5:$G$140="moeda")+(Inputs!$G$5:$G$140="acoes"))*Inputs!$B$1+((Inputs!$G$5:$G$140&lt;&gt;"moeda")*(Inputs!$G$5:$G$140&lt;&gt;"acoes")))*INDEX(Inputs!$K$5:$AJ$140,0,MATCH(G$2,Inputs!$K$4:$AJ$4,0)))+SUMPRODUCT((Inputs!$E$5:$E$140=$B37)*Inputs!$F$5:$F$140*(((Inputs!$G$5:$G$140="moeda")+(Inputs!$G$5:$G$140="acoes"))*Inputs!$B$1+((Inputs!$G$5:$G$140&lt;&gt;"moeda")*(Inputs!$G$5:$G$140&lt;&gt;"acoes")))*INDEX(Inputs!$K$5:$AJ$140,0,MATCH(G$2,Inputs!$K$4:$AJ$4,0)))))</f>
        <v>#N/A</v>
      </c>
      <c r="H37" s="3" t="e">
        <f>G37</f>
        <v>#N/A</v>
      </c>
      <c r="I37" s="6" t="e">
        <f>IF(ISNA(MATCH(I$2,Inputs!$K$4:$AJ$4,0)),NA(),IF(SUMPRODUCT((Inputs!$A$5:$A$140=$B37)*ISNUMBER(INDEX(Inputs!$K$5:$AJ$140,0,MATCH(I$2,Inputs!$K$4:$AJ$4,0))))+SUMPRODUCT((Inputs!$C$5:$C$140=$B37)*ISNUMBER(INDEX(Inputs!$K$5:$AJ$140,0,MATCH(I$2,Inputs!$K$4:$AJ$4,0))))+SUMPRODUCT((Inputs!$E$5:$E$140=$B37)*ISNUMBER(INDEX(Inputs!$K$5:$AJ$140,0,MATCH(I$2,Inputs!$K$4:$AJ$4,0))))=0,NA(),SUMPRODUCT((Inputs!$A$5:$A$140=$B37)*Inputs!$B$5:$B$140*(((Inputs!$G$5:$G$140="moeda")+(Inputs!$G$5:$G$140="acoes"))*Inputs!$B$1+((Inputs!$G$5:$G$140&lt;&gt;"moeda")*(Inputs!$G$5:$G$140&lt;&gt;"acoes")))*INDEX(Inputs!$K$5:$AJ$140,0,MATCH(I$2,Inputs!$K$4:$AJ$4,0)))+SUMPRODUCT((Inputs!$C$5:$C$140=$B37)*Inputs!$D$5:$D$140*(((Inputs!$G$5:$G$140="moeda")+(Inputs!$G$5:$G$140="acoes"))*Inputs!$B$1+((Inputs!$G$5:$G$140&lt;&gt;"moeda")*(Inputs!$G$5:$G$140&lt;&gt;"acoes")))*INDEX(Inputs!$K$5:$AJ$140,0,MATCH(I$2,Inputs!$K$4:$AJ$4,0)))+SUMPRODUCT((Inputs!$E$5:$E$140=$B37)*Inputs!$F$5:$F$140*(((Inputs!$G$5:$G$140="moeda")+(Inputs!$G$5:$G$140="acoes"))*Inputs!$B$1+((Inputs!$G$5:$G$140&lt;&gt;"moeda")*(Inputs!$G$5:$G$140&lt;&gt;"acoes")))*INDEX(Inputs!$K$5:$AJ$140,0,MATCH(I$2,Inputs!$K$4:$AJ$4,0)))))</f>
        <v>#N/A</v>
      </c>
      <c r="J37" s="6" t="e">
        <f>IF(ISNA(MATCH(J$2,Inputs!$K$4:$AJ$4,0)),NA(),IF(SUMPRODUCT((Inputs!$A$5:$A$140=$B37)*ISNUMBER(INDEX(Inputs!$K$5:$AJ$140,0,MATCH(J$2,Inputs!$K$4:$AJ$4,0))))+SUMPRODUCT((Inputs!$C$5:$C$140=$B37)*ISNUMBER(INDEX(Inputs!$K$5:$AJ$140,0,MATCH(J$2,Inputs!$K$4:$AJ$4,0))))+SUMPRODUCT((Inputs!$E$5:$E$140=$B37)*ISNUMBER(INDEX(Inputs!$K$5:$AJ$140,0,MATCH(J$2,Inputs!$K$4:$AJ$4,0))))=0,NA(),SUMPRODUCT((Inputs!$A$5:$A$140=$B37)*Inputs!$B$5:$B$140*(((Inputs!$G$5:$G$140="moeda")+(Inputs!$G$5:$G$140="acoes"))*Inputs!$B$1+((Inputs!$G$5:$G$140&lt;&gt;"moeda")*(Inputs!$G$5:$G$140&lt;&gt;"acoes")))*INDEX(Inputs!$K$5:$AJ$140,0,MATCH(J$2,Inputs!$K$4:$AJ$4,0)))+SUMPRODUCT((Inputs!$C$5:$C$140=$B37)*Inputs!$D$5:$D$140*(((Inputs!$G$5:$G$140="moeda")+(Inputs!$G$5:$G$140="acoes"))*Inputs!$B$1+((Inputs!$G$5:$G$140&lt;&gt;"moeda")*(Inputs!$G$5:$G$140&lt;&gt;"acoes")))*INDEX(Inputs!$K$5:$AJ$140,0,MATCH(J$2,Inputs!$K$4:$AJ$4,0)))+SUMPRODUCT((Inputs!$E$5:$E$140=$B37)*Inputs!$F$5:$F$140*(((Inputs!$G$5:$G$140="moeda")+(Inputs!$G$5:$G$140="acoes"))*Inputs!$B$1+((Inputs!$G$5:$G$140&lt;&gt;"moeda")*(Inputs!$G$5:$G$140&lt;&gt;"acoes")))*INDEX(Inputs!$K$5:$AJ$140,0,MATCH(J$2,Inputs!$K$4:$AJ$4,0)))))</f>
        <v>#N/A</v>
      </c>
      <c r="K37" s="6" t="e">
        <f>IF(ISNA(MATCH(K$2,Inputs!$K$4:$AJ$4,0)),NA(),IF(SUMPRODUCT((Inputs!$A$5:$A$140=$B37)*ISNUMBER(INDEX(Inputs!$K$5:$AJ$140,0,MATCH(K$2,Inputs!$K$4:$AJ$4,0))))+SUMPRODUCT((Inputs!$C$5:$C$140=$B37)*ISNUMBER(INDEX(Inputs!$K$5:$AJ$140,0,MATCH(K$2,Inputs!$K$4:$AJ$4,0))))+SUMPRODUCT((Inputs!$E$5:$E$140=$B37)*ISNUMBER(INDEX(Inputs!$K$5:$AJ$140,0,MATCH(K$2,Inputs!$K$4:$AJ$4,0))))=0,NA(),SUMPRODUCT((Inputs!$A$5:$A$140=$B37)*Inputs!$B$5:$B$140*(((Inputs!$G$5:$G$140="moeda")+(Inputs!$G$5:$G$140="acoes"))*Inputs!$B$1+((Inputs!$G$5:$G$140&lt;&gt;"moeda")*(Inputs!$G$5:$G$140&lt;&gt;"acoes")))*INDEX(Inputs!$K$5:$AJ$140,0,MATCH(K$2,Inputs!$K$4:$AJ$4,0)))+SUMPRODUCT((Inputs!$C$5:$C$140=$B37)*Inputs!$D$5:$D$140*(((Inputs!$G$5:$G$140="moeda")+(Inputs!$G$5:$G$140="acoes"))*Inputs!$B$1+((Inputs!$G$5:$G$140&lt;&gt;"moeda")*(Inputs!$G$5:$G$140&lt;&gt;"acoes")))*INDEX(Inputs!$K$5:$AJ$140,0,MATCH(K$2,Inputs!$K$4:$AJ$4,0)))+SUMPRODUCT((Inputs!$E$5:$E$140=$B37)*Inputs!$F$5:$F$140*(((Inputs!$G$5:$G$140="moeda")+(Inputs!$G$5:$G$140="acoes"))*Inputs!$B$1+((Inputs!$G$5:$G$140&lt;&gt;"moeda")*(Inputs!$G$5:$G$140&lt;&gt;"acoes")))*INDEX(Inputs!$K$5:$AJ$140,0,MATCH(K$2,Inputs!$K$4:$AJ$4,0)))))</f>
        <v>#N/A</v>
      </c>
      <c r="L37" s="6" t="e">
        <f>IF(ISNA(MATCH(L$2,Inputs!$K$4:$AJ$4,0)),NA(),IF(SUMPRODUCT((Inputs!$A$5:$A$140=$B37)*ISNUMBER(INDEX(Inputs!$K$5:$AJ$140,0,MATCH(L$2,Inputs!$K$4:$AJ$4,0))))+SUMPRODUCT((Inputs!$C$5:$C$140=$B37)*ISNUMBER(INDEX(Inputs!$K$5:$AJ$140,0,MATCH(L$2,Inputs!$K$4:$AJ$4,0))))+SUMPRODUCT((Inputs!$E$5:$E$140=$B37)*ISNUMBER(INDEX(Inputs!$K$5:$AJ$140,0,MATCH(L$2,Inputs!$K$4:$AJ$4,0))))=0,NA(),SUMPRODUCT((Inputs!$A$5:$A$140=$B37)*Inputs!$B$5:$B$140*(((Inputs!$G$5:$G$140="moeda")+(Inputs!$G$5:$G$140="acoes"))*Inputs!$B$1+((Inputs!$G$5:$G$140&lt;&gt;"moeda")*(Inputs!$G$5:$G$140&lt;&gt;"acoes")))*INDEX(Inputs!$K$5:$AJ$140,0,MATCH(L$2,Inputs!$K$4:$AJ$4,0)))+SUMPRODUCT((Inputs!$C$5:$C$140=$B37)*Inputs!$D$5:$D$140*(((Inputs!$G$5:$G$140="moeda")+(Inputs!$G$5:$G$140="acoes"))*Inputs!$B$1+((Inputs!$G$5:$G$140&lt;&gt;"moeda")*(Inputs!$G$5:$G$140&lt;&gt;"acoes")))*INDEX(Inputs!$K$5:$AJ$140,0,MATCH(L$2,Inputs!$K$4:$AJ$4,0)))+SUMPRODUCT((Inputs!$E$5:$E$140=$B37)*Inputs!$F$5:$F$140*(((Inputs!$G$5:$G$140="moeda")+(Inputs!$G$5:$G$140="acoes"))*Inputs!$B$1+((Inputs!$G$5:$G$140&lt;&gt;"moeda")*(Inputs!$G$5:$G$140&lt;&gt;"acoes")))*INDEX(Inputs!$K$5:$AJ$140,0,MATCH(L$2,Inputs!$K$4:$AJ$4,0)))))</f>
        <v>#N/A</v>
      </c>
      <c r="M37" s="3" t="e">
        <f>L37</f>
        <v>#N/A</v>
      </c>
      <c r="N37" s="6" t="e">
        <f>IF(ISNA(MATCH(N$2,Inputs!$K$4:$AJ$4,0)),NA(),IF(SUMPRODUCT((Inputs!$A$5:$A$140=$B37)*ISNUMBER(INDEX(Inputs!$K$5:$AJ$140,0,MATCH(N$2,Inputs!$K$4:$AJ$4,0))))+SUMPRODUCT((Inputs!$C$5:$C$140=$B37)*ISNUMBER(INDEX(Inputs!$K$5:$AJ$140,0,MATCH(N$2,Inputs!$K$4:$AJ$4,0))))+SUMPRODUCT((Inputs!$E$5:$E$140=$B37)*ISNUMBER(INDEX(Inputs!$K$5:$AJ$140,0,MATCH(N$2,Inputs!$K$4:$AJ$4,0))))=0,NA(),SUMPRODUCT((Inputs!$A$5:$A$140=$B37)*Inputs!$B$5:$B$140*(((Inputs!$G$5:$G$140="moeda")+(Inputs!$G$5:$G$140="acoes"))*Inputs!$B$1+((Inputs!$G$5:$G$140&lt;&gt;"moeda")*(Inputs!$G$5:$G$140&lt;&gt;"acoes")))*INDEX(Inputs!$K$5:$AJ$140,0,MATCH(N$2,Inputs!$K$4:$AJ$4,0)))+SUMPRODUCT((Inputs!$C$5:$C$140=$B37)*Inputs!$D$5:$D$140*(((Inputs!$G$5:$G$140="moeda")+(Inputs!$G$5:$G$140="acoes"))*Inputs!$B$1+((Inputs!$G$5:$G$140&lt;&gt;"moeda")*(Inputs!$G$5:$G$140&lt;&gt;"acoes")))*INDEX(Inputs!$K$5:$AJ$140,0,MATCH(N$2,Inputs!$K$4:$AJ$4,0)))+SUMPRODUCT((Inputs!$E$5:$E$140=$B37)*Inputs!$F$5:$F$140*(((Inputs!$G$5:$G$140="moeda")+(Inputs!$G$5:$G$140="acoes"))*Inputs!$B$1+((Inputs!$G$5:$G$140&lt;&gt;"moeda")*(Inputs!$G$5:$G$140&lt;&gt;"acoes")))*INDEX(Inputs!$K$5:$AJ$140,0,MATCH(N$2,Inputs!$K$4:$AJ$4,0)))))</f>
        <v>#N/A</v>
      </c>
      <c r="O37" s="6" t="e">
        <f>IF(ISNA(MATCH(O$2,Inputs!$K$4:$AJ$4,0)),NA(),IF(SUMPRODUCT((Inputs!$A$5:$A$140=$B37)*ISNUMBER(INDEX(Inputs!$K$5:$AJ$140,0,MATCH(O$2,Inputs!$K$4:$AJ$4,0))))+SUMPRODUCT((Inputs!$C$5:$C$140=$B37)*ISNUMBER(INDEX(Inputs!$K$5:$AJ$140,0,MATCH(O$2,Inputs!$K$4:$AJ$4,0))))+SUMPRODUCT((Inputs!$E$5:$E$140=$B37)*ISNUMBER(INDEX(Inputs!$K$5:$AJ$140,0,MATCH(O$2,Inputs!$K$4:$AJ$4,0))))=0,NA(),SUMPRODUCT((Inputs!$A$5:$A$140=$B37)*Inputs!$B$5:$B$140*(((Inputs!$G$5:$G$140="moeda")+(Inputs!$G$5:$G$140="acoes"))*Inputs!$B$1+((Inputs!$G$5:$G$140&lt;&gt;"moeda")*(Inputs!$G$5:$G$140&lt;&gt;"acoes")))*INDEX(Inputs!$K$5:$AJ$140,0,MATCH(O$2,Inputs!$K$4:$AJ$4,0)))+SUMPRODUCT((Inputs!$C$5:$C$140=$B37)*Inputs!$D$5:$D$140*(((Inputs!$G$5:$G$140="moeda")+(Inputs!$G$5:$G$140="acoes"))*Inputs!$B$1+((Inputs!$G$5:$G$140&lt;&gt;"moeda")*(Inputs!$G$5:$G$140&lt;&gt;"acoes")))*INDEX(Inputs!$K$5:$AJ$140,0,MATCH(O$2,Inputs!$K$4:$AJ$4,0)))+SUMPRODUCT((Inputs!$E$5:$E$140=$B37)*Inputs!$F$5:$F$140*(((Inputs!$G$5:$G$140="moeda")+(Inputs!$G$5:$G$140="acoes"))*Inputs!$B$1+((Inputs!$G$5:$G$140&lt;&gt;"moeda")*(Inputs!$G$5:$G$140&lt;&gt;"acoes")))*INDEX(Inputs!$K$5:$AJ$140,0,MATCH(O$2,Inputs!$K$4:$AJ$4,0)))))</f>
        <v>#N/A</v>
      </c>
      <c r="P37" s="6" t="e">
        <f>IF(ISNA(MATCH(P$2,Inputs!$K$4:$AJ$4,0)),NA(),IF(SUMPRODUCT((Inputs!$A$5:$A$140=$B37)*ISNUMBER(INDEX(Inputs!$K$5:$AJ$140,0,MATCH(P$2,Inputs!$K$4:$AJ$4,0))))+SUMPRODUCT((Inputs!$C$5:$C$140=$B37)*ISNUMBER(INDEX(Inputs!$K$5:$AJ$140,0,MATCH(P$2,Inputs!$K$4:$AJ$4,0))))+SUMPRODUCT((Inputs!$E$5:$E$140=$B37)*ISNUMBER(INDEX(Inputs!$K$5:$AJ$140,0,MATCH(P$2,Inputs!$K$4:$AJ$4,0))))=0,NA(),SUMPRODUCT((Inputs!$A$5:$A$140=$B37)*Inputs!$B$5:$B$140*(((Inputs!$G$5:$G$140="moeda")+(Inputs!$G$5:$G$140="acoes"))*Inputs!$B$1+((Inputs!$G$5:$G$140&lt;&gt;"moeda")*(Inputs!$G$5:$G$140&lt;&gt;"acoes")))*INDEX(Inputs!$K$5:$AJ$140,0,MATCH(P$2,Inputs!$K$4:$AJ$4,0)))+SUMPRODUCT((Inputs!$C$5:$C$140=$B37)*Inputs!$D$5:$D$140*(((Inputs!$G$5:$G$140="moeda")+(Inputs!$G$5:$G$140="acoes"))*Inputs!$B$1+((Inputs!$G$5:$G$140&lt;&gt;"moeda")*(Inputs!$G$5:$G$140&lt;&gt;"acoes")))*INDEX(Inputs!$K$5:$AJ$140,0,MATCH(P$2,Inputs!$K$4:$AJ$4,0)))+SUMPRODUCT((Inputs!$E$5:$E$140=$B37)*Inputs!$F$5:$F$140*(((Inputs!$G$5:$G$140="moeda")+(Inputs!$G$5:$G$140="acoes"))*Inputs!$B$1+((Inputs!$G$5:$G$140&lt;&gt;"moeda")*(Inputs!$G$5:$G$140&lt;&gt;"acoes")))*INDEX(Inputs!$K$5:$AJ$140,0,MATCH(P$2,Inputs!$K$4:$AJ$4,0)))))</f>
        <v>#N/A</v>
      </c>
      <c r="Q37" s="6" t="e">
        <f>IF(ISNA(MATCH(Q$2,Inputs!$K$4:$AJ$4,0)),NA(),IF(SUMPRODUCT((Inputs!$A$5:$A$140=$B37)*ISNUMBER(INDEX(Inputs!$K$5:$AJ$140,0,MATCH(Q$2,Inputs!$K$4:$AJ$4,0))))+SUMPRODUCT((Inputs!$C$5:$C$140=$B37)*ISNUMBER(INDEX(Inputs!$K$5:$AJ$140,0,MATCH(Q$2,Inputs!$K$4:$AJ$4,0))))+SUMPRODUCT((Inputs!$E$5:$E$140=$B37)*ISNUMBER(INDEX(Inputs!$K$5:$AJ$140,0,MATCH(Q$2,Inputs!$K$4:$AJ$4,0))))=0,NA(),SUMPRODUCT((Inputs!$A$5:$A$140=$B37)*Inputs!$B$5:$B$140*(((Inputs!$G$5:$G$140="moeda")+(Inputs!$G$5:$G$140="acoes"))*Inputs!$B$1+((Inputs!$G$5:$G$140&lt;&gt;"moeda")*(Inputs!$G$5:$G$140&lt;&gt;"acoes")))*INDEX(Inputs!$K$5:$AJ$140,0,MATCH(Q$2,Inputs!$K$4:$AJ$4,0)))+SUMPRODUCT((Inputs!$C$5:$C$140=$B37)*Inputs!$D$5:$D$140*(((Inputs!$G$5:$G$140="moeda")+(Inputs!$G$5:$G$140="acoes"))*Inputs!$B$1+((Inputs!$G$5:$G$140&lt;&gt;"moeda")*(Inputs!$G$5:$G$140&lt;&gt;"acoes")))*INDEX(Inputs!$K$5:$AJ$140,0,MATCH(Q$2,Inputs!$K$4:$AJ$4,0)))+SUMPRODUCT((Inputs!$E$5:$E$140=$B37)*Inputs!$F$5:$F$140*(((Inputs!$G$5:$G$140="moeda")+(Inputs!$G$5:$G$140="acoes"))*Inputs!$B$1+((Inputs!$G$5:$G$140&lt;&gt;"moeda")*(Inputs!$G$5:$G$140&lt;&gt;"acoes")))*INDEX(Inputs!$K$5:$AJ$140,0,MATCH(Q$2,Inputs!$K$4:$AJ$4,0)))))</f>
        <v>#N/A</v>
      </c>
      <c r="R37" s="3" t="e">
        <f>Q37</f>
        <v>#N/A</v>
      </c>
      <c r="S37" s="6" t="e">
        <f>IF(ISNA(MATCH(S$2,Inputs!$K$4:$AJ$4,0)),NA(),IF(SUMPRODUCT((Inputs!$A$5:$A$140=$B37)*ISNUMBER(INDEX(Inputs!$K$5:$AJ$140,0,MATCH(S$2,Inputs!$K$4:$AJ$4,0))))+SUMPRODUCT((Inputs!$C$5:$C$140=$B37)*ISNUMBER(INDEX(Inputs!$K$5:$AJ$140,0,MATCH(S$2,Inputs!$K$4:$AJ$4,0))))+SUMPRODUCT((Inputs!$E$5:$E$140=$B37)*ISNUMBER(INDEX(Inputs!$K$5:$AJ$140,0,MATCH(S$2,Inputs!$K$4:$AJ$4,0))))=0,NA(),SUMPRODUCT((Inputs!$A$5:$A$140=$B37)*Inputs!$B$5:$B$140*(((Inputs!$G$5:$G$140="moeda")+(Inputs!$G$5:$G$140="acoes"))*Inputs!$B$1+((Inputs!$G$5:$G$140&lt;&gt;"moeda")*(Inputs!$G$5:$G$140&lt;&gt;"acoes")))*INDEX(Inputs!$K$5:$AJ$140,0,MATCH(S$2,Inputs!$K$4:$AJ$4,0)))+SUMPRODUCT((Inputs!$C$5:$C$140=$B37)*Inputs!$D$5:$D$140*(((Inputs!$G$5:$G$140="moeda")+(Inputs!$G$5:$G$140="acoes"))*Inputs!$B$1+((Inputs!$G$5:$G$140&lt;&gt;"moeda")*(Inputs!$G$5:$G$140&lt;&gt;"acoes")))*INDEX(Inputs!$K$5:$AJ$140,0,MATCH(S$2,Inputs!$K$4:$AJ$4,0)))+SUMPRODUCT((Inputs!$E$5:$E$140=$B37)*Inputs!$F$5:$F$140*(((Inputs!$G$5:$G$140="moeda")+(Inputs!$G$5:$G$140="acoes"))*Inputs!$B$1+((Inputs!$G$5:$G$140&lt;&gt;"moeda")*(Inputs!$G$5:$G$140&lt;&gt;"acoes")))*INDEX(Inputs!$K$5:$AJ$140,0,MATCH(S$2,Inputs!$K$4:$AJ$4,0)))))</f>
        <v>#N/A</v>
      </c>
      <c r="T37" s="6" t="e">
        <f>IF(ISNA(MATCH(T$2,Inputs!$K$4:$AJ$4,0)),NA(),IF(SUMPRODUCT((Inputs!$A$5:$A$140=$B37)*ISNUMBER(INDEX(Inputs!$K$5:$AJ$140,0,MATCH(T$2,Inputs!$K$4:$AJ$4,0))))+SUMPRODUCT((Inputs!$C$5:$C$140=$B37)*ISNUMBER(INDEX(Inputs!$K$5:$AJ$140,0,MATCH(T$2,Inputs!$K$4:$AJ$4,0))))+SUMPRODUCT((Inputs!$E$5:$E$140=$B37)*ISNUMBER(INDEX(Inputs!$K$5:$AJ$140,0,MATCH(T$2,Inputs!$K$4:$AJ$4,0))))=0,NA(),SUMPRODUCT((Inputs!$A$5:$A$140=$B37)*Inputs!$B$5:$B$140*(((Inputs!$G$5:$G$140="moeda")+(Inputs!$G$5:$G$140="acoes"))*Inputs!$B$1+((Inputs!$G$5:$G$140&lt;&gt;"moeda")*(Inputs!$G$5:$G$140&lt;&gt;"acoes")))*INDEX(Inputs!$K$5:$AJ$140,0,MATCH(T$2,Inputs!$K$4:$AJ$4,0)))+SUMPRODUCT((Inputs!$C$5:$C$140=$B37)*Inputs!$D$5:$D$140*(((Inputs!$G$5:$G$140="moeda")+(Inputs!$G$5:$G$140="acoes"))*Inputs!$B$1+((Inputs!$G$5:$G$140&lt;&gt;"moeda")*(Inputs!$G$5:$G$140&lt;&gt;"acoes")))*INDEX(Inputs!$K$5:$AJ$140,0,MATCH(T$2,Inputs!$K$4:$AJ$4,0)))+SUMPRODUCT((Inputs!$E$5:$E$140=$B37)*Inputs!$F$5:$F$140*(((Inputs!$G$5:$G$140="moeda")+(Inputs!$G$5:$G$140="acoes"))*Inputs!$B$1+((Inputs!$G$5:$G$140&lt;&gt;"moeda")*(Inputs!$G$5:$G$140&lt;&gt;"acoes")))*INDEX(Inputs!$K$5:$AJ$140,0,MATCH(T$2,Inputs!$K$4:$AJ$4,0)))))</f>
        <v>#N/A</v>
      </c>
      <c r="U37" s="6" t="e">
        <f>IF(ISNA(MATCH(U$2,Inputs!$K$4:$AJ$4,0)),NA(),IF(SUMPRODUCT((Inputs!$A$5:$A$140=$B37)*ISNUMBER(INDEX(Inputs!$K$5:$AJ$140,0,MATCH(U$2,Inputs!$K$4:$AJ$4,0))))+SUMPRODUCT((Inputs!$C$5:$C$140=$B37)*ISNUMBER(INDEX(Inputs!$K$5:$AJ$140,0,MATCH(U$2,Inputs!$K$4:$AJ$4,0))))+SUMPRODUCT((Inputs!$E$5:$E$140=$B37)*ISNUMBER(INDEX(Inputs!$K$5:$AJ$140,0,MATCH(U$2,Inputs!$K$4:$AJ$4,0))))=0,NA(),SUMPRODUCT((Inputs!$A$5:$A$140=$B37)*Inputs!$B$5:$B$140*(((Inputs!$G$5:$G$140="moeda")+(Inputs!$G$5:$G$140="acoes"))*Inputs!$B$1+((Inputs!$G$5:$G$140&lt;&gt;"moeda")*(Inputs!$G$5:$G$140&lt;&gt;"acoes")))*INDEX(Inputs!$K$5:$AJ$140,0,MATCH(U$2,Inputs!$K$4:$AJ$4,0)))+SUMPRODUCT((Inputs!$C$5:$C$140=$B37)*Inputs!$D$5:$D$140*(((Inputs!$G$5:$G$140="moeda")+(Inputs!$G$5:$G$140="acoes"))*Inputs!$B$1+((Inputs!$G$5:$G$140&lt;&gt;"moeda")*(Inputs!$G$5:$G$140&lt;&gt;"acoes")))*INDEX(Inputs!$K$5:$AJ$140,0,MATCH(U$2,Inputs!$K$4:$AJ$4,0)))+SUMPRODUCT((Inputs!$E$5:$E$140=$B37)*Inputs!$F$5:$F$140*(((Inputs!$G$5:$G$140="moeda")+(Inputs!$G$5:$G$140="acoes"))*Inputs!$B$1+((Inputs!$G$5:$G$140&lt;&gt;"moeda")*(Inputs!$G$5:$G$140&lt;&gt;"acoes")))*INDEX(Inputs!$K$5:$AJ$140,0,MATCH(U$2,Inputs!$K$4:$AJ$4,0)))))</f>
        <v>#N/A</v>
      </c>
      <c r="V37" s="6" t="e">
        <f>IF(ISNA(MATCH(V$2,Inputs!$K$4:$AJ$4,0)),NA(),IF(SUMPRODUCT((Inputs!$A$5:$A$140=$B37)*ISNUMBER(INDEX(Inputs!$K$5:$AJ$140,0,MATCH(V$2,Inputs!$K$4:$AJ$4,0))))+SUMPRODUCT((Inputs!$C$5:$C$140=$B37)*ISNUMBER(INDEX(Inputs!$K$5:$AJ$140,0,MATCH(V$2,Inputs!$K$4:$AJ$4,0))))+SUMPRODUCT((Inputs!$E$5:$E$140=$B37)*ISNUMBER(INDEX(Inputs!$K$5:$AJ$140,0,MATCH(V$2,Inputs!$K$4:$AJ$4,0))))=0,NA(),SUMPRODUCT((Inputs!$A$5:$A$140=$B37)*Inputs!$B$5:$B$140*(((Inputs!$G$5:$G$140="moeda")+(Inputs!$G$5:$G$140="acoes"))*Inputs!$B$1+((Inputs!$G$5:$G$140&lt;&gt;"moeda")*(Inputs!$G$5:$G$140&lt;&gt;"acoes")))*INDEX(Inputs!$K$5:$AJ$140,0,MATCH(V$2,Inputs!$K$4:$AJ$4,0)))+SUMPRODUCT((Inputs!$C$5:$C$140=$B37)*Inputs!$D$5:$D$140*(((Inputs!$G$5:$G$140="moeda")+(Inputs!$G$5:$G$140="acoes"))*Inputs!$B$1+((Inputs!$G$5:$G$140&lt;&gt;"moeda")*(Inputs!$G$5:$G$140&lt;&gt;"acoes")))*INDEX(Inputs!$K$5:$AJ$140,0,MATCH(V$2,Inputs!$K$4:$AJ$4,0)))+SUMPRODUCT((Inputs!$E$5:$E$140=$B37)*Inputs!$F$5:$F$140*(((Inputs!$G$5:$G$140="moeda")+(Inputs!$G$5:$G$140="acoes"))*Inputs!$B$1+((Inputs!$G$5:$G$140&lt;&gt;"moeda")*(Inputs!$G$5:$G$140&lt;&gt;"acoes")))*INDEX(Inputs!$K$5:$AJ$140,0,MATCH(V$2,Inputs!$K$4:$AJ$4,0)))))</f>
        <v>#N/A</v>
      </c>
      <c r="W37" s="3" t="e">
        <f>V37</f>
        <v>#N/A</v>
      </c>
      <c r="X37" s="6" t="e">
        <f>IF(ISNA(MATCH(X$2,Inputs!$K$4:$AJ$4,0)),NA(),IF(SUMPRODUCT((Inputs!$A$5:$A$140=$B37)*ISNUMBER(INDEX(Inputs!$K$5:$AJ$140,0,MATCH(X$2,Inputs!$K$4:$AJ$4,0))))+SUMPRODUCT((Inputs!$C$5:$C$140=$B37)*ISNUMBER(INDEX(Inputs!$K$5:$AJ$140,0,MATCH(X$2,Inputs!$K$4:$AJ$4,0))))+SUMPRODUCT((Inputs!$E$5:$E$140=$B37)*ISNUMBER(INDEX(Inputs!$K$5:$AJ$140,0,MATCH(X$2,Inputs!$K$4:$AJ$4,0))))=0,NA(),SUMPRODUCT((Inputs!$A$5:$A$140=$B37)*Inputs!$B$5:$B$140*(((Inputs!$G$5:$G$140="moeda")+(Inputs!$G$5:$G$140="acoes"))*Inputs!$B$1+((Inputs!$G$5:$G$140&lt;&gt;"moeda")*(Inputs!$G$5:$G$140&lt;&gt;"acoes")))*INDEX(Inputs!$K$5:$AJ$140,0,MATCH(X$2,Inputs!$K$4:$AJ$4,0)))+SUMPRODUCT((Inputs!$C$5:$C$140=$B37)*Inputs!$D$5:$D$140*(((Inputs!$G$5:$G$140="moeda")+(Inputs!$G$5:$G$140="acoes"))*Inputs!$B$1+((Inputs!$G$5:$G$140&lt;&gt;"moeda")*(Inputs!$G$5:$G$140&lt;&gt;"acoes")))*INDEX(Inputs!$K$5:$AJ$140,0,MATCH(X$2,Inputs!$K$4:$AJ$4,0)))+SUMPRODUCT((Inputs!$E$5:$E$140=$B37)*Inputs!$F$5:$F$140*(((Inputs!$G$5:$G$140="moeda")+(Inputs!$G$5:$G$140="acoes"))*Inputs!$B$1+((Inputs!$G$5:$G$140&lt;&gt;"moeda")*(Inputs!$G$5:$G$140&lt;&gt;"acoes")))*INDEX(Inputs!$K$5:$AJ$140,0,MATCH(X$2,Inputs!$K$4:$AJ$4,0)))))</f>
        <v>#N/A</v>
      </c>
      <c r="Y37" s="6" t="e">
        <f>IF(ISNA(MATCH(Y$2,Inputs!$K$4:$AJ$4,0)),NA(),IF(SUMPRODUCT((Inputs!$A$5:$A$140=$B37)*ISNUMBER(INDEX(Inputs!$K$5:$AJ$140,0,MATCH(Y$2,Inputs!$K$4:$AJ$4,0))))+SUMPRODUCT((Inputs!$C$5:$C$140=$B37)*ISNUMBER(INDEX(Inputs!$K$5:$AJ$140,0,MATCH(Y$2,Inputs!$K$4:$AJ$4,0))))+SUMPRODUCT((Inputs!$E$5:$E$140=$B37)*ISNUMBER(INDEX(Inputs!$K$5:$AJ$140,0,MATCH(Y$2,Inputs!$K$4:$AJ$4,0))))=0,NA(),SUMPRODUCT((Inputs!$A$5:$A$140=$B37)*Inputs!$B$5:$B$140*(((Inputs!$G$5:$G$140="moeda")+(Inputs!$G$5:$G$140="acoes"))*Inputs!$B$1+((Inputs!$G$5:$G$140&lt;&gt;"moeda")*(Inputs!$G$5:$G$140&lt;&gt;"acoes")))*INDEX(Inputs!$K$5:$AJ$140,0,MATCH(Y$2,Inputs!$K$4:$AJ$4,0)))+SUMPRODUCT((Inputs!$C$5:$C$140=$B37)*Inputs!$D$5:$D$140*(((Inputs!$G$5:$G$140="moeda")+(Inputs!$G$5:$G$140="acoes"))*Inputs!$B$1+((Inputs!$G$5:$G$140&lt;&gt;"moeda")*(Inputs!$G$5:$G$140&lt;&gt;"acoes")))*INDEX(Inputs!$K$5:$AJ$140,0,MATCH(Y$2,Inputs!$K$4:$AJ$4,0)))+SUMPRODUCT((Inputs!$E$5:$E$140=$B37)*Inputs!$F$5:$F$140*(((Inputs!$G$5:$G$140="moeda")+(Inputs!$G$5:$G$140="acoes"))*Inputs!$B$1+((Inputs!$G$5:$G$140&lt;&gt;"moeda")*(Inputs!$G$5:$G$140&lt;&gt;"acoes")))*INDEX(Inputs!$K$5:$AJ$140,0,MATCH(Y$2,Inputs!$K$4:$AJ$4,0)))))</f>
        <v>#N/A</v>
      </c>
      <c r="Z37" s="6" t="e">
        <f>IF(ISNA(MATCH(Z$2,Inputs!$K$4:$AJ$4,0)),NA(),IF(SUMPRODUCT((Inputs!$A$5:$A$140=$B37)*ISNUMBER(INDEX(Inputs!$K$5:$AJ$140,0,MATCH(Z$2,Inputs!$K$4:$AJ$4,0))))+SUMPRODUCT((Inputs!$C$5:$C$140=$B37)*ISNUMBER(INDEX(Inputs!$K$5:$AJ$140,0,MATCH(Z$2,Inputs!$K$4:$AJ$4,0))))+SUMPRODUCT((Inputs!$E$5:$E$140=$B37)*ISNUMBER(INDEX(Inputs!$K$5:$AJ$140,0,MATCH(Z$2,Inputs!$K$4:$AJ$4,0))))=0,NA(),SUMPRODUCT((Inputs!$A$5:$A$140=$B37)*Inputs!$B$5:$B$140*(((Inputs!$G$5:$G$140="moeda")+(Inputs!$G$5:$G$140="acoes"))*Inputs!$B$1+((Inputs!$G$5:$G$140&lt;&gt;"moeda")*(Inputs!$G$5:$G$140&lt;&gt;"acoes")))*INDEX(Inputs!$K$5:$AJ$140,0,MATCH(Z$2,Inputs!$K$4:$AJ$4,0)))+SUMPRODUCT((Inputs!$C$5:$C$140=$B37)*Inputs!$D$5:$D$140*(((Inputs!$G$5:$G$140="moeda")+(Inputs!$G$5:$G$140="acoes"))*Inputs!$B$1+((Inputs!$G$5:$G$140&lt;&gt;"moeda")*(Inputs!$G$5:$G$140&lt;&gt;"acoes")))*INDEX(Inputs!$K$5:$AJ$140,0,MATCH(Z$2,Inputs!$K$4:$AJ$4,0)))+SUMPRODUCT((Inputs!$E$5:$E$140=$B37)*Inputs!$F$5:$F$140*(((Inputs!$G$5:$G$140="moeda")+(Inputs!$G$5:$G$140="acoes"))*Inputs!$B$1+((Inputs!$G$5:$G$140&lt;&gt;"moeda")*(Inputs!$G$5:$G$140&lt;&gt;"acoes")))*INDEX(Inputs!$K$5:$AJ$140,0,MATCH(Z$2,Inputs!$K$4:$AJ$4,0)))))</f>
        <v>#N/A</v>
      </c>
      <c r="AA37" s="6" t="e">
        <f>IF(ISNA(MATCH(AA$2,Inputs!$K$4:$AJ$4,0)),NA(),IF(SUMPRODUCT((Inputs!$A$5:$A$140=$B37)*ISNUMBER(INDEX(Inputs!$K$5:$AJ$140,0,MATCH(AA$2,Inputs!$K$4:$AJ$4,0))))+SUMPRODUCT((Inputs!$C$5:$C$140=$B37)*ISNUMBER(INDEX(Inputs!$K$5:$AJ$140,0,MATCH(AA$2,Inputs!$K$4:$AJ$4,0))))+SUMPRODUCT((Inputs!$E$5:$E$140=$B37)*ISNUMBER(INDEX(Inputs!$K$5:$AJ$140,0,MATCH(AA$2,Inputs!$K$4:$AJ$4,0))))=0,NA(),SUMPRODUCT((Inputs!$A$5:$A$140=$B37)*Inputs!$B$5:$B$140*(((Inputs!$G$5:$G$140="moeda")+(Inputs!$G$5:$G$140="acoes"))*Inputs!$B$1+((Inputs!$G$5:$G$140&lt;&gt;"moeda")*(Inputs!$G$5:$G$140&lt;&gt;"acoes")))*INDEX(Inputs!$K$5:$AJ$140,0,MATCH(AA$2,Inputs!$K$4:$AJ$4,0)))+SUMPRODUCT((Inputs!$C$5:$C$140=$B37)*Inputs!$D$5:$D$140*(((Inputs!$G$5:$G$140="moeda")+(Inputs!$G$5:$G$140="acoes"))*Inputs!$B$1+((Inputs!$G$5:$G$140&lt;&gt;"moeda")*(Inputs!$G$5:$G$140&lt;&gt;"acoes")))*INDEX(Inputs!$K$5:$AJ$140,0,MATCH(AA$2,Inputs!$K$4:$AJ$4,0)))+SUMPRODUCT((Inputs!$E$5:$E$140=$B37)*Inputs!$F$5:$F$140*(((Inputs!$G$5:$G$140="moeda")+(Inputs!$G$5:$G$140="acoes"))*Inputs!$B$1+((Inputs!$G$5:$G$140&lt;&gt;"moeda")*(Inputs!$G$5:$G$140&lt;&gt;"acoes")))*INDEX(Inputs!$K$5:$AJ$140,0,MATCH(AA$2,Inputs!$K$4:$AJ$4,0)))))</f>
        <v>#N/A</v>
      </c>
      <c r="AB37" s="3" t="e">
        <f>AA37</f>
        <v>#N/A</v>
      </c>
      <c r="AC37" s="6" t="e">
        <f>IF(ISNA(MATCH(AC$2,Inputs!$K$4:$AJ$4,0)),NA(),IF(SUMPRODUCT((Inputs!$A$5:$A$140=$B37)*ISNUMBER(INDEX(Inputs!$K$5:$AJ$140,0,MATCH(AC$2,Inputs!$K$4:$AJ$4,0))))+SUMPRODUCT((Inputs!$C$5:$C$140=$B37)*ISNUMBER(INDEX(Inputs!$K$5:$AJ$140,0,MATCH(AC$2,Inputs!$K$4:$AJ$4,0))))+SUMPRODUCT((Inputs!$E$5:$E$140=$B37)*ISNUMBER(INDEX(Inputs!$K$5:$AJ$140,0,MATCH(AC$2,Inputs!$K$4:$AJ$4,0))))=0,NA(),SUMPRODUCT((Inputs!$A$5:$A$140=$B37)*Inputs!$B$5:$B$140*(((Inputs!$G$5:$G$140="moeda")+(Inputs!$G$5:$G$140="acoes"))*Inputs!$B$1+((Inputs!$G$5:$G$140&lt;&gt;"moeda")*(Inputs!$G$5:$G$140&lt;&gt;"acoes")))*INDEX(Inputs!$K$5:$AJ$140,0,MATCH(AC$2,Inputs!$K$4:$AJ$4,0)))+SUMPRODUCT((Inputs!$C$5:$C$140=$B37)*Inputs!$D$5:$D$140*(((Inputs!$G$5:$G$140="moeda")+(Inputs!$G$5:$G$140="acoes"))*Inputs!$B$1+((Inputs!$G$5:$G$140&lt;&gt;"moeda")*(Inputs!$G$5:$G$140&lt;&gt;"acoes")))*INDEX(Inputs!$K$5:$AJ$140,0,MATCH(AC$2,Inputs!$K$4:$AJ$4,0)))+SUMPRODUCT((Inputs!$E$5:$E$140=$B37)*Inputs!$F$5:$F$140*(((Inputs!$G$5:$G$140="moeda")+(Inputs!$G$5:$G$140="acoes"))*Inputs!$B$1+((Inputs!$G$5:$G$140&lt;&gt;"moeda")*(Inputs!$G$5:$G$140&lt;&gt;"acoes")))*INDEX(Inputs!$K$5:$AJ$140,0,MATCH(AC$2,Inputs!$K$4:$AJ$4,0)))))</f>
        <v>#N/A</v>
      </c>
      <c r="AD37" s="6" t="e">
        <f>IF(ISNA(MATCH(AD$2,Inputs!$K$4:$AJ$4,0)),NA(),IF(SUMPRODUCT((Inputs!$A$5:$A$140=$B37)*ISNUMBER(INDEX(Inputs!$K$5:$AJ$140,0,MATCH(AD$2,Inputs!$K$4:$AJ$4,0))))+SUMPRODUCT((Inputs!$C$5:$C$140=$B37)*ISNUMBER(INDEX(Inputs!$K$5:$AJ$140,0,MATCH(AD$2,Inputs!$K$4:$AJ$4,0))))+SUMPRODUCT((Inputs!$E$5:$E$140=$B37)*ISNUMBER(INDEX(Inputs!$K$5:$AJ$140,0,MATCH(AD$2,Inputs!$K$4:$AJ$4,0))))=0,NA(),SUMPRODUCT((Inputs!$A$5:$A$140=$B37)*Inputs!$B$5:$B$140*(((Inputs!$G$5:$G$140="moeda")+(Inputs!$G$5:$G$140="acoes"))*Inputs!$B$1+((Inputs!$G$5:$G$140&lt;&gt;"moeda")*(Inputs!$G$5:$G$140&lt;&gt;"acoes")))*INDEX(Inputs!$K$5:$AJ$140,0,MATCH(AD$2,Inputs!$K$4:$AJ$4,0)))+SUMPRODUCT((Inputs!$C$5:$C$140=$B37)*Inputs!$D$5:$D$140*(((Inputs!$G$5:$G$140="moeda")+(Inputs!$G$5:$G$140="acoes"))*Inputs!$B$1+((Inputs!$G$5:$G$140&lt;&gt;"moeda")*(Inputs!$G$5:$G$140&lt;&gt;"acoes")))*INDEX(Inputs!$K$5:$AJ$140,0,MATCH(AD$2,Inputs!$K$4:$AJ$4,0)))+SUMPRODUCT((Inputs!$E$5:$E$140=$B37)*Inputs!$F$5:$F$140*(((Inputs!$G$5:$G$140="moeda")+(Inputs!$G$5:$G$140="acoes"))*Inputs!$B$1+((Inputs!$G$5:$G$140&lt;&gt;"moeda")*(Inputs!$G$5:$G$140&lt;&gt;"acoes")))*INDEX(Inputs!$K$5:$AJ$140,0,MATCH(AD$2,Inputs!$K$4:$AJ$4,0)))))</f>
        <v>#N/A</v>
      </c>
      <c r="AE37" s="6" t="e">
        <f>IF(ISNA(MATCH(AE$2,Inputs!$K$4:$AJ$4,0)),NA(),IF(SUMPRODUCT((Inputs!$A$5:$A$140=$B37)*ISNUMBER(INDEX(Inputs!$K$5:$AJ$140,0,MATCH(AE$2,Inputs!$K$4:$AJ$4,0))))+SUMPRODUCT((Inputs!$C$5:$C$140=$B37)*ISNUMBER(INDEX(Inputs!$K$5:$AJ$140,0,MATCH(AE$2,Inputs!$K$4:$AJ$4,0))))+SUMPRODUCT((Inputs!$E$5:$E$140=$B37)*ISNUMBER(INDEX(Inputs!$K$5:$AJ$140,0,MATCH(AE$2,Inputs!$K$4:$AJ$4,0))))=0,NA(),SUMPRODUCT((Inputs!$A$5:$A$140=$B37)*Inputs!$B$5:$B$140*(((Inputs!$G$5:$G$140="moeda")+(Inputs!$G$5:$G$140="acoes"))*Inputs!$B$1+((Inputs!$G$5:$G$140&lt;&gt;"moeda")*(Inputs!$G$5:$G$140&lt;&gt;"acoes")))*INDEX(Inputs!$K$5:$AJ$140,0,MATCH(AE$2,Inputs!$K$4:$AJ$4,0)))+SUMPRODUCT((Inputs!$C$5:$C$140=$B37)*Inputs!$D$5:$D$140*(((Inputs!$G$5:$G$140="moeda")+(Inputs!$G$5:$G$140="acoes"))*Inputs!$B$1+((Inputs!$G$5:$G$140&lt;&gt;"moeda")*(Inputs!$G$5:$G$140&lt;&gt;"acoes")))*INDEX(Inputs!$K$5:$AJ$140,0,MATCH(AE$2,Inputs!$K$4:$AJ$4,0)))+SUMPRODUCT((Inputs!$E$5:$E$140=$B37)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37" s="6" t="e">
        <f>IF(ISNA(MATCH(AF$2,Inputs!$K$4:$AJ$4,0)),NA(),IF(SUMPRODUCT((Inputs!$A$5:$A$140=$B37)*ISNUMBER(INDEX(Inputs!$K$5:$AJ$140,0,MATCH(AF$2,Inputs!$K$4:$AJ$4,0))))+SUMPRODUCT((Inputs!$C$5:$C$140=$B37)*ISNUMBER(INDEX(Inputs!$K$5:$AJ$140,0,MATCH(AF$2,Inputs!$K$4:$AJ$4,0))))+SUMPRODUCT((Inputs!$E$5:$E$140=$B37)*ISNUMBER(INDEX(Inputs!$K$5:$AJ$140,0,MATCH(AF$2,Inputs!$K$4:$AJ$4,0))))=0,NA(),SUMPRODUCT((Inputs!$A$5:$A$140=$B37)*Inputs!$B$5:$B$140*(((Inputs!$G$5:$G$140="moeda")+(Inputs!$G$5:$G$140="acoes"))*Inputs!$B$1+((Inputs!$G$5:$G$140&lt;&gt;"moeda")*(Inputs!$G$5:$G$140&lt;&gt;"acoes")))*INDEX(Inputs!$K$5:$AJ$140,0,MATCH(AF$2,Inputs!$K$4:$AJ$4,0)))+SUMPRODUCT((Inputs!$C$5:$C$140=$B37)*Inputs!$D$5:$D$140*(((Inputs!$G$5:$G$140="moeda")+(Inputs!$G$5:$G$140="acoes"))*Inputs!$B$1+((Inputs!$G$5:$G$140&lt;&gt;"moeda")*(Inputs!$G$5:$G$140&lt;&gt;"acoes")))*INDEX(Inputs!$K$5:$AJ$140,0,MATCH(AF$2,Inputs!$K$4:$AJ$4,0)))+SUMPRODUCT((Inputs!$E$5:$E$140=$B37)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37" s="3" t="e">
        <f>AF37</f>
        <v>#N/A</v>
      </c>
      <c r="AH37" s="6" t="e">
        <f>IF(ISNA(MATCH(AH$2,Inputs!$K$4:$AJ$4,0)),NA(),IF(SUMPRODUCT((Inputs!$A$5:$A$140=$B37)*ISNUMBER(INDEX(Inputs!$K$5:$AJ$140,0,MATCH(AH$2,Inputs!$K$4:$AJ$4,0))))+SUMPRODUCT((Inputs!$C$5:$C$140=$B37)*ISNUMBER(INDEX(Inputs!$K$5:$AJ$140,0,MATCH(AH$2,Inputs!$K$4:$AJ$4,0))))+SUMPRODUCT((Inputs!$E$5:$E$140=$B37)*ISNUMBER(INDEX(Inputs!$K$5:$AJ$140,0,MATCH(AH$2,Inputs!$K$4:$AJ$4,0))))=0,NA(),SUMPRODUCT((Inputs!$A$5:$A$140=$B37)*Inputs!$B$5:$B$140*(((Inputs!$G$5:$G$140="moeda")+(Inputs!$G$5:$G$140="acoes"))*Inputs!$B$1+((Inputs!$G$5:$G$140&lt;&gt;"moeda")*(Inputs!$G$5:$G$140&lt;&gt;"acoes")))*INDEX(Inputs!$K$5:$AJ$140,0,MATCH(AH$2,Inputs!$K$4:$AJ$4,0)))+SUMPRODUCT((Inputs!$C$5:$C$140=$B37)*Inputs!$D$5:$D$140*(((Inputs!$G$5:$G$140="moeda")+(Inputs!$G$5:$G$140="acoes"))*Inputs!$B$1+((Inputs!$G$5:$G$140&lt;&gt;"moeda")*(Inputs!$G$5:$G$140&lt;&gt;"acoes")))*INDEX(Inputs!$K$5:$AJ$140,0,MATCH(AH$2,Inputs!$K$4:$AJ$4,0)))+SUMPRODUCT((Inputs!$E$5:$E$140=$B37)*Inputs!$F$5:$F$140*(((Inputs!$G$5:$G$140="moeda")+(Inputs!$G$5:$G$140="acoes"))*Inputs!$B$1+((Inputs!$G$5:$G$140&lt;&gt;"moeda")*(Inputs!$G$5:$G$140&lt;&gt;"acoes")))*INDEX(Inputs!$K$5:$AJ$140,0,MATCH(AH$2,Inputs!$K$4:$AJ$4,0)))))</f>
        <v>#N/A</v>
      </c>
      <c r="AI37" s="6" t="e">
        <f>IF(ISNA(MATCH(AI$2,Inputs!$K$4:$AJ$4,0)),NA(),IF(SUMPRODUCT((Inputs!$A$5:$A$140=$B37)*ISNUMBER(INDEX(Inputs!$K$5:$AJ$140,0,MATCH(AI$2,Inputs!$K$4:$AJ$4,0))))+SUMPRODUCT((Inputs!$C$5:$C$140=$B37)*ISNUMBER(INDEX(Inputs!$K$5:$AJ$140,0,MATCH(AI$2,Inputs!$K$4:$AJ$4,0))))+SUMPRODUCT((Inputs!$E$5:$E$140=$B37)*ISNUMBER(INDEX(Inputs!$K$5:$AJ$140,0,MATCH(AI$2,Inputs!$K$4:$AJ$4,0))))=0,NA(),SUMPRODUCT((Inputs!$A$5:$A$140=$B37)*Inputs!$B$5:$B$140*(((Inputs!$G$5:$G$140="moeda")+(Inputs!$G$5:$G$140="acoes"))*Inputs!$B$1+((Inputs!$G$5:$G$140&lt;&gt;"moeda")*(Inputs!$G$5:$G$140&lt;&gt;"acoes")))*INDEX(Inputs!$K$5:$AJ$140,0,MATCH(AI$2,Inputs!$K$4:$AJ$4,0)))+SUMPRODUCT((Inputs!$C$5:$C$140=$B37)*Inputs!$D$5:$D$140*(((Inputs!$G$5:$G$140="moeda")+(Inputs!$G$5:$G$140="acoes"))*Inputs!$B$1+((Inputs!$G$5:$G$140&lt;&gt;"moeda")*(Inputs!$G$5:$G$140&lt;&gt;"acoes")))*INDEX(Inputs!$K$5:$AJ$140,0,MATCH(AI$2,Inputs!$K$4:$AJ$4,0)))+SUMPRODUCT((Inputs!$E$5:$E$140=$B37)*Inputs!$F$5:$F$140*(((Inputs!$G$5:$G$140="moeda")+(Inputs!$G$5:$G$140="acoes"))*Inputs!$B$1+((Inputs!$G$5:$G$140&lt;&gt;"moeda")*(Inputs!$G$5:$G$140&lt;&gt;"acoes")))*INDEX(Inputs!$K$5:$AJ$140,0,MATCH(AI$2,Inputs!$K$4:$AJ$4,0)))))</f>
        <v>#N/A</v>
      </c>
      <c r="AJ37" s="6" t="e">
        <f>IF(ISNA(MATCH(AJ$2,Inputs!$K$4:$AJ$4,0)),NA(),IF(SUMPRODUCT((Inputs!$A$5:$A$140=$B37)*ISNUMBER(INDEX(Inputs!$K$5:$AJ$140,0,MATCH(AJ$2,Inputs!$K$4:$AJ$4,0))))+SUMPRODUCT((Inputs!$C$5:$C$140=$B37)*ISNUMBER(INDEX(Inputs!$K$5:$AJ$140,0,MATCH(AJ$2,Inputs!$K$4:$AJ$4,0))))+SUMPRODUCT((Inputs!$E$5:$E$140=$B37)*ISNUMBER(INDEX(Inputs!$K$5:$AJ$140,0,MATCH(AJ$2,Inputs!$K$4:$AJ$4,0))))=0,NA(),SUMPRODUCT((Inputs!$A$5:$A$140=$B37)*Inputs!$B$5:$B$140*(((Inputs!$G$5:$G$140="moeda")+(Inputs!$G$5:$G$140="acoes"))*Inputs!$B$1+((Inputs!$G$5:$G$140&lt;&gt;"moeda")*(Inputs!$G$5:$G$140&lt;&gt;"acoes")))*INDEX(Inputs!$K$5:$AJ$140,0,MATCH(AJ$2,Inputs!$K$4:$AJ$4,0)))+SUMPRODUCT((Inputs!$C$5:$C$140=$B37)*Inputs!$D$5:$D$140*(((Inputs!$G$5:$G$140="moeda")+(Inputs!$G$5:$G$140="acoes"))*Inputs!$B$1+((Inputs!$G$5:$G$140&lt;&gt;"moeda")*(Inputs!$G$5:$G$140&lt;&gt;"acoes")))*INDEX(Inputs!$K$5:$AJ$140,0,MATCH(AJ$2,Inputs!$K$4:$AJ$4,0)))+SUMPRODUCT((Inputs!$E$5:$E$140=$B37)*Inputs!$F$5:$F$140*(((Inputs!$G$5:$G$140="moeda")+(Inputs!$G$5:$G$140="acoes"))*Inputs!$B$1+((Inputs!$G$5:$G$140&lt;&gt;"moeda")*(Inputs!$G$5:$G$140&lt;&gt;"acoes")))*INDEX(Inputs!$K$5:$AJ$140,0,MATCH(AJ$2,Inputs!$K$4:$AJ$4,0)))))</f>
        <v>#N/A</v>
      </c>
      <c r="AK37" s="6" t="e">
        <f>IF(ISNA(MATCH(AK$2,Inputs!$K$4:$AJ$4,0)),NA(),IF(SUMPRODUCT((Inputs!$A$5:$A$140=$B37)*ISNUMBER(INDEX(Inputs!$K$5:$AJ$140,0,MATCH(AK$2,Inputs!$K$4:$AJ$4,0))))+SUMPRODUCT((Inputs!$C$5:$C$140=$B37)*ISNUMBER(INDEX(Inputs!$K$5:$AJ$140,0,MATCH(AK$2,Inputs!$K$4:$AJ$4,0))))+SUMPRODUCT((Inputs!$E$5:$E$140=$B37)*ISNUMBER(INDEX(Inputs!$K$5:$AJ$140,0,MATCH(AK$2,Inputs!$K$4:$AJ$4,0))))=0,NA(),SUMPRODUCT((Inputs!$A$5:$A$140=$B37)*Inputs!$B$5:$B$140*(((Inputs!$G$5:$G$140="moeda")+(Inputs!$G$5:$G$140="acoes"))*Inputs!$B$1+((Inputs!$G$5:$G$140&lt;&gt;"moeda")*(Inputs!$G$5:$G$140&lt;&gt;"acoes")))*INDEX(Inputs!$K$5:$AJ$140,0,MATCH(AK$2,Inputs!$K$4:$AJ$4,0)))+SUMPRODUCT((Inputs!$C$5:$C$140=$B37)*Inputs!$D$5:$D$140*(((Inputs!$G$5:$G$140="moeda")+(Inputs!$G$5:$G$140="acoes"))*Inputs!$B$1+((Inputs!$G$5:$G$140&lt;&gt;"moeda")*(Inputs!$G$5:$G$140&lt;&gt;"acoes")))*INDEX(Inputs!$K$5:$AJ$140,0,MATCH(AK$2,Inputs!$K$4:$AJ$4,0)))+SUMPRODUCT((Inputs!$E$5:$E$140=$B37)*Inputs!$F$5:$F$140*(((Inputs!$G$5:$G$140="moeda")+(Inputs!$G$5:$G$140="acoes"))*Inputs!$B$1+((Inputs!$G$5:$G$140&lt;&gt;"moeda")*(Inputs!$G$5:$G$140&lt;&gt;"acoes")))*INDEX(Inputs!$K$5:$AJ$140,0,MATCH(AK$2,Inputs!$K$4:$AJ$4,0)))))</f>
        <v>#N/A</v>
      </c>
      <c r="AL37" s="3" t="e">
        <f>AK37</f>
        <v>#N/A</v>
      </c>
    </row>
    <row r="38">
      <c r="B38" s="46" t="n">
        <v>33</v>
      </c>
      <c r="C38" s="26" t="inlineStr">
        <is>
          <t>Deferred income taxes</t>
        </is>
      </c>
      <c r="D38" s="6" t="e">
        <f>IF(ISNA(MATCH(D$2,Inputs!$K$4:$AJ$4,0)),NA(),IF(SUMPRODUCT((Inputs!$A$5:$A$140=$B38)*ISNUMBER(INDEX(Inputs!$K$5:$AJ$140,0,MATCH(D$2,Inputs!$K$4:$AJ$4,0))))+SUMPRODUCT((Inputs!$C$5:$C$140=$B38)*ISNUMBER(INDEX(Inputs!$K$5:$AJ$140,0,MATCH(D$2,Inputs!$K$4:$AJ$4,0))))+SUMPRODUCT((Inputs!$E$5:$E$140=$B38)*ISNUMBER(INDEX(Inputs!$K$5:$AJ$140,0,MATCH(D$2,Inputs!$K$4:$AJ$4,0))))=0,NA(),SUMPRODUCT((Inputs!$A$5:$A$140=$B38)*Inputs!$B$5:$B$140*(((Inputs!$G$5:$G$140="moeda")+(Inputs!$G$5:$G$140="acoes"))*Inputs!$B$1+((Inputs!$G$5:$G$140&lt;&gt;"moeda")*(Inputs!$G$5:$G$140&lt;&gt;"acoes")))*INDEX(Inputs!$K$5:$AJ$140,0,MATCH(D$2,Inputs!$K$4:$AJ$4,0)))+SUMPRODUCT((Inputs!$C$5:$C$140=$B38)*Inputs!$D$5:$D$140*(((Inputs!$G$5:$G$140="moeda")+(Inputs!$G$5:$G$140="acoes"))*Inputs!$B$1+((Inputs!$G$5:$G$140&lt;&gt;"moeda")*(Inputs!$G$5:$G$140&lt;&gt;"acoes")))*INDEX(Inputs!$K$5:$AJ$140,0,MATCH(D$2,Inputs!$K$4:$AJ$4,0)))+SUMPRODUCT((Inputs!$E$5:$E$140=$B38)*Inputs!$F$5:$F$140*(((Inputs!$G$5:$G$140="moeda")+(Inputs!$G$5:$G$140="acoes"))*Inputs!$B$1+((Inputs!$G$5:$G$140&lt;&gt;"moeda")*(Inputs!$G$5:$G$140&lt;&gt;"acoes")))*INDEX(Inputs!$K$5:$AJ$140,0,MATCH(D$2,Inputs!$K$4:$AJ$4,0)))))</f>
        <v>#N/A</v>
      </c>
      <c r="E38" s="6" t="e">
        <f>IF(ISNA(MATCH(E$2,Inputs!$K$4:$AJ$4,0)),NA(),IF(SUMPRODUCT((Inputs!$A$5:$A$140=$B38)*ISNUMBER(INDEX(Inputs!$K$5:$AJ$140,0,MATCH(E$2,Inputs!$K$4:$AJ$4,0))))+SUMPRODUCT((Inputs!$C$5:$C$140=$B38)*ISNUMBER(INDEX(Inputs!$K$5:$AJ$140,0,MATCH(E$2,Inputs!$K$4:$AJ$4,0))))+SUMPRODUCT((Inputs!$E$5:$E$140=$B38)*ISNUMBER(INDEX(Inputs!$K$5:$AJ$140,0,MATCH(E$2,Inputs!$K$4:$AJ$4,0))))=0,NA(),SUMPRODUCT((Inputs!$A$5:$A$140=$B38)*Inputs!$B$5:$B$140*(((Inputs!$G$5:$G$140="moeda")+(Inputs!$G$5:$G$140="acoes"))*Inputs!$B$1+((Inputs!$G$5:$G$140&lt;&gt;"moeda")*(Inputs!$G$5:$G$140&lt;&gt;"acoes")))*INDEX(Inputs!$K$5:$AJ$140,0,MATCH(E$2,Inputs!$K$4:$AJ$4,0)))+SUMPRODUCT((Inputs!$C$5:$C$140=$B38)*Inputs!$D$5:$D$140*(((Inputs!$G$5:$G$140="moeda")+(Inputs!$G$5:$G$140="acoes"))*Inputs!$B$1+((Inputs!$G$5:$G$140&lt;&gt;"moeda")*(Inputs!$G$5:$G$140&lt;&gt;"acoes")))*INDEX(Inputs!$K$5:$AJ$140,0,MATCH(E$2,Inputs!$K$4:$AJ$4,0)))+SUMPRODUCT((Inputs!$E$5:$E$140=$B38)*Inputs!$F$5:$F$140*(((Inputs!$G$5:$G$140="moeda")+(Inputs!$G$5:$G$140="acoes"))*Inputs!$B$1+((Inputs!$G$5:$G$140&lt;&gt;"moeda")*(Inputs!$G$5:$G$140&lt;&gt;"acoes")))*INDEX(Inputs!$K$5:$AJ$140,0,MATCH(E$2,Inputs!$K$4:$AJ$4,0)))))</f>
        <v>#N/A</v>
      </c>
      <c r="F38" s="6" t="e">
        <f>IF(ISNA(MATCH(F$2,Inputs!$K$4:$AJ$4,0)),NA(),IF(SUMPRODUCT((Inputs!$A$5:$A$140=$B38)*ISNUMBER(INDEX(Inputs!$K$5:$AJ$140,0,MATCH(F$2,Inputs!$K$4:$AJ$4,0))))+SUMPRODUCT((Inputs!$C$5:$C$140=$B38)*ISNUMBER(INDEX(Inputs!$K$5:$AJ$140,0,MATCH(F$2,Inputs!$K$4:$AJ$4,0))))+SUMPRODUCT((Inputs!$E$5:$E$140=$B38)*ISNUMBER(INDEX(Inputs!$K$5:$AJ$140,0,MATCH(F$2,Inputs!$K$4:$AJ$4,0))))=0,NA(),SUMPRODUCT((Inputs!$A$5:$A$140=$B38)*Inputs!$B$5:$B$140*(((Inputs!$G$5:$G$140="moeda")+(Inputs!$G$5:$G$140="acoes"))*Inputs!$B$1+((Inputs!$G$5:$G$140&lt;&gt;"moeda")*(Inputs!$G$5:$G$140&lt;&gt;"acoes")))*INDEX(Inputs!$K$5:$AJ$140,0,MATCH(F$2,Inputs!$K$4:$AJ$4,0)))+SUMPRODUCT((Inputs!$C$5:$C$140=$B38)*Inputs!$D$5:$D$140*(((Inputs!$G$5:$G$140="moeda")+(Inputs!$G$5:$G$140="acoes"))*Inputs!$B$1+((Inputs!$G$5:$G$140&lt;&gt;"moeda")*(Inputs!$G$5:$G$140&lt;&gt;"acoes")))*INDEX(Inputs!$K$5:$AJ$140,0,MATCH(F$2,Inputs!$K$4:$AJ$4,0)))+SUMPRODUCT((Inputs!$E$5:$E$140=$B38)*Inputs!$F$5:$F$140*(((Inputs!$G$5:$G$140="moeda")+(Inputs!$G$5:$G$140="acoes"))*Inputs!$B$1+((Inputs!$G$5:$G$140&lt;&gt;"moeda")*(Inputs!$G$5:$G$140&lt;&gt;"acoes")))*INDEX(Inputs!$K$5:$AJ$140,0,MATCH(F$2,Inputs!$K$4:$AJ$4,0)))))</f>
        <v>#N/A</v>
      </c>
      <c r="G38" s="6" t="e">
        <f>IF(ISNA(MATCH(G$2,Inputs!$K$4:$AJ$4,0)),NA(),IF(SUMPRODUCT((Inputs!$A$5:$A$140=$B38)*ISNUMBER(INDEX(Inputs!$K$5:$AJ$140,0,MATCH(G$2,Inputs!$K$4:$AJ$4,0))))+SUMPRODUCT((Inputs!$C$5:$C$140=$B38)*ISNUMBER(INDEX(Inputs!$K$5:$AJ$140,0,MATCH(G$2,Inputs!$K$4:$AJ$4,0))))+SUMPRODUCT((Inputs!$E$5:$E$140=$B38)*ISNUMBER(INDEX(Inputs!$K$5:$AJ$140,0,MATCH(G$2,Inputs!$K$4:$AJ$4,0))))=0,NA(),SUMPRODUCT((Inputs!$A$5:$A$140=$B38)*Inputs!$B$5:$B$140*(((Inputs!$G$5:$G$140="moeda")+(Inputs!$G$5:$G$140="acoes"))*Inputs!$B$1+((Inputs!$G$5:$G$140&lt;&gt;"moeda")*(Inputs!$G$5:$G$140&lt;&gt;"acoes")))*INDEX(Inputs!$K$5:$AJ$140,0,MATCH(G$2,Inputs!$K$4:$AJ$4,0)))+SUMPRODUCT((Inputs!$C$5:$C$140=$B38)*Inputs!$D$5:$D$140*(((Inputs!$G$5:$G$140="moeda")+(Inputs!$G$5:$G$140="acoes"))*Inputs!$B$1+((Inputs!$G$5:$G$140&lt;&gt;"moeda")*(Inputs!$G$5:$G$140&lt;&gt;"acoes")))*INDEX(Inputs!$K$5:$AJ$140,0,MATCH(G$2,Inputs!$K$4:$AJ$4,0)))+SUMPRODUCT((Inputs!$E$5:$E$140=$B38)*Inputs!$F$5:$F$140*(((Inputs!$G$5:$G$140="moeda")+(Inputs!$G$5:$G$140="acoes"))*Inputs!$B$1+((Inputs!$G$5:$G$140&lt;&gt;"moeda")*(Inputs!$G$5:$G$140&lt;&gt;"acoes")))*INDEX(Inputs!$K$5:$AJ$140,0,MATCH(G$2,Inputs!$K$4:$AJ$4,0)))))</f>
        <v>#N/A</v>
      </c>
      <c r="H38" s="3" t="e">
        <f>G38</f>
        <v>#N/A</v>
      </c>
      <c r="I38" s="6" t="e">
        <f>IF(ISNA(MATCH(I$2,Inputs!$K$4:$AJ$4,0)),NA(),IF(SUMPRODUCT((Inputs!$A$5:$A$140=$B38)*ISNUMBER(INDEX(Inputs!$K$5:$AJ$140,0,MATCH(I$2,Inputs!$K$4:$AJ$4,0))))+SUMPRODUCT((Inputs!$C$5:$C$140=$B38)*ISNUMBER(INDEX(Inputs!$K$5:$AJ$140,0,MATCH(I$2,Inputs!$K$4:$AJ$4,0))))+SUMPRODUCT((Inputs!$E$5:$E$140=$B38)*ISNUMBER(INDEX(Inputs!$K$5:$AJ$140,0,MATCH(I$2,Inputs!$K$4:$AJ$4,0))))=0,NA(),SUMPRODUCT((Inputs!$A$5:$A$140=$B38)*Inputs!$B$5:$B$140*(((Inputs!$G$5:$G$140="moeda")+(Inputs!$G$5:$G$140="acoes"))*Inputs!$B$1+((Inputs!$G$5:$G$140&lt;&gt;"moeda")*(Inputs!$G$5:$G$140&lt;&gt;"acoes")))*INDEX(Inputs!$K$5:$AJ$140,0,MATCH(I$2,Inputs!$K$4:$AJ$4,0)))+SUMPRODUCT((Inputs!$C$5:$C$140=$B38)*Inputs!$D$5:$D$140*(((Inputs!$G$5:$G$140="moeda")+(Inputs!$G$5:$G$140="acoes"))*Inputs!$B$1+((Inputs!$G$5:$G$140&lt;&gt;"moeda")*(Inputs!$G$5:$G$140&lt;&gt;"acoes")))*INDEX(Inputs!$K$5:$AJ$140,0,MATCH(I$2,Inputs!$K$4:$AJ$4,0)))+SUMPRODUCT((Inputs!$E$5:$E$140=$B38)*Inputs!$F$5:$F$140*(((Inputs!$G$5:$G$140="moeda")+(Inputs!$G$5:$G$140="acoes"))*Inputs!$B$1+((Inputs!$G$5:$G$140&lt;&gt;"moeda")*(Inputs!$G$5:$G$140&lt;&gt;"acoes")))*INDEX(Inputs!$K$5:$AJ$140,0,MATCH(I$2,Inputs!$K$4:$AJ$4,0)))))</f>
        <v>#N/A</v>
      </c>
      <c r="J38" s="6" t="e">
        <f>IF(ISNA(MATCH(J$2,Inputs!$K$4:$AJ$4,0)),NA(),IF(SUMPRODUCT((Inputs!$A$5:$A$140=$B38)*ISNUMBER(INDEX(Inputs!$K$5:$AJ$140,0,MATCH(J$2,Inputs!$K$4:$AJ$4,0))))+SUMPRODUCT((Inputs!$C$5:$C$140=$B38)*ISNUMBER(INDEX(Inputs!$K$5:$AJ$140,0,MATCH(J$2,Inputs!$K$4:$AJ$4,0))))+SUMPRODUCT((Inputs!$E$5:$E$140=$B38)*ISNUMBER(INDEX(Inputs!$K$5:$AJ$140,0,MATCH(J$2,Inputs!$K$4:$AJ$4,0))))=0,NA(),SUMPRODUCT((Inputs!$A$5:$A$140=$B38)*Inputs!$B$5:$B$140*(((Inputs!$G$5:$G$140="moeda")+(Inputs!$G$5:$G$140="acoes"))*Inputs!$B$1+((Inputs!$G$5:$G$140&lt;&gt;"moeda")*(Inputs!$G$5:$G$140&lt;&gt;"acoes")))*INDEX(Inputs!$K$5:$AJ$140,0,MATCH(J$2,Inputs!$K$4:$AJ$4,0)))+SUMPRODUCT((Inputs!$C$5:$C$140=$B38)*Inputs!$D$5:$D$140*(((Inputs!$G$5:$G$140="moeda")+(Inputs!$G$5:$G$140="acoes"))*Inputs!$B$1+((Inputs!$G$5:$G$140&lt;&gt;"moeda")*(Inputs!$G$5:$G$140&lt;&gt;"acoes")))*INDEX(Inputs!$K$5:$AJ$140,0,MATCH(J$2,Inputs!$K$4:$AJ$4,0)))+SUMPRODUCT((Inputs!$E$5:$E$140=$B38)*Inputs!$F$5:$F$140*(((Inputs!$G$5:$G$140="moeda")+(Inputs!$G$5:$G$140="acoes"))*Inputs!$B$1+((Inputs!$G$5:$G$140&lt;&gt;"moeda")*(Inputs!$G$5:$G$140&lt;&gt;"acoes")))*INDEX(Inputs!$K$5:$AJ$140,0,MATCH(J$2,Inputs!$K$4:$AJ$4,0)))))</f>
        <v>#N/A</v>
      </c>
      <c r="K38" s="6" t="e">
        <f>IF(ISNA(MATCH(K$2,Inputs!$K$4:$AJ$4,0)),NA(),IF(SUMPRODUCT((Inputs!$A$5:$A$140=$B38)*ISNUMBER(INDEX(Inputs!$K$5:$AJ$140,0,MATCH(K$2,Inputs!$K$4:$AJ$4,0))))+SUMPRODUCT((Inputs!$C$5:$C$140=$B38)*ISNUMBER(INDEX(Inputs!$K$5:$AJ$140,0,MATCH(K$2,Inputs!$K$4:$AJ$4,0))))+SUMPRODUCT((Inputs!$E$5:$E$140=$B38)*ISNUMBER(INDEX(Inputs!$K$5:$AJ$140,0,MATCH(K$2,Inputs!$K$4:$AJ$4,0))))=0,NA(),SUMPRODUCT((Inputs!$A$5:$A$140=$B38)*Inputs!$B$5:$B$140*(((Inputs!$G$5:$G$140="moeda")+(Inputs!$G$5:$G$140="acoes"))*Inputs!$B$1+((Inputs!$G$5:$G$140&lt;&gt;"moeda")*(Inputs!$G$5:$G$140&lt;&gt;"acoes")))*INDEX(Inputs!$K$5:$AJ$140,0,MATCH(K$2,Inputs!$K$4:$AJ$4,0)))+SUMPRODUCT((Inputs!$C$5:$C$140=$B38)*Inputs!$D$5:$D$140*(((Inputs!$G$5:$G$140="moeda")+(Inputs!$G$5:$G$140="acoes"))*Inputs!$B$1+((Inputs!$G$5:$G$140&lt;&gt;"moeda")*(Inputs!$G$5:$G$140&lt;&gt;"acoes")))*INDEX(Inputs!$K$5:$AJ$140,0,MATCH(K$2,Inputs!$K$4:$AJ$4,0)))+SUMPRODUCT((Inputs!$E$5:$E$140=$B38)*Inputs!$F$5:$F$140*(((Inputs!$G$5:$G$140="moeda")+(Inputs!$G$5:$G$140="acoes"))*Inputs!$B$1+((Inputs!$G$5:$G$140&lt;&gt;"moeda")*(Inputs!$G$5:$G$140&lt;&gt;"acoes")))*INDEX(Inputs!$K$5:$AJ$140,0,MATCH(K$2,Inputs!$K$4:$AJ$4,0)))))</f>
        <v>#N/A</v>
      </c>
      <c r="L38" s="6" t="e">
        <f>IF(ISNA(MATCH(L$2,Inputs!$K$4:$AJ$4,0)),NA(),IF(SUMPRODUCT((Inputs!$A$5:$A$140=$B38)*ISNUMBER(INDEX(Inputs!$K$5:$AJ$140,0,MATCH(L$2,Inputs!$K$4:$AJ$4,0))))+SUMPRODUCT((Inputs!$C$5:$C$140=$B38)*ISNUMBER(INDEX(Inputs!$K$5:$AJ$140,0,MATCH(L$2,Inputs!$K$4:$AJ$4,0))))+SUMPRODUCT((Inputs!$E$5:$E$140=$B38)*ISNUMBER(INDEX(Inputs!$K$5:$AJ$140,0,MATCH(L$2,Inputs!$K$4:$AJ$4,0))))=0,NA(),SUMPRODUCT((Inputs!$A$5:$A$140=$B38)*Inputs!$B$5:$B$140*(((Inputs!$G$5:$G$140="moeda")+(Inputs!$G$5:$G$140="acoes"))*Inputs!$B$1+((Inputs!$G$5:$G$140&lt;&gt;"moeda")*(Inputs!$G$5:$G$140&lt;&gt;"acoes")))*INDEX(Inputs!$K$5:$AJ$140,0,MATCH(L$2,Inputs!$K$4:$AJ$4,0)))+SUMPRODUCT((Inputs!$C$5:$C$140=$B38)*Inputs!$D$5:$D$140*(((Inputs!$G$5:$G$140="moeda")+(Inputs!$G$5:$G$140="acoes"))*Inputs!$B$1+((Inputs!$G$5:$G$140&lt;&gt;"moeda")*(Inputs!$G$5:$G$140&lt;&gt;"acoes")))*INDEX(Inputs!$K$5:$AJ$140,0,MATCH(L$2,Inputs!$K$4:$AJ$4,0)))+SUMPRODUCT((Inputs!$E$5:$E$140=$B38)*Inputs!$F$5:$F$140*(((Inputs!$G$5:$G$140="moeda")+(Inputs!$G$5:$G$140="acoes"))*Inputs!$B$1+((Inputs!$G$5:$G$140&lt;&gt;"moeda")*(Inputs!$G$5:$G$140&lt;&gt;"acoes")))*INDEX(Inputs!$K$5:$AJ$140,0,MATCH(L$2,Inputs!$K$4:$AJ$4,0)))))</f>
        <v>#N/A</v>
      </c>
      <c r="M38" s="3" t="e">
        <f>L38</f>
        <v>#N/A</v>
      </c>
      <c r="N38" s="6" t="e">
        <f>IF(ISNA(MATCH(N$2,Inputs!$K$4:$AJ$4,0)),NA(),IF(SUMPRODUCT((Inputs!$A$5:$A$140=$B38)*ISNUMBER(INDEX(Inputs!$K$5:$AJ$140,0,MATCH(N$2,Inputs!$K$4:$AJ$4,0))))+SUMPRODUCT((Inputs!$C$5:$C$140=$B38)*ISNUMBER(INDEX(Inputs!$K$5:$AJ$140,0,MATCH(N$2,Inputs!$K$4:$AJ$4,0))))+SUMPRODUCT((Inputs!$E$5:$E$140=$B38)*ISNUMBER(INDEX(Inputs!$K$5:$AJ$140,0,MATCH(N$2,Inputs!$K$4:$AJ$4,0))))=0,NA(),SUMPRODUCT((Inputs!$A$5:$A$140=$B38)*Inputs!$B$5:$B$140*(((Inputs!$G$5:$G$140="moeda")+(Inputs!$G$5:$G$140="acoes"))*Inputs!$B$1+((Inputs!$G$5:$G$140&lt;&gt;"moeda")*(Inputs!$G$5:$G$140&lt;&gt;"acoes")))*INDEX(Inputs!$K$5:$AJ$140,0,MATCH(N$2,Inputs!$K$4:$AJ$4,0)))+SUMPRODUCT((Inputs!$C$5:$C$140=$B38)*Inputs!$D$5:$D$140*(((Inputs!$G$5:$G$140="moeda")+(Inputs!$G$5:$G$140="acoes"))*Inputs!$B$1+((Inputs!$G$5:$G$140&lt;&gt;"moeda")*(Inputs!$G$5:$G$140&lt;&gt;"acoes")))*INDEX(Inputs!$K$5:$AJ$140,0,MATCH(N$2,Inputs!$K$4:$AJ$4,0)))+SUMPRODUCT((Inputs!$E$5:$E$140=$B38)*Inputs!$F$5:$F$140*(((Inputs!$G$5:$G$140="moeda")+(Inputs!$G$5:$G$140="acoes"))*Inputs!$B$1+((Inputs!$G$5:$G$140&lt;&gt;"moeda")*(Inputs!$G$5:$G$140&lt;&gt;"acoes")))*INDEX(Inputs!$K$5:$AJ$140,0,MATCH(N$2,Inputs!$K$4:$AJ$4,0)))))</f>
        <v>#N/A</v>
      </c>
      <c r="O38" s="6" t="e">
        <f>IF(ISNA(MATCH(O$2,Inputs!$K$4:$AJ$4,0)),NA(),IF(SUMPRODUCT((Inputs!$A$5:$A$140=$B38)*ISNUMBER(INDEX(Inputs!$K$5:$AJ$140,0,MATCH(O$2,Inputs!$K$4:$AJ$4,0))))+SUMPRODUCT((Inputs!$C$5:$C$140=$B38)*ISNUMBER(INDEX(Inputs!$K$5:$AJ$140,0,MATCH(O$2,Inputs!$K$4:$AJ$4,0))))+SUMPRODUCT((Inputs!$E$5:$E$140=$B38)*ISNUMBER(INDEX(Inputs!$K$5:$AJ$140,0,MATCH(O$2,Inputs!$K$4:$AJ$4,0))))=0,NA(),SUMPRODUCT((Inputs!$A$5:$A$140=$B38)*Inputs!$B$5:$B$140*(((Inputs!$G$5:$G$140="moeda")+(Inputs!$G$5:$G$140="acoes"))*Inputs!$B$1+((Inputs!$G$5:$G$140&lt;&gt;"moeda")*(Inputs!$G$5:$G$140&lt;&gt;"acoes")))*INDEX(Inputs!$K$5:$AJ$140,0,MATCH(O$2,Inputs!$K$4:$AJ$4,0)))+SUMPRODUCT((Inputs!$C$5:$C$140=$B38)*Inputs!$D$5:$D$140*(((Inputs!$G$5:$G$140="moeda")+(Inputs!$G$5:$G$140="acoes"))*Inputs!$B$1+((Inputs!$G$5:$G$140&lt;&gt;"moeda")*(Inputs!$G$5:$G$140&lt;&gt;"acoes")))*INDEX(Inputs!$K$5:$AJ$140,0,MATCH(O$2,Inputs!$K$4:$AJ$4,0)))+SUMPRODUCT((Inputs!$E$5:$E$140=$B38)*Inputs!$F$5:$F$140*(((Inputs!$G$5:$G$140="moeda")+(Inputs!$G$5:$G$140="acoes"))*Inputs!$B$1+((Inputs!$G$5:$G$140&lt;&gt;"moeda")*(Inputs!$G$5:$G$140&lt;&gt;"acoes")))*INDEX(Inputs!$K$5:$AJ$140,0,MATCH(O$2,Inputs!$K$4:$AJ$4,0)))))</f>
        <v>#N/A</v>
      </c>
      <c r="P38" s="6" t="e">
        <f>IF(ISNA(MATCH(P$2,Inputs!$K$4:$AJ$4,0)),NA(),IF(SUMPRODUCT((Inputs!$A$5:$A$140=$B38)*ISNUMBER(INDEX(Inputs!$K$5:$AJ$140,0,MATCH(P$2,Inputs!$K$4:$AJ$4,0))))+SUMPRODUCT((Inputs!$C$5:$C$140=$B38)*ISNUMBER(INDEX(Inputs!$K$5:$AJ$140,0,MATCH(P$2,Inputs!$K$4:$AJ$4,0))))+SUMPRODUCT((Inputs!$E$5:$E$140=$B38)*ISNUMBER(INDEX(Inputs!$K$5:$AJ$140,0,MATCH(P$2,Inputs!$K$4:$AJ$4,0))))=0,NA(),SUMPRODUCT((Inputs!$A$5:$A$140=$B38)*Inputs!$B$5:$B$140*(((Inputs!$G$5:$G$140="moeda")+(Inputs!$G$5:$G$140="acoes"))*Inputs!$B$1+((Inputs!$G$5:$G$140&lt;&gt;"moeda")*(Inputs!$G$5:$G$140&lt;&gt;"acoes")))*INDEX(Inputs!$K$5:$AJ$140,0,MATCH(P$2,Inputs!$K$4:$AJ$4,0)))+SUMPRODUCT((Inputs!$C$5:$C$140=$B38)*Inputs!$D$5:$D$140*(((Inputs!$G$5:$G$140="moeda")+(Inputs!$G$5:$G$140="acoes"))*Inputs!$B$1+((Inputs!$G$5:$G$140&lt;&gt;"moeda")*(Inputs!$G$5:$G$140&lt;&gt;"acoes")))*INDEX(Inputs!$K$5:$AJ$140,0,MATCH(P$2,Inputs!$K$4:$AJ$4,0)))+SUMPRODUCT((Inputs!$E$5:$E$140=$B38)*Inputs!$F$5:$F$140*(((Inputs!$G$5:$G$140="moeda")+(Inputs!$G$5:$G$140="acoes"))*Inputs!$B$1+((Inputs!$G$5:$G$140&lt;&gt;"moeda")*(Inputs!$G$5:$G$140&lt;&gt;"acoes")))*INDEX(Inputs!$K$5:$AJ$140,0,MATCH(P$2,Inputs!$K$4:$AJ$4,0)))))</f>
        <v>#N/A</v>
      </c>
      <c r="Q38" s="6" t="e">
        <f>IF(ISNA(MATCH(Q$2,Inputs!$K$4:$AJ$4,0)),NA(),IF(SUMPRODUCT((Inputs!$A$5:$A$140=$B38)*ISNUMBER(INDEX(Inputs!$K$5:$AJ$140,0,MATCH(Q$2,Inputs!$K$4:$AJ$4,0))))+SUMPRODUCT((Inputs!$C$5:$C$140=$B38)*ISNUMBER(INDEX(Inputs!$K$5:$AJ$140,0,MATCH(Q$2,Inputs!$K$4:$AJ$4,0))))+SUMPRODUCT((Inputs!$E$5:$E$140=$B38)*ISNUMBER(INDEX(Inputs!$K$5:$AJ$140,0,MATCH(Q$2,Inputs!$K$4:$AJ$4,0))))=0,NA(),SUMPRODUCT((Inputs!$A$5:$A$140=$B38)*Inputs!$B$5:$B$140*(((Inputs!$G$5:$G$140="moeda")+(Inputs!$G$5:$G$140="acoes"))*Inputs!$B$1+((Inputs!$G$5:$G$140&lt;&gt;"moeda")*(Inputs!$G$5:$G$140&lt;&gt;"acoes")))*INDEX(Inputs!$K$5:$AJ$140,0,MATCH(Q$2,Inputs!$K$4:$AJ$4,0)))+SUMPRODUCT((Inputs!$C$5:$C$140=$B38)*Inputs!$D$5:$D$140*(((Inputs!$G$5:$G$140="moeda")+(Inputs!$G$5:$G$140="acoes"))*Inputs!$B$1+((Inputs!$G$5:$G$140&lt;&gt;"moeda")*(Inputs!$G$5:$G$140&lt;&gt;"acoes")))*INDEX(Inputs!$K$5:$AJ$140,0,MATCH(Q$2,Inputs!$K$4:$AJ$4,0)))+SUMPRODUCT((Inputs!$E$5:$E$140=$B38)*Inputs!$F$5:$F$140*(((Inputs!$G$5:$G$140="moeda")+(Inputs!$G$5:$G$140="acoes"))*Inputs!$B$1+((Inputs!$G$5:$G$140&lt;&gt;"moeda")*(Inputs!$G$5:$G$140&lt;&gt;"acoes")))*INDEX(Inputs!$K$5:$AJ$140,0,MATCH(Q$2,Inputs!$K$4:$AJ$4,0)))))</f>
        <v>#N/A</v>
      </c>
      <c r="R38" s="3" t="e">
        <f>Q38</f>
        <v>#N/A</v>
      </c>
      <c r="S38" s="6" t="e">
        <f>IF(ISNA(MATCH(S$2,Inputs!$K$4:$AJ$4,0)),NA(),IF(SUMPRODUCT((Inputs!$A$5:$A$140=$B38)*ISNUMBER(INDEX(Inputs!$K$5:$AJ$140,0,MATCH(S$2,Inputs!$K$4:$AJ$4,0))))+SUMPRODUCT((Inputs!$C$5:$C$140=$B38)*ISNUMBER(INDEX(Inputs!$K$5:$AJ$140,0,MATCH(S$2,Inputs!$K$4:$AJ$4,0))))+SUMPRODUCT((Inputs!$E$5:$E$140=$B38)*ISNUMBER(INDEX(Inputs!$K$5:$AJ$140,0,MATCH(S$2,Inputs!$K$4:$AJ$4,0))))=0,NA(),SUMPRODUCT((Inputs!$A$5:$A$140=$B38)*Inputs!$B$5:$B$140*(((Inputs!$G$5:$G$140="moeda")+(Inputs!$G$5:$G$140="acoes"))*Inputs!$B$1+((Inputs!$G$5:$G$140&lt;&gt;"moeda")*(Inputs!$G$5:$G$140&lt;&gt;"acoes")))*INDEX(Inputs!$K$5:$AJ$140,0,MATCH(S$2,Inputs!$K$4:$AJ$4,0)))+SUMPRODUCT((Inputs!$C$5:$C$140=$B38)*Inputs!$D$5:$D$140*(((Inputs!$G$5:$G$140="moeda")+(Inputs!$G$5:$G$140="acoes"))*Inputs!$B$1+((Inputs!$G$5:$G$140&lt;&gt;"moeda")*(Inputs!$G$5:$G$140&lt;&gt;"acoes")))*INDEX(Inputs!$K$5:$AJ$140,0,MATCH(S$2,Inputs!$K$4:$AJ$4,0)))+SUMPRODUCT((Inputs!$E$5:$E$140=$B38)*Inputs!$F$5:$F$140*(((Inputs!$G$5:$G$140="moeda")+(Inputs!$G$5:$G$140="acoes"))*Inputs!$B$1+((Inputs!$G$5:$G$140&lt;&gt;"moeda")*(Inputs!$G$5:$G$140&lt;&gt;"acoes")))*INDEX(Inputs!$K$5:$AJ$140,0,MATCH(S$2,Inputs!$K$4:$AJ$4,0)))))</f>
        <v>#N/A</v>
      </c>
      <c r="T38" s="6" t="e">
        <f>IF(ISNA(MATCH(T$2,Inputs!$K$4:$AJ$4,0)),NA(),IF(SUMPRODUCT((Inputs!$A$5:$A$140=$B38)*ISNUMBER(INDEX(Inputs!$K$5:$AJ$140,0,MATCH(T$2,Inputs!$K$4:$AJ$4,0))))+SUMPRODUCT((Inputs!$C$5:$C$140=$B38)*ISNUMBER(INDEX(Inputs!$K$5:$AJ$140,0,MATCH(T$2,Inputs!$K$4:$AJ$4,0))))+SUMPRODUCT((Inputs!$E$5:$E$140=$B38)*ISNUMBER(INDEX(Inputs!$K$5:$AJ$140,0,MATCH(T$2,Inputs!$K$4:$AJ$4,0))))=0,NA(),SUMPRODUCT((Inputs!$A$5:$A$140=$B38)*Inputs!$B$5:$B$140*(((Inputs!$G$5:$G$140="moeda")+(Inputs!$G$5:$G$140="acoes"))*Inputs!$B$1+((Inputs!$G$5:$G$140&lt;&gt;"moeda")*(Inputs!$G$5:$G$140&lt;&gt;"acoes")))*INDEX(Inputs!$K$5:$AJ$140,0,MATCH(T$2,Inputs!$K$4:$AJ$4,0)))+SUMPRODUCT((Inputs!$C$5:$C$140=$B38)*Inputs!$D$5:$D$140*(((Inputs!$G$5:$G$140="moeda")+(Inputs!$G$5:$G$140="acoes"))*Inputs!$B$1+((Inputs!$G$5:$G$140&lt;&gt;"moeda")*(Inputs!$G$5:$G$140&lt;&gt;"acoes")))*INDEX(Inputs!$K$5:$AJ$140,0,MATCH(T$2,Inputs!$K$4:$AJ$4,0)))+SUMPRODUCT((Inputs!$E$5:$E$140=$B38)*Inputs!$F$5:$F$140*(((Inputs!$G$5:$G$140="moeda")+(Inputs!$G$5:$G$140="acoes"))*Inputs!$B$1+((Inputs!$G$5:$G$140&lt;&gt;"moeda")*(Inputs!$G$5:$G$140&lt;&gt;"acoes")))*INDEX(Inputs!$K$5:$AJ$140,0,MATCH(T$2,Inputs!$K$4:$AJ$4,0)))))</f>
        <v>#N/A</v>
      </c>
      <c r="U38" s="6" t="e">
        <f>IF(ISNA(MATCH(U$2,Inputs!$K$4:$AJ$4,0)),NA(),IF(SUMPRODUCT((Inputs!$A$5:$A$140=$B38)*ISNUMBER(INDEX(Inputs!$K$5:$AJ$140,0,MATCH(U$2,Inputs!$K$4:$AJ$4,0))))+SUMPRODUCT((Inputs!$C$5:$C$140=$B38)*ISNUMBER(INDEX(Inputs!$K$5:$AJ$140,0,MATCH(U$2,Inputs!$K$4:$AJ$4,0))))+SUMPRODUCT((Inputs!$E$5:$E$140=$B38)*ISNUMBER(INDEX(Inputs!$K$5:$AJ$140,0,MATCH(U$2,Inputs!$K$4:$AJ$4,0))))=0,NA(),SUMPRODUCT((Inputs!$A$5:$A$140=$B38)*Inputs!$B$5:$B$140*(((Inputs!$G$5:$G$140="moeda")+(Inputs!$G$5:$G$140="acoes"))*Inputs!$B$1+((Inputs!$G$5:$G$140&lt;&gt;"moeda")*(Inputs!$G$5:$G$140&lt;&gt;"acoes")))*INDEX(Inputs!$K$5:$AJ$140,0,MATCH(U$2,Inputs!$K$4:$AJ$4,0)))+SUMPRODUCT((Inputs!$C$5:$C$140=$B38)*Inputs!$D$5:$D$140*(((Inputs!$G$5:$G$140="moeda")+(Inputs!$G$5:$G$140="acoes"))*Inputs!$B$1+((Inputs!$G$5:$G$140&lt;&gt;"moeda")*(Inputs!$G$5:$G$140&lt;&gt;"acoes")))*INDEX(Inputs!$K$5:$AJ$140,0,MATCH(U$2,Inputs!$K$4:$AJ$4,0)))+SUMPRODUCT((Inputs!$E$5:$E$140=$B38)*Inputs!$F$5:$F$140*(((Inputs!$G$5:$G$140="moeda")+(Inputs!$G$5:$G$140="acoes"))*Inputs!$B$1+((Inputs!$G$5:$G$140&lt;&gt;"moeda")*(Inputs!$G$5:$G$140&lt;&gt;"acoes")))*INDEX(Inputs!$K$5:$AJ$140,0,MATCH(U$2,Inputs!$K$4:$AJ$4,0)))))</f>
        <v>#N/A</v>
      </c>
      <c r="V38" s="6" t="e">
        <f>IF(ISNA(MATCH(V$2,Inputs!$K$4:$AJ$4,0)),NA(),IF(SUMPRODUCT((Inputs!$A$5:$A$140=$B38)*ISNUMBER(INDEX(Inputs!$K$5:$AJ$140,0,MATCH(V$2,Inputs!$K$4:$AJ$4,0))))+SUMPRODUCT((Inputs!$C$5:$C$140=$B38)*ISNUMBER(INDEX(Inputs!$K$5:$AJ$140,0,MATCH(V$2,Inputs!$K$4:$AJ$4,0))))+SUMPRODUCT((Inputs!$E$5:$E$140=$B38)*ISNUMBER(INDEX(Inputs!$K$5:$AJ$140,0,MATCH(V$2,Inputs!$K$4:$AJ$4,0))))=0,NA(),SUMPRODUCT((Inputs!$A$5:$A$140=$B38)*Inputs!$B$5:$B$140*(((Inputs!$G$5:$G$140="moeda")+(Inputs!$G$5:$G$140="acoes"))*Inputs!$B$1+((Inputs!$G$5:$G$140&lt;&gt;"moeda")*(Inputs!$G$5:$G$140&lt;&gt;"acoes")))*INDEX(Inputs!$K$5:$AJ$140,0,MATCH(V$2,Inputs!$K$4:$AJ$4,0)))+SUMPRODUCT((Inputs!$C$5:$C$140=$B38)*Inputs!$D$5:$D$140*(((Inputs!$G$5:$G$140="moeda")+(Inputs!$G$5:$G$140="acoes"))*Inputs!$B$1+((Inputs!$G$5:$G$140&lt;&gt;"moeda")*(Inputs!$G$5:$G$140&lt;&gt;"acoes")))*INDEX(Inputs!$K$5:$AJ$140,0,MATCH(V$2,Inputs!$K$4:$AJ$4,0)))+SUMPRODUCT((Inputs!$E$5:$E$140=$B38)*Inputs!$F$5:$F$140*(((Inputs!$G$5:$G$140="moeda")+(Inputs!$G$5:$G$140="acoes"))*Inputs!$B$1+((Inputs!$G$5:$G$140&lt;&gt;"moeda")*(Inputs!$G$5:$G$140&lt;&gt;"acoes")))*INDEX(Inputs!$K$5:$AJ$140,0,MATCH(V$2,Inputs!$K$4:$AJ$4,0)))))</f>
        <v>#N/A</v>
      </c>
      <c r="W38" s="3" t="e">
        <f>V38</f>
        <v>#N/A</v>
      </c>
      <c r="X38" s="6" t="e">
        <f>IF(ISNA(MATCH(X$2,Inputs!$K$4:$AJ$4,0)),NA(),IF(SUMPRODUCT((Inputs!$A$5:$A$140=$B38)*ISNUMBER(INDEX(Inputs!$K$5:$AJ$140,0,MATCH(X$2,Inputs!$K$4:$AJ$4,0))))+SUMPRODUCT((Inputs!$C$5:$C$140=$B38)*ISNUMBER(INDEX(Inputs!$K$5:$AJ$140,0,MATCH(X$2,Inputs!$K$4:$AJ$4,0))))+SUMPRODUCT((Inputs!$E$5:$E$140=$B38)*ISNUMBER(INDEX(Inputs!$K$5:$AJ$140,0,MATCH(X$2,Inputs!$K$4:$AJ$4,0))))=0,NA(),SUMPRODUCT((Inputs!$A$5:$A$140=$B38)*Inputs!$B$5:$B$140*(((Inputs!$G$5:$G$140="moeda")+(Inputs!$G$5:$G$140="acoes"))*Inputs!$B$1+((Inputs!$G$5:$G$140&lt;&gt;"moeda")*(Inputs!$G$5:$G$140&lt;&gt;"acoes")))*INDEX(Inputs!$K$5:$AJ$140,0,MATCH(X$2,Inputs!$K$4:$AJ$4,0)))+SUMPRODUCT((Inputs!$C$5:$C$140=$B38)*Inputs!$D$5:$D$140*(((Inputs!$G$5:$G$140="moeda")+(Inputs!$G$5:$G$140="acoes"))*Inputs!$B$1+((Inputs!$G$5:$G$140&lt;&gt;"moeda")*(Inputs!$G$5:$G$140&lt;&gt;"acoes")))*INDEX(Inputs!$K$5:$AJ$140,0,MATCH(X$2,Inputs!$K$4:$AJ$4,0)))+SUMPRODUCT((Inputs!$E$5:$E$140=$B38)*Inputs!$F$5:$F$140*(((Inputs!$G$5:$G$140="moeda")+(Inputs!$G$5:$G$140="acoes"))*Inputs!$B$1+((Inputs!$G$5:$G$140&lt;&gt;"moeda")*(Inputs!$G$5:$G$140&lt;&gt;"acoes")))*INDEX(Inputs!$K$5:$AJ$140,0,MATCH(X$2,Inputs!$K$4:$AJ$4,0)))))</f>
        <v>#N/A</v>
      </c>
      <c r="Y38" s="6" t="e">
        <f>IF(ISNA(MATCH(Y$2,Inputs!$K$4:$AJ$4,0)),NA(),IF(SUMPRODUCT((Inputs!$A$5:$A$140=$B38)*ISNUMBER(INDEX(Inputs!$K$5:$AJ$140,0,MATCH(Y$2,Inputs!$K$4:$AJ$4,0))))+SUMPRODUCT((Inputs!$C$5:$C$140=$B38)*ISNUMBER(INDEX(Inputs!$K$5:$AJ$140,0,MATCH(Y$2,Inputs!$K$4:$AJ$4,0))))+SUMPRODUCT((Inputs!$E$5:$E$140=$B38)*ISNUMBER(INDEX(Inputs!$K$5:$AJ$140,0,MATCH(Y$2,Inputs!$K$4:$AJ$4,0))))=0,NA(),SUMPRODUCT((Inputs!$A$5:$A$140=$B38)*Inputs!$B$5:$B$140*(((Inputs!$G$5:$G$140="moeda")+(Inputs!$G$5:$G$140="acoes"))*Inputs!$B$1+((Inputs!$G$5:$G$140&lt;&gt;"moeda")*(Inputs!$G$5:$G$140&lt;&gt;"acoes")))*INDEX(Inputs!$K$5:$AJ$140,0,MATCH(Y$2,Inputs!$K$4:$AJ$4,0)))+SUMPRODUCT((Inputs!$C$5:$C$140=$B38)*Inputs!$D$5:$D$140*(((Inputs!$G$5:$G$140="moeda")+(Inputs!$G$5:$G$140="acoes"))*Inputs!$B$1+((Inputs!$G$5:$G$140&lt;&gt;"moeda")*(Inputs!$G$5:$G$140&lt;&gt;"acoes")))*INDEX(Inputs!$K$5:$AJ$140,0,MATCH(Y$2,Inputs!$K$4:$AJ$4,0)))+SUMPRODUCT((Inputs!$E$5:$E$140=$B38)*Inputs!$F$5:$F$140*(((Inputs!$G$5:$G$140="moeda")+(Inputs!$G$5:$G$140="acoes"))*Inputs!$B$1+((Inputs!$G$5:$G$140&lt;&gt;"moeda")*(Inputs!$G$5:$G$140&lt;&gt;"acoes")))*INDEX(Inputs!$K$5:$AJ$140,0,MATCH(Y$2,Inputs!$K$4:$AJ$4,0)))))</f>
        <v>#N/A</v>
      </c>
      <c r="Z38" s="6" t="e">
        <f>IF(ISNA(MATCH(Z$2,Inputs!$K$4:$AJ$4,0)),NA(),IF(SUMPRODUCT((Inputs!$A$5:$A$140=$B38)*ISNUMBER(INDEX(Inputs!$K$5:$AJ$140,0,MATCH(Z$2,Inputs!$K$4:$AJ$4,0))))+SUMPRODUCT((Inputs!$C$5:$C$140=$B38)*ISNUMBER(INDEX(Inputs!$K$5:$AJ$140,0,MATCH(Z$2,Inputs!$K$4:$AJ$4,0))))+SUMPRODUCT((Inputs!$E$5:$E$140=$B38)*ISNUMBER(INDEX(Inputs!$K$5:$AJ$140,0,MATCH(Z$2,Inputs!$K$4:$AJ$4,0))))=0,NA(),SUMPRODUCT((Inputs!$A$5:$A$140=$B38)*Inputs!$B$5:$B$140*(((Inputs!$G$5:$G$140="moeda")+(Inputs!$G$5:$G$140="acoes"))*Inputs!$B$1+((Inputs!$G$5:$G$140&lt;&gt;"moeda")*(Inputs!$G$5:$G$140&lt;&gt;"acoes")))*INDEX(Inputs!$K$5:$AJ$140,0,MATCH(Z$2,Inputs!$K$4:$AJ$4,0)))+SUMPRODUCT((Inputs!$C$5:$C$140=$B38)*Inputs!$D$5:$D$140*(((Inputs!$G$5:$G$140="moeda")+(Inputs!$G$5:$G$140="acoes"))*Inputs!$B$1+((Inputs!$G$5:$G$140&lt;&gt;"moeda")*(Inputs!$G$5:$G$140&lt;&gt;"acoes")))*INDEX(Inputs!$K$5:$AJ$140,0,MATCH(Z$2,Inputs!$K$4:$AJ$4,0)))+SUMPRODUCT((Inputs!$E$5:$E$140=$B38)*Inputs!$F$5:$F$140*(((Inputs!$G$5:$G$140="moeda")+(Inputs!$G$5:$G$140="acoes"))*Inputs!$B$1+((Inputs!$G$5:$G$140&lt;&gt;"moeda")*(Inputs!$G$5:$G$140&lt;&gt;"acoes")))*INDEX(Inputs!$K$5:$AJ$140,0,MATCH(Z$2,Inputs!$K$4:$AJ$4,0)))))</f>
        <v>#N/A</v>
      </c>
      <c r="AA38" s="6" t="e">
        <f>IF(ISNA(MATCH(AA$2,Inputs!$K$4:$AJ$4,0)),NA(),IF(SUMPRODUCT((Inputs!$A$5:$A$140=$B38)*ISNUMBER(INDEX(Inputs!$K$5:$AJ$140,0,MATCH(AA$2,Inputs!$K$4:$AJ$4,0))))+SUMPRODUCT((Inputs!$C$5:$C$140=$B38)*ISNUMBER(INDEX(Inputs!$K$5:$AJ$140,0,MATCH(AA$2,Inputs!$K$4:$AJ$4,0))))+SUMPRODUCT((Inputs!$E$5:$E$140=$B38)*ISNUMBER(INDEX(Inputs!$K$5:$AJ$140,0,MATCH(AA$2,Inputs!$K$4:$AJ$4,0))))=0,NA(),SUMPRODUCT((Inputs!$A$5:$A$140=$B38)*Inputs!$B$5:$B$140*(((Inputs!$G$5:$G$140="moeda")+(Inputs!$G$5:$G$140="acoes"))*Inputs!$B$1+((Inputs!$G$5:$G$140&lt;&gt;"moeda")*(Inputs!$G$5:$G$140&lt;&gt;"acoes")))*INDEX(Inputs!$K$5:$AJ$140,0,MATCH(AA$2,Inputs!$K$4:$AJ$4,0)))+SUMPRODUCT((Inputs!$C$5:$C$140=$B38)*Inputs!$D$5:$D$140*(((Inputs!$G$5:$G$140="moeda")+(Inputs!$G$5:$G$140="acoes"))*Inputs!$B$1+((Inputs!$G$5:$G$140&lt;&gt;"moeda")*(Inputs!$G$5:$G$140&lt;&gt;"acoes")))*INDEX(Inputs!$K$5:$AJ$140,0,MATCH(AA$2,Inputs!$K$4:$AJ$4,0)))+SUMPRODUCT((Inputs!$E$5:$E$140=$B38)*Inputs!$F$5:$F$140*(((Inputs!$G$5:$G$140="moeda")+(Inputs!$G$5:$G$140="acoes"))*Inputs!$B$1+((Inputs!$G$5:$G$140&lt;&gt;"moeda")*(Inputs!$G$5:$G$140&lt;&gt;"acoes")))*INDEX(Inputs!$K$5:$AJ$140,0,MATCH(AA$2,Inputs!$K$4:$AJ$4,0)))))</f>
        <v>#N/A</v>
      </c>
      <c r="AB38" s="3" t="e">
        <f>AA38</f>
        <v>#N/A</v>
      </c>
      <c r="AC38" s="6" t="e">
        <f>IF(ISNA(MATCH(AC$2,Inputs!$K$4:$AJ$4,0)),NA(),IF(SUMPRODUCT((Inputs!$A$5:$A$140=$B38)*ISNUMBER(INDEX(Inputs!$K$5:$AJ$140,0,MATCH(AC$2,Inputs!$K$4:$AJ$4,0))))+SUMPRODUCT((Inputs!$C$5:$C$140=$B38)*ISNUMBER(INDEX(Inputs!$K$5:$AJ$140,0,MATCH(AC$2,Inputs!$K$4:$AJ$4,0))))+SUMPRODUCT((Inputs!$E$5:$E$140=$B38)*ISNUMBER(INDEX(Inputs!$K$5:$AJ$140,0,MATCH(AC$2,Inputs!$K$4:$AJ$4,0))))=0,NA(),SUMPRODUCT((Inputs!$A$5:$A$140=$B38)*Inputs!$B$5:$B$140*(((Inputs!$G$5:$G$140="moeda")+(Inputs!$G$5:$G$140="acoes"))*Inputs!$B$1+((Inputs!$G$5:$G$140&lt;&gt;"moeda")*(Inputs!$G$5:$G$140&lt;&gt;"acoes")))*INDEX(Inputs!$K$5:$AJ$140,0,MATCH(AC$2,Inputs!$K$4:$AJ$4,0)))+SUMPRODUCT((Inputs!$C$5:$C$140=$B38)*Inputs!$D$5:$D$140*(((Inputs!$G$5:$G$140="moeda")+(Inputs!$G$5:$G$140="acoes"))*Inputs!$B$1+((Inputs!$G$5:$G$140&lt;&gt;"moeda")*(Inputs!$G$5:$G$140&lt;&gt;"acoes")))*INDEX(Inputs!$K$5:$AJ$140,0,MATCH(AC$2,Inputs!$K$4:$AJ$4,0)))+SUMPRODUCT((Inputs!$E$5:$E$140=$B38)*Inputs!$F$5:$F$140*(((Inputs!$G$5:$G$140="moeda")+(Inputs!$G$5:$G$140="acoes"))*Inputs!$B$1+((Inputs!$G$5:$G$140&lt;&gt;"moeda")*(Inputs!$G$5:$G$140&lt;&gt;"acoes")))*INDEX(Inputs!$K$5:$AJ$140,0,MATCH(AC$2,Inputs!$K$4:$AJ$4,0)))))</f>
        <v>#N/A</v>
      </c>
      <c r="AD38" s="6" t="e">
        <f>IF(ISNA(MATCH(AD$2,Inputs!$K$4:$AJ$4,0)),NA(),IF(SUMPRODUCT((Inputs!$A$5:$A$140=$B38)*ISNUMBER(INDEX(Inputs!$K$5:$AJ$140,0,MATCH(AD$2,Inputs!$K$4:$AJ$4,0))))+SUMPRODUCT((Inputs!$C$5:$C$140=$B38)*ISNUMBER(INDEX(Inputs!$K$5:$AJ$140,0,MATCH(AD$2,Inputs!$K$4:$AJ$4,0))))+SUMPRODUCT((Inputs!$E$5:$E$140=$B38)*ISNUMBER(INDEX(Inputs!$K$5:$AJ$140,0,MATCH(AD$2,Inputs!$K$4:$AJ$4,0))))=0,NA(),SUMPRODUCT((Inputs!$A$5:$A$140=$B38)*Inputs!$B$5:$B$140*(((Inputs!$G$5:$G$140="moeda")+(Inputs!$G$5:$G$140="acoes"))*Inputs!$B$1+((Inputs!$G$5:$G$140&lt;&gt;"moeda")*(Inputs!$G$5:$G$140&lt;&gt;"acoes")))*INDEX(Inputs!$K$5:$AJ$140,0,MATCH(AD$2,Inputs!$K$4:$AJ$4,0)))+SUMPRODUCT((Inputs!$C$5:$C$140=$B38)*Inputs!$D$5:$D$140*(((Inputs!$G$5:$G$140="moeda")+(Inputs!$G$5:$G$140="acoes"))*Inputs!$B$1+((Inputs!$G$5:$G$140&lt;&gt;"moeda")*(Inputs!$G$5:$G$140&lt;&gt;"acoes")))*INDEX(Inputs!$K$5:$AJ$140,0,MATCH(AD$2,Inputs!$K$4:$AJ$4,0)))+SUMPRODUCT((Inputs!$E$5:$E$140=$B38)*Inputs!$F$5:$F$140*(((Inputs!$G$5:$G$140="moeda")+(Inputs!$G$5:$G$140="acoes"))*Inputs!$B$1+((Inputs!$G$5:$G$140&lt;&gt;"moeda")*(Inputs!$G$5:$G$140&lt;&gt;"acoes")))*INDEX(Inputs!$K$5:$AJ$140,0,MATCH(AD$2,Inputs!$K$4:$AJ$4,0)))))</f>
        <v>#N/A</v>
      </c>
      <c r="AE38" s="6" t="e">
        <f>IF(ISNA(MATCH(AE$2,Inputs!$K$4:$AJ$4,0)),NA(),IF(SUMPRODUCT((Inputs!$A$5:$A$140=$B38)*ISNUMBER(INDEX(Inputs!$K$5:$AJ$140,0,MATCH(AE$2,Inputs!$K$4:$AJ$4,0))))+SUMPRODUCT((Inputs!$C$5:$C$140=$B38)*ISNUMBER(INDEX(Inputs!$K$5:$AJ$140,0,MATCH(AE$2,Inputs!$K$4:$AJ$4,0))))+SUMPRODUCT((Inputs!$E$5:$E$140=$B38)*ISNUMBER(INDEX(Inputs!$K$5:$AJ$140,0,MATCH(AE$2,Inputs!$K$4:$AJ$4,0))))=0,NA(),SUMPRODUCT((Inputs!$A$5:$A$140=$B38)*Inputs!$B$5:$B$140*(((Inputs!$G$5:$G$140="moeda")+(Inputs!$G$5:$G$140="acoes"))*Inputs!$B$1+((Inputs!$G$5:$G$140&lt;&gt;"moeda")*(Inputs!$G$5:$G$140&lt;&gt;"acoes")))*INDEX(Inputs!$K$5:$AJ$140,0,MATCH(AE$2,Inputs!$K$4:$AJ$4,0)))+SUMPRODUCT((Inputs!$C$5:$C$140=$B38)*Inputs!$D$5:$D$140*(((Inputs!$G$5:$G$140="moeda")+(Inputs!$G$5:$G$140="acoes"))*Inputs!$B$1+((Inputs!$G$5:$G$140&lt;&gt;"moeda")*(Inputs!$G$5:$G$140&lt;&gt;"acoes")))*INDEX(Inputs!$K$5:$AJ$140,0,MATCH(AE$2,Inputs!$K$4:$AJ$4,0)))+SUMPRODUCT((Inputs!$E$5:$E$140=$B38)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38" s="6" t="e">
        <f>IF(ISNA(MATCH(AF$2,Inputs!$K$4:$AJ$4,0)),NA(),IF(SUMPRODUCT((Inputs!$A$5:$A$140=$B38)*ISNUMBER(INDEX(Inputs!$K$5:$AJ$140,0,MATCH(AF$2,Inputs!$K$4:$AJ$4,0))))+SUMPRODUCT((Inputs!$C$5:$C$140=$B38)*ISNUMBER(INDEX(Inputs!$K$5:$AJ$140,0,MATCH(AF$2,Inputs!$K$4:$AJ$4,0))))+SUMPRODUCT((Inputs!$E$5:$E$140=$B38)*ISNUMBER(INDEX(Inputs!$K$5:$AJ$140,0,MATCH(AF$2,Inputs!$K$4:$AJ$4,0))))=0,NA(),SUMPRODUCT((Inputs!$A$5:$A$140=$B38)*Inputs!$B$5:$B$140*(((Inputs!$G$5:$G$140="moeda")+(Inputs!$G$5:$G$140="acoes"))*Inputs!$B$1+((Inputs!$G$5:$G$140&lt;&gt;"moeda")*(Inputs!$G$5:$G$140&lt;&gt;"acoes")))*INDEX(Inputs!$K$5:$AJ$140,0,MATCH(AF$2,Inputs!$K$4:$AJ$4,0)))+SUMPRODUCT((Inputs!$C$5:$C$140=$B38)*Inputs!$D$5:$D$140*(((Inputs!$G$5:$G$140="moeda")+(Inputs!$G$5:$G$140="acoes"))*Inputs!$B$1+((Inputs!$G$5:$G$140&lt;&gt;"moeda")*(Inputs!$G$5:$G$140&lt;&gt;"acoes")))*INDEX(Inputs!$K$5:$AJ$140,0,MATCH(AF$2,Inputs!$K$4:$AJ$4,0)))+SUMPRODUCT((Inputs!$E$5:$E$140=$B38)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38" s="3" t="e">
        <f>AF38</f>
        <v>#N/A</v>
      </c>
      <c r="AH38" s="6" t="e">
        <f>IF(ISNA(MATCH(AH$2,Inputs!$K$4:$AJ$4,0)),NA(),IF(SUMPRODUCT((Inputs!$A$5:$A$140=$B38)*ISNUMBER(INDEX(Inputs!$K$5:$AJ$140,0,MATCH(AH$2,Inputs!$K$4:$AJ$4,0))))+SUMPRODUCT((Inputs!$C$5:$C$140=$B38)*ISNUMBER(INDEX(Inputs!$K$5:$AJ$140,0,MATCH(AH$2,Inputs!$K$4:$AJ$4,0))))+SUMPRODUCT((Inputs!$E$5:$E$140=$B38)*ISNUMBER(INDEX(Inputs!$K$5:$AJ$140,0,MATCH(AH$2,Inputs!$K$4:$AJ$4,0))))=0,NA(),SUMPRODUCT((Inputs!$A$5:$A$140=$B38)*Inputs!$B$5:$B$140*(((Inputs!$G$5:$G$140="moeda")+(Inputs!$G$5:$G$140="acoes"))*Inputs!$B$1+((Inputs!$G$5:$G$140&lt;&gt;"moeda")*(Inputs!$G$5:$G$140&lt;&gt;"acoes")))*INDEX(Inputs!$K$5:$AJ$140,0,MATCH(AH$2,Inputs!$K$4:$AJ$4,0)))+SUMPRODUCT((Inputs!$C$5:$C$140=$B38)*Inputs!$D$5:$D$140*(((Inputs!$G$5:$G$140="moeda")+(Inputs!$G$5:$G$140="acoes"))*Inputs!$B$1+((Inputs!$G$5:$G$140&lt;&gt;"moeda")*(Inputs!$G$5:$G$140&lt;&gt;"acoes")))*INDEX(Inputs!$K$5:$AJ$140,0,MATCH(AH$2,Inputs!$K$4:$AJ$4,0)))+SUMPRODUCT((Inputs!$E$5:$E$140=$B38)*Inputs!$F$5:$F$140*(((Inputs!$G$5:$G$140="moeda")+(Inputs!$G$5:$G$140="acoes"))*Inputs!$B$1+((Inputs!$G$5:$G$140&lt;&gt;"moeda")*(Inputs!$G$5:$G$140&lt;&gt;"acoes")))*INDEX(Inputs!$K$5:$AJ$140,0,MATCH(AH$2,Inputs!$K$4:$AJ$4,0)))))</f>
        <v>#N/A</v>
      </c>
      <c r="AI38" s="6" t="e">
        <f>IF(ISNA(MATCH(AI$2,Inputs!$K$4:$AJ$4,0)),NA(),IF(SUMPRODUCT((Inputs!$A$5:$A$140=$B38)*ISNUMBER(INDEX(Inputs!$K$5:$AJ$140,0,MATCH(AI$2,Inputs!$K$4:$AJ$4,0))))+SUMPRODUCT((Inputs!$C$5:$C$140=$B38)*ISNUMBER(INDEX(Inputs!$K$5:$AJ$140,0,MATCH(AI$2,Inputs!$K$4:$AJ$4,0))))+SUMPRODUCT((Inputs!$E$5:$E$140=$B38)*ISNUMBER(INDEX(Inputs!$K$5:$AJ$140,0,MATCH(AI$2,Inputs!$K$4:$AJ$4,0))))=0,NA(),SUMPRODUCT((Inputs!$A$5:$A$140=$B38)*Inputs!$B$5:$B$140*(((Inputs!$G$5:$G$140="moeda")+(Inputs!$G$5:$G$140="acoes"))*Inputs!$B$1+((Inputs!$G$5:$G$140&lt;&gt;"moeda")*(Inputs!$G$5:$G$140&lt;&gt;"acoes")))*INDEX(Inputs!$K$5:$AJ$140,0,MATCH(AI$2,Inputs!$K$4:$AJ$4,0)))+SUMPRODUCT((Inputs!$C$5:$C$140=$B38)*Inputs!$D$5:$D$140*(((Inputs!$G$5:$G$140="moeda")+(Inputs!$G$5:$G$140="acoes"))*Inputs!$B$1+((Inputs!$G$5:$G$140&lt;&gt;"moeda")*(Inputs!$G$5:$G$140&lt;&gt;"acoes")))*INDEX(Inputs!$K$5:$AJ$140,0,MATCH(AI$2,Inputs!$K$4:$AJ$4,0)))+SUMPRODUCT((Inputs!$E$5:$E$140=$B38)*Inputs!$F$5:$F$140*(((Inputs!$G$5:$G$140="moeda")+(Inputs!$G$5:$G$140="acoes"))*Inputs!$B$1+((Inputs!$G$5:$G$140&lt;&gt;"moeda")*(Inputs!$G$5:$G$140&lt;&gt;"acoes")))*INDEX(Inputs!$K$5:$AJ$140,0,MATCH(AI$2,Inputs!$K$4:$AJ$4,0)))))</f>
        <v>#N/A</v>
      </c>
      <c r="AJ38" s="6" t="e">
        <f>IF(ISNA(MATCH(AJ$2,Inputs!$K$4:$AJ$4,0)),NA(),IF(SUMPRODUCT((Inputs!$A$5:$A$140=$B38)*ISNUMBER(INDEX(Inputs!$K$5:$AJ$140,0,MATCH(AJ$2,Inputs!$K$4:$AJ$4,0))))+SUMPRODUCT((Inputs!$C$5:$C$140=$B38)*ISNUMBER(INDEX(Inputs!$K$5:$AJ$140,0,MATCH(AJ$2,Inputs!$K$4:$AJ$4,0))))+SUMPRODUCT((Inputs!$E$5:$E$140=$B38)*ISNUMBER(INDEX(Inputs!$K$5:$AJ$140,0,MATCH(AJ$2,Inputs!$K$4:$AJ$4,0))))=0,NA(),SUMPRODUCT((Inputs!$A$5:$A$140=$B38)*Inputs!$B$5:$B$140*(((Inputs!$G$5:$G$140="moeda")+(Inputs!$G$5:$G$140="acoes"))*Inputs!$B$1+((Inputs!$G$5:$G$140&lt;&gt;"moeda")*(Inputs!$G$5:$G$140&lt;&gt;"acoes")))*INDEX(Inputs!$K$5:$AJ$140,0,MATCH(AJ$2,Inputs!$K$4:$AJ$4,0)))+SUMPRODUCT((Inputs!$C$5:$C$140=$B38)*Inputs!$D$5:$D$140*(((Inputs!$G$5:$G$140="moeda")+(Inputs!$G$5:$G$140="acoes"))*Inputs!$B$1+((Inputs!$G$5:$G$140&lt;&gt;"moeda")*(Inputs!$G$5:$G$140&lt;&gt;"acoes")))*INDEX(Inputs!$K$5:$AJ$140,0,MATCH(AJ$2,Inputs!$K$4:$AJ$4,0)))+SUMPRODUCT((Inputs!$E$5:$E$140=$B38)*Inputs!$F$5:$F$140*(((Inputs!$G$5:$G$140="moeda")+(Inputs!$G$5:$G$140="acoes"))*Inputs!$B$1+((Inputs!$G$5:$G$140&lt;&gt;"moeda")*(Inputs!$G$5:$G$140&lt;&gt;"acoes")))*INDEX(Inputs!$K$5:$AJ$140,0,MATCH(AJ$2,Inputs!$K$4:$AJ$4,0)))))</f>
        <v>#N/A</v>
      </c>
      <c r="AK38" s="6" t="e">
        <f>IF(ISNA(MATCH(AK$2,Inputs!$K$4:$AJ$4,0)),NA(),IF(SUMPRODUCT((Inputs!$A$5:$A$140=$B38)*ISNUMBER(INDEX(Inputs!$K$5:$AJ$140,0,MATCH(AK$2,Inputs!$K$4:$AJ$4,0))))+SUMPRODUCT((Inputs!$C$5:$C$140=$B38)*ISNUMBER(INDEX(Inputs!$K$5:$AJ$140,0,MATCH(AK$2,Inputs!$K$4:$AJ$4,0))))+SUMPRODUCT((Inputs!$E$5:$E$140=$B38)*ISNUMBER(INDEX(Inputs!$K$5:$AJ$140,0,MATCH(AK$2,Inputs!$K$4:$AJ$4,0))))=0,NA(),SUMPRODUCT((Inputs!$A$5:$A$140=$B38)*Inputs!$B$5:$B$140*(((Inputs!$G$5:$G$140="moeda")+(Inputs!$G$5:$G$140="acoes"))*Inputs!$B$1+((Inputs!$G$5:$G$140&lt;&gt;"moeda")*(Inputs!$G$5:$G$140&lt;&gt;"acoes")))*INDEX(Inputs!$K$5:$AJ$140,0,MATCH(AK$2,Inputs!$K$4:$AJ$4,0)))+SUMPRODUCT((Inputs!$C$5:$C$140=$B38)*Inputs!$D$5:$D$140*(((Inputs!$G$5:$G$140="moeda")+(Inputs!$G$5:$G$140="acoes"))*Inputs!$B$1+((Inputs!$G$5:$G$140&lt;&gt;"moeda")*(Inputs!$G$5:$G$140&lt;&gt;"acoes")))*INDEX(Inputs!$K$5:$AJ$140,0,MATCH(AK$2,Inputs!$K$4:$AJ$4,0)))+SUMPRODUCT((Inputs!$E$5:$E$140=$B38)*Inputs!$F$5:$F$140*(((Inputs!$G$5:$G$140="moeda")+(Inputs!$G$5:$G$140="acoes"))*Inputs!$B$1+((Inputs!$G$5:$G$140&lt;&gt;"moeda")*(Inputs!$G$5:$G$140&lt;&gt;"acoes")))*INDEX(Inputs!$K$5:$AJ$140,0,MATCH(AK$2,Inputs!$K$4:$AJ$4,0)))))</f>
        <v>#N/A</v>
      </c>
      <c r="AL38" s="3" t="e">
        <f>AK38</f>
        <v>#N/A</v>
      </c>
    </row>
    <row r="39">
      <c r="B39" s="46" t="n">
        <v>34</v>
      </c>
      <c r="C39" s="26" t="inlineStr">
        <is>
          <t>Other non-current liabilities</t>
        </is>
      </c>
      <c r="D39" s="6">
        <f>IF(ISNA(MATCH(D$2,Inputs!$K$4:$AJ$4,0)),NA(),IF(SUMPRODUCT((Inputs!$A$5:$A$140=$B39)*ISNUMBER(INDEX(Inputs!$K$5:$AJ$140,0,MATCH(D$2,Inputs!$K$4:$AJ$4,0))))+SUMPRODUCT((Inputs!$C$5:$C$140=$B39)*ISNUMBER(INDEX(Inputs!$K$5:$AJ$140,0,MATCH(D$2,Inputs!$K$4:$AJ$4,0))))+SUMPRODUCT((Inputs!$E$5:$E$140=$B39)*ISNUMBER(INDEX(Inputs!$K$5:$AJ$140,0,MATCH(D$2,Inputs!$K$4:$AJ$4,0))))=0,NA(),SUMPRODUCT((Inputs!$A$5:$A$140=$B39)*Inputs!$B$5:$B$140*(((Inputs!$G$5:$G$140="moeda")+(Inputs!$G$5:$G$140="acoes"))*Inputs!$B$1+((Inputs!$G$5:$G$140&lt;&gt;"moeda")*(Inputs!$G$5:$G$140&lt;&gt;"acoes")))*INDEX(Inputs!$K$5:$AJ$140,0,MATCH(D$2,Inputs!$K$4:$AJ$4,0)))+SUMPRODUCT((Inputs!$C$5:$C$140=$B39)*Inputs!$D$5:$D$140*(((Inputs!$G$5:$G$140="moeda")+(Inputs!$G$5:$G$140="acoes"))*Inputs!$B$1+((Inputs!$G$5:$G$140&lt;&gt;"moeda")*(Inputs!$G$5:$G$140&lt;&gt;"acoes")))*INDEX(Inputs!$K$5:$AJ$140,0,MATCH(D$2,Inputs!$K$4:$AJ$4,0)))+SUMPRODUCT((Inputs!$E$5:$E$140=$B39)*Inputs!$F$5:$F$140*(((Inputs!$G$5:$G$140="moeda")+(Inputs!$G$5:$G$140="acoes"))*Inputs!$B$1+((Inputs!$G$5:$G$140&lt;&gt;"moeda")*(Inputs!$G$5:$G$140&lt;&gt;"acoes")))*INDEX(Inputs!$K$5:$AJ$140,0,MATCH(D$2,Inputs!$K$4:$AJ$4,0)))))</f>
        <v>1414</v>
      </c>
      <c r="E39" s="6">
        <f>IF(ISNA(MATCH(E$2,Inputs!$K$4:$AJ$4,0)),NA(),IF(SUMPRODUCT((Inputs!$A$5:$A$140=$B39)*ISNUMBER(INDEX(Inputs!$K$5:$AJ$140,0,MATCH(E$2,Inputs!$K$4:$AJ$4,0))))+SUMPRODUCT((Inputs!$C$5:$C$140=$B39)*ISNUMBER(INDEX(Inputs!$K$5:$AJ$140,0,MATCH(E$2,Inputs!$K$4:$AJ$4,0))))+SUMPRODUCT((Inputs!$E$5:$E$140=$B39)*ISNUMBER(INDEX(Inputs!$K$5:$AJ$140,0,MATCH(E$2,Inputs!$K$4:$AJ$4,0))))=0,NA(),SUMPRODUCT((Inputs!$A$5:$A$140=$B39)*Inputs!$B$5:$B$140*(((Inputs!$G$5:$G$140="moeda")+(Inputs!$G$5:$G$140="acoes"))*Inputs!$B$1+((Inputs!$G$5:$G$140&lt;&gt;"moeda")*(Inputs!$G$5:$G$140&lt;&gt;"acoes")))*INDEX(Inputs!$K$5:$AJ$140,0,MATCH(E$2,Inputs!$K$4:$AJ$4,0)))+SUMPRODUCT((Inputs!$C$5:$C$140=$B39)*Inputs!$D$5:$D$140*(((Inputs!$G$5:$G$140="moeda")+(Inputs!$G$5:$G$140="acoes"))*Inputs!$B$1+((Inputs!$G$5:$G$140&lt;&gt;"moeda")*(Inputs!$G$5:$G$140&lt;&gt;"acoes")))*INDEX(Inputs!$K$5:$AJ$140,0,MATCH(E$2,Inputs!$K$4:$AJ$4,0)))+SUMPRODUCT((Inputs!$E$5:$E$140=$B39)*Inputs!$F$5:$F$140*(((Inputs!$G$5:$G$140="moeda")+(Inputs!$G$5:$G$140="acoes"))*Inputs!$B$1+((Inputs!$G$5:$G$140&lt;&gt;"moeda")*(Inputs!$G$5:$G$140&lt;&gt;"acoes")))*INDEX(Inputs!$K$5:$AJ$140,0,MATCH(E$2,Inputs!$K$4:$AJ$4,0)))))</f>
        <v>1396</v>
      </c>
      <c r="F39" s="6">
        <f>IF(ISNA(MATCH(F$2,Inputs!$K$4:$AJ$4,0)),NA(),IF(SUMPRODUCT((Inputs!$A$5:$A$140=$B39)*ISNUMBER(INDEX(Inputs!$K$5:$AJ$140,0,MATCH(F$2,Inputs!$K$4:$AJ$4,0))))+SUMPRODUCT((Inputs!$C$5:$C$140=$B39)*ISNUMBER(INDEX(Inputs!$K$5:$AJ$140,0,MATCH(F$2,Inputs!$K$4:$AJ$4,0))))+SUMPRODUCT((Inputs!$E$5:$E$140=$B39)*ISNUMBER(INDEX(Inputs!$K$5:$AJ$140,0,MATCH(F$2,Inputs!$K$4:$AJ$4,0))))=0,NA(),SUMPRODUCT((Inputs!$A$5:$A$140=$B39)*Inputs!$B$5:$B$140*(((Inputs!$G$5:$G$140="moeda")+(Inputs!$G$5:$G$140="acoes"))*Inputs!$B$1+((Inputs!$G$5:$G$140&lt;&gt;"moeda")*(Inputs!$G$5:$G$140&lt;&gt;"acoes")))*INDEX(Inputs!$K$5:$AJ$140,0,MATCH(F$2,Inputs!$K$4:$AJ$4,0)))+SUMPRODUCT((Inputs!$C$5:$C$140=$B39)*Inputs!$D$5:$D$140*(((Inputs!$G$5:$G$140="moeda")+(Inputs!$G$5:$G$140="acoes"))*Inputs!$B$1+((Inputs!$G$5:$G$140&lt;&gt;"moeda")*(Inputs!$G$5:$G$140&lt;&gt;"acoes")))*INDEX(Inputs!$K$5:$AJ$140,0,MATCH(F$2,Inputs!$K$4:$AJ$4,0)))+SUMPRODUCT((Inputs!$E$5:$E$140=$B39)*Inputs!$F$5:$F$140*(((Inputs!$G$5:$G$140="moeda")+(Inputs!$G$5:$G$140="acoes"))*Inputs!$B$1+((Inputs!$G$5:$G$140&lt;&gt;"moeda")*(Inputs!$G$5:$G$140&lt;&gt;"acoes")))*INDEX(Inputs!$K$5:$AJ$140,0,MATCH(F$2,Inputs!$K$4:$AJ$4,0)))))</f>
        <v>1535</v>
      </c>
      <c r="G39" s="6">
        <f>IF(ISNA(MATCH(G$2,Inputs!$K$4:$AJ$4,0)),NA(),IF(SUMPRODUCT((Inputs!$A$5:$A$140=$B39)*ISNUMBER(INDEX(Inputs!$K$5:$AJ$140,0,MATCH(G$2,Inputs!$K$4:$AJ$4,0))))+SUMPRODUCT((Inputs!$C$5:$C$140=$B39)*ISNUMBER(INDEX(Inputs!$K$5:$AJ$140,0,MATCH(G$2,Inputs!$K$4:$AJ$4,0))))+SUMPRODUCT((Inputs!$E$5:$E$140=$B39)*ISNUMBER(INDEX(Inputs!$K$5:$AJ$140,0,MATCH(G$2,Inputs!$K$4:$AJ$4,0))))=0,NA(),SUMPRODUCT((Inputs!$A$5:$A$140=$B39)*Inputs!$B$5:$B$140*(((Inputs!$G$5:$G$140="moeda")+(Inputs!$G$5:$G$140="acoes"))*Inputs!$B$1+((Inputs!$G$5:$G$140&lt;&gt;"moeda")*(Inputs!$G$5:$G$140&lt;&gt;"acoes")))*INDEX(Inputs!$K$5:$AJ$140,0,MATCH(G$2,Inputs!$K$4:$AJ$4,0)))+SUMPRODUCT((Inputs!$C$5:$C$140=$B39)*Inputs!$D$5:$D$140*(((Inputs!$G$5:$G$140="moeda")+(Inputs!$G$5:$G$140="acoes"))*Inputs!$B$1+((Inputs!$G$5:$G$140&lt;&gt;"moeda")*(Inputs!$G$5:$G$140&lt;&gt;"acoes")))*INDEX(Inputs!$K$5:$AJ$140,0,MATCH(G$2,Inputs!$K$4:$AJ$4,0)))+SUMPRODUCT((Inputs!$E$5:$E$140=$B39)*Inputs!$F$5:$F$140*(((Inputs!$G$5:$G$140="moeda")+(Inputs!$G$5:$G$140="acoes"))*Inputs!$B$1+((Inputs!$G$5:$G$140&lt;&gt;"moeda")*(Inputs!$G$5:$G$140&lt;&gt;"acoes")))*INDEX(Inputs!$K$5:$AJ$140,0,MATCH(G$2,Inputs!$K$4:$AJ$4,0)))))</f>
        <v>1553</v>
      </c>
      <c r="H39" s="3">
        <f>G39</f>
        <v>1553</v>
      </c>
      <c r="I39" s="6">
        <f>IF(ISNA(MATCH(I$2,Inputs!$K$4:$AJ$4,0)),NA(),IF(SUMPRODUCT((Inputs!$A$5:$A$140=$B39)*ISNUMBER(INDEX(Inputs!$K$5:$AJ$140,0,MATCH(I$2,Inputs!$K$4:$AJ$4,0))))+SUMPRODUCT((Inputs!$C$5:$C$140=$B39)*ISNUMBER(INDEX(Inputs!$K$5:$AJ$140,0,MATCH(I$2,Inputs!$K$4:$AJ$4,0))))+SUMPRODUCT((Inputs!$E$5:$E$140=$B39)*ISNUMBER(INDEX(Inputs!$K$5:$AJ$140,0,MATCH(I$2,Inputs!$K$4:$AJ$4,0))))=0,NA(),SUMPRODUCT((Inputs!$A$5:$A$140=$B39)*Inputs!$B$5:$B$140*(((Inputs!$G$5:$G$140="moeda")+(Inputs!$G$5:$G$140="acoes"))*Inputs!$B$1+((Inputs!$G$5:$G$140&lt;&gt;"moeda")*(Inputs!$G$5:$G$140&lt;&gt;"acoes")))*INDEX(Inputs!$K$5:$AJ$140,0,MATCH(I$2,Inputs!$K$4:$AJ$4,0)))+SUMPRODUCT((Inputs!$C$5:$C$140=$B39)*Inputs!$D$5:$D$140*(((Inputs!$G$5:$G$140="moeda")+(Inputs!$G$5:$G$140="acoes"))*Inputs!$B$1+((Inputs!$G$5:$G$140&lt;&gt;"moeda")*(Inputs!$G$5:$G$140&lt;&gt;"acoes")))*INDEX(Inputs!$K$5:$AJ$140,0,MATCH(I$2,Inputs!$K$4:$AJ$4,0)))+SUMPRODUCT((Inputs!$E$5:$E$140=$B39)*Inputs!$F$5:$F$140*(((Inputs!$G$5:$G$140="moeda")+(Inputs!$G$5:$G$140="acoes"))*Inputs!$B$1+((Inputs!$G$5:$G$140&lt;&gt;"moeda")*(Inputs!$G$5:$G$140&lt;&gt;"acoes")))*INDEX(Inputs!$K$5:$AJ$140,0,MATCH(I$2,Inputs!$K$4:$AJ$4,0)))))</f>
        <v>1631</v>
      </c>
      <c r="J39" s="6">
        <f>IF(ISNA(MATCH(J$2,Inputs!$K$4:$AJ$4,0)),NA(),IF(SUMPRODUCT((Inputs!$A$5:$A$140=$B39)*ISNUMBER(INDEX(Inputs!$K$5:$AJ$140,0,MATCH(J$2,Inputs!$K$4:$AJ$4,0))))+SUMPRODUCT((Inputs!$C$5:$C$140=$B39)*ISNUMBER(INDEX(Inputs!$K$5:$AJ$140,0,MATCH(J$2,Inputs!$K$4:$AJ$4,0))))+SUMPRODUCT((Inputs!$E$5:$E$140=$B39)*ISNUMBER(INDEX(Inputs!$K$5:$AJ$140,0,MATCH(J$2,Inputs!$K$4:$AJ$4,0))))=0,NA(),SUMPRODUCT((Inputs!$A$5:$A$140=$B39)*Inputs!$B$5:$B$140*(((Inputs!$G$5:$G$140="moeda")+(Inputs!$G$5:$G$140="acoes"))*Inputs!$B$1+((Inputs!$G$5:$G$140&lt;&gt;"moeda")*(Inputs!$G$5:$G$140&lt;&gt;"acoes")))*INDEX(Inputs!$K$5:$AJ$140,0,MATCH(J$2,Inputs!$K$4:$AJ$4,0)))+SUMPRODUCT((Inputs!$C$5:$C$140=$B39)*Inputs!$D$5:$D$140*(((Inputs!$G$5:$G$140="moeda")+(Inputs!$G$5:$G$140="acoes"))*Inputs!$B$1+((Inputs!$G$5:$G$140&lt;&gt;"moeda")*(Inputs!$G$5:$G$140&lt;&gt;"acoes")))*INDEX(Inputs!$K$5:$AJ$140,0,MATCH(J$2,Inputs!$K$4:$AJ$4,0)))+SUMPRODUCT((Inputs!$E$5:$E$140=$B39)*Inputs!$F$5:$F$140*(((Inputs!$G$5:$G$140="moeda")+(Inputs!$G$5:$G$140="acoes"))*Inputs!$B$1+((Inputs!$G$5:$G$140&lt;&gt;"moeda")*(Inputs!$G$5:$G$140&lt;&gt;"acoes")))*INDEX(Inputs!$K$5:$AJ$140,0,MATCH(J$2,Inputs!$K$4:$AJ$4,0)))))</f>
        <v>1609</v>
      </c>
      <c r="K39" s="6">
        <f>IF(ISNA(MATCH(K$2,Inputs!$K$4:$AJ$4,0)),NA(),IF(SUMPRODUCT((Inputs!$A$5:$A$140=$B39)*ISNUMBER(INDEX(Inputs!$K$5:$AJ$140,0,MATCH(K$2,Inputs!$K$4:$AJ$4,0))))+SUMPRODUCT((Inputs!$C$5:$C$140=$B39)*ISNUMBER(INDEX(Inputs!$K$5:$AJ$140,0,MATCH(K$2,Inputs!$K$4:$AJ$4,0))))+SUMPRODUCT((Inputs!$E$5:$E$140=$B39)*ISNUMBER(INDEX(Inputs!$K$5:$AJ$140,0,MATCH(K$2,Inputs!$K$4:$AJ$4,0))))=0,NA(),SUMPRODUCT((Inputs!$A$5:$A$140=$B39)*Inputs!$B$5:$B$140*(((Inputs!$G$5:$G$140="moeda")+(Inputs!$G$5:$G$140="acoes"))*Inputs!$B$1+((Inputs!$G$5:$G$140&lt;&gt;"moeda")*(Inputs!$G$5:$G$140&lt;&gt;"acoes")))*INDEX(Inputs!$K$5:$AJ$140,0,MATCH(K$2,Inputs!$K$4:$AJ$4,0)))+SUMPRODUCT((Inputs!$C$5:$C$140=$B39)*Inputs!$D$5:$D$140*(((Inputs!$G$5:$G$140="moeda")+(Inputs!$G$5:$G$140="acoes"))*Inputs!$B$1+((Inputs!$G$5:$G$140&lt;&gt;"moeda")*(Inputs!$G$5:$G$140&lt;&gt;"acoes")))*INDEX(Inputs!$K$5:$AJ$140,0,MATCH(K$2,Inputs!$K$4:$AJ$4,0)))+SUMPRODUCT((Inputs!$E$5:$E$140=$B39)*Inputs!$F$5:$F$140*(((Inputs!$G$5:$G$140="moeda")+(Inputs!$G$5:$G$140="acoes"))*Inputs!$B$1+((Inputs!$G$5:$G$140&lt;&gt;"moeda")*(Inputs!$G$5:$G$140&lt;&gt;"acoes")))*INDEX(Inputs!$K$5:$AJ$140,0,MATCH(K$2,Inputs!$K$4:$AJ$4,0)))))</f>
        <v>1785</v>
      </c>
      <c r="L39" s="6">
        <f>IF(ISNA(MATCH(L$2,Inputs!$K$4:$AJ$4,0)),NA(),IF(SUMPRODUCT((Inputs!$A$5:$A$140=$B39)*ISNUMBER(INDEX(Inputs!$K$5:$AJ$140,0,MATCH(L$2,Inputs!$K$4:$AJ$4,0))))+SUMPRODUCT((Inputs!$C$5:$C$140=$B39)*ISNUMBER(INDEX(Inputs!$K$5:$AJ$140,0,MATCH(L$2,Inputs!$K$4:$AJ$4,0))))+SUMPRODUCT((Inputs!$E$5:$E$140=$B39)*ISNUMBER(INDEX(Inputs!$K$5:$AJ$140,0,MATCH(L$2,Inputs!$K$4:$AJ$4,0))))=0,NA(),SUMPRODUCT((Inputs!$A$5:$A$140=$B39)*Inputs!$B$5:$B$140*(((Inputs!$G$5:$G$140="moeda")+(Inputs!$G$5:$G$140="acoes"))*Inputs!$B$1+((Inputs!$G$5:$G$140&lt;&gt;"moeda")*(Inputs!$G$5:$G$140&lt;&gt;"acoes")))*INDEX(Inputs!$K$5:$AJ$140,0,MATCH(L$2,Inputs!$K$4:$AJ$4,0)))+SUMPRODUCT((Inputs!$C$5:$C$140=$B39)*Inputs!$D$5:$D$140*(((Inputs!$G$5:$G$140="moeda")+(Inputs!$G$5:$G$140="acoes"))*Inputs!$B$1+((Inputs!$G$5:$G$140&lt;&gt;"moeda")*(Inputs!$G$5:$G$140&lt;&gt;"acoes")))*INDEX(Inputs!$K$5:$AJ$140,0,MATCH(L$2,Inputs!$K$4:$AJ$4,0)))+SUMPRODUCT((Inputs!$E$5:$E$140=$B39)*Inputs!$F$5:$F$140*(((Inputs!$G$5:$G$140="moeda")+(Inputs!$G$5:$G$140="acoes"))*Inputs!$B$1+((Inputs!$G$5:$G$140&lt;&gt;"moeda")*(Inputs!$G$5:$G$140&lt;&gt;"acoes")))*INDEX(Inputs!$K$5:$AJ$140,0,MATCH(L$2,Inputs!$K$4:$AJ$4,0)))))</f>
        <v>1913</v>
      </c>
      <c r="M39" s="3">
        <f>L39</f>
        <v>1913</v>
      </c>
      <c r="N39" s="6">
        <f>IF(ISNA(MATCH(N$2,Inputs!$K$4:$AJ$4,0)),NA(),IF(SUMPRODUCT((Inputs!$A$5:$A$140=$B39)*ISNUMBER(INDEX(Inputs!$K$5:$AJ$140,0,MATCH(N$2,Inputs!$K$4:$AJ$4,0))))+SUMPRODUCT((Inputs!$C$5:$C$140=$B39)*ISNUMBER(INDEX(Inputs!$K$5:$AJ$140,0,MATCH(N$2,Inputs!$K$4:$AJ$4,0))))+SUMPRODUCT((Inputs!$E$5:$E$140=$B39)*ISNUMBER(INDEX(Inputs!$K$5:$AJ$140,0,MATCH(N$2,Inputs!$K$4:$AJ$4,0))))=0,NA(),SUMPRODUCT((Inputs!$A$5:$A$140=$B39)*Inputs!$B$5:$B$140*(((Inputs!$G$5:$G$140="moeda")+(Inputs!$G$5:$G$140="acoes"))*Inputs!$B$1+((Inputs!$G$5:$G$140&lt;&gt;"moeda")*(Inputs!$G$5:$G$140&lt;&gt;"acoes")))*INDEX(Inputs!$K$5:$AJ$140,0,MATCH(N$2,Inputs!$K$4:$AJ$4,0)))+SUMPRODUCT((Inputs!$C$5:$C$140=$B39)*Inputs!$D$5:$D$140*(((Inputs!$G$5:$G$140="moeda")+(Inputs!$G$5:$G$140="acoes"))*Inputs!$B$1+((Inputs!$G$5:$G$140&lt;&gt;"moeda")*(Inputs!$G$5:$G$140&lt;&gt;"acoes")))*INDEX(Inputs!$K$5:$AJ$140,0,MATCH(N$2,Inputs!$K$4:$AJ$4,0)))+SUMPRODUCT((Inputs!$E$5:$E$140=$B39)*Inputs!$F$5:$F$140*(((Inputs!$G$5:$G$140="moeda")+(Inputs!$G$5:$G$140="acoes"))*Inputs!$B$1+((Inputs!$G$5:$G$140&lt;&gt;"moeda")*(Inputs!$G$5:$G$140&lt;&gt;"acoes")))*INDEX(Inputs!$K$5:$AJ$140,0,MATCH(N$2,Inputs!$K$4:$AJ$4,0)))))</f>
        <v>2037</v>
      </c>
      <c r="O39" s="6">
        <f>IF(ISNA(MATCH(O$2,Inputs!$K$4:$AJ$4,0)),NA(),IF(SUMPRODUCT((Inputs!$A$5:$A$140=$B39)*ISNUMBER(INDEX(Inputs!$K$5:$AJ$140,0,MATCH(O$2,Inputs!$K$4:$AJ$4,0))))+SUMPRODUCT((Inputs!$C$5:$C$140=$B39)*ISNUMBER(INDEX(Inputs!$K$5:$AJ$140,0,MATCH(O$2,Inputs!$K$4:$AJ$4,0))))+SUMPRODUCT((Inputs!$E$5:$E$140=$B39)*ISNUMBER(INDEX(Inputs!$K$5:$AJ$140,0,MATCH(O$2,Inputs!$K$4:$AJ$4,0))))=0,NA(),SUMPRODUCT((Inputs!$A$5:$A$140=$B39)*Inputs!$B$5:$B$140*(((Inputs!$G$5:$G$140="moeda")+(Inputs!$G$5:$G$140="acoes"))*Inputs!$B$1+((Inputs!$G$5:$G$140&lt;&gt;"moeda")*(Inputs!$G$5:$G$140&lt;&gt;"acoes")))*INDEX(Inputs!$K$5:$AJ$140,0,MATCH(O$2,Inputs!$K$4:$AJ$4,0)))+SUMPRODUCT((Inputs!$C$5:$C$140=$B39)*Inputs!$D$5:$D$140*(((Inputs!$G$5:$G$140="moeda")+(Inputs!$G$5:$G$140="acoes"))*Inputs!$B$1+((Inputs!$G$5:$G$140&lt;&gt;"moeda")*(Inputs!$G$5:$G$140&lt;&gt;"acoes")))*INDEX(Inputs!$K$5:$AJ$140,0,MATCH(O$2,Inputs!$K$4:$AJ$4,0)))+SUMPRODUCT((Inputs!$E$5:$E$140=$B39)*Inputs!$F$5:$F$140*(((Inputs!$G$5:$G$140="moeda")+(Inputs!$G$5:$G$140="acoes"))*Inputs!$B$1+((Inputs!$G$5:$G$140&lt;&gt;"moeda")*(Inputs!$G$5:$G$140&lt;&gt;"acoes")))*INDEX(Inputs!$K$5:$AJ$140,0,MATCH(O$2,Inputs!$K$4:$AJ$4,0)))))</f>
        <v>2223</v>
      </c>
      <c r="P39" s="6">
        <f>IF(ISNA(MATCH(P$2,Inputs!$K$4:$AJ$4,0)),NA(),IF(SUMPRODUCT((Inputs!$A$5:$A$140=$B39)*ISNUMBER(INDEX(Inputs!$K$5:$AJ$140,0,MATCH(P$2,Inputs!$K$4:$AJ$4,0))))+SUMPRODUCT((Inputs!$C$5:$C$140=$B39)*ISNUMBER(INDEX(Inputs!$K$5:$AJ$140,0,MATCH(P$2,Inputs!$K$4:$AJ$4,0))))+SUMPRODUCT((Inputs!$E$5:$E$140=$B39)*ISNUMBER(INDEX(Inputs!$K$5:$AJ$140,0,MATCH(P$2,Inputs!$K$4:$AJ$4,0))))=0,NA(),SUMPRODUCT((Inputs!$A$5:$A$140=$B39)*Inputs!$B$5:$B$140*(((Inputs!$G$5:$G$140="moeda")+(Inputs!$G$5:$G$140="acoes"))*Inputs!$B$1+((Inputs!$G$5:$G$140&lt;&gt;"moeda")*(Inputs!$G$5:$G$140&lt;&gt;"acoes")))*INDEX(Inputs!$K$5:$AJ$140,0,MATCH(P$2,Inputs!$K$4:$AJ$4,0)))+SUMPRODUCT((Inputs!$C$5:$C$140=$B39)*Inputs!$D$5:$D$140*(((Inputs!$G$5:$G$140="moeda")+(Inputs!$G$5:$G$140="acoes"))*Inputs!$B$1+((Inputs!$G$5:$G$140&lt;&gt;"moeda")*(Inputs!$G$5:$G$140&lt;&gt;"acoes")))*INDEX(Inputs!$K$5:$AJ$140,0,MATCH(P$2,Inputs!$K$4:$AJ$4,0)))+SUMPRODUCT((Inputs!$E$5:$E$140=$B39)*Inputs!$F$5:$F$140*(((Inputs!$G$5:$G$140="moeda")+(Inputs!$G$5:$G$140="acoes"))*Inputs!$B$1+((Inputs!$G$5:$G$140&lt;&gt;"moeda")*(Inputs!$G$5:$G$140&lt;&gt;"acoes")))*INDEX(Inputs!$K$5:$AJ$140,0,MATCH(P$2,Inputs!$K$4:$AJ$4,0)))))</f>
        <v>2234</v>
      </c>
      <c r="Q39" s="6">
        <f>IF(ISNA(MATCH(Q$2,Inputs!$K$4:$AJ$4,0)),NA(),IF(SUMPRODUCT((Inputs!$A$5:$A$140=$B39)*ISNUMBER(INDEX(Inputs!$K$5:$AJ$140,0,MATCH(Q$2,Inputs!$K$4:$AJ$4,0))))+SUMPRODUCT((Inputs!$C$5:$C$140=$B39)*ISNUMBER(INDEX(Inputs!$K$5:$AJ$140,0,MATCH(Q$2,Inputs!$K$4:$AJ$4,0))))+SUMPRODUCT((Inputs!$E$5:$E$140=$B39)*ISNUMBER(INDEX(Inputs!$K$5:$AJ$140,0,MATCH(Q$2,Inputs!$K$4:$AJ$4,0))))=0,NA(),SUMPRODUCT((Inputs!$A$5:$A$140=$B39)*Inputs!$B$5:$B$140*(((Inputs!$G$5:$G$140="moeda")+(Inputs!$G$5:$G$140="acoes"))*Inputs!$B$1+((Inputs!$G$5:$G$140&lt;&gt;"moeda")*(Inputs!$G$5:$G$140&lt;&gt;"acoes")))*INDEX(Inputs!$K$5:$AJ$140,0,MATCH(Q$2,Inputs!$K$4:$AJ$4,0)))+SUMPRODUCT((Inputs!$C$5:$C$140=$B39)*Inputs!$D$5:$D$140*(((Inputs!$G$5:$G$140="moeda")+(Inputs!$G$5:$G$140="acoes"))*Inputs!$B$1+((Inputs!$G$5:$G$140&lt;&gt;"moeda")*(Inputs!$G$5:$G$140&lt;&gt;"acoes")))*INDEX(Inputs!$K$5:$AJ$140,0,MATCH(Q$2,Inputs!$K$4:$AJ$4,0)))+SUMPRODUCT((Inputs!$E$5:$E$140=$B39)*Inputs!$F$5:$F$140*(((Inputs!$G$5:$G$140="moeda")+(Inputs!$G$5:$G$140="acoes"))*Inputs!$B$1+((Inputs!$G$5:$G$140&lt;&gt;"moeda")*(Inputs!$G$5:$G$140&lt;&gt;"acoes")))*INDEX(Inputs!$K$5:$AJ$140,0,MATCH(Q$2,Inputs!$K$4:$AJ$4,0)))))</f>
        <v>2541</v>
      </c>
      <c r="R39" s="3">
        <f>Q39</f>
        <v>2541</v>
      </c>
      <c r="S39" s="6">
        <f>IF(ISNA(MATCH(S$2,Inputs!$K$4:$AJ$4,0)),NA(),IF(SUMPRODUCT((Inputs!$A$5:$A$140=$B39)*ISNUMBER(INDEX(Inputs!$K$5:$AJ$140,0,MATCH(S$2,Inputs!$K$4:$AJ$4,0))))+SUMPRODUCT((Inputs!$C$5:$C$140=$B39)*ISNUMBER(INDEX(Inputs!$K$5:$AJ$140,0,MATCH(S$2,Inputs!$K$4:$AJ$4,0))))+SUMPRODUCT((Inputs!$E$5:$E$140=$B39)*ISNUMBER(INDEX(Inputs!$K$5:$AJ$140,0,MATCH(S$2,Inputs!$K$4:$AJ$4,0))))=0,NA(),SUMPRODUCT((Inputs!$A$5:$A$140=$B39)*Inputs!$B$5:$B$140*(((Inputs!$G$5:$G$140="moeda")+(Inputs!$G$5:$G$140="acoes"))*Inputs!$B$1+((Inputs!$G$5:$G$140&lt;&gt;"moeda")*(Inputs!$G$5:$G$140&lt;&gt;"acoes")))*INDEX(Inputs!$K$5:$AJ$140,0,MATCH(S$2,Inputs!$K$4:$AJ$4,0)))+SUMPRODUCT((Inputs!$C$5:$C$140=$B39)*Inputs!$D$5:$D$140*(((Inputs!$G$5:$G$140="moeda")+(Inputs!$G$5:$G$140="acoes"))*Inputs!$B$1+((Inputs!$G$5:$G$140&lt;&gt;"moeda")*(Inputs!$G$5:$G$140&lt;&gt;"acoes")))*INDEX(Inputs!$K$5:$AJ$140,0,MATCH(S$2,Inputs!$K$4:$AJ$4,0)))+SUMPRODUCT((Inputs!$E$5:$E$140=$B39)*Inputs!$F$5:$F$140*(((Inputs!$G$5:$G$140="moeda")+(Inputs!$G$5:$G$140="acoes"))*Inputs!$B$1+((Inputs!$G$5:$G$140&lt;&gt;"moeda")*(Inputs!$G$5:$G$140&lt;&gt;"acoes")))*INDEX(Inputs!$K$5:$AJ$140,0,MATCH(S$2,Inputs!$K$4:$AJ$4,0)))))</f>
        <v>2966</v>
      </c>
      <c r="T39" s="6">
        <f>IF(ISNA(MATCH(T$2,Inputs!$K$4:$AJ$4,0)),NA(),IF(SUMPRODUCT((Inputs!$A$5:$A$140=$B39)*ISNUMBER(INDEX(Inputs!$K$5:$AJ$140,0,MATCH(T$2,Inputs!$K$4:$AJ$4,0))))+SUMPRODUCT((Inputs!$C$5:$C$140=$B39)*ISNUMBER(INDEX(Inputs!$K$5:$AJ$140,0,MATCH(T$2,Inputs!$K$4:$AJ$4,0))))+SUMPRODUCT((Inputs!$E$5:$E$140=$B39)*ISNUMBER(INDEX(Inputs!$K$5:$AJ$140,0,MATCH(T$2,Inputs!$K$4:$AJ$4,0))))=0,NA(),SUMPRODUCT((Inputs!$A$5:$A$140=$B39)*Inputs!$B$5:$B$140*(((Inputs!$G$5:$G$140="moeda")+(Inputs!$G$5:$G$140="acoes"))*Inputs!$B$1+((Inputs!$G$5:$G$140&lt;&gt;"moeda")*(Inputs!$G$5:$G$140&lt;&gt;"acoes")))*INDEX(Inputs!$K$5:$AJ$140,0,MATCH(T$2,Inputs!$K$4:$AJ$4,0)))+SUMPRODUCT((Inputs!$C$5:$C$140=$B39)*Inputs!$D$5:$D$140*(((Inputs!$G$5:$G$140="moeda")+(Inputs!$G$5:$G$140="acoes"))*Inputs!$B$1+((Inputs!$G$5:$G$140&lt;&gt;"moeda")*(Inputs!$G$5:$G$140&lt;&gt;"acoes")))*INDEX(Inputs!$K$5:$AJ$140,0,MATCH(T$2,Inputs!$K$4:$AJ$4,0)))+SUMPRODUCT((Inputs!$E$5:$E$140=$B39)*Inputs!$F$5:$F$140*(((Inputs!$G$5:$G$140="moeda")+(Inputs!$G$5:$G$140="acoes"))*Inputs!$B$1+((Inputs!$G$5:$G$140&lt;&gt;"moeda")*(Inputs!$G$5:$G$140&lt;&gt;"acoes")))*INDEX(Inputs!$K$5:$AJ$140,0,MATCH(T$2,Inputs!$K$4:$AJ$4,0)))))</f>
        <v>3336</v>
      </c>
      <c r="U39" s="6">
        <f>IF(ISNA(MATCH(U$2,Inputs!$K$4:$AJ$4,0)),NA(),IF(SUMPRODUCT((Inputs!$A$5:$A$140=$B39)*ISNUMBER(INDEX(Inputs!$K$5:$AJ$140,0,MATCH(U$2,Inputs!$K$4:$AJ$4,0))))+SUMPRODUCT((Inputs!$C$5:$C$140=$B39)*ISNUMBER(INDEX(Inputs!$K$5:$AJ$140,0,MATCH(U$2,Inputs!$K$4:$AJ$4,0))))+SUMPRODUCT((Inputs!$E$5:$E$140=$B39)*ISNUMBER(INDEX(Inputs!$K$5:$AJ$140,0,MATCH(U$2,Inputs!$K$4:$AJ$4,0))))=0,NA(),SUMPRODUCT((Inputs!$A$5:$A$140=$B39)*Inputs!$B$5:$B$140*(((Inputs!$G$5:$G$140="moeda")+(Inputs!$G$5:$G$140="acoes"))*Inputs!$B$1+((Inputs!$G$5:$G$140&lt;&gt;"moeda")*(Inputs!$G$5:$G$140&lt;&gt;"acoes")))*INDEX(Inputs!$K$5:$AJ$140,0,MATCH(U$2,Inputs!$K$4:$AJ$4,0)))+SUMPRODUCT((Inputs!$C$5:$C$140=$B39)*Inputs!$D$5:$D$140*(((Inputs!$G$5:$G$140="moeda")+(Inputs!$G$5:$G$140="acoes"))*Inputs!$B$1+((Inputs!$G$5:$G$140&lt;&gt;"moeda")*(Inputs!$G$5:$G$140&lt;&gt;"acoes")))*INDEX(Inputs!$K$5:$AJ$140,0,MATCH(U$2,Inputs!$K$4:$AJ$4,0)))+SUMPRODUCT((Inputs!$E$5:$E$140=$B39)*Inputs!$F$5:$F$140*(((Inputs!$G$5:$G$140="moeda")+(Inputs!$G$5:$G$140="acoes"))*Inputs!$B$1+((Inputs!$G$5:$G$140&lt;&gt;"moeda")*(Inputs!$G$5:$G$140&lt;&gt;"acoes")))*INDEX(Inputs!$K$5:$AJ$140,0,MATCH(U$2,Inputs!$K$4:$AJ$4,0)))))</f>
        <v>3683</v>
      </c>
      <c r="V39" s="6">
        <f>IF(ISNA(MATCH(V$2,Inputs!$K$4:$AJ$4,0)),NA(),IF(SUMPRODUCT((Inputs!$A$5:$A$140=$B39)*ISNUMBER(INDEX(Inputs!$K$5:$AJ$140,0,MATCH(V$2,Inputs!$K$4:$AJ$4,0))))+SUMPRODUCT((Inputs!$C$5:$C$140=$B39)*ISNUMBER(INDEX(Inputs!$K$5:$AJ$140,0,MATCH(V$2,Inputs!$K$4:$AJ$4,0))))+SUMPRODUCT((Inputs!$E$5:$E$140=$B39)*ISNUMBER(INDEX(Inputs!$K$5:$AJ$140,0,MATCH(V$2,Inputs!$K$4:$AJ$4,0))))=0,NA(),SUMPRODUCT((Inputs!$A$5:$A$140=$B39)*Inputs!$B$5:$B$140*(((Inputs!$G$5:$G$140="moeda")+(Inputs!$G$5:$G$140="acoes"))*Inputs!$B$1+((Inputs!$G$5:$G$140&lt;&gt;"moeda")*(Inputs!$G$5:$G$140&lt;&gt;"acoes")))*INDEX(Inputs!$K$5:$AJ$140,0,MATCH(V$2,Inputs!$K$4:$AJ$4,0)))+SUMPRODUCT((Inputs!$C$5:$C$140=$B39)*Inputs!$D$5:$D$140*(((Inputs!$G$5:$G$140="moeda")+(Inputs!$G$5:$G$140="acoes"))*Inputs!$B$1+((Inputs!$G$5:$G$140&lt;&gt;"moeda")*(Inputs!$G$5:$G$140&lt;&gt;"acoes")))*INDEX(Inputs!$K$5:$AJ$140,0,MATCH(V$2,Inputs!$K$4:$AJ$4,0)))+SUMPRODUCT((Inputs!$E$5:$E$140=$B39)*Inputs!$F$5:$F$140*(((Inputs!$G$5:$G$140="moeda")+(Inputs!$G$5:$G$140="acoes"))*Inputs!$B$1+((Inputs!$G$5:$G$140&lt;&gt;"moeda")*(Inputs!$G$5:$G$140&lt;&gt;"acoes")))*INDEX(Inputs!$K$5:$AJ$140,0,MATCH(V$2,Inputs!$K$4:$AJ$4,0)))))</f>
        <v>4245</v>
      </c>
      <c r="W39" s="3">
        <f>V39</f>
        <v>4245</v>
      </c>
      <c r="X39" s="6">
        <f>IF(ISNA(MATCH(X$2,Inputs!$K$4:$AJ$4,0)),NA(),IF(SUMPRODUCT((Inputs!$A$5:$A$140=$B39)*ISNUMBER(INDEX(Inputs!$K$5:$AJ$140,0,MATCH(X$2,Inputs!$K$4:$AJ$4,0))))+SUMPRODUCT((Inputs!$C$5:$C$140=$B39)*ISNUMBER(INDEX(Inputs!$K$5:$AJ$140,0,MATCH(X$2,Inputs!$K$4:$AJ$4,0))))+SUMPRODUCT((Inputs!$E$5:$E$140=$B39)*ISNUMBER(INDEX(Inputs!$K$5:$AJ$140,0,MATCH(X$2,Inputs!$K$4:$AJ$4,0))))=0,NA(),SUMPRODUCT((Inputs!$A$5:$A$140=$B39)*Inputs!$B$5:$B$140*(((Inputs!$G$5:$G$140="moeda")+(Inputs!$G$5:$G$140="acoes"))*Inputs!$B$1+((Inputs!$G$5:$G$140&lt;&gt;"moeda")*(Inputs!$G$5:$G$140&lt;&gt;"acoes")))*INDEX(Inputs!$K$5:$AJ$140,0,MATCH(X$2,Inputs!$K$4:$AJ$4,0)))+SUMPRODUCT((Inputs!$C$5:$C$140=$B39)*Inputs!$D$5:$D$140*(((Inputs!$G$5:$G$140="moeda")+(Inputs!$G$5:$G$140="acoes"))*Inputs!$B$1+((Inputs!$G$5:$G$140&lt;&gt;"moeda")*(Inputs!$G$5:$G$140&lt;&gt;"acoes")))*INDEX(Inputs!$K$5:$AJ$140,0,MATCH(X$2,Inputs!$K$4:$AJ$4,0)))+SUMPRODUCT((Inputs!$E$5:$E$140=$B39)*Inputs!$F$5:$F$140*(((Inputs!$G$5:$G$140="moeda")+(Inputs!$G$5:$G$140="acoes"))*Inputs!$B$1+((Inputs!$G$5:$G$140&lt;&gt;"moeda")*(Inputs!$G$5:$G$140&lt;&gt;"acoes")))*INDEX(Inputs!$K$5:$AJ$140,0,MATCH(X$2,Inputs!$K$4:$AJ$4,0)))))</f>
        <v>4884</v>
      </c>
      <c r="Y39" s="6">
        <f>IF(ISNA(MATCH(Y$2,Inputs!$K$4:$AJ$4,0)),NA(),IF(SUMPRODUCT((Inputs!$A$5:$A$140=$B39)*ISNUMBER(INDEX(Inputs!$K$5:$AJ$140,0,MATCH(Y$2,Inputs!$K$4:$AJ$4,0))))+SUMPRODUCT((Inputs!$C$5:$C$140=$B39)*ISNUMBER(INDEX(Inputs!$K$5:$AJ$140,0,MATCH(Y$2,Inputs!$K$4:$AJ$4,0))))+SUMPRODUCT((Inputs!$E$5:$E$140=$B39)*ISNUMBER(INDEX(Inputs!$K$5:$AJ$140,0,MATCH(Y$2,Inputs!$K$4:$AJ$4,0))))=0,NA(),SUMPRODUCT((Inputs!$A$5:$A$140=$B39)*Inputs!$B$5:$B$140*(((Inputs!$G$5:$G$140="moeda")+(Inputs!$G$5:$G$140="acoes"))*Inputs!$B$1+((Inputs!$G$5:$G$140&lt;&gt;"moeda")*(Inputs!$G$5:$G$140&lt;&gt;"acoes")))*INDEX(Inputs!$K$5:$AJ$140,0,MATCH(Y$2,Inputs!$K$4:$AJ$4,0)))+SUMPRODUCT((Inputs!$C$5:$C$140=$B39)*Inputs!$D$5:$D$140*(((Inputs!$G$5:$G$140="moeda")+(Inputs!$G$5:$G$140="acoes"))*Inputs!$B$1+((Inputs!$G$5:$G$140&lt;&gt;"moeda")*(Inputs!$G$5:$G$140&lt;&gt;"acoes")))*INDEX(Inputs!$K$5:$AJ$140,0,MATCH(Y$2,Inputs!$K$4:$AJ$4,0)))+SUMPRODUCT((Inputs!$E$5:$E$140=$B39)*Inputs!$F$5:$F$140*(((Inputs!$G$5:$G$140="moeda")+(Inputs!$G$5:$G$140="acoes"))*Inputs!$B$1+((Inputs!$G$5:$G$140&lt;&gt;"moeda")*(Inputs!$G$5:$G$140&lt;&gt;"acoes")))*INDEX(Inputs!$K$5:$AJ$140,0,MATCH(Y$2,Inputs!$K$4:$AJ$4,0)))))</f>
        <v>6055</v>
      </c>
      <c r="Z39" s="6">
        <f>IF(ISNA(MATCH(Z$2,Inputs!$K$4:$AJ$4,0)),NA(),IF(SUMPRODUCT((Inputs!$A$5:$A$140=$B39)*ISNUMBER(INDEX(Inputs!$K$5:$AJ$140,0,MATCH(Z$2,Inputs!$K$4:$AJ$4,0))))+SUMPRODUCT((Inputs!$C$5:$C$140=$B39)*ISNUMBER(INDEX(Inputs!$K$5:$AJ$140,0,MATCH(Z$2,Inputs!$K$4:$AJ$4,0))))+SUMPRODUCT((Inputs!$E$5:$E$140=$B39)*ISNUMBER(INDEX(Inputs!$K$5:$AJ$140,0,MATCH(Z$2,Inputs!$K$4:$AJ$4,0))))=0,NA(),SUMPRODUCT((Inputs!$A$5:$A$140=$B39)*Inputs!$B$5:$B$140*(((Inputs!$G$5:$G$140="moeda")+(Inputs!$G$5:$G$140="acoes"))*Inputs!$B$1+((Inputs!$G$5:$G$140&lt;&gt;"moeda")*(Inputs!$G$5:$G$140&lt;&gt;"acoes")))*INDEX(Inputs!$K$5:$AJ$140,0,MATCH(Z$2,Inputs!$K$4:$AJ$4,0)))+SUMPRODUCT((Inputs!$C$5:$C$140=$B39)*Inputs!$D$5:$D$140*(((Inputs!$G$5:$G$140="moeda")+(Inputs!$G$5:$G$140="acoes"))*Inputs!$B$1+((Inputs!$G$5:$G$140&lt;&gt;"moeda")*(Inputs!$G$5:$G$140&lt;&gt;"acoes")))*INDEX(Inputs!$K$5:$AJ$140,0,MATCH(Z$2,Inputs!$K$4:$AJ$4,0)))+SUMPRODUCT((Inputs!$E$5:$E$140=$B39)*Inputs!$F$5:$F$140*(((Inputs!$G$5:$G$140="moeda")+(Inputs!$G$5:$G$140="acoes"))*Inputs!$B$1+((Inputs!$G$5:$G$140&lt;&gt;"moeda")*(Inputs!$G$5:$G$140&lt;&gt;"acoes")))*INDEX(Inputs!$K$5:$AJ$140,0,MATCH(Z$2,Inputs!$K$4:$AJ$4,0)))))</f>
        <v>6694</v>
      </c>
      <c r="AA39" s="6">
        <f>IF(ISNA(MATCH(AA$2,Inputs!$K$4:$AJ$4,0)),NA(),IF(SUMPRODUCT((Inputs!$A$5:$A$140=$B39)*ISNUMBER(INDEX(Inputs!$K$5:$AJ$140,0,MATCH(AA$2,Inputs!$K$4:$AJ$4,0))))+SUMPRODUCT((Inputs!$C$5:$C$140=$B39)*ISNUMBER(INDEX(Inputs!$K$5:$AJ$140,0,MATCH(AA$2,Inputs!$K$4:$AJ$4,0))))+SUMPRODUCT((Inputs!$E$5:$E$140=$B39)*ISNUMBER(INDEX(Inputs!$K$5:$AJ$140,0,MATCH(AA$2,Inputs!$K$4:$AJ$4,0))))=0,NA(),SUMPRODUCT((Inputs!$A$5:$A$140=$B39)*Inputs!$B$5:$B$140*(((Inputs!$G$5:$G$140="moeda")+(Inputs!$G$5:$G$140="acoes"))*Inputs!$B$1+((Inputs!$G$5:$G$140&lt;&gt;"moeda")*(Inputs!$G$5:$G$140&lt;&gt;"acoes")))*INDEX(Inputs!$K$5:$AJ$140,0,MATCH(AA$2,Inputs!$K$4:$AJ$4,0)))+SUMPRODUCT((Inputs!$C$5:$C$140=$B39)*Inputs!$D$5:$D$140*(((Inputs!$G$5:$G$140="moeda")+(Inputs!$G$5:$G$140="acoes"))*Inputs!$B$1+((Inputs!$G$5:$G$140&lt;&gt;"moeda")*(Inputs!$G$5:$G$140&lt;&gt;"acoes")))*INDEX(Inputs!$K$5:$AJ$140,0,MATCH(AA$2,Inputs!$K$4:$AJ$4,0)))+SUMPRODUCT((Inputs!$E$5:$E$140=$B39)*Inputs!$F$5:$F$140*(((Inputs!$G$5:$G$140="moeda")+(Inputs!$G$5:$G$140="acoes"))*Inputs!$B$1+((Inputs!$G$5:$G$140&lt;&gt;"moeda")*(Inputs!$G$5:$G$140&lt;&gt;"acoes")))*INDEX(Inputs!$K$5:$AJ$140,0,MATCH(AA$2,Inputs!$K$4:$AJ$4,0)))))</f>
        <v>7306</v>
      </c>
      <c r="AB39" s="3">
        <f>AA39</f>
        <v>7306</v>
      </c>
      <c r="AC39" s="6">
        <f>IF(ISNA(MATCH(AC$2,Inputs!$K$4:$AJ$4,0)),NA(),IF(SUMPRODUCT((Inputs!$A$5:$A$140=$B39)*ISNUMBER(INDEX(Inputs!$K$5:$AJ$140,0,MATCH(AC$2,Inputs!$K$4:$AJ$4,0))))+SUMPRODUCT((Inputs!$C$5:$C$140=$B39)*ISNUMBER(INDEX(Inputs!$K$5:$AJ$140,0,MATCH(AC$2,Inputs!$K$4:$AJ$4,0))))+SUMPRODUCT((Inputs!$E$5:$E$140=$B39)*ISNUMBER(INDEX(Inputs!$K$5:$AJ$140,0,MATCH(AC$2,Inputs!$K$4:$AJ$4,0))))=0,NA(),SUMPRODUCT((Inputs!$A$5:$A$140=$B39)*Inputs!$B$5:$B$140*(((Inputs!$G$5:$G$140="moeda")+(Inputs!$G$5:$G$140="acoes"))*Inputs!$B$1+((Inputs!$G$5:$G$140&lt;&gt;"moeda")*(Inputs!$G$5:$G$140&lt;&gt;"acoes")))*INDEX(Inputs!$K$5:$AJ$140,0,MATCH(AC$2,Inputs!$K$4:$AJ$4,0)))+SUMPRODUCT((Inputs!$C$5:$C$140=$B39)*Inputs!$D$5:$D$140*(((Inputs!$G$5:$G$140="moeda")+(Inputs!$G$5:$G$140="acoes"))*Inputs!$B$1+((Inputs!$G$5:$G$140&lt;&gt;"moeda")*(Inputs!$G$5:$G$140&lt;&gt;"acoes")))*INDEX(Inputs!$K$5:$AJ$140,0,MATCH(AC$2,Inputs!$K$4:$AJ$4,0)))+SUMPRODUCT((Inputs!$E$5:$E$140=$B39)*Inputs!$F$5:$F$140*(((Inputs!$G$5:$G$140="moeda")+(Inputs!$G$5:$G$140="acoes"))*Inputs!$B$1+((Inputs!$G$5:$G$140&lt;&gt;"moeda")*(Inputs!$G$5:$G$140&lt;&gt;"acoes")))*INDEX(Inputs!$K$5:$AJ$140,0,MATCH(AC$2,Inputs!$K$4:$AJ$4,0)))))</f>
        <v>8768</v>
      </c>
      <c r="AD39" s="6">
        <f>IF(ISNA(MATCH(AD$2,Inputs!$K$4:$AJ$4,0)),NA(),IF(SUMPRODUCT((Inputs!$A$5:$A$140=$B39)*ISNUMBER(INDEX(Inputs!$K$5:$AJ$140,0,MATCH(AD$2,Inputs!$K$4:$AJ$4,0))))+SUMPRODUCT((Inputs!$C$5:$C$140=$B39)*ISNUMBER(INDEX(Inputs!$K$5:$AJ$140,0,MATCH(AD$2,Inputs!$K$4:$AJ$4,0))))+SUMPRODUCT((Inputs!$E$5:$E$140=$B39)*ISNUMBER(INDEX(Inputs!$K$5:$AJ$140,0,MATCH(AD$2,Inputs!$K$4:$AJ$4,0))))=0,NA(),SUMPRODUCT((Inputs!$A$5:$A$140=$B39)*Inputs!$B$5:$B$140*(((Inputs!$G$5:$G$140="moeda")+(Inputs!$G$5:$G$140="acoes"))*Inputs!$B$1+((Inputs!$G$5:$G$140&lt;&gt;"moeda")*(Inputs!$G$5:$G$140&lt;&gt;"acoes")))*INDEX(Inputs!$K$5:$AJ$140,0,MATCH(AD$2,Inputs!$K$4:$AJ$4,0)))+SUMPRODUCT((Inputs!$C$5:$C$140=$B39)*Inputs!$D$5:$D$140*(((Inputs!$G$5:$G$140="moeda")+(Inputs!$G$5:$G$140="acoes"))*Inputs!$B$1+((Inputs!$G$5:$G$140&lt;&gt;"moeda")*(Inputs!$G$5:$G$140&lt;&gt;"acoes")))*INDEX(Inputs!$K$5:$AJ$140,0,MATCH(AD$2,Inputs!$K$4:$AJ$4,0)))+SUMPRODUCT((Inputs!$E$5:$E$140=$B39)*Inputs!$F$5:$F$140*(((Inputs!$G$5:$G$140="moeda")+(Inputs!$G$5:$G$140="acoes"))*Inputs!$B$1+((Inputs!$G$5:$G$140&lt;&gt;"moeda")*(Inputs!$G$5:$G$140&lt;&gt;"acoes")))*INDEX(Inputs!$K$5:$AJ$140,0,MATCH(AD$2,Inputs!$K$4:$AJ$4,0)))))</f>
        <v>10918</v>
      </c>
      <c r="AE39" s="6" t="e">
        <f>IF(ISNA(MATCH(AE$2,Inputs!$K$4:$AJ$4,0)),NA(),IF(SUMPRODUCT((Inputs!$A$5:$A$140=$B39)*ISNUMBER(INDEX(Inputs!$K$5:$AJ$140,0,MATCH(AE$2,Inputs!$K$4:$AJ$4,0))))+SUMPRODUCT((Inputs!$C$5:$C$140=$B39)*ISNUMBER(INDEX(Inputs!$K$5:$AJ$140,0,MATCH(AE$2,Inputs!$K$4:$AJ$4,0))))+SUMPRODUCT((Inputs!$E$5:$E$140=$B39)*ISNUMBER(INDEX(Inputs!$K$5:$AJ$140,0,MATCH(AE$2,Inputs!$K$4:$AJ$4,0))))=0,NA(),SUMPRODUCT((Inputs!$A$5:$A$140=$B39)*Inputs!$B$5:$B$140*(((Inputs!$G$5:$G$140="moeda")+(Inputs!$G$5:$G$140="acoes"))*Inputs!$B$1+((Inputs!$G$5:$G$140&lt;&gt;"moeda")*(Inputs!$G$5:$G$140&lt;&gt;"acoes")))*INDEX(Inputs!$K$5:$AJ$140,0,MATCH(AE$2,Inputs!$K$4:$AJ$4,0)))+SUMPRODUCT((Inputs!$C$5:$C$140=$B39)*Inputs!$D$5:$D$140*(((Inputs!$G$5:$G$140="moeda")+(Inputs!$G$5:$G$140="acoes"))*Inputs!$B$1+((Inputs!$G$5:$G$140&lt;&gt;"moeda")*(Inputs!$G$5:$G$140&lt;&gt;"acoes")))*INDEX(Inputs!$K$5:$AJ$140,0,MATCH(AE$2,Inputs!$K$4:$AJ$4,0)))+SUMPRODUCT((Inputs!$E$5:$E$140=$B39)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39" s="6" t="e">
        <f>IF(ISNA(MATCH(AF$2,Inputs!$K$4:$AJ$4,0)),NA(),IF(SUMPRODUCT((Inputs!$A$5:$A$140=$B39)*ISNUMBER(INDEX(Inputs!$K$5:$AJ$140,0,MATCH(AF$2,Inputs!$K$4:$AJ$4,0))))+SUMPRODUCT((Inputs!$C$5:$C$140=$B39)*ISNUMBER(INDEX(Inputs!$K$5:$AJ$140,0,MATCH(AF$2,Inputs!$K$4:$AJ$4,0))))+SUMPRODUCT((Inputs!$E$5:$E$140=$B39)*ISNUMBER(INDEX(Inputs!$K$5:$AJ$140,0,MATCH(AF$2,Inputs!$K$4:$AJ$4,0))))=0,NA(),SUMPRODUCT((Inputs!$A$5:$A$140=$B39)*Inputs!$B$5:$B$140*(((Inputs!$G$5:$G$140="moeda")+(Inputs!$G$5:$G$140="acoes"))*Inputs!$B$1+((Inputs!$G$5:$G$140&lt;&gt;"moeda")*(Inputs!$G$5:$G$140&lt;&gt;"acoes")))*INDEX(Inputs!$K$5:$AJ$140,0,MATCH(AF$2,Inputs!$K$4:$AJ$4,0)))+SUMPRODUCT((Inputs!$C$5:$C$140=$B39)*Inputs!$D$5:$D$140*(((Inputs!$G$5:$G$140="moeda")+(Inputs!$G$5:$G$140="acoes"))*Inputs!$B$1+((Inputs!$G$5:$G$140&lt;&gt;"moeda")*(Inputs!$G$5:$G$140&lt;&gt;"acoes")))*INDEX(Inputs!$K$5:$AJ$140,0,MATCH(AF$2,Inputs!$K$4:$AJ$4,0)))+SUMPRODUCT((Inputs!$E$5:$E$140=$B39)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39" s="3" t="e">
        <f>AF39</f>
        <v>#N/A</v>
      </c>
      <c r="AH39" s="6">
        <f>IF(ISNA(MATCH(AH$2,Inputs!$K$4:$AJ$4,0)),NA(),IF(SUMPRODUCT((Inputs!$A$5:$A$140=$B39)*ISNUMBER(INDEX(Inputs!$K$5:$AJ$140,0,MATCH(AH$2,Inputs!$K$4:$AJ$4,0))))+SUMPRODUCT((Inputs!$C$5:$C$140=$B39)*ISNUMBER(INDEX(Inputs!$K$5:$AJ$140,0,MATCH(AH$2,Inputs!$K$4:$AJ$4,0))))+SUMPRODUCT((Inputs!$E$5:$E$140=$B39)*ISNUMBER(INDEX(Inputs!$K$5:$AJ$140,0,MATCH(AH$2,Inputs!$K$4:$AJ$4,0))))=0,NA(),SUMPRODUCT((Inputs!$A$5:$A$140=$B39)*Inputs!$B$5:$B$140*(((Inputs!$G$5:$G$140="moeda")+(Inputs!$G$5:$G$140="acoes"))*Inputs!$B$1+((Inputs!$G$5:$G$140&lt;&gt;"moeda")*(Inputs!$G$5:$G$140&lt;&gt;"acoes")))*INDEX(Inputs!$K$5:$AJ$140,0,MATCH(AH$2,Inputs!$K$4:$AJ$4,0)))+SUMPRODUCT((Inputs!$C$5:$C$140=$B39)*Inputs!$D$5:$D$140*(((Inputs!$G$5:$G$140="moeda")+(Inputs!$G$5:$G$140="acoes"))*Inputs!$B$1+((Inputs!$G$5:$G$140&lt;&gt;"moeda")*(Inputs!$G$5:$G$140&lt;&gt;"acoes")))*INDEX(Inputs!$K$5:$AJ$140,0,MATCH(AH$2,Inputs!$K$4:$AJ$4,0)))+SUMPRODUCT((Inputs!$E$5:$E$140=$B39)*Inputs!$F$5:$F$140*(((Inputs!$G$5:$G$140="moeda")+(Inputs!$G$5:$G$140="acoes"))*Inputs!$B$1+((Inputs!$G$5:$G$140&lt;&gt;"moeda")*(Inputs!$G$5:$G$140&lt;&gt;"acoes")))*INDEX(Inputs!$K$5:$AJ$140,0,MATCH(AH$2,Inputs!$K$4:$AJ$4,0)))))</f>
        <v>774</v>
      </c>
      <c r="AI39" s="6">
        <f>IF(ISNA(MATCH(AI$2,Inputs!$K$4:$AJ$4,0)),NA(),IF(SUMPRODUCT((Inputs!$A$5:$A$140=$B39)*ISNUMBER(INDEX(Inputs!$K$5:$AJ$140,0,MATCH(AI$2,Inputs!$K$4:$AJ$4,0))))+SUMPRODUCT((Inputs!$C$5:$C$140=$B39)*ISNUMBER(INDEX(Inputs!$K$5:$AJ$140,0,MATCH(AI$2,Inputs!$K$4:$AJ$4,0))))+SUMPRODUCT((Inputs!$E$5:$E$140=$B39)*ISNUMBER(INDEX(Inputs!$K$5:$AJ$140,0,MATCH(AI$2,Inputs!$K$4:$AJ$4,0))))=0,NA(),SUMPRODUCT((Inputs!$A$5:$A$140=$B39)*Inputs!$B$5:$B$140*(((Inputs!$G$5:$G$140="moeda")+(Inputs!$G$5:$G$140="acoes"))*Inputs!$B$1+((Inputs!$G$5:$G$140&lt;&gt;"moeda")*(Inputs!$G$5:$G$140&lt;&gt;"acoes")))*INDEX(Inputs!$K$5:$AJ$140,0,MATCH(AI$2,Inputs!$K$4:$AJ$4,0)))+SUMPRODUCT((Inputs!$C$5:$C$140=$B39)*Inputs!$D$5:$D$140*(((Inputs!$G$5:$G$140="moeda")+(Inputs!$G$5:$G$140="acoes"))*Inputs!$B$1+((Inputs!$G$5:$G$140&lt;&gt;"moeda")*(Inputs!$G$5:$G$140&lt;&gt;"acoes")))*INDEX(Inputs!$K$5:$AJ$140,0,MATCH(AI$2,Inputs!$K$4:$AJ$4,0)))+SUMPRODUCT((Inputs!$E$5:$E$140=$B39)*Inputs!$F$5:$F$140*(((Inputs!$G$5:$G$140="moeda")+(Inputs!$G$5:$G$140="acoes"))*Inputs!$B$1+((Inputs!$G$5:$G$140&lt;&gt;"moeda")*(Inputs!$G$5:$G$140&lt;&gt;"acoes")))*INDEX(Inputs!$K$5:$AJ$140,0,MATCH(AI$2,Inputs!$K$4:$AJ$4,0)))))</f>
        <v>1285</v>
      </c>
      <c r="AJ39" s="6">
        <f>IF(ISNA(MATCH(AJ$2,Inputs!$K$4:$AJ$4,0)),NA(),IF(SUMPRODUCT((Inputs!$A$5:$A$140=$B39)*ISNUMBER(INDEX(Inputs!$K$5:$AJ$140,0,MATCH(AJ$2,Inputs!$K$4:$AJ$4,0))))+SUMPRODUCT((Inputs!$C$5:$C$140=$B39)*ISNUMBER(INDEX(Inputs!$K$5:$AJ$140,0,MATCH(AJ$2,Inputs!$K$4:$AJ$4,0))))+SUMPRODUCT((Inputs!$E$5:$E$140=$B39)*ISNUMBER(INDEX(Inputs!$K$5:$AJ$140,0,MATCH(AJ$2,Inputs!$K$4:$AJ$4,0))))=0,NA(),SUMPRODUCT((Inputs!$A$5:$A$140=$B39)*Inputs!$B$5:$B$140*(((Inputs!$G$5:$G$140="moeda")+(Inputs!$G$5:$G$140="acoes"))*Inputs!$B$1+((Inputs!$G$5:$G$140&lt;&gt;"moeda")*(Inputs!$G$5:$G$140&lt;&gt;"acoes")))*INDEX(Inputs!$K$5:$AJ$140,0,MATCH(AJ$2,Inputs!$K$4:$AJ$4,0)))+SUMPRODUCT((Inputs!$C$5:$C$140=$B39)*Inputs!$D$5:$D$140*(((Inputs!$G$5:$G$140="moeda")+(Inputs!$G$5:$G$140="acoes"))*Inputs!$B$1+((Inputs!$G$5:$G$140&lt;&gt;"moeda")*(Inputs!$G$5:$G$140&lt;&gt;"acoes")))*INDEX(Inputs!$K$5:$AJ$140,0,MATCH(AJ$2,Inputs!$K$4:$AJ$4,0)))+SUMPRODUCT((Inputs!$E$5:$E$140=$B39)*Inputs!$F$5:$F$140*(((Inputs!$G$5:$G$140="moeda")+(Inputs!$G$5:$G$140="acoes"))*Inputs!$B$1+((Inputs!$G$5:$G$140&lt;&gt;"moeda")*(Inputs!$G$5:$G$140&lt;&gt;"acoes")))*INDEX(Inputs!$K$5:$AJ$140,0,MATCH(AJ$2,Inputs!$K$4:$AJ$4,0)))))</f>
        <v>1311</v>
      </c>
      <c r="AK39" s="6">
        <f>IF(ISNA(MATCH(AK$2,Inputs!$K$4:$AJ$4,0)),NA(),IF(SUMPRODUCT((Inputs!$A$5:$A$140=$B39)*ISNUMBER(INDEX(Inputs!$K$5:$AJ$140,0,MATCH(AK$2,Inputs!$K$4:$AJ$4,0))))+SUMPRODUCT((Inputs!$C$5:$C$140=$B39)*ISNUMBER(INDEX(Inputs!$K$5:$AJ$140,0,MATCH(AK$2,Inputs!$K$4:$AJ$4,0))))+SUMPRODUCT((Inputs!$E$5:$E$140=$B39)*ISNUMBER(INDEX(Inputs!$K$5:$AJ$140,0,MATCH(AK$2,Inputs!$K$4:$AJ$4,0))))=0,NA(),SUMPRODUCT((Inputs!$A$5:$A$140=$B39)*Inputs!$B$5:$B$140*(((Inputs!$G$5:$G$140="moeda")+(Inputs!$G$5:$G$140="acoes"))*Inputs!$B$1+((Inputs!$G$5:$G$140&lt;&gt;"moeda")*(Inputs!$G$5:$G$140&lt;&gt;"acoes")))*INDEX(Inputs!$K$5:$AJ$140,0,MATCH(AK$2,Inputs!$K$4:$AJ$4,0)))+SUMPRODUCT((Inputs!$C$5:$C$140=$B39)*Inputs!$D$5:$D$140*(((Inputs!$G$5:$G$140="moeda")+(Inputs!$G$5:$G$140="acoes"))*Inputs!$B$1+((Inputs!$G$5:$G$140&lt;&gt;"moeda")*(Inputs!$G$5:$G$140&lt;&gt;"acoes")))*INDEX(Inputs!$K$5:$AJ$140,0,MATCH(AK$2,Inputs!$K$4:$AJ$4,0)))+SUMPRODUCT((Inputs!$E$5:$E$140=$B39)*Inputs!$F$5:$F$140*(((Inputs!$G$5:$G$140="moeda")+(Inputs!$G$5:$G$140="acoes"))*Inputs!$B$1+((Inputs!$G$5:$G$140&lt;&gt;"moeda")*(Inputs!$G$5:$G$140&lt;&gt;"acoes")))*INDEX(Inputs!$K$5:$AJ$140,0,MATCH(AK$2,Inputs!$K$4:$AJ$4,0)))))</f>
        <v>1375</v>
      </c>
      <c r="AL39" s="3">
        <f>AK39</f>
        <v>1375</v>
      </c>
    </row>
    <row r="40">
      <c r="C40" s="1" t="n"/>
    </row>
    <row r="41">
      <c r="B41" s="46" t="n">
        <v>35</v>
      </c>
      <c r="C41" s="26" t="inlineStr">
        <is>
          <t>Minority interest</t>
        </is>
      </c>
      <c r="D41" s="6" t="e">
        <f>IF(ISNA(MATCH(D$2,Inputs!$K$4:$AJ$4,0)),NA(),IF(SUMPRODUCT((Inputs!$A$5:$A$140=$B41)*ISNUMBER(INDEX(Inputs!$K$5:$AJ$140,0,MATCH(D$2,Inputs!$K$4:$AJ$4,0))))+SUMPRODUCT((Inputs!$C$5:$C$140=$B41)*ISNUMBER(INDEX(Inputs!$K$5:$AJ$140,0,MATCH(D$2,Inputs!$K$4:$AJ$4,0))))+SUMPRODUCT((Inputs!$E$5:$E$140=$B41)*ISNUMBER(INDEX(Inputs!$K$5:$AJ$140,0,MATCH(D$2,Inputs!$K$4:$AJ$4,0))))=0,NA(),SUMPRODUCT((Inputs!$A$5:$A$140=$B41)*Inputs!$B$5:$B$140*(((Inputs!$G$5:$G$140="moeda")+(Inputs!$G$5:$G$140="acoes"))*Inputs!$B$1+((Inputs!$G$5:$G$140&lt;&gt;"moeda")*(Inputs!$G$5:$G$140&lt;&gt;"acoes")))*INDEX(Inputs!$K$5:$AJ$140,0,MATCH(D$2,Inputs!$K$4:$AJ$4,0)))+SUMPRODUCT((Inputs!$C$5:$C$140=$B41)*Inputs!$D$5:$D$140*(((Inputs!$G$5:$G$140="moeda")+(Inputs!$G$5:$G$140="acoes"))*Inputs!$B$1+((Inputs!$G$5:$G$140&lt;&gt;"moeda")*(Inputs!$G$5:$G$140&lt;&gt;"acoes")))*INDEX(Inputs!$K$5:$AJ$140,0,MATCH(D$2,Inputs!$K$4:$AJ$4,0)))+SUMPRODUCT((Inputs!$E$5:$E$140=$B41)*Inputs!$F$5:$F$140*(((Inputs!$G$5:$G$140="moeda")+(Inputs!$G$5:$G$140="acoes"))*Inputs!$B$1+((Inputs!$G$5:$G$140&lt;&gt;"moeda")*(Inputs!$G$5:$G$140&lt;&gt;"acoes")))*INDEX(Inputs!$K$5:$AJ$140,0,MATCH(D$2,Inputs!$K$4:$AJ$4,0)))))</f>
        <v>#N/A</v>
      </c>
      <c r="E41" s="6" t="e">
        <f>IF(ISNA(MATCH(E$2,Inputs!$K$4:$AJ$4,0)),NA(),IF(SUMPRODUCT((Inputs!$A$5:$A$140=$B41)*ISNUMBER(INDEX(Inputs!$K$5:$AJ$140,0,MATCH(E$2,Inputs!$K$4:$AJ$4,0))))+SUMPRODUCT((Inputs!$C$5:$C$140=$B41)*ISNUMBER(INDEX(Inputs!$K$5:$AJ$140,0,MATCH(E$2,Inputs!$K$4:$AJ$4,0))))+SUMPRODUCT((Inputs!$E$5:$E$140=$B41)*ISNUMBER(INDEX(Inputs!$K$5:$AJ$140,0,MATCH(E$2,Inputs!$K$4:$AJ$4,0))))=0,NA(),SUMPRODUCT((Inputs!$A$5:$A$140=$B41)*Inputs!$B$5:$B$140*(((Inputs!$G$5:$G$140="moeda")+(Inputs!$G$5:$G$140="acoes"))*Inputs!$B$1+((Inputs!$G$5:$G$140&lt;&gt;"moeda")*(Inputs!$G$5:$G$140&lt;&gt;"acoes")))*INDEX(Inputs!$K$5:$AJ$140,0,MATCH(E$2,Inputs!$K$4:$AJ$4,0)))+SUMPRODUCT((Inputs!$C$5:$C$140=$B41)*Inputs!$D$5:$D$140*(((Inputs!$G$5:$G$140="moeda")+(Inputs!$G$5:$G$140="acoes"))*Inputs!$B$1+((Inputs!$G$5:$G$140&lt;&gt;"moeda")*(Inputs!$G$5:$G$140&lt;&gt;"acoes")))*INDEX(Inputs!$K$5:$AJ$140,0,MATCH(E$2,Inputs!$K$4:$AJ$4,0)))+SUMPRODUCT((Inputs!$E$5:$E$140=$B41)*Inputs!$F$5:$F$140*(((Inputs!$G$5:$G$140="moeda")+(Inputs!$G$5:$G$140="acoes"))*Inputs!$B$1+((Inputs!$G$5:$G$140&lt;&gt;"moeda")*(Inputs!$G$5:$G$140&lt;&gt;"acoes")))*INDEX(Inputs!$K$5:$AJ$140,0,MATCH(E$2,Inputs!$K$4:$AJ$4,0)))))</f>
        <v>#N/A</v>
      </c>
      <c r="F41" s="6" t="e">
        <f>IF(ISNA(MATCH(F$2,Inputs!$K$4:$AJ$4,0)),NA(),IF(SUMPRODUCT((Inputs!$A$5:$A$140=$B41)*ISNUMBER(INDEX(Inputs!$K$5:$AJ$140,0,MATCH(F$2,Inputs!$K$4:$AJ$4,0))))+SUMPRODUCT((Inputs!$C$5:$C$140=$B41)*ISNUMBER(INDEX(Inputs!$K$5:$AJ$140,0,MATCH(F$2,Inputs!$K$4:$AJ$4,0))))+SUMPRODUCT((Inputs!$E$5:$E$140=$B41)*ISNUMBER(INDEX(Inputs!$K$5:$AJ$140,0,MATCH(F$2,Inputs!$K$4:$AJ$4,0))))=0,NA(),SUMPRODUCT((Inputs!$A$5:$A$140=$B41)*Inputs!$B$5:$B$140*(((Inputs!$G$5:$G$140="moeda")+(Inputs!$G$5:$G$140="acoes"))*Inputs!$B$1+((Inputs!$G$5:$G$140&lt;&gt;"moeda")*(Inputs!$G$5:$G$140&lt;&gt;"acoes")))*INDEX(Inputs!$K$5:$AJ$140,0,MATCH(F$2,Inputs!$K$4:$AJ$4,0)))+SUMPRODUCT((Inputs!$C$5:$C$140=$B41)*Inputs!$D$5:$D$140*(((Inputs!$G$5:$G$140="moeda")+(Inputs!$G$5:$G$140="acoes"))*Inputs!$B$1+((Inputs!$G$5:$G$140&lt;&gt;"moeda")*(Inputs!$G$5:$G$140&lt;&gt;"acoes")))*INDEX(Inputs!$K$5:$AJ$140,0,MATCH(F$2,Inputs!$K$4:$AJ$4,0)))+SUMPRODUCT((Inputs!$E$5:$E$140=$B41)*Inputs!$F$5:$F$140*(((Inputs!$G$5:$G$140="moeda")+(Inputs!$G$5:$G$140="acoes"))*Inputs!$B$1+((Inputs!$G$5:$G$140&lt;&gt;"moeda")*(Inputs!$G$5:$G$140&lt;&gt;"acoes")))*INDEX(Inputs!$K$5:$AJ$140,0,MATCH(F$2,Inputs!$K$4:$AJ$4,0)))))</f>
        <v>#N/A</v>
      </c>
      <c r="G41" s="6" t="e">
        <f>IF(ISNA(MATCH(G$2,Inputs!$K$4:$AJ$4,0)),NA(),IF(SUMPRODUCT((Inputs!$A$5:$A$140=$B41)*ISNUMBER(INDEX(Inputs!$K$5:$AJ$140,0,MATCH(G$2,Inputs!$K$4:$AJ$4,0))))+SUMPRODUCT((Inputs!$C$5:$C$140=$B41)*ISNUMBER(INDEX(Inputs!$K$5:$AJ$140,0,MATCH(G$2,Inputs!$K$4:$AJ$4,0))))+SUMPRODUCT((Inputs!$E$5:$E$140=$B41)*ISNUMBER(INDEX(Inputs!$K$5:$AJ$140,0,MATCH(G$2,Inputs!$K$4:$AJ$4,0))))=0,NA(),SUMPRODUCT((Inputs!$A$5:$A$140=$B41)*Inputs!$B$5:$B$140*(((Inputs!$G$5:$G$140="moeda")+(Inputs!$G$5:$G$140="acoes"))*Inputs!$B$1+((Inputs!$G$5:$G$140&lt;&gt;"moeda")*(Inputs!$G$5:$G$140&lt;&gt;"acoes")))*INDEX(Inputs!$K$5:$AJ$140,0,MATCH(G$2,Inputs!$K$4:$AJ$4,0)))+SUMPRODUCT((Inputs!$C$5:$C$140=$B41)*Inputs!$D$5:$D$140*(((Inputs!$G$5:$G$140="moeda")+(Inputs!$G$5:$G$140="acoes"))*Inputs!$B$1+((Inputs!$G$5:$G$140&lt;&gt;"moeda")*(Inputs!$G$5:$G$140&lt;&gt;"acoes")))*INDEX(Inputs!$K$5:$AJ$140,0,MATCH(G$2,Inputs!$K$4:$AJ$4,0)))+SUMPRODUCT((Inputs!$E$5:$E$140=$B41)*Inputs!$F$5:$F$140*(((Inputs!$G$5:$G$140="moeda")+(Inputs!$G$5:$G$140="acoes"))*Inputs!$B$1+((Inputs!$G$5:$G$140&lt;&gt;"moeda")*(Inputs!$G$5:$G$140&lt;&gt;"acoes")))*INDEX(Inputs!$K$5:$AJ$140,0,MATCH(G$2,Inputs!$K$4:$AJ$4,0)))))</f>
        <v>#N/A</v>
      </c>
      <c r="H41" s="3" t="e">
        <f>G41</f>
        <v>#N/A</v>
      </c>
      <c r="I41" s="6" t="e">
        <f>IF(ISNA(MATCH(I$2,Inputs!$K$4:$AJ$4,0)),NA(),IF(SUMPRODUCT((Inputs!$A$5:$A$140=$B41)*ISNUMBER(INDEX(Inputs!$K$5:$AJ$140,0,MATCH(I$2,Inputs!$K$4:$AJ$4,0))))+SUMPRODUCT((Inputs!$C$5:$C$140=$B41)*ISNUMBER(INDEX(Inputs!$K$5:$AJ$140,0,MATCH(I$2,Inputs!$K$4:$AJ$4,0))))+SUMPRODUCT((Inputs!$E$5:$E$140=$B41)*ISNUMBER(INDEX(Inputs!$K$5:$AJ$140,0,MATCH(I$2,Inputs!$K$4:$AJ$4,0))))=0,NA(),SUMPRODUCT((Inputs!$A$5:$A$140=$B41)*Inputs!$B$5:$B$140*(((Inputs!$G$5:$G$140="moeda")+(Inputs!$G$5:$G$140="acoes"))*Inputs!$B$1+((Inputs!$G$5:$G$140&lt;&gt;"moeda")*(Inputs!$G$5:$G$140&lt;&gt;"acoes")))*INDEX(Inputs!$K$5:$AJ$140,0,MATCH(I$2,Inputs!$K$4:$AJ$4,0)))+SUMPRODUCT((Inputs!$C$5:$C$140=$B41)*Inputs!$D$5:$D$140*(((Inputs!$G$5:$G$140="moeda")+(Inputs!$G$5:$G$140="acoes"))*Inputs!$B$1+((Inputs!$G$5:$G$140&lt;&gt;"moeda")*(Inputs!$G$5:$G$140&lt;&gt;"acoes")))*INDEX(Inputs!$K$5:$AJ$140,0,MATCH(I$2,Inputs!$K$4:$AJ$4,0)))+SUMPRODUCT((Inputs!$E$5:$E$140=$B41)*Inputs!$F$5:$F$140*(((Inputs!$G$5:$G$140="moeda")+(Inputs!$G$5:$G$140="acoes"))*Inputs!$B$1+((Inputs!$G$5:$G$140&lt;&gt;"moeda")*(Inputs!$G$5:$G$140&lt;&gt;"acoes")))*INDEX(Inputs!$K$5:$AJ$140,0,MATCH(I$2,Inputs!$K$4:$AJ$4,0)))))</f>
        <v>#N/A</v>
      </c>
      <c r="J41" s="6" t="e">
        <f>IF(ISNA(MATCH(J$2,Inputs!$K$4:$AJ$4,0)),NA(),IF(SUMPRODUCT((Inputs!$A$5:$A$140=$B41)*ISNUMBER(INDEX(Inputs!$K$5:$AJ$140,0,MATCH(J$2,Inputs!$K$4:$AJ$4,0))))+SUMPRODUCT((Inputs!$C$5:$C$140=$B41)*ISNUMBER(INDEX(Inputs!$K$5:$AJ$140,0,MATCH(J$2,Inputs!$K$4:$AJ$4,0))))+SUMPRODUCT((Inputs!$E$5:$E$140=$B41)*ISNUMBER(INDEX(Inputs!$K$5:$AJ$140,0,MATCH(J$2,Inputs!$K$4:$AJ$4,0))))=0,NA(),SUMPRODUCT((Inputs!$A$5:$A$140=$B41)*Inputs!$B$5:$B$140*(((Inputs!$G$5:$G$140="moeda")+(Inputs!$G$5:$G$140="acoes"))*Inputs!$B$1+((Inputs!$G$5:$G$140&lt;&gt;"moeda")*(Inputs!$G$5:$G$140&lt;&gt;"acoes")))*INDEX(Inputs!$K$5:$AJ$140,0,MATCH(J$2,Inputs!$K$4:$AJ$4,0)))+SUMPRODUCT((Inputs!$C$5:$C$140=$B41)*Inputs!$D$5:$D$140*(((Inputs!$G$5:$G$140="moeda")+(Inputs!$G$5:$G$140="acoes"))*Inputs!$B$1+((Inputs!$G$5:$G$140&lt;&gt;"moeda")*(Inputs!$G$5:$G$140&lt;&gt;"acoes")))*INDEX(Inputs!$K$5:$AJ$140,0,MATCH(J$2,Inputs!$K$4:$AJ$4,0)))+SUMPRODUCT((Inputs!$E$5:$E$140=$B41)*Inputs!$F$5:$F$140*(((Inputs!$G$5:$G$140="moeda")+(Inputs!$G$5:$G$140="acoes"))*Inputs!$B$1+((Inputs!$G$5:$G$140&lt;&gt;"moeda")*(Inputs!$G$5:$G$140&lt;&gt;"acoes")))*INDEX(Inputs!$K$5:$AJ$140,0,MATCH(J$2,Inputs!$K$4:$AJ$4,0)))))</f>
        <v>#N/A</v>
      </c>
      <c r="K41" s="6" t="e">
        <f>IF(ISNA(MATCH(K$2,Inputs!$K$4:$AJ$4,0)),NA(),IF(SUMPRODUCT((Inputs!$A$5:$A$140=$B41)*ISNUMBER(INDEX(Inputs!$K$5:$AJ$140,0,MATCH(K$2,Inputs!$K$4:$AJ$4,0))))+SUMPRODUCT((Inputs!$C$5:$C$140=$B41)*ISNUMBER(INDEX(Inputs!$K$5:$AJ$140,0,MATCH(K$2,Inputs!$K$4:$AJ$4,0))))+SUMPRODUCT((Inputs!$E$5:$E$140=$B41)*ISNUMBER(INDEX(Inputs!$K$5:$AJ$140,0,MATCH(K$2,Inputs!$K$4:$AJ$4,0))))=0,NA(),SUMPRODUCT((Inputs!$A$5:$A$140=$B41)*Inputs!$B$5:$B$140*(((Inputs!$G$5:$G$140="moeda")+(Inputs!$G$5:$G$140="acoes"))*Inputs!$B$1+((Inputs!$G$5:$G$140&lt;&gt;"moeda")*(Inputs!$G$5:$G$140&lt;&gt;"acoes")))*INDEX(Inputs!$K$5:$AJ$140,0,MATCH(K$2,Inputs!$K$4:$AJ$4,0)))+SUMPRODUCT((Inputs!$C$5:$C$140=$B41)*Inputs!$D$5:$D$140*(((Inputs!$G$5:$G$140="moeda")+(Inputs!$G$5:$G$140="acoes"))*Inputs!$B$1+((Inputs!$G$5:$G$140&lt;&gt;"moeda")*(Inputs!$G$5:$G$140&lt;&gt;"acoes")))*INDEX(Inputs!$K$5:$AJ$140,0,MATCH(K$2,Inputs!$K$4:$AJ$4,0)))+SUMPRODUCT((Inputs!$E$5:$E$140=$B41)*Inputs!$F$5:$F$140*(((Inputs!$G$5:$G$140="moeda")+(Inputs!$G$5:$G$140="acoes"))*Inputs!$B$1+((Inputs!$G$5:$G$140&lt;&gt;"moeda")*(Inputs!$G$5:$G$140&lt;&gt;"acoes")))*INDEX(Inputs!$K$5:$AJ$140,0,MATCH(K$2,Inputs!$K$4:$AJ$4,0)))))</f>
        <v>#N/A</v>
      </c>
      <c r="L41" s="6" t="e">
        <f>IF(ISNA(MATCH(L$2,Inputs!$K$4:$AJ$4,0)),NA(),IF(SUMPRODUCT((Inputs!$A$5:$A$140=$B41)*ISNUMBER(INDEX(Inputs!$K$5:$AJ$140,0,MATCH(L$2,Inputs!$K$4:$AJ$4,0))))+SUMPRODUCT((Inputs!$C$5:$C$140=$B41)*ISNUMBER(INDEX(Inputs!$K$5:$AJ$140,0,MATCH(L$2,Inputs!$K$4:$AJ$4,0))))+SUMPRODUCT((Inputs!$E$5:$E$140=$B41)*ISNUMBER(INDEX(Inputs!$K$5:$AJ$140,0,MATCH(L$2,Inputs!$K$4:$AJ$4,0))))=0,NA(),SUMPRODUCT((Inputs!$A$5:$A$140=$B41)*Inputs!$B$5:$B$140*(((Inputs!$G$5:$G$140="moeda")+(Inputs!$G$5:$G$140="acoes"))*Inputs!$B$1+((Inputs!$G$5:$G$140&lt;&gt;"moeda")*(Inputs!$G$5:$G$140&lt;&gt;"acoes")))*INDEX(Inputs!$K$5:$AJ$140,0,MATCH(L$2,Inputs!$K$4:$AJ$4,0)))+SUMPRODUCT((Inputs!$C$5:$C$140=$B41)*Inputs!$D$5:$D$140*(((Inputs!$G$5:$G$140="moeda")+(Inputs!$G$5:$G$140="acoes"))*Inputs!$B$1+((Inputs!$G$5:$G$140&lt;&gt;"moeda")*(Inputs!$G$5:$G$140&lt;&gt;"acoes")))*INDEX(Inputs!$K$5:$AJ$140,0,MATCH(L$2,Inputs!$K$4:$AJ$4,0)))+SUMPRODUCT((Inputs!$E$5:$E$140=$B41)*Inputs!$F$5:$F$140*(((Inputs!$G$5:$G$140="moeda")+(Inputs!$G$5:$G$140="acoes"))*Inputs!$B$1+((Inputs!$G$5:$G$140&lt;&gt;"moeda")*(Inputs!$G$5:$G$140&lt;&gt;"acoes")))*INDEX(Inputs!$K$5:$AJ$140,0,MATCH(L$2,Inputs!$K$4:$AJ$4,0)))))</f>
        <v>#N/A</v>
      </c>
      <c r="M41" s="3" t="e">
        <f>L41</f>
        <v>#N/A</v>
      </c>
      <c r="N41" s="6" t="e">
        <f>IF(ISNA(MATCH(N$2,Inputs!$K$4:$AJ$4,0)),NA(),IF(SUMPRODUCT((Inputs!$A$5:$A$140=$B41)*ISNUMBER(INDEX(Inputs!$K$5:$AJ$140,0,MATCH(N$2,Inputs!$K$4:$AJ$4,0))))+SUMPRODUCT((Inputs!$C$5:$C$140=$B41)*ISNUMBER(INDEX(Inputs!$K$5:$AJ$140,0,MATCH(N$2,Inputs!$K$4:$AJ$4,0))))+SUMPRODUCT((Inputs!$E$5:$E$140=$B41)*ISNUMBER(INDEX(Inputs!$K$5:$AJ$140,0,MATCH(N$2,Inputs!$K$4:$AJ$4,0))))=0,NA(),SUMPRODUCT((Inputs!$A$5:$A$140=$B41)*Inputs!$B$5:$B$140*(((Inputs!$G$5:$G$140="moeda")+(Inputs!$G$5:$G$140="acoes"))*Inputs!$B$1+((Inputs!$G$5:$G$140&lt;&gt;"moeda")*(Inputs!$G$5:$G$140&lt;&gt;"acoes")))*INDEX(Inputs!$K$5:$AJ$140,0,MATCH(N$2,Inputs!$K$4:$AJ$4,0)))+SUMPRODUCT((Inputs!$C$5:$C$140=$B41)*Inputs!$D$5:$D$140*(((Inputs!$G$5:$G$140="moeda")+(Inputs!$G$5:$G$140="acoes"))*Inputs!$B$1+((Inputs!$G$5:$G$140&lt;&gt;"moeda")*(Inputs!$G$5:$G$140&lt;&gt;"acoes")))*INDEX(Inputs!$K$5:$AJ$140,0,MATCH(N$2,Inputs!$K$4:$AJ$4,0)))+SUMPRODUCT((Inputs!$E$5:$E$140=$B41)*Inputs!$F$5:$F$140*(((Inputs!$G$5:$G$140="moeda")+(Inputs!$G$5:$G$140="acoes"))*Inputs!$B$1+((Inputs!$G$5:$G$140&lt;&gt;"moeda")*(Inputs!$G$5:$G$140&lt;&gt;"acoes")))*INDEX(Inputs!$K$5:$AJ$140,0,MATCH(N$2,Inputs!$K$4:$AJ$4,0)))))</f>
        <v>#N/A</v>
      </c>
      <c r="O41" s="6" t="e">
        <f>IF(ISNA(MATCH(O$2,Inputs!$K$4:$AJ$4,0)),NA(),IF(SUMPRODUCT((Inputs!$A$5:$A$140=$B41)*ISNUMBER(INDEX(Inputs!$K$5:$AJ$140,0,MATCH(O$2,Inputs!$K$4:$AJ$4,0))))+SUMPRODUCT((Inputs!$C$5:$C$140=$B41)*ISNUMBER(INDEX(Inputs!$K$5:$AJ$140,0,MATCH(O$2,Inputs!$K$4:$AJ$4,0))))+SUMPRODUCT((Inputs!$E$5:$E$140=$B41)*ISNUMBER(INDEX(Inputs!$K$5:$AJ$140,0,MATCH(O$2,Inputs!$K$4:$AJ$4,0))))=0,NA(),SUMPRODUCT((Inputs!$A$5:$A$140=$B41)*Inputs!$B$5:$B$140*(((Inputs!$G$5:$G$140="moeda")+(Inputs!$G$5:$G$140="acoes"))*Inputs!$B$1+((Inputs!$G$5:$G$140&lt;&gt;"moeda")*(Inputs!$G$5:$G$140&lt;&gt;"acoes")))*INDEX(Inputs!$K$5:$AJ$140,0,MATCH(O$2,Inputs!$K$4:$AJ$4,0)))+SUMPRODUCT((Inputs!$C$5:$C$140=$B41)*Inputs!$D$5:$D$140*(((Inputs!$G$5:$G$140="moeda")+(Inputs!$G$5:$G$140="acoes"))*Inputs!$B$1+((Inputs!$G$5:$G$140&lt;&gt;"moeda")*(Inputs!$G$5:$G$140&lt;&gt;"acoes")))*INDEX(Inputs!$K$5:$AJ$140,0,MATCH(O$2,Inputs!$K$4:$AJ$4,0)))+SUMPRODUCT((Inputs!$E$5:$E$140=$B41)*Inputs!$F$5:$F$140*(((Inputs!$G$5:$G$140="moeda")+(Inputs!$G$5:$G$140="acoes"))*Inputs!$B$1+((Inputs!$G$5:$G$140&lt;&gt;"moeda")*(Inputs!$G$5:$G$140&lt;&gt;"acoes")))*INDEX(Inputs!$K$5:$AJ$140,0,MATCH(O$2,Inputs!$K$4:$AJ$4,0)))))</f>
        <v>#N/A</v>
      </c>
      <c r="P41" s="6" t="e">
        <f>IF(ISNA(MATCH(P$2,Inputs!$K$4:$AJ$4,0)),NA(),IF(SUMPRODUCT((Inputs!$A$5:$A$140=$B41)*ISNUMBER(INDEX(Inputs!$K$5:$AJ$140,0,MATCH(P$2,Inputs!$K$4:$AJ$4,0))))+SUMPRODUCT((Inputs!$C$5:$C$140=$B41)*ISNUMBER(INDEX(Inputs!$K$5:$AJ$140,0,MATCH(P$2,Inputs!$K$4:$AJ$4,0))))+SUMPRODUCT((Inputs!$E$5:$E$140=$B41)*ISNUMBER(INDEX(Inputs!$K$5:$AJ$140,0,MATCH(P$2,Inputs!$K$4:$AJ$4,0))))=0,NA(),SUMPRODUCT((Inputs!$A$5:$A$140=$B41)*Inputs!$B$5:$B$140*(((Inputs!$G$5:$G$140="moeda")+(Inputs!$G$5:$G$140="acoes"))*Inputs!$B$1+((Inputs!$G$5:$G$140&lt;&gt;"moeda")*(Inputs!$G$5:$G$140&lt;&gt;"acoes")))*INDEX(Inputs!$K$5:$AJ$140,0,MATCH(P$2,Inputs!$K$4:$AJ$4,0)))+SUMPRODUCT((Inputs!$C$5:$C$140=$B41)*Inputs!$D$5:$D$140*(((Inputs!$G$5:$G$140="moeda")+(Inputs!$G$5:$G$140="acoes"))*Inputs!$B$1+((Inputs!$G$5:$G$140&lt;&gt;"moeda")*(Inputs!$G$5:$G$140&lt;&gt;"acoes")))*INDEX(Inputs!$K$5:$AJ$140,0,MATCH(P$2,Inputs!$K$4:$AJ$4,0)))+SUMPRODUCT((Inputs!$E$5:$E$140=$B41)*Inputs!$F$5:$F$140*(((Inputs!$G$5:$G$140="moeda")+(Inputs!$G$5:$G$140="acoes"))*Inputs!$B$1+((Inputs!$G$5:$G$140&lt;&gt;"moeda")*(Inputs!$G$5:$G$140&lt;&gt;"acoes")))*INDEX(Inputs!$K$5:$AJ$140,0,MATCH(P$2,Inputs!$K$4:$AJ$4,0)))))</f>
        <v>#N/A</v>
      </c>
      <c r="Q41" s="6" t="e">
        <f>IF(ISNA(MATCH(Q$2,Inputs!$K$4:$AJ$4,0)),NA(),IF(SUMPRODUCT((Inputs!$A$5:$A$140=$B41)*ISNUMBER(INDEX(Inputs!$K$5:$AJ$140,0,MATCH(Q$2,Inputs!$K$4:$AJ$4,0))))+SUMPRODUCT((Inputs!$C$5:$C$140=$B41)*ISNUMBER(INDEX(Inputs!$K$5:$AJ$140,0,MATCH(Q$2,Inputs!$K$4:$AJ$4,0))))+SUMPRODUCT((Inputs!$E$5:$E$140=$B41)*ISNUMBER(INDEX(Inputs!$K$5:$AJ$140,0,MATCH(Q$2,Inputs!$K$4:$AJ$4,0))))=0,NA(),SUMPRODUCT((Inputs!$A$5:$A$140=$B41)*Inputs!$B$5:$B$140*(((Inputs!$G$5:$G$140="moeda")+(Inputs!$G$5:$G$140="acoes"))*Inputs!$B$1+((Inputs!$G$5:$G$140&lt;&gt;"moeda")*(Inputs!$G$5:$G$140&lt;&gt;"acoes")))*INDEX(Inputs!$K$5:$AJ$140,0,MATCH(Q$2,Inputs!$K$4:$AJ$4,0)))+SUMPRODUCT((Inputs!$C$5:$C$140=$B41)*Inputs!$D$5:$D$140*(((Inputs!$G$5:$G$140="moeda")+(Inputs!$G$5:$G$140="acoes"))*Inputs!$B$1+((Inputs!$G$5:$G$140&lt;&gt;"moeda")*(Inputs!$G$5:$G$140&lt;&gt;"acoes")))*INDEX(Inputs!$K$5:$AJ$140,0,MATCH(Q$2,Inputs!$K$4:$AJ$4,0)))+SUMPRODUCT((Inputs!$E$5:$E$140=$B41)*Inputs!$F$5:$F$140*(((Inputs!$G$5:$G$140="moeda")+(Inputs!$G$5:$G$140="acoes"))*Inputs!$B$1+((Inputs!$G$5:$G$140&lt;&gt;"moeda")*(Inputs!$G$5:$G$140&lt;&gt;"acoes")))*INDEX(Inputs!$K$5:$AJ$140,0,MATCH(Q$2,Inputs!$K$4:$AJ$4,0)))))</f>
        <v>#N/A</v>
      </c>
      <c r="R41" s="3" t="e">
        <f>Q41</f>
        <v>#N/A</v>
      </c>
      <c r="S41" s="6" t="e">
        <f>IF(ISNA(MATCH(S$2,Inputs!$K$4:$AJ$4,0)),NA(),IF(SUMPRODUCT((Inputs!$A$5:$A$140=$B41)*ISNUMBER(INDEX(Inputs!$K$5:$AJ$140,0,MATCH(S$2,Inputs!$K$4:$AJ$4,0))))+SUMPRODUCT((Inputs!$C$5:$C$140=$B41)*ISNUMBER(INDEX(Inputs!$K$5:$AJ$140,0,MATCH(S$2,Inputs!$K$4:$AJ$4,0))))+SUMPRODUCT((Inputs!$E$5:$E$140=$B41)*ISNUMBER(INDEX(Inputs!$K$5:$AJ$140,0,MATCH(S$2,Inputs!$K$4:$AJ$4,0))))=0,NA(),SUMPRODUCT((Inputs!$A$5:$A$140=$B41)*Inputs!$B$5:$B$140*(((Inputs!$G$5:$G$140="moeda")+(Inputs!$G$5:$G$140="acoes"))*Inputs!$B$1+((Inputs!$G$5:$G$140&lt;&gt;"moeda")*(Inputs!$G$5:$G$140&lt;&gt;"acoes")))*INDEX(Inputs!$K$5:$AJ$140,0,MATCH(S$2,Inputs!$K$4:$AJ$4,0)))+SUMPRODUCT((Inputs!$C$5:$C$140=$B41)*Inputs!$D$5:$D$140*(((Inputs!$G$5:$G$140="moeda")+(Inputs!$G$5:$G$140="acoes"))*Inputs!$B$1+((Inputs!$G$5:$G$140&lt;&gt;"moeda")*(Inputs!$G$5:$G$140&lt;&gt;"acoes")))*INDEX(Inputs!$K$5:$AJ$140,0,MATCH(S$2,Inputs!$K$4:$AJ$4,0)))+SUMPRODUCT((Inputs!$E$5:$E$140=$B41)*Inputs!$F$5:$F$140*(((Inputs!$G$5:$G$140="moeda")+(Inputs!$G$5:$G$140="acoes"))*Inputs!$B$1+((Inputs!$G$5:$G$140&lt;&gt;"moeda")*(Inputs!$G$5:$G$140&lt;&gt;"acoes")))*INDEX(Inputs!$K$5:$AJ$140,0,MATCH(S$2,Inputs!$K$4:$AJ$4,0)))))</f>
        <v>#N/A</v>
      </c>
      <c r="T41" s="6" t="e">
        <f>IF(ISNA(MATCH(T$2,Inputs!$K$4:$AJ$4,0)),NA(),IF(SUMPRODUCT((Inputs!$A$5:$A$140=$B41)*ISNUMBER(INDEX(Inputs!$K$5:$AJ$140,0,MATCH(T$2,Inputs!$K$4:$AJ$4,0))))+SUMPRODUCT((Inputs!$C$5:$C$140=$B41)*ISNUMBER(INDEX(Inputs!$K$5:$AJ$140,0,MATCH(T$2,Inputs!$K$4:$AJ$4,0))))+SUMPRODUCT((Inputs!$E$5:$E$140=$B41)*ISNUMBER(INDEX(Inputs!$K$5:$AJ$140,0,MATCH(T$2,Inputs!$K$4:$AJ$4,0))))=0,NA(),SUMPRODUCT((Inputs!$A$5:$A$140=$B41)*Inputs!$B$5:$B$140*(((Inputs!$G$5:$G$140="moeda")+(Inputs!$G$5:$G$140="acoes"))*Inputs!$B$1+((Inputs!$G$5:$G$140&lt;&gt;"moeda")*(Inputs!$G$5:$G$140&lt;&gt;"acoes")))*INDEX(Inputs!$K$5:$AJ$140,0,MATCH(T$2,Inputs!$K$4:$AJ$4,0)))+SUMPRODUCT((Inputs!$C$5:$C$140=$B41)*Inputs!$D$5:$D$140*(((Inputs!$G$5:$G$140="moeda")+(Inputs!$G$5:$G$140="acoes"))*Inputs!$B$1+((Inputs!$G$5:$G$140&lt;&gt;"moeda")*(Inputs!$G$5:$G$140&lt;&gt;"acoes")))*INDEX(Inputs!$K$5:$AJ$140,0,MATCH(T$2,Inputs!$K$4:$AJ$4,0)))+SUMPRODUCT((Inputs!$E$5:$E$140=$B41)*Inputs!$F$5:$F$140*(((Inputs!$G$5:$G$140="moeda")+(Inputs!$G$5:$G$140="acoes"))*Inputs!$B$1+((Inputs!$G$5:$G$140&lt;&gt;"moeda")*(Inputs!$G$5:$G$140&lt;&gt;"acoes")))*INDEX(Inputs!$K$5:$AJ$140,0,MATCH(T$2,Inputs!$K$4:$AJ$4,0)))))</f>
        <v>#N/A</v>
      </c>
      <c r="U41" s="6" t="e">
        <f>IF(ISNA(MATCH(U$2,Inputs!$K$4:$AJ$4,0)),NA(),IF(SUMPRODUCT((Inputs!$A$5:$A$140=$B41)*ISNUMBER(INDEX(Inputs!$K$5:$AJ$140,0,MATCH(U$2,Inputs!$K$4:$AJ$4,0))))+SUMPRODUCT((Inputs!$C$5:$C$140=$B41)*ISNUMBER(INDEX(Inputs!$K$5:$AJ$140,0,MATCH(U$2,Inputs!$K$4:$AJ$4,0))))+SUMPRODUCT((Inputs!$E$5:$E$140=$B41)*ISNUMBER(INDEX(Inputs!$K$5:$AJ$140,0,MATCH(U$2,Inputs!$K$4:$AJ$4,0))))=0,NA(),SUMPRODUCT((Inputs!$A$5:$A$140=$B41)*Inputs!$B$5:$B$140*(((Inputs!$G$5:$G$140="moeda")+(Inputs!$G$5:$G$140="acoes"))*Inputs!$B$1+((Inputs!$G$5:$G$140&lt;&gt;"moeda")*(Inputs!$G$5:$G$140&lt;&gt;"acoes")))*INDEX(Inputs!$K$5:$AJ$140,0,MATCH(U$2,Inputs!$K$4:$AJ$4,0)))+SUMPRODUCT((Inputs!$C$5:$C$140=$B41)*Inputs!$D$5:$D$140*(((Inputs!$G$5:$G$140="moeda")+(Inputs!$G$5:$G$140="acoes"))*Inputs!$B$1+((Inputs!$G$5:$G$140&lt;&gt;"moeda")*(Inputs!$G$5:$G$140&lt;&gt;"acoes")))*INDEX(Inputs!$K$5:$AJ$140,0,MATCH(U$2,Inputs!$K$4:$AJ$4,0)))+SUMPRODUCT((Inputs!$E$5:$E$140=$B41)*Inputs!$F$5:$F$140*(((Inputs!$G$5:$G$140="moeda")+(Inputs!$G$5:$G$140="acoes"))*Inputs!$B$1+((Inputs!$G$5:$G$140&lt;&gt;"moeda")*(Inputs!$G$5:$G$140&lt;&gt;"acoes")))*INDEX(Inputs!$K$5:$AJ$140,0,MATCH(U$2,Inputs!$K$4:$AJ$4,0)))))</f>
        <v>#N/A</v>
      </c>
      <c r="V41" s="6" t="e">
        <f>IF(ISNA(MATCH(V$2,Inputs!$K$4:$AJ$4,0)),NA(),IF(SUMPRODUCT((Inputs!$A$5:$A$140=$B41)*ISNUMBER(INDEX(Inputs!$K$5:$AJ$140,0,MATCH(V$2,Inputs!$K$4:$AJ$4,0))))+SUMPRODUCT((Inputs!$C$5:$C$140=$B41)*ISNUMBER(INDEX(Inputs!$K$5:$AJ$140,0,MATCH(V$2,Inputs!$K$4:$AJ$4,0))))+SUMPRODUCT((Inputs!$E$5:$E$140=$B41)*ISNUMBER(INDEX(Inputs!$K$5:$AJ$140,0,MATCH(V$2,Inputs!$K$4:$AJ$4,0))))=0,NA(),SUMPRODUCT((Inputs!$A$5:$A$140=$B41)*Inputs!$B$5:$B$140*(((Inputs!$G$5:$G$140="moeda")+(Inputs!$G$5:$G$140="acoes"))*Inputs!$B$1+((Inputs!$G$5:$G$140&lt;&gt;"moeda")*(Inputs!$G$5:$G$140&lt;&gt;"acoes")))*INDEX(Inputs!$K$5:$AJ$140,0,MATCH(V$2,Inputs!$K$4:$AJ$4,0)))+SUMPRODUCT((Inputs!$C$5:$C$140=$B41)*Inputs!$D$5:$D$140*(((Inputs!$G$5:$G$140="moeda")+(Inputs!$G$5:$G$140="acoes"))*Inputs!$B$1+((Inputs!$G$5:$G$140&lt;&gt;"moeda")*(Inputs!$G$5:$G$140&lt;&gt;"acoes")))*INDEX(Inputs!$K$5:$AJ$140,0,MATCH(V$2,Inputs!$K$4:$AJ$4,0)))+SUMPRODUCT((Inputs!$E$5:$E$140=$B41)*Inputs!$F$5:$F$140*(((Inputs!$G$5:$G$140="moeda")+(Inputs!$G$5:$G$140="acoes"))*Inputs!$B$1+((Inputs!$G$5:$G$140&lt;&gt;"moeda")*(Inputs!$G$5:$G$140&lt;&gt;"acoes")))*INDEX(Inputs!$K$5:$AJ$140,0,MATCH(V$2,Inputs!$K$4:$AJ$4,0)))))</f>
        <v>#N/A</v>
      </c>
      <c r="W41" s="3" t="e">
        <f>V41</f>
        <v>#N/A</v>
      </c>
      <c r="X41" s="6" t="e">
        <f>IF(ISNA(MATCH(X$2,Inputs!$K$4:$AJ$4,0)),NA(),IF(SUMPRODUCT((Inputs!$A$5:$A$140=$B41)*ISNUMBER(INDEX(Inputs!$K$5:$AJ$140,0,MATCH(X$2,Inputs!$K$4:$AJ$4,0))))+SUMPRODUCT((Inputs!$C$5:$C$140=$B41)*ISNUMBER(INDEX(Inputs!$K$5:$AJ$140,0,MATCH(X$2,Inputs!$K$4:$AJ$4,0))))+SUMPRODUCT((Inputs!$E$5:$E$140=$B41)*ISNUMBER(INDEX(Inputs!$K$5:$AJ$140,0,MATCH(X$2,Inputs!$K$4:$AJ$4,0))))=0,NA(),SUMPRODUCT((Inputs!$A$5:$A$140=$B41)*Inputs!$B$5:$B$140*(((Inputs!$G$5:$G$140="moeda")+(Inputs!$G$5:$G$140="acoes"))*Inputs!$B$1+((Inputs!$G$5:$G$140&lt;&gt;"moeda")*(Inputs!$G$5:$G$140&lt;&gt;"acoes")))*INDEX(Inputs!$K$5:$AJ$140,0,MATCH(X$2,Inputs!$K$4:$AJ$4,0)))+SUMPRODUCT((Inputs!$C$5:$C$140=$B41)*Inputs!$D$5:$D$140*(((Inputs!$G$5:$G$140="moeda")+(Inputs!$G$5:$G$140="acoes"))*Inputs!$B$1+((Inputs!$G$5:$G$140&lt;&gt;"moeda")*(Inputs!$G$5:$G$140&lt;&gt;"acoes")))*INDEX(Inputs!$K$5:$AJ$140,0,MATCH(X$2,Inputs!$K$4:$AJ$4,0)))+SUMPRODUCT((Inputs!$E$5:$E$140=$B41)*Inputs!$F$5:$F$140*(((Inputs!$G$5:$G$140="moeda")+(Inputs!$G$5:$G$140="acoes"))*Inputs!$B$1+((Inputs!$G$5:$G$140&lt;&gt;"moeda")*(Inputs!$G$5:$G$140&lt;&gt;"acoes")))*INDEX(Inputs!$K$5:$AJ$140,0,MATCH(X$2,Inputs!$K$4:$AJ$4,0)))))</f>
        <v>#N/A</v>
      </c>
      <c r="Y41" s="6" t="e">
        <f>IF(ISNA(MATCH(Y$2,Inputs!$K$4:$AJ$4,0)),NA(),IF(SUMPRODUCT((Inputs!$A$5:$A$140=$B41)*ISNUMBER(INDEX(Inputs!$K$5:$AJ$140,0,MATCH(Y$2,Inputs!$K$4:$AJ$4,0))))+SUMPRODUCT((Inputs!$C$5:$C$140=$B41)*ISNUMBER(INDEX(Inputs!$K$5:$AJ$140,0,MATCH(Y$2,Inputs!$K$4:$AJ$4,0))))+SUMPRODUCT((Inputs!$E$5:$E$140=$B41)*ISNUMBER(INDEX(Inputs!$K$5:$AJ$140,0,MATCH(Y$2,Inputs!$K$4:$AJ$4,0))))=0,NA(),SUMPRODUCT((Inputs!$A$5:$A$140=$B41)*Inputs!$B$5:$B$140*(((Inputs!$G$5:$G$140="moeda")+(Inputs!$G$5:$G$140="acoes"))*Inputs!$B$1+((Inputs!$G$5:$G$140&lt;&gt;"moeda")*(Inputs!$G$5:$G$140&lt;&gt;"acoes")))*INDEX(Inputs!$K$5:$AJ$140,0,MATCH(Y$2,Inputs!$K$4:$AJ$4,0)))+SUMPRODUCT((Inputs!$C$5:$C$140=$B41)*Inputs!$D$5:$D$140*(((Inputs!$G$5:$G$140="moeda")+(Inputs!$G$5:$G$140="acoes"))*Inputs!$B$1+((Inputs!$G$5:$G$140&lt;&gt;"moeda")*(Inputs!$G$5:$G$140&lt;&gt;"acoes")))*INDEX(Inputs!$K$5:$AJ$140,0,MATCH(Y$2,Inputs!$K$4:$AJ$4,0)))+SUMPRODUCT((Inputs!$E$5:$E$140=$B41)*Inputs!$F$5:$F$140*(((Inputs!$G$5:$G$140="moeda")+(Inputs!$G$5:$G$140="acoes"))*Inputs!$B$1+((Inputs!$G$5:$G$140&lt;&gt;"moeda")*(Inputs!$G$5:$G$140&lt;&gt;"acoes")))*INDEX(Inputs!$K$5:$AJ$140,0,MATCH(Y$2,Inputs!$K$4:$AJ$4,0)))))</f>
        <v>#N/A</v>
      </c>
      <c r="Z41" s="6" t="e">
        <f>IF(ISNA(MATCH(Z$2,Inputs!$K$4:$AJ$4,0)),NA(),IF(SUMPRODUCT((Inputs!$A$5:$A$140=$B41)*ISNUMBER(INDEX(Inputs!$K$5:$AJ$140,0,MATCH(Z$2,Inputs!$K$4:$AJ$4,0))))+SUMPRODUCT((Inputs!$C$5:$C$140=$B41)*ISNUMBER(INDEX(Inputs!$K$5:$AJ$140,0,MATCH(Z$2,Inputs!$K$4:$AJ$4,0))))+SUMPRODUCT((Inputs!$E$5:$E$140=$B41)*ISNUMBER(INDEX(Inputs!$K$5:$AJ$140,0,MATCH(Z$2,Inputs!$K$4:$AJ$4,0))))=0,NA(),SUMPRODUCT((Inputs!$A$5:$A$140=$B41)*Inputs!$B$5:$B$140*(((Inputs!$G$5:$G$140="moeda")+(Inputs!$G$5:$G$140="acoes"))*Inputs!$B$1+((Inputs!$G$5:$G$140&lt;&gt;"moeda")*(Inputs!$G$5:$G$140&lt;&gt;"acoes")))*INDEX(Inputs!$K$5:$AJ$140,0,MATCH(Z$2,Inputs!$K$4:$AJ$4,0)))+SUMPRODUCT((Inputs!$C$5:$C$140=$B41)*Inputs!$D$5:$D$140*(((Inputs!$G$5:$G$140="moeda")+(Inputs!$G$5:$G$140="acoes"))*Inputs!$B$1+((Inputs!$G$5:$G$140&lt;&gt;"moeda")*(Inputs!$G$5:$G$140&lt;&gt;"acoes")))*INDEX(Inputs!$K$5:$AJ$140,0,MATCH(Z$2,Inputs!$K$4:$AJ$4,0)))+SUMPRODUCT((Inputs!$E$5:$E$140=$B41)*Inputs!$F$5:$F$140*(((Inputs!$G$5:$G$140="moeda")+(Inputs!$G$5:$G$140="acoes"))*Inputs!$B$1+((Inputs!$G$5:$G$140&lt;&gt;"moeda")*(Inputs!$G$5:$G$140&lt;&gt;"acoes")))*INDEX(Inputs!$K$5:$AJ$140,0,MATCH(Z$2,Inputs!$K$4:$AJ$4,0)))))</f>
        <v>#N/A</v>
      </c>
      <c r="AA41" s="6" t="e">
        <f>IF(ISNA(MATCH(AA$2,Inputs!$K$4:$AJ$4,0)),NA(),IF(SUMPRODUCT((Inputs!$A$5:$A$140=$B41)*ISNUMBER(INDEX(Inputs!$K$5:$AJ$140,0,MATCH(AA$2,Inputs!$K$4:$AJ$4,0))))+SUMPRODUCT((Inputs!$C$5:$C$140=$B41)*ISNUMBER(INDEX(Inputs!$K$5:$AJ$140,0,MATCH(AA$2,Inputs!$K$4:$AJ$4,0))))+SUMPRODUCT((Inputs!$E$5:$E$140=$B41)*ISNUMBER(INDEX(Inputs!$K$5:$AJ$140,0,MATCH(AA$2,Inputs!$K$4:$AJ$4,0))))=0,NA(),SUMPRODUCT((Inputs!$A$5:$A$140=$B41)*Inputs!$B$5:$B$140*(((Inputs!$G$5:$G$140="moeda")+(Inputs!$G$5:$G$140="acoes"))*Inputs!$B$1+((Inputs!$G$5:$G$140&lt;&gt;"moeda")*(Inputs!$G$5:$G$140&lt;&gt;"acoes")))*INDEX(Inputs!$K$5:$AJ$140,0,MATCH(AA$2,Inputs!$K$4:$AJ$4,0)))+SUMPRODUCT((Inputs!$C$5:$C$140=$B41)*Inputs!$D$5:$D$140*(((Inputs!$G$5:$G$140="moeda")+(Inputs!$G$5:$G$140="acoes"))*Inputs!$B$1+((Inputs!$G$5:$G$140&lt;&gt;"moeda")*(Inputs!$G$5:$G$140&lt;&gt;"acoes")))*INDEX(Inputs!$K$5:$AJ$140,0,MATCH(AA$2,Inputs!$K$4:$AJ$4,0)))+SUMPRODUCT((Inputs!$E$5:$E$140=$B41)*Inputs!$F$5:$F$140*(((Inputs!$G$5:$G$140="moeda")+(Inputs!$G$5:$G$140="acoes"))*Inputs!$B$1+((Inputs!$G$5:$G$140&lt;&gt;"moeda")*(Inputs!$G$5:$G$140&lt;&gt;"acoes")))*INDEX(Inputs!$K$5:$AJ$140,0,MATCH(AA$2,Inputs!$K$4:$AJ$4,0)))))</f>
        <v>#N/A</v>
      </c>
      <c r="AB41" s="3" t="e">
        <f>AA41</f>
        <v>#N/A</v>
      </c>
      <c r="AC41" s="6" t="e">
        <f>IF(ISNA(MATCH(AC$2,Inputs!$K$4:$AJ$4,0)),NA(),IF(SUMPRODUCT((Inputs!$A$5:$A$140=$B41)*ISNUMBER(INDEX(Inputs!$K$5:$AJ$140,0,MATCH(AC$2,Inputs!$K$4:$AJ$4,0))))+SUMPRODUCT((Inputs!$C$5:$C$140=$B41)*ISNUMBER(INDEX(Inputs!$K$5:$AJ$140,0,MATCH(AC$2,Inputs!$K$4:$AJ$4,0))))+SUMPRODUCT((Inputs!$E$5:$E$140=$B41)*ISNUMBER(INDEX(Inputs!$K$5:$AJ$140,0,MATCH(AC$2,Inputs!$K$4:$AJ$4,0))))=0,NA(),SUMPRODUCT((Inputs!$A$5:$A$140=$B41)*Inputs!$B$5:$B$140*(((Inputs!$G$5:$G$140="moeda")+(Inputs!$G$5:$G$140="acoes"))*Inputs!$B$1+((Inputs!$G$5:$G$140&lt;&gt;"moeda")*(Inputs!$G$5:$G$140&lt;&gt;"acoes")))*INDEX(Inputs!$K$5:$AJ$140,0,MATCH(AC$2,Inputs!$K$4:$AJ$4,0)))+SUMPRODUCT((Inputs!$C$5:$C$140=$B41)*Inputs!$D$5:$D$140*(((Inputs!$G$5:$G$140="moeda")+(Inputs!$G$5:$G$140="acoes"))*Inputs!$B$1+((Inputs!$G$5:$G$140&lt;&gt;"moeda")*(Inputs!$G$5:$G$140&lt;&gt;"acoes")))*INDEX(Inputs!$K$5:$AJ$140,0,MATCH(AC$2,Inputs!$K$4:$AJ$4,0)))+SUMPRODUCT((Inputs!$E$5:$E$140=$B41)*Inputs!$F$5:$F$140*(((Inputs!$G$5:$G$140="moeda")+(Inputs!$G$5:$G$140="acoes"))*Inputs!$B$1+((Inputs!$G$5:$G$140&lt;&gt;"moeda")*(Inputs!$G$5:$G$140&lt;&gt;"acoes")))*INDEX(Inputs!$K$5:$AJ$140,0,MATCH(AC$2,Inputs!$K$4:$AJ$4,0)))))</f>
        <v>#N/A</v>
      </c>
      <c r="AD41" s="6" t="e">
        <f>IF(ISNA(MATCH(AD$2,Inputs!$K$4:$AJ$4,0)),NA(),IF(SUMPRODUCT((Inputs!$A$5:$A$140=$B41)*ISNUMBER(INDEX(Inputs!$K$5:$AJ$140,0,MATCH(AD$2,Inputs!$K$4:$AJ$4,0))))+SUMPRODUCT((Inputs!$C$5:$C$140=$B41)*ISNUMBER(INDEX(Inputs!$K$5:$AJ$140,0,MATCH(AD$2,Inputs!$K$4:$AJ$4,0))))+SUMPRODUCT((Inputs!$E$5:$E$140=$B41)*ISNUMBER(INDEX(Inputs!$K$5:$AJ$140,0,MATCH(AD$2,Inputs!$K$4:$AJ$4,0))))=0,NA(),SUMPRODUCT((Inputs!$A$5:$A$140=$B41)*Inputs!$B$5:$B$140*(((Inputs!$G$5:$G$140="moeda")+(Inputs!$G$5:$G$140="acoes"))*Inputs!$B$1+((Inputs!$G$5:$G$140&lt;&gt;"moeda")*(Inputs!$G$5:$G$140&lt;&gt;"acoes")))*INDEX(Inputs!$K$5:$AJ$140,0,MATCH(AD$2,Inputs!$K$4:$AJ$4,0)))+SUMPRODUCT((Inputs!$C$5:$C$140=$B41)*Inputs!$D$5:$D$140*(((Inputs!$G$5:$G$140="moeda")+(Inputs!$G$5:$G$140="acoes"))*Inputs!$B$1+((Inputs!$G$5:$G$140&lt;&gt;"moeda")*(Inputs!$G$5:$G$140&lt;&gt;"acoes")))*INDEX(Inputs!$K$5:$AJ$140,0,MATCH(AD$2,Inputs!$K$4:$AJ$4,0)))+SUMPRODUCT((Inputs!$E$5:$E$140=$B41)*Inputs!$F$5:$F$140*(((Inputs!$G$5:$G$140="moeda")+(Inputs!$G$5:$G$140="acoes"))*Inputs!$B$1+((Inputs!$G$5:$G$140&lt;&gt;"moeda")*(Inputs!$G$5:$G$140&lt;&gt;"acoes")))*INDEX(Inputs!$K$5:$AJ$140,0,MATCH(AD$2,Inputs!$K$4:$AJ$4,0)))))</f>
        <v>#N/A</v>
      </c>
      <c r="AE41" s="6" t="e">
        <f>IF(ISNA(MATCH(AE$2,Inputs!$K$4:$AJ$4,0)),NA(),IF(SUMPRODUCT((Inputs!$A$5:$A$140=$B41)*ISNUMBER(INDEX(Inputs!$K$5:$AJ$140,0,MATCH(AE$2,Inputs!$K$4:$AJ$4,0))))+SUMPRODUCT((Inputs!$C$5:$C$140=$B41)*ISNUMBER(INDEX(Inputs!$K$5:$AJ$140,0,MATCH(AE$2,Inputs!$K$4:$AJ$4,0))))+SUMPRODUCT((Inputs!$E$5:$E$140=$B41)*ISNUMBER(INDEX(Inputs!$K$5:$AJ$140,0,MATCH(AE$2,Inputs!$K$4:$AJ$4,0))))=0,NA(),SUMPRODUCT((Inputs!$A$5:$A$140=$B41)*Inputs!$B$5:$B$140*(((Inputs!$G$5:$G$140="moeda")+(Inputs!$G$5:$G$140="acoes"))*Inputs!$B$1+((Inputs!$G$5:$G$140&lt;&gt;"moeda")*(Inputs!$G$5:$G$140&lt;&gt;"acoes")))*INDEX(Inputs!$K$5:$AJ$140,0,MATCH(AE$2,Inputs!$K$4:$AJ$4,0)))+SUMPRODUCT((Inputs!$C$5:$C$140=$B41)*Inputs!$D$5:$D$140*(((Inputs!$G$5:$G$140="moeda")+(Inputs!$G$5:$G$140="acoes"))*Inputs!$B$1+((Inputs!$G$5:$G$140&lt;&gt;"moeda")*(Inputs!$G$5:$G$140&lt;&gt;"acoes")))*INDEX(Inputs!$K$5:$AJ$140,0,MATCH(AE$2,Inputs!$K$4:$AJ$4,0)))+SUMPRODUCT((Inputs!$E$5:$E$140=$B41)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41" s="6" t="e">
        <f>IF(ISNA(MATCH(AF$2,Inputs!$K$4:$AJ$4,0)),NA(),IF(SUMPRODUCT((Inputs!$A$5:$A$140=$B41)*ISNUMBER(INDEX(Inputs!$K$5:$AJ$140,0,MATCH(AF$2,Inputs!$K$4:$AJ$4,0))))+SUMPRODUCT((Inputs!$C$5:$C$140=$B41)*ISNUMBER(INDEX(Inputs!$K$5:$AJ$140,0,MATCH(AF$2,Inputs!$K$4:$AJ$4,0))))+SUMPRODUCT((Inputs!$E$5:$E$140=$B41)*ISNUMBER(INDEX(Inputs!$K$5:$AJ$140,0,MATCH(AF$2,Inputs!$K$4:$AJ$4,0))))=0,NA(),SUMPRODUCT((Inputs!$A$5:$A$140=$B41)*Inputs!$B$5:$B$140*(((Inputs!$G$5:$G$140="moeda")+(Inputs!$G$5:$G$140="acoes"))*Inputs!$B$1+((Inputs!$G$5:$G$140&lt;&gt;"moeda")*(Inputs!$G$5:$G$140&lt;&gt;"acoes")))*INDEX(Inputs!$K$5:$AJ$140,0,MATCH(AF$2,Inputs!$K$4:$AJ$4,0)))+SUMPRODUCT((Inputs!$C$5:$C$140=$B41)*Inputs!$D$5:$D$140*(((Inputs!$G$5:$G$140="moeda")+(Inputs!$G$5:$G$140="acoes"))*Inputs!$B$1+((Inputs!$G$5:$G$140&lt;&gt;"moeda")*(Inputs!$G$5:$G$140&lt;&gt;"acoes")))*INDEX(Inputs!$K$5:$AJ$140,0,MATCH(AF$2,Inputs!$K$4:$AJ$4,0)))+SUMPRODUCT((Inputs!$E$5:$E$140=$B41)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41" s="3" t="e">
        <f>AF41</f>
        <v>#N/A</v>
      </c>
      <c r="AH41" s="6" t="e">
        <f>IF(ISNA(MATCH(AH$2,Inputs!$K$4:$AJ$4,0)),NA(),IF(SUMPRODUCT((Inputs!$A$5:$A$140=$B41)*ISNUMBER(INDEX(Inputs!$K$5:$AJ$140,0,MATCH(AH$2,Inputs!$K$4:$AJ$4,0))))+SUMPRODUCT((Inputs!$C$5:$C$140=$B41)*ISNUMBER(INDEX(Inputs!$K$5:$AJ$140,0,MATCH(AH$2,Inputs!$K$4:$AJ$4,0))))+SUMPRODUCT((Inputs!$E$5:$E$140=$B41)*ISNUMBER(INDEX(Inputs!$K$5:$AJ$140,0,MATCH(AH$2,Inputs!$K$4:$AJ$4,0))))=0,NA(),SUMPRODUCT((Inputs!$A$5:$A$140=$B41)*Inputs!$B$5:$B$140*(((Inputs!$G$5:$G$140="moeda")+(Inputs!$G$5:$G$140="acoes"))*Inputs!$B$1+((Inputs!$G$5:$G$140&lt;&gt;"moeda")*(Inputs!$G$5:$G$140&lt;&gt;"acoes")))*INDEX(Inputs!$K$5:$AJ$140,0,MATCH(AH$2,Inputs!$K$4:$AJ$4,0)))+SUMPRODUCT((Inputs!$C$5:$C$140=$B41)*Inputs!$D$5:$D$140*(((Inputs!$G$5:$G$140="moeda")+(Inputs!$G$5:$G$140="acoes"))*Inputs!$B$1+((Inputs!$G$5:$G$140&lt;&gt;"moeda")*(Inputs!$G$5:$G$140&lt;&gt;"acoes")))*INDEX(Inputs!$K$5:$AJ$140,0,MATCH(AH$2,Inputs!$K$4:$AJ$4,0)))+SUMPRODUCT((Inputs!$E$5:$E$140=$B41)*Inputs!$F$5:$F$140*(((Inputs!$G$5:$G$140="moeda")+(Inputs!$G$5:$G$140="acoes"))*Inputs!$B$1+((Inputs!$G$5:$G$140&lt;&gt;"moeda")*(Inputs!$G$5:$G$140&lt;&gt;"acoes")))*INDEX(Inputs!$K$5:$AJ$140,0,MATCH(AH$2,Inputs!$K$4:$AJ$4,0)))))</f>
        <v>#N/A</v>
      </c>
      <c r="AI41" s="6" t="e">
        <f>IF(ISNA(MATCH(AI$2,Inputs!$K$4:$AJ$4,0)),NA(),IF(SUMPRODUCT((Inputs!$A$5:$A$140=$B41)*ISNUMBER(INDEX(Inputs!$K$5:$AJ$140,0,MATCH(AI$2,Inputs!$K$4:$AJ$4,0))))+SUMPRODUCT((Inputs!$C$5:$C$140=$B41)*ISNUMBER(INDEX(Inputs!$K$5:$AJ$140,0,MATCH(AI$2,Inputs!$K$4:$AJ$4,0))))+SUMPRODUCT((Inputs!$E$5:$E$140=$B41)*ISNUMBER(INDEX(Inputs!$K$5:$AJ$140,0,MATCH(AI$2,Inputs!$K$4:$AJ$4,0))))=0,NA(),SUMPRODUCT((Inputs!$A$5:$A$140=$B41)*Inputs!$B$5:$B$140*(((Inputs!$G$5:$G$140="moeda")+(Inputs!$G$5:$G$140="acoes"))*Inputs!$B$1+((Inputs!$G$5:$G$140&lt;&gt;"moeda")*(Inputs!$G$5:$G$140&lt;&gt;"acoes")))*INDEX(Inputs!$K$5:$AJ$140,0,MATCH(AI$2,Inputs!$K$4:$AJ$4,0)))+SUMPRODUCT((Inputs!$C$5:$C$140=$B41)*Inputs!$D$5:$D$140*(((Inputs!$G$5:$G$140="moeda")+(Inputs!$G$5:$G$140="acoes"))*Inputs!$B$1+((Inputs!$G$5:$G$140&lt;&gt;"moeda")*(Inputs!$G$5:$G$140&lt;&gt;"acoes")))*INDEX(Inputs!$K$5:$AJ$140,0,MATCH(AI$2,Inputs!$K$4:$AJ$4,0)))+SUMPRODUCT((Inputs!$E$5:$E$140=$B41)*Inputs!$F$5:$F$140*(((Inputs!$G$5:$G$140="moeda")+(Inputs!$G$5:$G$140="acoes"))*Inputs!$B$1+((Inputs!$G$5:$G$140&lt;&gt;"moeda")*(Inputs!$G$5:$G$140&lt;&gt;"acoes")))*INDEX(Inputs!$K$5:$AJ$140,0,MATCH(AI$2,Inputs!$K$4:$AJ$4,0)))))</f>
        <v>#N/A</v>
      </c>
      <c r="AJ41" s="6" t="e">
        <f>IF(ISNA(MATCH(AJ$2,Inputs!$K$4:$AJ$4,0)),NA(),IF(SUMPRODUCT((Inputs!$A$5:$A$140=$B41)*ISNUMBER(INDEX(Inputs!$K$5:$AJ$140,0,MATCH(AJ$2,Inputs!$K$4:$AJ$4,0))))+SUMPRODUCT((Inputs!$C$5:$C$140=$B41)*ISNUMBER(INDEX(Inputs!$K$5:$AJ$140,0,MATCH(AJ$2,Inputs!$K$4:$AJ$4,0))))+SUMPRODUCT((Inputs!$E$5:$E$140=$B41)*ISNUMBER(INDEX(Inputs!$K$5:$AJ$140,0,MATCH(AJ$2,Inputs!$K$4:$AJ$4,0))))=0,NA(),SUMPRODUCT((Inputs!$A$5:$A$140=$B41)*Inputs!$B$5:$B$140*(((Inputs!$G$5:$G$140="moeda")+(Inputs!$G$5:$G$140="acoes"))*Inputs!$B$1+((Inputs!$G$5:$G$140&lt;&gt;"moeda")*(Inputs!$G$5:$G$140&lt;&gt;"acoes")))*INDEX(Inputs!$K$5:$AJ$140,0,MATCH(AJ$2,Inputs!$K$4:$AJ$4,0)))+SUMPRODUCT((Inputs!$C$5:$C$140=$B41)*Inputs!$D$5:$D$140*(((Inputs!$G$5:$G$140="moeda")+(Inputs!$G$5:$G$140="acoes"))*Inputs!$B$1+((Inputs!$G$5:$G$140&lt;&gt;"moeda")*(Inputs!$G$5:$G$140&lt;&gt;"acoes")))*INDEX(Inputs!$K$5:$AJ$140,0,MATCH(AJ$2,Inputs!$K$4:$AJ$4,0)))+SUMPRODUCT((Inputs!$E$5:$E$140=$B41)*Inputs!$F$5:$F$140*(((Inputs!$G$5:$G$140="moeda")+(Inputs!$G$5:$G$140="acoes"))*Inputs!$B$1+((Inputs!$G$5:$G$140&lt;&gt;"moeda")*(Inputs!$G$5:$G$140&lt;&gt;"acoes")))*INDEX(Inputs!$K$5:$AJ$140,0,MATCH(AJ$2,Inputs!$K$4:$AJ$4,0)))))</f>
        <v>#N/A</v>
      </c>
      <c r="AK41" s="6" t="e">
        <f>IF(ISNA(MATCH(AK$2,Inputs!$K$4:$AJ$4,0)),NA(),IF(SUMPRODUCT((Inputs!$A$5:$A$140=$B41)*ISNUMBER(INDEX(Inputs!$K$5:$AJ$140,0,MATCH(AK$2,Inputs!$K$4:$AJ$4,0))))+SUMPRODUCT((Inputs!$C$5:$C$140=$B41)*ISNUMBER(INDEX(Inputs!$K$5:$AJ$140,0,MATCH(AK$2,Inputs!$K$4:$AJ$4,0))))+SUMPRODUCT((Inputs!$E$5:$E$140=$B41)*ISNUMBER(INDEX(Inputs!$K$5:$AJ$140,0,MATCH(AK$2,Inputs!$K$4:$AJ$4,0))))=0,NA(),SUMPRODUCT((Inputs!$A$5:$A$140=$B41)*Inputs!$B$5:$B$140*(((Inputs!$G$5:$G$140="moeda")+(Inputs!$G$5:$G$140="acoes"))*Inputs!$B$1+((Inputs!$G$5:$G$140&lt;&gt;"moeda")*(Inputs!$G$5:$G$140&lt;&gt;"acoes")))*INDEX(Inputs!$K$5:$AJ$140,0,MATCH(AK$2,Inputs!$K$4:$AJ$4,0)))+SUMPRODUCT((Inputs!$C$5:$C$140=$B41)*Inputs!$D$5:$D$140*(((Inputs!$G$5:$G$140="moeda")+(Inputs!$G$5:$G$140="acoes"))*Inputs!$B$1+((Inputs!$G$5:$G$140&lt;&gt;"moeda")*(Inputs!$G$5:$G$140&lt;&gt;"acoes")))*INDEX(Inputs!$K$5:$AJ$140,0,MATCH(AK$2,Inputs!$K$4:$AJ$4,0)))+SUMPRODUCT((Inputs!$E$5:$E$140=$B41)*Inputs!$F$5:$F$140*(((Inputs!$G$5:$G$140="moeda")+(Inputs!$G$5:$G$140="acoes"))*Inputs!$B$1+((Inputs!$G$5:$G$140&lt;&gt;"moeda")*(Inputs!$G$5:$G$140&lt;&gt;"acoes")))*INDEX(Inputs!$K$5:$AJ$140,0,MATCH(AK$2,Inputs!$K$4:$AJ$4,0)))))</f>
        <v>#N/A</v>
      </c>
      <c r="AL41" s="3" t="e">
        <f>AK41</f>
        <v>#N/A</v>
      </c>
    </row>
    <row r="42">
      <c r="B42" s="46" t="n">
        <v>36</v>
      </c>
      <c r="C42" s="26" t="inlineStr">
        <is>
          <t>Convertible Preferred Stock</t>
        </is>
      </c>
      <c r="D42" s="6" t="e">
        <f>IF(ISNA(MATCH(D$2,Inputs!$K$4:$AJ$4,0)),NA(),IF(SUMPRODUCT((Inputs!$A$5:$A$140=$B42)*ISNUMBER(INDEX(Inputs!$K$5:$AJ$140,0,MATCH(D$2,Inputs!$K$4:$AJ$4,0))))+SUMPRODUCT((Inputs!$C$5:$C$140=$B42)*ISNUMBER(INDEX(Inputs!$K$5:$AJ$140,0,MATCH(D$2,Inputs!$K$4:$AJ$4,0))))+SUMPRODUCT((Inputs!$E$5:$E$140=$B42)*ISNUMBER(INDEX(Inputs!$K$5:$AJ$140,0,MATCH(D$2,Inputs!$K$4:$AJ$4,0))))=0,NA(),SUMPRODUCT((Inputs!$A$5:$A$140=$B42)*Inputs!$B$5:$B$140*(((Inputs!$G$5:$G$140="moeda")+(Inputs!$G$5:$G$140="acoes"))*Inputs!$B$1+((Inputs!$G$5:$G$140&lt;&gt;"moeda")*(Inputs!$G$5:$G$140&lt;&gt;"acoes")))*INDEX(Inputs!$K$5:$AJ$140,0,MATCH(D$2,Inputs!$K$4:$AJ$4,0)))+SUMPRODUCT((Inputs!$C$5:$C$140=$B42)*Inputs!$D$5:$D$140*(((Inputs!$G$5:$G$140="moeda")+(Inputs!$G$5:$G$140="acoes"))*Inputs!$B$1+((Inputs!$G$5:$G$140&lt;&gt;"moeda")*(Inputs!$G$5:$G$140&lt;&gt;"acoes")))*INDEX(Inputs!$K$5:$AJ$140,0,MATCH(D$2,Inputs!$K$4:$AJ$4,0)))+SUMPRODUCT((Inputs!$E$5:$E$140=$B42)*Inputs!$F$5:$F$140*(((Inputs!$G$5:$G$140="moeda")+(Inputs!$G$5:$G$140="acoes"))*Inputs!$B$1+((Inputs!$G$5:$G$140&lt;&gt;"moeda")*(Inputs!$G$5:$G$140&lt;&gt;"acoes")))*INDEX(Inputs!$K$5:$AJ$140,0,MATCH(D$2,Inputs!$K$4:$AJ$4,0)))))</f>
        <v>#N/A</v>
      </c>
      <c r="E42" s="6" t="e">
        <f>IF(ISNA(MATCH(E$2,Inputs!$K$4:$AJ$4,0)),NA(),IF(SUMPRODUCT((Inputs!$A$5:$A$140=$B42)*ISNUMBER(INDEX(Inputs!$K$5:$AJ$140,0,MATCH(E$2,Inputs!$K$4:$AJ$4,0))))+SUMPRODUCT((Inputs!$C$5:$C$140=$B42)*ISNUMBER(INDEX(Inputs!$K$5:$AJ$140,0,MATCH(E$2,Inputs!$K$4:$AJ$4,0))))+SUMPRODUCT((Inputs!$E$5:$E$140=$B42)*ISNUMBER(INDEX(Inputs!$K$5:$AJ$140,0,MATCH(E$2,Inputs!$K$4:$AJ$4,0))))=0,NA(),SUMPRODUCT((Inputs!$A$5:$A$140=$B42)*Inputs!$B$5:$B$140*(((Inputs!$G$5:$G$140="moeda")+(Inputs!$G$5:$G$140="acoes"))*Inputs!$B$1+((Inputs!$G$5:$G$140&lt;&gt;"moeda")*(Inputs!$G$5:$G$140&lt;&gt;"acoes")))*INDEX(Inputs!$K$5:$AJ$140,0,MATCH(E$2,Inputs!$K$4:$AJ$4,0)))+SUMPRODUCT((Inputs!$C$5:$C$140=$B42)*Inputs!$D$5:$D$140*(((Inputs!$G$5:$G$140="moeda")+(Inputs!$G$5:$G$140="acoes"))*Inputs!$B$1+((Inputs!$G$5:$G$140&lt;&gt;"moeda")*(Inputs!$G$5:$G$140&lt;&gt;"acoes")))*INDEX(Inputs!$K$5:$AJ$140,0,MATCH(E$2,Inputs!$K$4:$AJ$4,0)))+SUMPRODUCT((Inputs!$E$5:$E$140=$B42)*Inputs!$F$5:$F$140*(((Inputs!$G$5:$G$140="moeda")+(Inputs!$G$5:$G$140="acoes"))*Inputs!$B$1+((Inputs!$G$5:$G$140&lt;&gt;"moeda")*(Inputs!$G$5:$G$140&lt;&gt;"acoes")))*INDEX(Inputs!$K$5:$AJ$140,0,MATCH(E$2,Inputs!$K$4:$AJ$4,0)))))</f>
        <v>#N/A</v>
      </c>
      <c r="F42" s="6" t="e">
        <f>IF(ISNA(MATCH(F$2,Inputs!$K$4:$AJ$4,0)),NA(),IF(SUMPRODUCT((Inputs!$A$5:$A$140=$B42)*ISNUMBER(INDEX(Inputs!$K$5:$AJ$140,0,MATCH(F$2,Inputs!$K$4:$AJ$4,0))))+SUMPRODUCT((Inputs!$C$5:$C$140=$B42)*ISNUMBER(INDEX(Inputs!$K$5:$AJ$140,0,MATCH(F$2,Inputs!$K$4:$AJ$4,0))))+SUMPRODUCT((Inputs!$E$5:$E$140=$B42)*ISNUMBER(INDEX(Inputs!$K$5:$AJ$140,0,MATCH(F$2,Inputs!$K$4:$AJ$4,0))))=0,NA(),SUMPRODUCT((Inputs!$A$5:$A$140=$B42)*Inputs!$B$5:$B$140*(((Inputs!$G$5:$G$140="moeda")+(Inputs!$G$5:$G$140="acoes"))*Inputs!$B$1+((Inputs!$G$5:$G$140&lt;&gt;"moeda")*(Inputs!$G$5:$G$140&lt;&gt;"acoes")))*INDEX(Inputs!$K$5:$AJ$140,0,MATCH(F$2,Inputs!$K$4:$AJ$4,0)))+SUMPRODUCT((Inputs!$C$5:$C$140=$B42)*Inputs!$D$5:$D$140*(((Inputs!$G$5:$G$140="moeda")+(Inputs!$G$5:$G$140="acoes"))*Inputs!$B$1+((Inputs!$G$5:$G$140&lt;&gt;"moeda")*(Inputs!$G$5:$G$140&lt;&gt;"acoes")))*INDEX(Inputs!$K$5:$AJ$140,0,MATCH(F$2,Inputs!$K$4:$AJ$4,0)))+SUMPRODUCT((Inputs!$E$5:$E$140=$B42)*Inputs!$F$5:$F$140*(((Inputs!$G$5:$G$140="moeda")+(Inputs!$G$5:$G$140="acoes"))*Inputs!$B$1+((Inputs!$G$5:$G$140&lt;&gt;"moeda")*(Inputs!$G$5:$G$140&lt;&gt;"acoes")))*INDEX(Inputs!$K$5:$AJ$140,0,MATCH(F$2,Inputs!$K$4:$AJ$4,0)))))</f>
        <v>#N/A</v>
      </c>
      <c r="G42" s="6" t="e">
        <f>IF(ISNA(MATCH(G$2,Inputs!$K$4:$AJ$4,0)),NA(),IF(SUMPRODUCT((Inputs!$A$5:$A$140=$B42)*ISNUMBER(INDEX(Inputs!$K$5:$AJ$140,0,MATCH(G$2,Inputs!$K$4:$AJ$4,0))))+SUMPRODUCT((Inputs!$C$5:$C$140=$B42)*ISNUMBER(INDEX(Inputs!$K$5:$AJ$140,0,MATCH(G$2,Inputs!$K$4:$AJ$4,0))))+SUMPRODUCT((Inputs!$E$5:$E$140=$B42)*ISNUMBER(INDEX(Inputs!$K$5:$AJ$140,0,MATCH(G$2,Inputs!$K$4:$AJ$4,0))))=0,NA(),SUMPRODUCT((Inputs!$A$5:$A$140=$B42)*Inputs!$B$5:$B$140*(((Inputs!$G$5:$G$140="moeda")+(Inputs!$G$5:$G$140="acoes"))*Inputs!$B$1+((Inputs!$G$5:$G$140&lt;&gt;"moeda")*(Inputs!$G$5:$G$140&lt;&gt;"acoes")))*INDEX(Inputs!$K$5:$AJ$140,0,MATCH(G$2,Inputs!$K$4:$AJ$4,0)))+SUMPRODUCT((Inputs!$C$5:$C$140=$B42)*Inputs!$D$5:$D$140*(((Inputs!$G$5:$G$140="moeda")+(Inputs!$G$5:$G$140="acoes"))*Inputs!$B$1+((Inputs!$G$5:$G$140&lt;&gt;"moeda")*(Inputs!$G$5:$G$140&lt;&gt;"acoes")))*INDEX(Inputs!$K$5:$AJ$140,0,MATCH(G$2,Inputs!$K$4:$AJ$4,0)))+SUMPRODUCT((Inputs!$E$5:$E$140=$B42)*Inputs!$F$5:$F$140*(((Inputs!$G$5:$G$140="moeda")+(Inputs!$G$5:$G$140="acoes"))*Inputs!$B$1+((Inputs!$G$5:$G$140&lt;&gt;"moeda")*(Inputs!$G$5:$G$140&lt;&gt;"acoes")))*INDEX(Inputs!$K$5:$AJ$140,0,MATCH(G$2,Inputs!$K$4:$AJ$4,0)))))</f>
        <v>#N/A</v>
      </c>
      <c r="H42" s="3" t="e">
        <f>G42</f>
        <v>#N/A</v>
      </c>
      <c r="I42" s="6" t="e">
        <f>IF(ISNA(MATCH(I$2,Inputs!$K$4:$AJ$4,0)),NA(),IF(SUMPRODUCT((Inputs!$A$5:$A$140=$B42)*ISNUMBER(INDEX(Inputs!$K$5:$AJ$140,0,MATCH(I$2,Inputs!$K$4:$AJ$4,0))))+SUMPRODUCT((Inputs!$C$5:$C$140=$B42)*ISNUMBER(INDEX(Inputs!$K$5:$AJ$140,0,MATCH(I$2,Inputs!$K$4:$AJ$4,0))))+SUMPRODUCT((Inputs!$E$5:$E$140=$B42)*ISNUMBER(INDEX(Inputs!$K$5:$AJ$140,0,MATCH(I$2,Inputs!$K$4:$AJ$4,0))))=0,NA(),SUMPRODUCT((Inputs!$A$5:$A$140=$B42)*Inputs!$B$5:$B$140*(((Inputs!$G$5:$G$140="moeda")+(Inputs!$G$5:$G$140="acoes"))*Inputs!$B$1+((Inputs!$G$5:$G$140&lt;&gt;"moeda")*(Inputs!$G$5:$G$140&lt;&gt;"acoes")))*INDEX(Inputs!$K$5:$AJ$140,0,MATCH(I$2,Inputs!$K$4:$AJ$4,0)))+SUMPRODUCT((Inputs!$C$5:$C$140=$B42)*Inputs!$D$5:$D$140*(((Inputs!$G$5:$G$140="moeda")+(Inputs!$G$5:$G$140="acoes"))*Inputs!$B$1+((Inputs!$G$5:$G$140&lt;&gt;"moeda")*(Inputs!$G$5:$G$140&lt;&gt;"acoes")))*INDEX(Inputs!$K$5:$AJ$140,0,MATCH(I$2,Inputs!$K$4:$AJ$4,0)))+SUMPRODUCT((Inputs!$E$5:$E$140=$B42)*Inputs!$F$5:$F$140*(((Inputs!$G$5:$G$140="moeda")+(Inputs!$G$5:$G$140="acoes"))*Inputs!$B$1+((Inputs!$G$5:$G$140&lt;&gt;"moeda")*(Inputs!$G$5:$G$140&lt;&gt;"acoes")))*INDEX(Inputs!$K$5:$AJ$140,0,MATCH(I$2,Inputs!$K$4:$AJ$4,0)))))</f>
        <v>#N/A</v>
      </c>
      <c r="J42" s="6" t="e">
        <f>IF(ISNA(MATCH(J$2,Inputs!$K$4:$AJ$4,0)),NA(),IF(SUMPRODUCT((Inputs!$A$5:$A$140=$B42)*ISNUMBER(INDEX(Inputs!$K$5:$AJ$140,0,MATCH(J$2,Inputs!$K$4:$AJ$4,0))))+SUMPRODUCT((Inputs!$C$5:$C$140=$B42)*ISNUMBER(INDEX(Inputs!$K$5:$AJ$140,0,MATCH(J$2,Inputs!$K$4:$AJ$4,0))))+SUMPRODUCT((Inputs!$E$5:$E$140=$B42)*ISNUMBER(INDEX(Inputs!$K$5:$AJ$140,0,MATCH(J$2,Inputs!$K$4:$AJ$4,0))))=0,NA(),SUMPRODUCT((Inputs!$A$5:$A$140=$B42)*Inputs!$B$5:$B$140*(((Inputs!$G$5:$G$140="moeda")+(Inputs!$G$5:$G$140="acoes"))*Inputs!$B$1+((Inputs!$G$5:$G$140&lt;&gt;"moeda")*(Inputs!$G$5:$G$140&lt;&gt;"acoes")))*INDEX(Inputs!$K$5:$AJ$140,0,MATCH(J$2,Inputs!$K$4:$AJ$4,0)))+SUMPRODUCT((Inputs!$C$5:$C$140=$B42)*Inputs!$D$5:$D$140*(((Inputs!$G$5:$G$140="moeda")+(Inputs!$G$5:$G$140="acoes"))*Inputs!$B$1+((Inputs!$G$5:$G$140&lt;&gt;"moeda")*(Inputs!$G$5:$G$140&lt;&gt;"acoes")))*INDEX(Inputs!$K$5:$AJ$140,0,MATCH(J$2,Inputs!$K$4:$AJ$4,0)))+SUMPRODUCT((Inputs!$E$5:$E$140=$B42)*Inputs!$F$5:$F$140*(((Inputs!$G$5:$G$140="moeda")+(Inputs!$G$5:$G$140="acoes"))*Inputs!$B$1+((Inputs!$G$5:$G$140&lt;&gt;"moeda")*(Inputs!$G$5:$G$140&lt;&gt;"acoes")))*INDEX(Inputs!$K$5:$AJ$140,0,MATCH(J$2,Inputs!$K$4:$AJ$4,0)))))</f>
        <v>#N/A</v>
      </c>
      <c r="K42" s="6" t="e">
        <f>IF(ISNA(MATCH(K$2,Inputs!$K$4:$AJ$4,0)),NA(),IF(SUMPRODUCT((Inputs!$A$5:$A$140=$B42)*ISNUMBER(INDEX(Inputs!$K$5:$AJ$140,0,MATCH(K$2,Inputs!$K$4:$AJ$4,0))))+SUMPRODUCT((Inputs!$C$5:$C$140=$B42)*ISNUMBER(INDEX(Inputs!$K$5:$AJ$140,0,MATCH(K$2,Inputs!$K$4:$AJ$4,0))))+SUMPRODUCT((Inputs!$E$5:$E$140=$B42)*ISNUMBER(INDEX(Inputs!$K$5:$AJ$140,0,MATCH(K$2,Inputs!$K$4:$AJ$4,0))))=0,NA(),SUMPRODUCT((Inputs!$A$5:$A$140=$B42)*Inputs!$B$5:$B$140*(((Inputs!$G$5:$G$140="moeda")+(Inputs!$G$5:$G$140="acoes"))*Inputs!$B$1+((Inputs!$G$5:$G$140&lt;&gt;"moeda")*(Inputs!$G$5:$G$140&lt;&gt;"acoes")))*INDEX(Inputs!$K$5:$AJ$140,0,MATCH(K$2,Inputs!$K$4:$AJ$4,0)))+SUMPRODUCT((Inputs!$C$5:$C$140=$B42)*Inputs!$D$5:$D$140*(((Inputs!$G$5:$G$140="moeda")+(Inputs!$G$5:$G$140="acoes"))*Inputs!$B$1+((Inputs!$G$5:$G$140&lt;&gt;"moeda")*(Inputs!$G$5:$G$140&lt;&gt;"acoes")))*INDEX(Inputs!$K$5:$AJ$140,0,MATCH(K$2,Inputs!$K$4:$AJ$4,0)))+SUMPRODUCT((Inputs!$E$5:$E$140=$B42)*Inputs!$F$5:$F$140*(((Inputs!$G$5:$G$140="moeda")+(Inputs!$G$5:$G$140="acoes"))*Inputs!$B$1+((Inputs!$G$5:$G$140&lt;&gt;"moeda")*(Inputs!$G$5:$G$140&lt;&gt;"acoes")))*INDEX(Inputs!$K$5:$AJ$140,0,MATCH(K$2,Inputs!$K$4:$AJ$4,0)))))</f>
        <v>#N/A</v>
      </c>
      <c r="L42" s="6" t="e">
        <f>IF(ISNA(MATCH(L$2,Inputs!$K$4:$AJ$4,0)),NA(),IF(SUMPRODUCT((Inputs!$A$5:$A$140=$B42)*ISNUMBER(INDEX(Inputs!$K$5:$AJ$140,0,MATCH(L$2,Inputs!$K$4:$AJ$4,0))))+SUMPRODUCT((Inputs!$C$5:$C$140=$B42)*ISNUMBER(INDEX(Inputs!$K$5:$AJ$140,0,MATCH(L$2,Inputs!$K$4:$AJ$4,0))))+SUMPRODUCT((Inputs!$E$5:$E$140=$B42)*ISNUMBER(INDEX(Inputs!$K$5:$AJ$140,0,MATCH(L$2,Inputs!$K$4:$AJ$4,0))))=0,NA(),SUMPRODUCT((Inputs!$A$5:$A$140=$B42)*Inputs!$B$5:$B$140*(((Inputs!$G$5:$G$140="moeda")+(Inputs!$G$5:$G$140="acoes"))*Inputs!$B$1+((Inputs!$G$5:$G$140&lt;&gt;"moeda")*(Inputs!$G$5:$G$140&lt;&gt;"acoes")))*INDEX(Inputs!$K$5:$AJ$140,0,MATCH(L$2,Inputs!$K$4:$AJ$4,0)))+SUMPRODUCT((Inputs!$C$5:$C$140=$B42)*Inputs!$D$5:$D$140*(((Inputs!$G$5:$G$140="moeda")+(Inputs!$G$5:$G$140="acoes"))*Inputs!$B$1+((Inputs!$G$5:$G$140&lt;&gt;"moeda")*(Inputs!$G$5:$G$140&lt;&gt;"acoes")))*INDEX(Inputs!$K$5:$AJ$140,0,MATCH(L$2,Inputs!$K$4:$AJ$4,0)))+SUMPRODUCT((Inputs!$E$5:$E$140=$B42)*Inputs!$F$5:$F$140*(((Inputs!$G$5:$G$140="moeda")+(Inputs!$G$5:$G$140="acoes"))*Inputs!$B$1+((Inputs!$G$5:$G$140&lt;&gt;"moeda")*(Inputs!$G$5:$G$140&lt;&gt;"acoes")))*INDEX(Inputs!$K$5:$AJ$140,0,MATCH(L$2,Inputs!$K$4:$AJ$4,0)))))</f>
        <v>#N/A</v>
      </c>
      <c r="M42" s="3" t="e">
        <f>L42</f>
        <v>#N/A</v>
      </c>
      <c r="N42" s="6" t="e">
        <f>IF(ISNA(MATCH(N$2,Inputs!$K$4:$AJ$4,0)),NA(),IF(SUMPRODUCT((Inputs!$A$5:$A$140=$B42)*ISNUMBER(INDEX(Inputs!$K$5:$AJ$140,0,MATCH(N$2,Inputs!$K$4:$AJ$4,0))))+SUMPRODUCT((Inputs!$C$5:$C$140=$B42)*ISNUMBER(INDEX(Inputs!$K$5:$AJ$140,0,MATCH(N$2,Inputs!$K$4:$AJ$4,0))))+SUMPRODUCT((Inputs!$E$5:$E$140=$B42)*ISNUMBER(INDEX(Inputs!$K$5:$AJ$140,0,MATCH(N$2,Inputs!$K$4:$AJ$4,0))))=0,NA(),SUMPRODUCT((Inputs!$A$5:$A$140=$B42)*Inputs!$B$5:$B$140*(((Inputs!$G$5:$G$140="moeda")+(Inputs!$G$5:$G$140="acoes"))*Inputs!$B$1+((Inputs!$G$5:$G$140&lt;&gt;"moeda")*(Inputs!$G$5:$G$140&lt;&gt;"acoes")))*INDEX(Inputs!$K$5:$AJ$140,0,MATCH(N$2,Inputs!$K$4:$AJ$4,0)))+SUMPRODUCT((Inputs!$C$5:$C$140=$B42)*Inputs!$D$5:$D$140*(((Inputs!$G$5:$G$140="moeda")+(Inputs!$G$5:$G$140="acoes"))*Inputs!$B$1+((Inputs!$G$5:$G$140&lt;&gt;"moeda")*(Inputs!$G$5:$G$140&lt;&gt;"acoes")))*INDEX(Inputs!$K$5:$AJ$140,0,MATCH(N$2,Inputs!$K$4:$AJ$4,0)))+SUMPRODUCT((Inputs!$E$5:$E$140=$B42)*Inputs!$F$5:$F$140*(((Inputs!$G$5:$G$140="moeda")+(Inputs!$G$5:$G$140="acoes"))*Inputs!$B$1+((Inputs!$G$5:$G$140&lt;&gt;"moeda")*(Inputs!$G$5:$G$140&lt;&gt;"acoes")))*INDEX(Inputs!$K$5:$AJ$140,0,MATCH(N$2,Inputs!$K$4:$AJ$4,0)))))</f>
        <v>#N/A</v>
      </c>
      <c r="O42" s="6" t="e">
        <f>IF(ISNA(MATCH(O$2,Inputs!$K$4:$AJ$4,0)),NA(),IF(SUMPRODUCT((Inputs!$A$5:$A$140=$B42)*ISNUMBER(INDEX(Inputs!$K$5:$AJ$140,0,MATCH(O$2,Inputs!$K$4:$AJ$4,0))))+SUMPRODUCT((Inputs!$C$5:$C$140=$B42)*ISNUMBER(INDEX(Inputs!$K$5:$AJ$140,0,MATCH(O$2,Inputs!$K$4:$AJ$4,0))))+SUMPRODUCT((Inputs!$E$5:$E$140=$B42)*ISNUMBER(INDEX(Inputs!$K$5:$AJ$140,0,MATCH(O$2,Inputs!$K$4:$AJ$4,0))))=0,NA(),SUMPRODUCT((Inputs!$A$5:$A$140=$B42)*Inputs!$B$5:$B$140*(((Inputs!$G$5:$G$140="moeda")+(Inputs!$G$5:$G$140="acoes"))*Inputs!$B$1+((Inputs!$G$5:$G$140&lt;&gt;"moeda")*(Inputs!$G$5:$G$140&lt;&gt;"acoes")))*INDEX(Inputs!$K$5:$AJ$140,0,MATCH(O$2,Inputs!$K$4:$AJ$4,0)))+SUMPRODUCT((Inputs!$C$5:$C$140=$B42)*Inputs!$D$5:$D$140*(((Inputs!$G$5:$G$140="moeda")+(Inputs!$G$5:$G$140="acoes"))*Inputs!$B$1+((Inputs!$G$5:$G$140&lt;&gt;"moeda")*(Inputs!$G$5:$G$140&lt;&gt;"acoes")))*INDEX(Inputs!$K$5:$AJ$140,0,MATCH(O$2,Inputs!$K$4:$AJ$4,0)))+SUMPRODUCT((Inputs!$E$5:$E$140=$B42)*Inputs!$F$5:$F$140*(((Inputs!$G$5:$G$140="moeda")+(Inputs!$G$5:$G$140="acoes"))*Inputs!$B$1+((Inputs!$G$5:$G$140&lt;&gt;"moeda")*(Inputs!$G$5:$G$140&lt;&gt;"acoes")))*INDEX(Inputs!$K$5:$AJ$140,0,MATCH(O$2,Inputs!$K$4:$AJ$4,0)))))</f>
        <v>#N/A</v>
      </c>
      <c r="P42" s="6" t="e">
        <f>IF(ISNA(MATCH(P$2,Inputs!$K$4:$AJ$4,0)),NA(),IF(SUMPRODUCT((Inputs!$A$5:$A$140=$B42)*ISNUMBER(INDEX(Inputs!$K$5:$AJ$140,0,MATCH(P$2,Inputs!$K$4:$AJ$4,0))))+SUMPRODUCT((Inputs!$C$5:$C$140=$B42)*ISNUMBER(INDEX(Inputs!$K$5:$AJ$140,0,MATCH(P$2,Inputs!$K$4:$AJ$4,0))))+SUMPRODUCT((Inputs!$E$5:$E$140=$B42)*ISNUMBER(INDEX(Inputs!$K$5:$AJ$140,0,MATCH(P$2,Inputs!$K$4:$AJ$4,0))))=0,NA(),SUMPRODUCT((Inputs!$A$5:$A$140=$B42)*Inputs!$B$5:$B$140*(((Inputs!$G$5:$G$140="moeda")+(Inputs!$G$5:$G$140="acoes"))*Inputs!$B$1+((Inputs!$G$5:$G$140&lt;&gt;"moeda")*(Inputs!$G$5:$G$140&lt;&gt;"acoes")))*INDEX(Inputs!$K$5:$AJ$140,0,MATCH(P$2,Inputs!$K$4:$AJ$4,0)))+SUMPRODUCT((Inputs!$C$5:$C$140=$B42)*Inputs!$D$5:$D$140*(((Inputs!$G$5:$G$140="moeda")+(Inputs!$G$5:$G$140="acoes"))*Inputs!$B$1+((Inputs!$G$5:$G$140&lt;&gt;"moeda")*(Inputs!$G$5:$G$140&lt;&gt;"acoes")))*INDEX(Inputs!$K$5:$AJ$140,0,MATCH(P$2,Inputs!$K$4:$AJ$4,0)))+SUMPRODUCT((Inputs!$E$5:$E$140=$B42)*Inputs!$F$5:$F$140*(((Inputs!$G$5:$G$140="moeda")+(Inputs!$G$5:$G$140="acoes"))*Inputs!$B$1+((Inputs!$G$5:$G$140&lt;&gt;"moeda")*(Inputs!$G$5:$G$140&lt;&gt;"acoes")))*INDEX(Inputs!$K$5:$AJ$140,0,MATCH(P$2,Inputs!$K$4:$AJ$4,0)))))</f>
        <v>#N/A</v>
      </c>
      <c r="Q42" s="6" t="e">
        <f>IF(ISNA(MATCH(Q$2,Inputs!$K$4:$AJ$4,0)),NA(),IF(SUMPRODUCT((Inputs!$A$5:$A$140=$B42)*ISNUMBER(INDEX(Inputs!$K$5:$AJ$140,0,MATCH(Q$2,Inputs!$K$4:$AJ$4,0))))+SUMPRODUCT((Inputs!$C$5:$C$140=$B42)*ISNUMBER(INDEX(Inputs!$K$5:$AJ$140,0,MATCH(Q$2,Inputs!$K$4:$AJ$4,0))))+SUMPRODUCT((Inputs!$E$5:$E$140=$B42)*ISNUMBER(INDEX(Inputs!$K$5:$AJ$140,0,MATCH(Q$2,Inputs!$K$4:$AJ$4,0))))=0,NA(),SUMPRODUCT((Inputs!$A$5:$A$140=$B42)*Inputs!$B$5:$B$140*(((Inputs!$G$5:$G$140="moeda")+(Inputs!$G$5:$G$140="acoes"))*Inputs!$B$1+((Inputs!$G$5:$G$140&lt;&gt;"moeda")*(Inputs!$G$5:$G$140&lt;&gt;"acoes")))*INDEX(Inputs!$K$5:$AJ$140,0,MATCH(Q$2,Inputs!$K$4:$AJ$4,0)))+SUMPRODUCT((Inputs!$C$5:$C$140=$B42)*Inputs!$D$5:$D$140*(((Inputs!$G$5:$G$140="moeda")+(Inputs!$G$5:$G$140="acoes"))*Inputs!$B$1+((Inputs!$G$5:$G$140&lt;&gt;"moeda")*(Inputs!$G$5:$G$140&lt;&gt;"acoes")))*INDEX(Inputs!$K$5:$AJ$140,0,MATCH(Q$2,Inputs!$K$4:$AJ$4,0)))+SUMPRODUCT((Inputs!$E$5:$E$140=$B42)*Inputs!$F$5:$F$140*(((Inputs!$G$5:$G$140="moeda")+(Inputs!$G$5:$G$140="acoes"))*Inputs!$B$1+((Inputs!$G$5:$G$140&lt;&gt;"moeda")*(Inputs!$G$5:$G$140&lt;&gt;"acoes")))*INDEX(Inputs!$K$5:$AJ$140,0,MATCH(Q$2,Inputs!$K$4:$AJ$4,0)))))</f>
        <v>#N/A</v>
      </c>
      <c r="R42" s="3" t="e">
        <f>Q42</f>
        <v>#N/A</v>
      </c>
      <c r="S42" s="6" t="e">
        <f>IF(ISNA(MATCH(S$2,Inputs!$K$4:$AJ$4,0)),NA(),IF(SUMPRODUCT((Inputs!$A$5:$A$140=$B42)*ISNUMBER(INDEX(Inputs!$K$5:$AJ$140,0,MATCH(S$2,Inputs!$K$4:$AJ$4,0))))+SUMPRODUCT((Inputs!$C$5:$C$140=$B42)*ISNUMBER(INDEX(Inputs!$K$5:$AJ$140,0,MATCH(S$2,Inputs!$K$4:$AJ$4,0))))+SUMPRODUCT((Inputs!$E$5:$E$140=$B42)*ISNUMBER(INDEX(Inputs!$K$5:$AJ$140,0,MATCH(S$2,Inputs!$K$4:$AJ$4,0))))=0,NA(),SUMPRODUCT((Inputs!$A$5:$A$140=$B42)*Inputs!$B$5:$B$140*(((Inputs!$G$5:$G$140="moeda")+(Inputs!$G$5:$G$140="acoes"))*Inputs!$B$1+((Inputs!$G$5:$G$140&lt;&gt;"moeda")*(Inputs!$G$5:$G$140&lt;&gt;"acoes")))*INDEX(Inputs!$K$5:$AJ$140,0,MATCH(S$2,Inputs!$K$4:$AJ$4,0)))+SUMPRODUCT((Inputs!$C$5:$C$140=$B42)*Inputs!$D$5:$D$140*(((Inputs!$G$5:$G$140="moeda")+(Inputs!$G$5:$G$140="acoes"))*Inputs!$B$1+((Inputs!$G$5:$G$140&lt;&gt;"moeda")*(Inputs!$G$5:$G$140&lt;&gt;"acoes")))*INDEX(Inputs!$K$5:$AJ$140,0,MATCH(S$2,Inputs!$K$4:$AJ$4,0)))+SUMPRODUCT((Inputs!$E$5:$E$140=$B42)*Inputs!$F$5:$F$140*(((Inputs!$G$5:$G$140="moeda")+(Inputs!$G$5:$G$140="acoes"))*Inputs!$B$1+((Inputs!$G$5:$G$140&lt;&gt;"moeda")*(Inputs!$G$5:$G$140&lt;&gt;"acoes")))*INDEX(Inputs!$K$5:$AJ$140,0,MATCH(S$2,Inputs!$K$4:$AJ$4,0)))))</f>
        <v>#N/A</v>
      </c>
      <c r="T42" s="6" t="e">
        <f>IF(ISNA(MATCH(T$2,Inputs!$K$4:$AJ$4,0)),NA(),IF(SUMPRODUCT((Inputs!$A$5:$A$140=$B42)*ISNUMBER(INDEX(Inputs!$K$5:$AJ$140,0,MATCH(T$2,Inputs!$K$4:$AJ$4,0))))+SUMPRODUCT((Inputs!$C$5:$C$140=$B42)*ISNUMBER(INDEX(Inputs!$K$5:$AJ$140,0,MATCH(T$2,Inputs!$K$4:$AJ$4,0))))+SUMPRODUCT((Inputs!$E$5:$E$140=$B42)*ISNUMBER(INDEX(Inputs!$K$5:$AJ$140,0,MATCH(T$2,Inputs!$K$4:$AJ$4,0))))=0,NA(),SUMPRODUCT((Inputs!$A$5:$A$140=$B42)*Inputs!$B$5:$B$140*(((Inputs!$G$5:$G$140="moeda")+(Inputs!$G$5:$G$140="acoes"))*Inputs!$B$1+((Inputs!$G$5:$G$140&lt;&gt;"moeda")*(Inputs!$G$5:$G$140&lt;&gt;"acoes")))*INDEX(Inputs!$K$5:$AJ$140,0,MATCH(T$2,Inputs!$K$4:$AJ$4,0)))+SUMPRODUCT((Inputs!$C$5:$C$140=$B42)*Inputs!$D$5:$D$140*(((Inputs!$G$5:$G$140="moeda")+(Inputs!$G$5:$G$140="acoes"))*Inputs!$B$1+((Inputs!$G$5:$G$140&lt;&gt;"moeda")*(Inputs!$G$5:$G$140&lt;&gt;"acoes")))*INDEX(Inputs!$K$5:$AJ$140,0,MATCH(T$2,Inputs!$K$4:$AJ$4,0)))+SUMPRODUCT((Inputs!$E$5:$E$140=$B42)*Inputs!$F$5:$F$140*(((Inputs!$G$5:$G$140="moeda")+(Inputs!$G$5:$G$140="acoes"))*Inputs!$B$1+((Inputs!$G$5:$G$140&lt;&gt;"moeda")*(Inputs!$G$5:$G$140&lt;&gt;"acoes")))*INDEX(Inputs!$K$5:$AJ$140,0,MATCH(T$2,Inputs!$K$4:$AJ$4,0)))))</f>
        <v>#N/A</v>
      </c>
      <c r="U42" s="6" t="e">
        <f>IF(ISNA(MATCH(U$2,Inputs!$K$4:$AJ$4,0)),NA(),IF(SUMPRODUCT((Inputs!$A$5:$A$140=$B42)*ISNUMBER(INDEX(Inputs!$K$5:$AJ$140,0,MATCH(U$2,Inputs!$K$4:$AJ$4,0))))+SUMPRODUCT((Inputs!$C$5:$C$140=$B42)*ISNUMBER(INDEX(Inputs!$K$5:$AJ$140,0,MATCH(U$2,Inputs!$K$4:$AJ$4,0))))+SUMPRODUCT((Inputs!$E$5:$E$140=$B42)*ISNUMBER(INDEX(Inputs!$K$5:$AJ$140,0,MATCH(U$2,Inputs!$K$4:$AJ$4,0))))=0,NA(),SUMPRODUCT((Inputs!$A$5:$A$140=$B42)*Inputs!$B$5:$B$140*(((Inputs!$G$5:$G$140="moeda")+(Inputs!$G$5:$G$140="acoes"))*Inputs!$B$1+((Inputs!$G$5:$G$140&lt;&gt;"moeda")*(Inputs!$G$5:$G$140&lt;&gt;"acoes")))*INDEX(Inputs!$K$5:$AJ$140,0,MATCH(U$2,Inputs!$K$4:$AJ$4,0)))+SUMPRODUCT((Inputs!$C$5:$C$140=$B42)*Inputs!$D$5:$D$140*(((Inputs!$G$5:$G$140="moeda")+(Inputs!$G$5:$G$140="acoes"))*Inputs!$B$1+((Inputs!$G$5:$G$140&lt;&gt;"moeda")*(Inputs!$G$5:$G$140&lt;&gt;"acoes")))*INDEX(Inputs!$K$5:$AJ$140,0,MATCH(U$2,Inputs!$K$4:$AJ$4,0)))+SUMPRODUCT((Inputs!$E$5:$E$140=$B42)*Inputs!$F$5:$F$140*(((Inputs!$G$5:$G$140="moeda")+(Inputs!$G$5:$G$140="acoes"))*Inputs!$B$1+((Inputs!$G$5:$G$140&lt;&gt;"moeda")*(Inputs!$G$5:$G$140&lt;&gt;"acoes")))*INDEX(Inputs!$K$5:$AJ$140,0,MATCH(U$2,Inputs!$K$4:$AJ$4,0)))))</f>
        <v>#N/A</v>
      </c>
      <c r="V42" s="6" t="e">
        <f>IF(ISNA(MATCH(V$2,Inputs!$K$4:$AJ$4,0)),NA(),IF(SUMPRODUCT((Inputs!$A$5:$A$140=$B42)*ISNUMBER(INDEX(Inputs!$K$5:$AJ$140,0,MATCH(V$2,Inputs!$K$4:$AJ$4,0))))+SUMPRODUCT((Inputs!$C$5:$C$140=$B42)*ISNUMBER(INDEX(Inputs!$K$5:$AJ$140,0,MATCH(V$2,Inputs!$K$4:$AJ$4,0))))+SUMPRODUCT((Inputs!$E$5:$E$140=$B42)*ISNUMBER(INDEX(Inputs!$K$5:$AJ$140,0,MATCH(V$2,Inputs!$K$4:$AJ$4,0))))=0,NA(),SUMPRODUCT((Inputs!$A$5:$A$140=$B42)*Inputs!$B$5:$B$140*(((Inputs!$G$5:$G$140="moeda")+(Inputs!$G$5:$G$140="acoes"))*Inputs!$B$1+((Inputs!$G$5:$G$140&lt;&gt;"moeda")*(Inputs!$G$5:$G$140&lt;&gt;"acoes")))*INDEX(Inputs!$K$5:$AJ$140,0,MATCH(V$2,Inputs!$K$4:$AJ$4,0)))+SUMPRODUCT((Inputs!$C$5:$C$140=$B42)*Inputs!$D$5:$D$140*(((Inputs!$G$5:$G$140="moeda")+(Inputs!$G$5:$G$140="acoes"))*Inputs!$B$1+((Inputs!$G$5:$G$140&lt;&gt;"moeda")*(Inputs!$G$5:$G$140&lt;&gt;"acoes")))*INDEX(Inputs!$K$5:$AJ$140,0,MATCH(V$2,Inputs!$K$4:$AJ$4,0)))+SUMPRODUCT((Inputs!$E$5:$E$140=$B42)*Inputs!$F$5:$F$140*(((Inputs!$G$5:$G$140="moeda")+(Inputs!$G$5:$G$140="acoes"))*Inputs!$B$1+((Inputs!$G$5:$G$140&lt;&gt;"moeda")*(Inputs!$G$5:$G$140&lt;&gt;"acoes")))*INDEX(Inputs!$K$5:$AJ$140,0,MATCH(V$2,Inputs!$K$4:$AJ$4,0)))))</f>
        <v>#N/A</v>
      </c>
      <c r="W42" s="3" t="e">
        <f>V42</f>
        <v>#N/A</v>
      </c>
      <c r="X42" s="6" t="e">
        <f>IF(ISNA(MATCH(X$2,Inputs!$K$4:$AJ$4,0)),NA(),IF(SUMPRODUCT((Inputs!$A$5:$A$140=$B42)*ISNUMBER(INDEX(Inputs!$K$5:$AJ$140,0,MATCH(X$2,Inputs!$K$4:$AJ$4,0))))+SUMPRODUCT((Inputs!$C$5:$C$140=$B42)*ISNUMBER(INDEX(Inputs!$K$5:$AJ$140,0,MATCH(X$2,Inputs!$K$4:$AJ$4,0))))+SUMPRODUCT((Inputs!$E$5:$E$140=$B42)*ISNUMBER(INDEX(Inputs!$K$5:$AJ$140,0,MATCH(X$2,Inputs!$K$4:$AJ$4,0))))=0,NA(),SUMPRODUCT((Inputs!$A$5:$A$140=$B42)*Inputs!$B$5:$B$140*(((Inputs!$G$5:$G$140="moeda")+(Inputs!$G$5:$G$140="acoes"))*Inputs!$B$1+((Inputs!$G$5:$G$140&lt;&gt;"moeda")*(Inputs!$G$5:$G$140&lt;&gt;"acoes")))*INDEX(Inputs!$K$5:$AJ$140,0,MATCH(X$2,Inputs!$K$4:$AJ$4,0)))+SUMPRODUCT((Inputs!$C$5:$C$140=$B42)*Inputs!$D$5:$D$140*(((Inputs!$G$5:$G$140="moeda")+(Inputs!$G$5:$G$140="acoes"))*Inputs!$B$1+((Inputs!$G$5:$G$140&lt;&gt;"moeda")*(Inputs!$G$5:$G$140&lt;&gt;"acoes")))*INDEX(Inputs!$K$5:$AJ$140,0,MATCH(X$2,Inputs!$K$4:$AJ$4,0)))+SUMPRODUCT((Inputs!$E$5:$E$140=$B42)*Inputs!$F$5:$F$140*(((Inputs!$G$5:$G$140="moeda")+(Inputs!$G$5:$G$140="acoes"))*Inputs!$B$1+((Inputs!$G$5:$G$140&lt;&gt;"moeda")*(Inputs!$G$5:$G$140&lt;&gt;"acoes")))*INDEX(Inputs!$K$5:$AJ$140,0,MATCH(X$2,Inputs!$K$4:$AJ$4,0)))))</f>
        <v>#N/A</v>
      </c>
      <c r="Y42" s="6" t="e">
        <f>IF(ISNA(MATCH(Y$2,Inputs!$K$4:$AJ$4,0)),NA(),IF(SUMPRODUCT((Inputs!$A$5:$A$140=$B42)*ISNUMBER(INDEX(Inputs!$K$5:$AJ$140,0,MATCH(Y$2,Inputs!$K$4:$AJ$4,0))))+SUMPRODUCT((Inputs!$C$5:$C$140=$B42)*ISNUMBER(INDEX(Inputs!$K$5:$AJ$140,0,MATCH(Y$2,Inputs!$K$4:$AJ$4,0))))+SUMPRODUCT((Inputs!$E$5:$E$140=$B42)*ISNUMBER(INDEX(Inputs!$K$5:$AJ$140,0,MATCH(Y$2,Inputs!$K$4:$AJ$4,0))))=0,NA(),SUMPRODUCT((Inputs!$A$5:$A$140=$B42)*Inputs!$B$5:$B$140*(((Inputs!$G$5:$G$140="moeda")+(Inputs!$G$5:$G$140="acoes"))*Inputs!$B$1+((Inputs!$G$5:$G$140&lt;&gt;"moeda")*(Inputs!$G$5:$G$140&lt;&gt;"acoes")))*INDEX(Inputs!$K$5:$AJ$140,0,MATCH(Y$2,Inputs!$K$4:$AJ$4,0)))+SUMPRODUCT((Inputs!$C$5:$C$140=$B42)*Inputs!$D$5:$D$140*(((Inputs!$G$5:$G$140="moeda")+(Inputs!$G$5:$G$140="acoes"))*Inputs!$B$1+((Inputs!$G$5:$G$140&lt;&gt;"moeda")*(Inputs!$G$5:$G$140&lt;&gt;"acoes")))*INDEX(Inputs!$K$5:$AJ$140,0,MATCH(Y$2,Inputs!$K$4:$AJ$4,0)))+SUMPRODUCT((Inputs!$E$5:$E$140=$B42)*Inputs!$F$5:$F$140*(((Inputs!$G$5:$G$140="moeda")+(Inputs!$G$5:$G$140="acoes"))*Inputs!$B$1+((Inputs!$G$5:$G$140&lt;&gt;"moeda")*(Inputs!$G$5:$G$140&lt;&gt;"acoes")))*INDEX(Inputs!$K$5:$AJ$140,0,MATCH(Y$2,Inputs!$K$4:$AJ$4,0)))))</f>
        <v>#N/A</v>
      </c>
      <c r="Z42" s="6" t="e">
        <f>IF(ISNA(MATCH(Z$2,Inputs!$K$4:$AJ$4,0)),NA(),IF(SUMPRODUCT((Inputs!$A$5:$A$140=$B42)*ISNUMBER(INDEX(Inputs!$K$5:$AJ$140,0,MATCH(Z$2,Inputs!$K$4:$AJ$4,0))))+SUMPRODUCT((Inputs!$C$5:$C$140=$B42)*ISNUMBER(INDEX(Inputs!$K$5:$AJ$140,0,MATCH(Z$2,Inputs!$K$4:$AJ$4,0))))+SUMPRODUCT((Inputs!$E$5:$E$140=$B42)*ISNUMBER(INDEX(Inputs!$K$5:$AJ$140,0,MATCH(Z$2,Inputs!$K$4:$AJ$4,0))))=0,NA(),SUMPRODUCT((Inputs!$A$5:$A$140=$B42)*Inputs!$B$5:$B$140*(((Inputs!$G$5:$G$140="moeda")+(Inputs!$G$5:$G$140="acoes"))*Inputs!$B$1+((Inputs!$G$5:$G$140&lt;&gt;"moeda")*(Inputs!$G$5:$G$140&lt;&gt;"acoes")))*INDEX(Inputs!$K$5:$AJ$140,0,MATCH(Z$2,Inputs!$K$4:$AJ$4,0)))+SUMPRODUCT((Inputs!$C$5:$C$140=$B42)*Inputs!$D$5:$D$140*(((Inputs!$G$5:$G$140="moeda")+(Inputs!$G$5:$G$140="acoes"))*Inputs!$B$1+((Inputs!$G$5:$G$140&lt;&gt;"moeda")*(Inputs!$G$5:$G$140&lt;&gt;"acoes")))*INDEX(Inputs!$K$5:$AJ$140,0,MATCH(Z$2,Inputs!$K$4:$AJ$4,0)))+SUMPRODUCT((Inputs!$E$5:$E$140=$B42)*Inputs!$F$5:$F$140*(((Inputs!$G$5:$G$140="moeda")+(Inputs!$G$5:$G$140="acoes"))*Inputs!$B$1+((Inputs!$G$5:$G$140&lt;&gt;"moeda")*(Inputs!$G$5:$G$140&lt;&gt;"acoes")))*INDEX(Inputs!$K$5:$AJ$140,0,MATCH(Z$2,Inputs!$K$4:$AJ$4,0)))))</f>
        <v>#N/A</v>
      </c>
      <c r="AA42" s="6" t="e">
        <f>IF(ISNA(MATCH(AA$2,Inputs!$K$4:$AJ$4,0)),NA(),IF(SUMPRODUCT((Inputs!$A$5:$A$140=$B42)*ISNUMBER(INDEX(Inputs!$K$5:$AJ$140,0,MATCH(AA$2,Inputs!$K$4:$AJ$4,0))))+SUMPRODUCT((Inputs!$C$5:$C$140=$B42)*ISNUMBER(INDEX(Inputs!$K$5:$AJ$140,0,MATCH(AA$2,Inputs!$K$4:$AJ$4,0))))+SUMPRODUCT((Inputs!$E$5:$E$140=$B42)*ISNUMBER(INDEX(Inputs!$K$5:$AJ$140,0,MATCH(AA$2,Inputs!$K$4:$AJ$4,0))))=0,NA(),SUMPRODUCT((Inputs!$A$5:$A$140=$B42)*Inputs!$B$5:$B$140*(((Inputs!$G$5:$G$140="moeda")+(Inputs!$G$5:$G$140="acoes"))*Inputs!$B$1+((Inputs!$G$5:$G$140&lt;&gt;"moeda")*(Inputs!$G$5:$G$140&lt;&gt;"acoes")))*INDEX(Inputs!$K$5:$AJ$140,0,MATCH(AA$2,Inputs!$K$4:$AJ$4,0)))+SUMPRODUCT((Inputs!$C$5:$C$140=$B42)*Inputs!$D$5:$D$140*(((Inputs!$G$5:$G$140="moeda")+(Inputs!$G$5:$G$140="acoes"))*Inputs!$B$1+((Inputs!$G$5:$G$140&lt;&gt;"moeda")*(Inputs!$G$5:$G$140&lt;&gt;"acoes")))*INDEX(Inputs!$K$5:$AJ$140,0,MATCH(AA$2,Inputs!$K$4:$AJ$4,0)))+SUMPRODUCT((Inputs!$E$5:$E$140=$B42)*Inputs!$F$5:$F$140*(((Inputs!$G$5:$G$140="moeda")+(Inputs!$G$5:$G$140="acoes"))*Inputs!$B$1+((Inputs!$G$5:$G$140&lt;&gt;"moeda")*(Inputs!$G$5:$G$140&lt;&gt;"acoes")))*INDEX(Inputs!$K$5:$AJ$140,0,MATCH(AA$2,Inputs!$K$4:$AJ$4,0)))))</f>
        <v>#N/A</v>
      </c>
      <c r="AB42" s="3" t="e">
        <f>AA42</f>
        <v>#N/A</v>
      </c>
      <c r="AC42" s="6" t="e">
        <f>IF(ISNA(MATCH(AC$2,Inputs!$K$4:$AJ$4,0)),NA(),IF(SUMPRODUCT((Inputs!$A$5:$A$140=$B42)*ISNUMBER(INDEX(Inputs!$K$5:$AJ$140,0,MATCH(AC$2,Inputs!$K$4:$AJ$4,0))))+SUMPRODUCT((Inputs!$C$5:$C$140=$B42)*ISNUMBER(INDEX(Inputs!$K$5:$AJ$140,0,MATCH(AC$2,Inputs!$K$4:$AJ$4,0))))+SUMPRODUCT((Inputs!$E$5:$E$140=$B42)*ISNUMBER(INDEX(Inputs!$K$5:$AJ$140,0,MATCH(AC$2,Inputs!$K$4:$AJ$4,0))))=0,NA(),SUMPRODUCT((Inputs!$A$5:$A$140=$B42)*Inputs!$B$5:$B$140*(((Inputs!$G$5:$G$140="moeda")+(Inputs!$G$5:$G$140="acoes"))*Inputs!$B$1+((Inputs!$G$5:$G$140&lt;&gt;"moeda")*(Inputs!$G$5:$G$140&lt;&gt;"acoes")))*INDEX(Inputs!$K$5:$AJ$140,0,MATCH(AC$2,Inputs!$K$4:$AJ$4,0)))+SUMPRODUCT((Inputs!$C$5:$C$140=$B42)*Inputs!$D$5:$D$140*(((Inputs!$G$5:$G$140="moeda")+(Inputs!$G$5:$G$140="acoes"))*Inputs!$B$1+((Inputs!$G$5:$G$140&lt;&gt;"moeda")*(Inputs!$G$5:$G$140&lt;&gt;"acoes")))*INDEX(Inputs!$K$5:$AJ$140,0,MATCH(AC$2,Inputs!$K$4:$AJ$4,0)))+SUMPRODUCT((Inputs!$E$5:$E$140=$B42)*Inputs!$F$5:$F$140*(((Inputs!$G$5:$G$140="moeda")+(Inputs!$G$5:$G$140="acoes"))*Inputs!$B$1+((Inputs!$G$5:$G$140&lt;&gt;"moeda")*(Inputs!$G$5:$G$140&lt;&gt;"acoes")))*INDEX(Inputs!$K$5:$AJ$140,0,MATCH(AC$2,Inputs!$K$4:$AJ$4,0)))))</f>
        <v>#N/A</v>
      </c>
      <c r="AD42" s="6" t="e">
        <f>IF(ISNA(MATCH(AD$2,Inputs!$K$4:$AJ$4,0)),NA(),IF(SUMPRODUCT((Inputs!$A$5:$A$140=$B42)*ISNUMBER(INDEX(Inputs!$K$5:$AJ$140,0,MATCH(AD$2,Inputs!$K$4:$AJ$4,0))))+SUMPRODUCT((Inputs!$C$5:$C$140=$B42)*ISNUMBER(INDEX(Inputs!$K$5:$AJ$140,0,MATCH(AD$2,Inputs!$K$4:$AJ$4,0))))+SUMPRODUCT((Inputs!$E$5:$E$140=$B42)*ISNUMBER(INDEX(Inputs!$K$5:$AJ$140,0,MATCH(AD$2,Inputs!$K$4:$AJ$4,0))))=0,NA(),SUMPRODUCT((Inputs!$A$5:$A$140=$B42)*Inputs!$B$5:$B$140*(((Inputs!$G$5:$G$140="moeda")+(Inputs!$G$5:$G$140="acoes"))*Inputs!$B$1+((Inputs!$G$5:$G$140&lt;&gt;"moeda")*(Inputs!$G$5:$G$140&lt;&gt;"acoes")))*INDEX(Inputs!$K$5:$AJ$140,0,MATCH(AD$2,Inputs!$K$4:$AJ$4,0)))+SUMPRODUCT((Inputs!$C$5:$C$140=$B42)*Inputs!$D$5:$D$140*(((Inputs!$G$5:$G$140="moeda")+(Inputs!$G$5:$G$140="acoes"))*Inputs!$B$1+((Inputs!$G$5:$G$140&lt;&gt;"moeda")*(Inputs!$G$5:$G$140&lt;&gt;"acoes")))*INDEX(Inputs!$K$5:$AJ$140,0,MATCH(AD$2,Inputs!$K$4:$AJ$4,0)))+SUMPRODUCT((Inputs!$E$5:$E$140=$B42)*Inputs!$F$5:$F$140*(((Inputs!$G$5:$G$140="moeda")+(Inputs!$G$5:$G$140="acoes"))*Inputs!$B$1+((Inputs!$G$5:$G$140&lt;&gt;"moeda")*(Inputs!$G$5:$G$140&lt;&gt;"acoes")))*INDEX(Inputs!$K$5:$AJ$140,0,MATCH(AD$2,Inputs!$K$4:$AJ$4,0)))))</f>
        <v>#N/A</v>
      </c>
      <c r="AE42" s="6" t="e">
        <f>IF(ISNA(MATCH(AE$2,Inputs!$K$4:$AJ$4,0)),NA(),IF(SUMPRODUCT((Inputs!$A$5:$A$140=$B42)*ISNUMBER(INDEX(Inputs!$K$5:$AJ$140,0,MATCH(AE$2,Inputs!$K$4:$AJ$4,0))))+SUMPRODUCT((Inputs!$C$5:$C$140=$B42)*ISNUMBER(INDEX(Inputs!$K$5:$AJ$140,0,MATCH(AE$2,Inputs!$K$4:$AJ$4,0))))+SUMPRODUCT((Inputs!$E$5:$E$140=$B42)*ISNUMBER(INDEX(Inputs!$K$5:$AJ$140,0,MATCH(AE$2,Inputs!$K$4:$AJ$4,0))))=0,NA(),SUMPRODUCT((Inputs!$A$5:$A$140=$B42)*Inputs!$B$5:$B$140*(((Inputs!$G$5:$G$140="moeda")+(Inputs!$G$5:$G$140="acoes"))*Inputs!$B$1+((Inputs!$G$5:$G$140&lt;&gt;"moeda")*(Inputs!$G$5:$G$140&lt;&gt;"acoes")))*INDEX(Inputs!$K$5:$AJ$140,0,MATCH(AE$2,Inputs!$K$4:$AJ$4,0)))+SUMPRODUCT((Inputs!$C$5:$C$140=$B42)*Inputs!$D$5:$D$140*(((Inputs!$G$5:$G$140="moeda")+(Inputs!$G$5:$G$140="acoes"))*Inputs!$B$1+((Inputs!$G$5:$G$140&lt;&gt;"moeda")*(Inputs!$G$5:$G$140&lt;&gt;"acoes")))*INDEX(Inputs!$K$5:$AJ$140,0,MATCH(AE$2,Inputs!$K$4:$AJ$4,0)))+SUMPRODUCT((Inputs!$E$5:$E$140=$B42)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42" s="6" t="e">
        <f>IF(ISNA(MATCH(AF$2,Inputs!$K$4:$AJ$4,0)),NA(),IF(SUMPRODUCT((Inputs!$A$5:$A$140=$B42)*ISNUMBER(INDEX(Inputs!$K$5:$AJ$140,0,MATCH(AF$2,Inputs!$K$4:$AJ$4,0))))+SUMPRODUCT((Inputs!$C$5:$C$140=$B42)*ISNUMBER(INDEX(Inputs!$K$5:$AJ$140,0,MATCH(AF$2,Inputs!$K$4:$AJ$4,0))))+SUMPRODUCT((Inputs!$E$5:$E$140=$B42)*ISNUMBER(INDEX(Inputs!$K$5:$AJ$140,0,MATCH(AF$2,Inputs!$K$4:$AJ$4,0))))=0,NA(),SUMPRODUCT((Inputs!$A$5:$A$140=$B42)*Inputs!$B$5:$B$140*(((Inputs!$G$5:$G$140="moeda")+(Inputs!$G$5:$G$140="acoes"))*Inputs!$B$1+((Inputs!$G$5:$G$140&lt;&gt;"moeda")*(Inputs!$G$5:$G$140&lt;&gt;"acoes")))*INDEX(Inputs!$K$5:$AJ$140,0,MATCH(AF$2,Inputs!$K$4:$AJ$4,0)))+SUMPRODUCT((Inputs!$C$5:$C$140=$B42)*Inputs!$D$5:$D$140*(((Inputs!$G$5:$G$140="moeda")+(Inputs!$G$5:$G$140="acoes"))*Inputs!$B$1+((Inputs!$G$5:$G$140&lt;&gt;"moeda")*(Inputs!$G$5:$G$140&lt;&gt;"acoes")))*INDEX(Inputs!$K$5:$AJ$140,0,MATCH(AF$2,Inputs!$K$4:$AJ$4,0)))+SUMPRODUCT((Inputs!$E$5:$E$140=$B42)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42" s="3" t="e">
        <f>AF42</f>
        <v>#N/A</v>
      </c>
      <c r="AH42" s="6" t="e">
        <f>IF(ISNA(MATCH(AH$2,Inputs!$K$4:$AJ$4,0)),NA(),IF(SUMPRODUCT((Inputs!$A$5:$A$140=$B42)*ISNUMBER(INDEX(Inputs!$K$5:$AJ$140,0,MATCH(AH$2,Inputs!$K$4:$AJ$4,0))))+SUMPRODUCT((Inputs!$C$5:$C$140=$B42)*ISNUMBER(INDEX(Inputs!$K$5:$AJ$140,0,MATCH(AH$2,Inputs!$K$4:$AJ$4,0))))+SUMPRODUCT((Inputs!$E$5:$E$140=$B42)*ISNUMBER(INDEX(Inputs!$K$5:$AJ$140,0,MATCH(AH$2,Inputs!$K$4:$AJ$4,0))))=0,NA(),SUMPRODUCT((Inputs!$A$5:$A$140=$B42)*Inputs!$B$5:$B$140*(((Inputs!$G$5:$G$140="moeda")+(Inputs!$G$5:$G$140="acoes"))*Inputs!$B$1+((Inputs!$G$5:$G$140&lt;&gt;"moeda")*(Inputs!$G$5:$G$140&lt;&gt;"acoes")))*INDEX(Inputs!$K$5:$AJ$140,0,MATCH(AH$2,Inputs!$K$4:$AJ$4,0)))+SUMPRODUCT((Inputs!$C$5:$C$140=$B42)*Inputs!$D$5:$D$140*(((Inputs!$G$5:$G$140="moeda")+(Inputs!$G$5:$G$140="acoes"))*Inputs!$B$1+((Inputs!$G$5:$G$140&lt;&gt;"moeda")*(Inputs!$G$5:$G$140&lt;&gt;"acoes")))*INDEX(Inputs!$K$5:$AJ$140,0,MATCH(AH$2,Inputs!$K$4:$AJ$4,0)))+SUMPRODUCT((Inputs!$E$5:$E$140=$B42)*Inputs!$F$5:$F$140*(((Inputs!$G$5:$G$140="moeda")+(Inputs!$G$5:$G$140="acoes"))*Inputs!$B$1+((Inputs!$G$5:$G$140&lt;&gt;"moeda")*(Inputs!$G$5:$G$140&lt;&gt;"acoes")))*INDEX(Inputs!$K$5:$AJ$140,0,MATCH(AH$2,Inputs!$K$4:$AJ$4,0)))))</f>
        <v>#N/A</v>
      </c>
      <c r="AI42" s="6" t="e">
        <f>IF(ISNA(MATCH(AI$2,Inputs!$K$4:$AJ$4,0)),NA(),IF(SUMPRODUCT((Inputs!$A$5:$A$140=$B42)*ISNUMBER(INDEX(Inputs!$K$5:$AJ$140,0,MATCH(AI$2,Inputs!$K$4:$AJ$4,0))))+SUMPRODUCT((Inputs!$C$5:$C$140=$B42)*ISNUMBER(INDEX(Inputs!$K$5:$AJ$140,0,MATCH(AI$2,Inputs!$K$4:$AJ$4,0))))+SUMPRODUCT((Inputs!$E$5:$E$140=$B42)*ISNUMBER(INDEX(Inputs!$K$5:$AJ$140,0,MATCH(AI$2,Inputs!$K$4:$AJ$4,0))))=0,NA(),SUMPRODUCT((Inputs!$A$5:$A$140=$B42)*Inputs!$B$5:$B$140*(((Inputs!$G$5:$G$140="moeda")+(Inputs!$G$5:$G$140="acoes"))*Inputs!$B$1+((Inputs!$G$5:$G$140&lt;&gt;"moeda")*(Inputs!$G$5:$G$140&lt;&gt;"acoes")))*INDEX(Inputs!$K$5:$AJ$140,0,MATCH(AI$2,Inputs!$K$4:$AJ$4,0)))+SUMPRODUCT((Inputs!$C$5:$C$140=$B42)*Inputs!$D$5:$D$140*(((Inputs!$G$5:$G$140="moeda")+(Inputs!$G$5:$G$140="acoes"))*Inputs!$B$1+((Inputs!$G$5:$G$140&lt;&gt;"moeda")*(Inputs!$G$5:$G$140&lt;&gt;"acoes")))*INDEX(Inputs!$K$5:$AJ$140,0,MATCH(AI$2,Inputs!$K$4:$AJ$4,0)))+SUMPRODUCT((Inputs!$E$5:$E$140=$B42)*Inputs!$F$5:$F$140*(((Inputs!$G$5:$G$140="moeda")+(Inputs!$G$5:$G$140="acoes"))*Inputs!$B$1+((Inputs!$G$5:$G$140&lt;&gt;"moeda")*(Inputs!$G$5:$G$140&lt;&gt;"acoes")))*INDEX(Inputs!$K$5:$AJ$140,0,MATCH(AI$2,Inputs!$K$4:$AJ$4,0)))))</f>
        <v>#N/A</v>
      </c>
      <c r="AJ42" s="6" t="e">
        <f>IF(ISNA(MATCH(AJ$2,Inputs!$K$4:$AJ$4,0)),NA(),IF(SUMPRODUCT((Inputs!$A$5:$A$140=$B42)*ISNUMBER(INDEX(Inputs!$K$5:$AJ$140,0,MATCH(AJ$2,Inputs!$K$4:$AJ$4,0))))+SUMPRODUCT((Inputs!$C$5:$C$140=$B42)*ISNUMBER(INDEX(Inputs!$K$5:$AJ$140,0,MATCH(AJ$2,Inputs!$K$4:$AJ$4,0))))+SUMPRODUCT((Inputs!$E$5:$E$140=$B42)*ISNUMBER(INDEX(Inputs!$K$5:$AJ$140,0,MATCH(AJ$2,Inputs!$K$4:$AJ$4,0))))=0,NA(),SUMPRODUCT((Inputs!$A$5:$A$140=$B42)*Inputs!$B$5:$B$140*(((Inputs!$G$5:$G$140="moeda")+(Inputs!$G$5:$G$140="acoes"))*Inputs!$B$1+((Inputs!$G$5:$G$140&lt;&gt;"moeda")*(Inputs!$G$5:$G$140&lt;&gt;"acoes")))*INDEX(Inputs!$K$5:$AJ$140,0,MATCH(AJ$2,Inputs!$K$4:$AJ$4,0)))+SUMPRODUCT((Inputs!$C$5:$C$140=$B42)*Inputs!$D$5:$D$140*(((Inputs!$G$5:$G$140="moeda")+(Inputs!$G$5:$G$140="acoes"))*Inputs!$B$1+((Inputs!$G$5:$G$140&lt;&gt;"moeda")*(Inputs!$G$5:$G$140&lt;&gt;"acoes")))*INDEX(Inputs!$K$5:$AJ$140,0,MATCH(AJ$2,Inputs!$K$4:$AJ$4,0)))+SUMPRODUCT((Inputs!$E$5:$E$140=$B42)*Inputs!$F$5:$F$140*(((Inputs!$G$5:$G$140="moeda")+(Inputs!$G$5:$G$140="acoes"))*Inputs!$B$1+((Inputs!$G$5:$G$140&lt;&gt;"moeda")*(Inputs!$G$5:$G$140&lt;&gt;"acoes")))*INDEX(Inputs!$K$5:$AJ$140,0,MATCH(AJ$2,Inputs!$K$4:$AJ$4,0)))))</f>
        <v>#N/A</v>
      </c>
      <c r="AK42" s="6" t="e">
        <f>IF(ISNA(MATCH(AK$2,Inputs!$K$4:$AJ$4,0)),NA(),IF(SUMPRODUCT((Inputs!$A$5:$A$140=$B42)*ISNUMBER(INDEX(Inputs!$K$5:$AJ$140,0,MATCH(AK$2,Inputs!$K$4:$AJ$4,0))))+SUMPRODUCT((Inputs!$C$5:$C$140=$B42)*ISNUMBER(INDEX(Inputs!$K$5:$AJ$140,0,MATCH(AK$2,Inputs!$K$4:$AJ$4,0))))+SUMPRODUCT((Inputs!$E$5:$E$140=$B42)*ISNUMBER(INDEX(Inputs!$K$5:$AJ$140,0,MATCH(AK$2,Inputs!$K$4:$AJ$4,0))))=0,NA(),SUMPRODUCT((Inputs!$A$5:$A$140=$B42)*Inputs!$B$5:$B$140*(((Inputs!$G$5:$G$140="moeda")+(Inputs!$G$5:$G$140="acoes"))*Inputs!$B$1+((Inputs!$G$5:$G$140&lt;&gt;"moeda")*(Inputs!$G$5:$G$140&lt;&gt;"acoes")))*INDEX(Inputs!$K$5:$AJ$140,0,MATCH(AK$2,Inputs!$K$4:$AJ$4,0)))+SUMPRODUCT((Inputs!$C$5:$C$140=$B42)*Inputs!$D$5:$D$140*(((Inputs!$G$5:$G$140="moeda")+(Inputs!$G$5:$G$140="acoes"))*Inputs!$B$1+((Inputs!$G$5:$G$140&lt;&gt;"moeda")*(Inputs!$G$5:$G$140&lt;&gt;"acoes")))*INDEX(Inputs!$K$5:$AJ$140,0,MATCH(AK$2,Inputs!$K$4:$AJ$4,0)))+SUMPRODUCT((Inputs!$E$5:$E$140=$B42)*Inputs!$F$5:$F$140*(((Inputs!$G$5:$G$140="moeda")+(Inputs!$G$5:$G$140="acoes"))*Inputs!$B$1+((Inputs!$G$5:$G$140&lt;&gt;"moeda")*(Inputs!$G$5:$G$140&lt;&gt;"acoes")))*INDEX(Inputs!$K$5:$AJ$140,0,MATCH(AK$2,Inputs!$K$4:$AJ$4,0)))))</f>
        <v>#N/A</v>
      </c>
      <c r="AL42" s="3" t="e">
        <f>AK42</f>
        <v>#N/A</v>
      </c>
    </row>
    <row r="43">
      <c r="B43" s="46" t="n">
        <v>37</v>
      </c>
      <c r="C43" s="24" t="inlineStr">
        <is>
          <t>Common Stock and APIC</t>
        </is>
      </c>
      <c r="D43" s="6">
        <f>IF(ISNA(MATCH(D$2,Inputs!$K$4:$AJ$4,0)),NA(),IF(SUMPRODUCT((Inputs!$A$5:$A$140=$B43)*ISNUMBER(INDEX(Inputs!$K$5:$AJ$140,0,MATCH(D$2,Inputs!$K$4:$AJ$4,0))))+SUMPRODUCT((Inputs!$C$5:$C$140=$B43)*ISNUMBER(INDEX(Inputs!$K$5:$AJ$140,0,MATCH(D$2,Inputs!$K$4:$AJ$4,0))))+SUMPRODUCT((Inputs!$E$5:$E$140=$B43)*ISNUMBER(INDEX(Inputs!$K$5:$AJ$140,0,MATCH(D$2,Inputs!$K$4:$AJ$4,0))))=0,NA(),SUMPRODUCT((Inputs!$A$5:$A$140=$B43)*Inputs!$B$5:$B$140*(((Inputs!$G$5:$G$140="moeda")+(Inputs!$G$5:$G$140="acoes"))*Inputs!$B$1+((Inputs!$G$5:$G$140&lt;&gt;"moeda")*(Inputs!$G$5:$G$140&lt;&gt;"acoes")))*INDEX(Inputs!$K$5:$AJ$140,0,MATCH(D$2,Inputs!$K$4:$AJ$4,0)))+SUMPRODUCT((Inputs!$C$5:$C$140=$B43)*Inputs!$D$5:$D$140*(((Inputs!$G$5:$G$140="moeda")+(Inputs!$G$5:$G$140="acoes"))*Inputs!$B$1+((Inputs!$G$5:$G$140&lt;&gt;"moeda")*(Inputs!$G$5:$G$140&lt;&gt;"acoes")))*INDEX(Inputs!$K$5:$AJ$140,0,MATCH(D$2,Inputs!$K$4:$AJ$4,0)))+SUMPRODUCT((Inputs!$E$5:$E$140=$B43)*Inputs!$F$5:$F$140*(((Inputs!$G$5:$G$140="moeda")+(Inputs!$G$5:$G$140="acoes"))*Inputs!$B$1+((Inputs!$G$5:$G$140&lt;&gt;"moeda")*(Inputs!$G$5:$G$140&lt;&gt;"acoes")))*INDEX(Inputs!$K$5:$AJ$140,0,MATCH(D$2,Inputs!$K$4:$AJ$4,0)))))</f>
        <v>9281</v>
      </c>
      <c r="E43" s="6">
        <f>IF(ISNA(MATCH(E$2,Inputs!$K$4:$AJ$4,0)),NA(),IF(SUMPRODUCT((Inputs!$A$5:$A$140=$B43)*ISNUMBER(INDEX(Inputs!$K$5:$AJ$140,0,MATCH(E$2,Inputs!$K$4:$AJ$4,0))))+SUMPRODUCT((Inputs!$C$5:$C$140=$B43)*ISNUMBER(INDEX(Inputs!$K$5:$AJ$140,0,MATCH(E$2,Inputs!$K$4:$AJ$4,0))))+SUMPRODUCT((Inputs!$E$5:$E$140=$B43)*ISNUMBER(INDEX(Inputs!$K$5:$AJ$140,0,MATCH(E$2,Inputs!$K$4:$AJ$4,0))))=0,NA(),SUMPRODUCT((Inputs!$A$5:$A$140=$B43)*Inputs!$B$5:$B$140*(((Inputs!$G$5:$G$140="moeda")+(Inputs!$G$5:$G$140="acoes"))*Inputs!$B$1+((Inputs!$G$5:$G$140&lt;&gt;"moeda")*(Inputs!$G$5:$G$140&lt;&gt;"acoes")))*INDEX(Inputs!$K$5:$AJ$140,0,MATCH(E$2,Inputs!$K$4:$AJ$4,0)))+SUMPRODUCT((Inputs!$C$5:$C$140=$B43)*Inputs!$D$5:$D$140*(((Inputs!$G$5:$G$140="moeda")+(Inputs!$G$5:$G$140="acoes"))*Inputs!$B$1+((Inputs!$G$5:$G$140&lt;&gt;"moeda")*(Inputs!$G$5:$G$140&lt;&gt;"acoes")))*INDEX(Inputs!$K$5:$AJ$140,0,MATCH(E$2,Inputs!$K$4:$AJ$4,0)))+SUMPRODUCT((Inputs!$E$5:$E$140=$B43)*Inputs!$F$5:$F$140*(((Inputs!$G$5:$G$140="moeda")+(Inputs!$G$5:$G$140="acoes"))*Inputs!$B$1+((Inputs!$G$5:$G$140&lt;&gt;"moeda")*(Inputs!$G$5:$G$140&lt;&gt;"acoes")))*INDEX(Inputs!$K$5:$AJ$140,0,MATCH(E$2,Inputs!$K$4:$AJ$4,0)))))</f>
        <v>9748</v>
      </c>
      <c r="F43" s="6">
        <f>IF(ISNA(MATCH(F$2,Inputs!$K$4:$AJ$4,0)),NA(),IF(SUMPRODUCT((Inputs!$A$5:$A$140=$B43)*ISNUMBER(INDEX(Inputs!$K$5:$AJ$140,0,MATCH(F$2,Inputs!$K$4:$AJ$4,0))))+SUMPRODUCT((Inputs!$C$5:$C$140=$B43)*ISNUMBER(INDEX(Inputs!$K$5:$AJ$140,0,MATCH(F$2,Inputs!$K$4:$AJ$4,0))))+SUMPRODUCT((Inputs!$E$5:$E$140=$B43)*ISNUMBER(INDEX(Inputs!$K$5:$AJ$140,0,MATCH(F$2,Inputs!$K$4:$AJ$4,0))))=0,NA(),SUMPRODUCT((Inputs!$A$5:$A$140=$B43)*Inputs!$B$5:$B$140*(((Inputs!$G$5:$G$140="moeda")+(Inputs!$G$5:$G$140="acoes"))*Inputs!$B$1+((Inputs!$G$5:$G$140&lt;&gt;"moeda")*(Inputs!$G$5:$G$140&lt;&gt;"acoes")))*INDEX(Inputs!$K$5:$AJ$140,0,MATCH(F$2,Inputs!$K$4:$AJ$4,0)))+SUMPRODUCT((Inputs!$C$5:$C$140=$B43)*Inputs!$D$5:$D$140*(((Inputs!$G$5:$G$140="moeda")+(Inputs!$G$5:$G$140="acoes"))*Inputs!$B$1+((Inputs!$G$5:$G$140&lt;&gt;"moeda")*(Inputs!$G$5:$G$140&lt;&gt;"acoes")))*INDEX(Inputs!$K$5:$AJ$140,0,MATCH(F$2,Inputs!$K$4:$AJ$4,0)))+SUMPRODUCT((Inputs!$E$5:$E$140=$B43)*Inputs!$F$5:$F$140*(((Inputs!$G$5:$G$140="moeda")+(Inputs!$G$5:$G$140="acoes"))*Inputs!$B$1+((Inputs!$G$5:$G$140&lt;&gt;"moeda")*(Inputs!$G$5:$G$140&lt;&gt;"acoes")))*INDEX(Inputs!$K$5:$AJ$140,0,MATCH(F$2,Inputs!$K$4:$AJ$4,0)))))</f>
        <v>10468</v>
      </c>
      <c r="G43" s="6">
        <f>IF(ISNA(MATCH(G$2,Inputs!$K$4:$AJ$4,0)),NA(),IF(SUMPRODUCT((Inputs!$A$5:$A$140=$B43)*ISNUMBER(INDEX(Inputs!$K$5:$AJ$140,0,MATCH(G$2,Inputs!$K$4:$AJ$4,0))))+SUMPRODUCT((Inputs!$C$5:$C$140=$B43)*ISNUMBER(INDEX(Inputs!$K$5:$AJ$140,0,MATCH(G$2,Inputs!$K$4:$AJ$4,0))))+SUMPRODUCT((Inputs!$E$5:$E$140=$B43)*ISNUMBER(INDEX(Inputs!$K$5:$AJ$140,0,MATCH(G$2,Inputs!$K$4:$AJ$4,0))))=0,NA(),SUMPRODUCT((Inputs!$A$5:$A$140=$B43)*Inputs!$B$5:$B$140*(((Inputs!$G$5:$G$140="moeda")+(Inputs!$G$5:$G$140="acoes"))*Inputs!$B$1+((Inputs!$G$5:$G$140&lt;&gt;"moeda")*(Inputs!$G$5:$G$140&lt;&gt;"acoes")))*INDEX(Inputs!$K$5:$AJ$140,0,MATCH(G$2,Inputs!$K$4:$AJ$4,0)))+SUMPRODUCT((Inputs!$C$5:$C$140=$B43)*Inputs!$D$5:$D$140*(((Inputs!$G$5:$G$140="moeda")+(Inputs!$G$5:$G$140="acoes"))*Inputs!$B$1+((Inputs!$G$5:$G$140&lt;&gt;"moeda")*(Inputs!$G$5:$G$140&lt;&gt;"acoes")))*INDEX(Inputs!$K$5:$AJ$140,0,MATCH(G$2,Inputs!$K$4:$AJ$4,0)))+SUMPRODUCT((Inputs!$E$5:$E$140=$B43)*Inputs!$F$5:$F$140*(((Inputs!$G$5:$G$140="moeda")+(Inputs!$G$5:$G$140="acoes"))*Inputs!$B$1+((Inputs!$G$5:$G$140&lt;&gt;"moeda")*(Inputs!$G$5:$G$140&lt;&gt;"acoes")))*INDEX(Inputs!$K$5:$AJ$140,0,MATCH(G$2,Inputs!$K$4:$AJ$4,0)))))</f>
        <v>10388</v>
      </c>
      <c r="H43" s="3">
        <f>G43</f>
        <v>10388</v>
      </c>
      <c r="I43" s="6">
        <f>IF(ISNA(MATCH(I$2,Inputs!$K$4:$AJ$4,0)),NA(),IF(SUMPRODUCT((Inputs!$A$5:$A$140=$B43)*ISNUMBER(INDEX(Inputs!$K$5:$AJ$140,0,MATCH(I$2,Inputs!$K$4:$AJ$4,0))))+SUMPRODUCT((Inputs!$C$5:$C$140=$B43)*ISNUMBER(INDEX(Inputs!$K$5:$AJ$140,0,MATCH(I$2,Inputs!$K$4:$AJ$4,0))))+SUMPRODUCT((Inputs!$E$5:$E$140=$B43)*ISNUMBER(INDEX(Inputs!$K$5:$AJ$140,0,MATCH(I$2,Inputs!$K$4:$AJ$4,0))))=0,NA(),SUMPRODUCT((Inputs!$A$5:$A$140=$B43)*Inputs!$B$5:$B$140*(((Inputs!$G$5:$G$140="moeda")+(Inputs!$G$5:$G$140="acoes"))*Inputs!$B$1+((Inputs!$G$5:$G$140&lt;&gt;"moeda")*(Inputs!$G$5:$G$140&lt;&gt;"acoes")))*INDEX(Inputs!$K$5:$AJ$140,0,MATCH(I$2,Inputs!$K$4:$AJ$4,0)))+SUMPRODUCT((Inputs!$C$5:$C$140=$B43)*Inputs!$D$5:$D$140*(((Inputs!$G$5:$G$140="moeda")+(Inputs!$G$5:$G$140="acoes"))*Inputs!$B$1+((Inputs!$G$5:$G$140&lt;&gt;"moeda")*(Inputs!$G$5:$G$140&lt;&gt;"acoes")))*INDEX(Inputs!$K$5:$AJ$140,0,MATCH(I$2,Inputs!$K$4:$AJ$4,0)))+SUMPRODUCT((Inputs!$E$5:$E$140=$B43)*Inputs!$F$5:$F$140*(((Inputs!$G$5:$G$140="moeda")+(Inputs!$G$5:$G$140="acoes"))*Inputs!$B$1+((Inputs!$G$5:$G$140&lt;&gt;"moeda")*(Inputs!$G$5:$G$140&lt;&gt;"acoes")))*INDEX(Inputs!$K$5:$AJ$140,0,MATCH(I$2,Inputs!$K$4:$AJ$4,0)))))</f>
        <v>10626</v>
      </c>
      <c r="J43" s="6">
        <f>IF(ISNA(MATCH(J$2,Inputs!$K$4:$AJ$4,0)),NA(),IF(SUMPRODUCT((Inputs!$A$5:$A$140=$B43)*ISNUMBER(INDEX(Inputs!$K$5:$AJ$140,0,MATCH(J$2,Inputs!$K$4:$AJ$4,0))))+SUMPRODUCT((Inputs!$C$5:$C$140=$B43)*ISNUMBER(INDEX(Inputs!$K$5:$AJ$140,0,MATCH(J$2,Inputs!$K$4:$AJ$4,0))))+SUMPRODUCT((Inputs!$E$5:$E$140=$B43)*ISNUMBER(INDEX(Inputs!$K$5:$AJ$140,0,MATCH(J$2,Inputs!$K$4:$AJ$4,0))))=0,NA(),SUMPRODUCT((Inputs!$A$5:$A$140=$B43)*Inputs!$B$5:$B$140*(((Inputs!$G$5:$G$140="moeda")+(Inputs!$G$5:$G$140="acoes"))*Inputs!$B$1+((Inputs!$G$5:$G$140&lt;&gt;"moeda")*(Inputs!$G$5:$G$140&lt;&gt;"acoes")))*INDEX(Inputs!$K$5:$AJ$140,0,MATCH(J$2,Inputs!$K$4:$AJ$4,0)))+SUMPRODUCT((Inputs!$C$5:$C$140=$B43)*Inputs!$D$5:$D$140*(((Inputs!$G$5:$G$140="moeda")+(Inputs!$G$5:$G$140="acoes"))*Inputs!$B$1+((Inputs!$G$5:$G$140&lt;&gt;"moeda")*(Inputs!$G$5:$G$140&lt;&gt;"acoes")))*INDEX(Inputs!$K$5:$AJ$140,0,MATCH(J$2,Inputs!$K$4:$AJ$4,0)))+SUMPRODUCT((Inputs!$E$5:$E$140=$B43)*Inputs!$F$5:$F$140*(((Inputs!$G$5:$G$140="moeda")+(Inputs!$G$5:$G$140="acoes"))*Inputs!$B$1+((Inputs!$G$5:$G$140&lt;&gt;"moeda")*(Inputs!$G$5:$G$140&lt;&gt;"acoes")))*INDEX(Inputs!$K$5:$AJ$140,0,MATCH(J$2,Inputs!$K$4:$AJ$4,0)))))</f>
        <v>10970</v>
      </c>
      <c r="K43" s="6">
        <f>IF(ISNA(MATCH(K$2,Inputs!$K$4:$AJ$4,0)),NA(),IF(SUMPRODUCT((Inputs!$A$5:$A$140=$B43)*ISNUMBER(INDEX(Inputs!$K$5:$AJ$140,0,MATCH(K$2,Inputs!$K$4:$AJ$4,0))))+SUMPRODUCT((Inputs!$C$5:$C$140=$B43)*ISNUMBER(INDEX(Inputs!$K$5:$AJ$140,0,MATCH(K$2,Inputs!$K$4:$AJ$4,0))))+SUMPRODUCT((Inputs!$E$5:$E$140=$B43)*ISNUMBER(INDEX(Inputs!$K$5:$AJ$140,0,MATCH(K$2,Inputs!$K$4:$AJ$4,0))))=0,NA(),SUMPRODUCT((Inputs!$A$5:$A$140=$B43)*Inputs!$B$5:$B$140*(((Inputs!$G$5:$G$140="moeda")+(Inputs!$G$5:$G$140="acoes"))*Inputs!$B$1+((Inputs!$G$5:$G$140&lt;&gt;"moeda")*(Inputs!$G$5:$G$140&lt;&gt;"acoes")))*INDEX(Inputs!$K$5:$AJ$140,0,MATCH(K$2,Inputs!$K$4:$AJ$4,0)))+SUMPRODUCT((Inputs!$C$5:$C$140=$B43)*Inputs!$D$5:$D$140*(((Inputs!$G$5:$G$140="moeda")+(Inputs!$G$5:$G$140="acoes"))*Inputs!$B$1+((Inputs!$G$5:$G$140&lt;&gt;"moeda")*(Inputs!$G$5:$G$140&lt;&gt;"acoes")))*INDEX(Inputs!$K$5:$AJ$140,0,MATCH(K$2,Inputs!$K$4:$AJ$4,0)))+SUMPRODUCT((Inputs!$E$5:$E$140=$B43)*Inputs!$F$5:$F$140*(((Inputs!$G$5:$G$140="moeda")+(Inputs!$G$5:$G$140="acoes"))*Inputs!$B$1+((Inputs!$G$5:$G$140&lt;&gt;"moeda")*(Inputs!$G$5:$G$140&lt;&gt;"acoes")))*INDEX(Inputs!$K$5:$AJ$140,0,MATCH(K$2,Inputs!$K$4:$AJ$4,0)))))</f>
        <v>11567</v>
      </c>
      <c r="L43" s="6">
        <f>IF(ISNA(MATCH(L$2,Inputs!$K$4:$AJ$4,0)),NA(),IF(SUMPRODUCT((Inputs!$A$5:$A$140=$B43)*ISNUMBER(INDEX(Inputs!$K$5:$AJ$140,0,MATCH(L$2,Inputs!$K$4:$AJ$4,0))))+SUMPRODUCT((Inputs!$C$5:$C$140=$B43)*ISNUMBER(INDEX(Inputs!$K$5:$AJ$140,0,MATCH(L$2,Inputs!$K$4:$AJ$4,0))))+SUMPRODUCT((Inputs!$E$5:$E$140=$B43)*ISNUMBER(INDEX(Inputs!$K$5:$AJ$140,0,MATCH(L$2,Inputs!$K$4:$AJ$4,0))))=0,NA(),SUMPRODUCT((Inputs!$A$5:$A$140=$B43)*Inputs!$B$5:$B$140*(((Inputs!$G$5:$G$140="moeda")+(Inputs!$G$5:$G$140="acoes"))*Inputs!$B$1+((Inputs!$G$5:$G$140&lt;&gt;"moeda")*(Inputs!$G$5:$G$140&lt;&gt;"acoes")))*INDEX(Inputs!$K$5:$AJ$140,0,MATCH(L$2,Inputs!$K$4:$AJ$4,0)))+SUMPRODUCT((Inputs!$C$5:$C$140=$B43)*Inputs!$D$5:$D$140*(((Inputs!$G$5:$G$140="moeda")+(Inputs!$G$5:$G$140="acoes"))*Inputs!$B$1+((Inputs!$G$5:$G$140&lt;&gt;"moeda")*(Inputs!$G$5:$G$140&lt;&gt;"acoes")))*INDEX(Inputs!$K$5:$AJ$140,0,MATCH(L$2,Inputs!$K$4:$AJ$4,0)))+SUMPRODUCT((Inputs!$E$5:$E$140=$B43)*Inputs!$F$5:$F$140*(((Inputs!$G$5:$G$140="moeda")+(Inputs!$G$5:$G$140="acoes"))*Inputs!$B$1+((Inputs!$G$5:$G$140&lt;&gt;"moeda")*(Inputs!$G$5:$G$140&lt;&gt;"acoes")))*INDEX(Inputs!$K$5:$AJ$140,0,MATCH(L$2,Inputs!$K$4:$AJ$4,0)))))</f>
        <v>11973</v>
      </c>
      <c r="M43" s="3">
        <f>L43</f>
        <v>11973</v>
      </c>
      <c r="N43" s="6">
        <f>IF(ISNA(MATCH(N$2,Inputs!$K$4:$AJ$4,0)),NA(),IF(SUMPRODUCT((Inputs!$A$5:$A$140=$B43)*ISNUMBER(INDEX(Inputs!$K$5:$AJ$140,0,MATCH(N$2,Inputs!$K$4:$AJ$4,0))))+SUMPRODUCT((Inputs!$C$5:$C$140=$B43)*ISNUMBER(INDEX(Inputs!$K$5:$AJ$140,0,MATCH(N$2,Inputs!$K$4:$AJ$4,0))))+SUMPRODUCT((Inputs!$E$5:$E$140=$B43)*ISNUMBER(INDEX(Inputs!$K$5:$AJ$140,0,MATCH(N$2,Inputs!$K$4:$AJ$4,0))))=0,NA(),SUMPRODUCT((Inputs!$A$5:$A$140=$B43)*Inputs!$B$5:$B$140*(((Inputs!$G$5:$G$140="moeda")+(Inputs!$G$5:$G$140="acoes"))*Inputs!$B$1+((Inputs!$G$5:$G$140&lt;&gt;"moeda")*(Inputs!$G$5:$G$140&lt;&gt;"acoes")))*INDEX(Inputs!$K$5:$AJ$140,0,MATCH(N$2,Inputs!$K$4:$AJ$4,0)))+SUMPRODUCT((Inputs!$C$5:$C$140=$B43)*Inputs!$D$5:$D$140*(((Inputs!$G$5:$G$140="moeda")+(Inputs!$G$5:$G$140="acoes"))*Inputs!$B$1+((Inputs!$G$5:$G$140&lt;&gt;"moeda")*(Inputs!$G$5:$G$140&lt;&gt;"acoes")))*INDEX(Inputs!$K$5:$AJ$140,0,MATCH(N$2,Inputs!$K$4:$AJ$4,0)))+SUMPRODUCT((Inputs!$E$5:$E$140=$B43)*Inputs!$F$5:$F$140*(((Inputs!$G$5:$G$140="moeda")+(Inputs!$G$5:$G$140="acoes"))*Inputs!$B$1+((Inputs!$G$5:$G$140&lt;&gt;"moeda")*(Inputs!$G$5:$G$140&lt;&gt;"acoes")))*INDEX(Inputs!$K$5:$AJ$140,0,MATCH(N$2,Inputs!$K$4:$AJ$4,0)))))</f>
        <v>12455</v>
      </c>
      <c r="O43" s="6">
        <f>IF(ISNA(MATCH(O$2,Inputs!$K$4:$AJ$4,0)),NA(),IF(SUMPRODUCT((Inputs!$A$5:$A$140=$B43)*ISNUMBER(INDEX(Inputs!$K$5:$AJ$140,0,MATCH(O$2,Inputs!$K$4:$AJ$4,0))))+SUMPRODUCT((Inputs!$C$5:$C$140=$B43)*ISNUMBER(INDEX(Inputs!$K$5:$AJ$140,0,MATCH(O$2,Inputs!$K$4:$AJ$4,0))))+SUMPRODUCT((Inputs!$E$5:$E$140=$B43)*ISNUMBER(INDEX(Inputs!$K$5:$AJ$140,0,MATCH(O$2,Inputs!$K$4:$AJ$4,0))))=0,NA(),SUMPRODUCT((Inputs!$A$5:$A$140=$B43)*Inputs!$B$5:$B$140*(((Inputs!$G$5:$G$140="moeda")+(Inputs!$G$5:$G$140="acoes"))*Inputs!$B$1+((Inputs!$G$5:$G$140&lt;&gt;"moeda")*(Inputs!$G$5:$G$140&lt;&gt;"acoes")))*INDEX(Inputs!$K$5:$AJ$140,0,MATCH(O$2,Inputs!$K$4:$AJ$4,0)))+SUMPRODUCT((Inputs!$C$5:$C$140=$B43)*Inputs!$D$5:$D$140*(((Inputs!$G$5:$G$140="moeda")+(Inputs!$G$5:$G$140="acoes"))*Inputs!$B$1+((Inputs!$G$5:$G$140&lt;&gt;"moeda")*(Inputs!$G$5:$G$140&lt;&gt;"acoes")))*INDEX(Inputs!$K$5:$AJ$140,0,MATCH(O$2,Inputs!$K$4:$AJ$4,0)))+SUMPRODUCT((Inputs!$E$5:$E$140=$B43)*Inputs!$F$5:$F$140*(((Inputs!$G$5:$G$140="moeda")+(Inputs!$G$5:$G$140="acoes"))*Inputs!$B$1+((Inputs!$G$5:$G$140&lt;&gt;"moeda")*(Inputs!$G$5:$G$140&lt;&gt;"acoes")))*INDEX(Inputs!$K$5:$AJ$140,0,MATCH(O$2,Inputs!$K$4:$AJ$4,0)))))</f>
        <v>12631</v>
      </c>
      <c r="P43" s="6">
        <f>IF(ISNA(MATCH(P$2,Inputs!$K$4:$AJ$4,0)),NA(),IF(SUMPRODUCT((Inputs!$A$5:$A$140=$B43)*ISNUMBER(INDEX(Inputs!$K$5:$AJ$140,0,MATCH(P$2,Inputs!$K$4:$AJ$4,0))))+SUMPRODUCT((Inputs!$C$5:$C$140=$B43)*ISNUMBER(INDEX(Inputs!$K$5:$AJ$140,0,MATCH(P$2,Inputs!$K$4:$AJ$4,0))))+SUMPRODUCT((Inputs!$E$5:$E$140=$B43)*ISNUMBER(INDEX(Inputs!$K$5:$AJ$140,0,MATCH(P$2,Inputs!$K$4:$AJ$4,0))))=0,NA(),SUMPRODUCT((Inputs!$A$5:$A$140=$B43)*Inputs!$B$5:$B$140*(((Inputs!$G$5:$G$140="moeda")+(Inputs!$G$5:$G$140="acoes"))*Inputs!$B$1+((Inputs!$G$5:$G$140&lt;&gt;"moeda")*(Inputs!$G$5:$G$140&lt;&gt;"acoes")))*INDEX(Inputs!$K$5:$AJ$140,0,MATCH(P$2,Inputs!$K$4:$AJ$4,0)))+SUMPRODUCT((Inputs!$C$5:$C$140=$B43)*Inputs!$D$5:$D$140*(((Inputs!$G$5:$G$140="moeda")+(Inputs!$G$5:$G$140="acoes"))*Inputs!$B$1+((Inputs!$G$5:$G$140&lt;&gt;"moeda")*(Inputs!$G$5:$G$140&lt;&gt;"acoes")))*INDEX(Inputs!$K$5:$AJ$140,0,MATCH(P$2,Inputs!$K$4:$AJ$4,0)))+SUMPRODUCT((Inputs!$E$5:$E$140=$B43)*Inputs!$F$5:$F$140*(((Inputs!$G$5:$G$140="moeda")+(Inputs!$G$5:$G$140="acoes"))*Inputs!$B$1+((Inputs!$G$5:$G$140&lt;&gt;"moeda")*(Inputs!$G$5:$G$140&lt;&gt;"acoes")))*INDEX(Inputs!$K$5:$AJ$140,0,MATCH(P$2,Inputs!$K$4:$AJ$4,0)))))</f>
        <v>12993</v>
      </c>
      <c r="Q43" s="6">
        <f>IF(ISNA(MATCH(Q$2,Inputs!$K$4:$AJ$4,0)),NA(),IF(SUMPRODUCT((Inputs!$A$5:$A$140=$B43)*ISNUMBER(INDEX(Inputs!$K$5:$AJ$140,0,MATCH(Q$2,Inputs!$K$4:$AJ$4,0))))+SUMPRODUCT((Inputs!$C$5:$C$140=$B43)*ISNUMBER(INDEX(Inputs!$K$5:$AJ$140,0,MATCH(Q$2,Inputs!$K$4:$AJ$4,0))))+SUMPRODUCT((Inputs!$E$5:$E$140=$B43)*ISNUMBER(INDEX(Inputs!$K$5:$AJ$140,0,MATCH(Q$2,Inputs!$K$4:$AJ$4,0))))=0,NA(),SUMPRODUCT((Inputs!$A$5:$A$140=$B43)*Inputs!$B$5:$B$140*(((Inputs!$G$5:$G$140="moeda")+(Inputs!$G$5:$G$140="acoes"))*Inputs!$B$1+((Inputs!$G$5:$G$140&lt;&gt;"moeda")*(Inputs!$G$5:$G$140&lt;&gt;"acoes")))*INDEX(Inputs!$K$5:$AJ$140,0,MATCH(Q$2,Inputs!$K$4:$AJ$4,0)))+SUMPRODUCT((Inputs!$C$5:$C$140=$B43)*Inputs!$D$5:$D$140*(((Inputs!$G$5:$G$140="moeda")+(Inputs!$G$5:$G$140="acoes"))*Inputs!$B$1+((Inputs!$G$5:$G$140&lt;&gt;"moeda")*(Inputs!$G$5:$G$140&lt;&gt;"acoes")))*INDEX(Inputs!$K$5:$AJ$140,0,MATCH(Q$2,Inputs!$K$4:$AJ$4,0)))+SUMPRODUCT((Inputs!$E$5:$E$140=$B43)*Inputs!$F$5:$F$140*(((Inputs!$G$5:$G$140="moeda")+(Inputs!$G$5:$G$140="acoes"))*Inputs!$B$1+((Inputs!$G$5:$G$140&lt;&gt;"moeda")*(Inputs!$G$5:$G$140&lt;&gt;"acoes")))*INDEX(Inputs!$K$5:$AJ$140,0,MATCH(Q$2,Inputs!$K$4:$AJ$4,0)))))</f>
        <v>13134</v>
      </c>
      <c r="R43" s="3">
        <f>Q43</f>
        <v>13134</v>
      </c>
      <c r="S43" s="6">
        <f>IF(ISNA(MATCH(S$2,Inputs!$K$4:$AJ$4,0)),NA(),IF(SUMPRODUCT((Inputs!$A$5:$A$140=$B43)*ISNUMBER(INDEX(Inputs!$K$5:$AJ$140,0,MATCH(S$2,Inputs!$K$4:$AJ$4,0))))+SUMPRODUCT((Inputs!$C$5:$C$140=$B43)*ISNUMBER(INDEX(Inputs!$K$5:$AJ$140,0,MATCH(S$2,Inputs!$K$4:$AJ$4,0))))+SUMPRODUCT((Inputs!$E$5:$E$140=$B43)*ISNUMBER(INDEX(Inputs!$K$5:$AJ$140,0,MATCH(S$2,Inputs!$K$4:$AJ$4,0))))=0,NA(),SUMPRODUCT((Inputs!$A$5:$A$140=$B43)*Inputs!$B$5:$B$140*(((Inputs!$G$5:$G$140="moeda")+(Inputs!$G$5:$G$140="acoes"))*Inputs!$B$1+((Inputs!$G$5:$G$140&lt;&gt;"moeda")*(Inputs!$G$5:$G$140&lt;&gt;"acoes")))*INDEX(Inputs!$K$5:$AJ$140,0,MATCH(S$2,Inputs!$K$4:$AJ$4,0)))+SUMPRODUCT((Inputs!$C$5:$C$140=$B43)*Inputs!$D$5:$D$140*(((Inputs!$G$5:$G$140="moeda")+(Inputs!$G$5:$G$140="acoes"))*Inputs!$B$1+((Inputs!$G$5:$G$140&lt;&gt;"moeda")*(Inputs!$G$5:$G$140&lt;&gt;"acoes")))*INDEX(Inputs!$K$5:$AJ$140,0,MATCH(S$2,Inputs!$K$4:$AJ$4,0)))+SUMPRODUCT((Inputs!$E$5:$E$140=$B43)*Inputs!$F$5:$F$140*(((Inputs!$G$5:$G$140="moeda")+(Inputs!$G$5:$G$140="acoes"))*Inputs!$B$1+((Inputs!$G$5:$G$140&lt;&gt;"moeda")*(Inputs!$G$5:$G$140&lt;&gt;"acoes")))*INDEX(Inputs!$K$5:$AJ$140,0,MATCH(S$2,Inputs!$K$4:$AJ$4,0)))))</f>
        <v>12653</v>
      </c>
      <c r="T43" s="6">
        <f>IF(ISNA(MATCH(T$2,Inputs!$K$4:$AJ$4,0)),NA(),IF(SUMPRODUCT((Inputs!$A$5:$A$140=$B43)*ISNUMBER(INDEX(Inputs!$K$5:$AJ$140,0,MATCH(T$2,Inputs!$K$4:$AJ$4,0))))+SUMPRODUCT((Inputs!$C$5:$C$140=$B43)*ISNUMBER(INDEX(Inputs!$K$5:$AJ$140,0,MATCH(T$2,Inputs!$K$4:$AJ$4,0))))+SUMPRODUCT((Inputs!$E$5:$E$140=$B43)*ISNUMBER(INDEX(Inputs!$K$5:$AJ$140,0,MATCH(T$2,Inputs!$K$4:$AJ$4,0))))=0,NA(),SUMPRODUCT((Inputs!$A$5:$A$140=$B43)*Inputs!$B$5:$B$140*(((Inputs!$G$5:$G$140="moeda")+(Inputs!$G$5:$G$140="acoes"))*Inputs!$B$1+((Inputs!$G$5:$G$140&lt;&gt;"moeda")*(Inputs!$G$5:$G$140&lt;&gt;"acoes")))*INDEX(Inputs!$K$5:$AJ$140,0,MATCH(T$2,Inputs!$K$4:$AJ$4,0)))+SUMPRODUCT((Inputs!$C$5:$C$140=$B43)*Inputs!$D$5:$D$140*(((Inputs!$G$5:$G$140="moeda")+(Inputs!$G$5:$G$140="acoes"))*Inputs!$B$1+((Inputs!$G$5:$G$140&lt;&gt;"moeda")*(Inputs!$G$5:$G$140&lt;&gt;"acoes")))*INDEX(Inputs!$K$5:$AJ$140,0,MATCH(T$2,Inputs!$K$4:$AJ$4,0)))+SUMPRODUCT((Inputs!$E$5:$E$140=$B43)*Inputs!$F$5:$F$140*(((Inputs!$G$5:$G$140="moeda")+(Inputs!$G$5:$G$140="acoes"))*Inputs!$B$1+((Inputs!$G$5:$G$140&lt;&gt;"moeda")*(Inputs!$G$5:$G$140&lt;&gt;"acoes")))*INDEX(Inputs!$K$5:$AJ$140,0,MATCH(T$2,Inputs!$K$4:$AJ$4,0)))))</f>
        <v>12140</v>
      </c>
      <c r="U43" s="6">
        <f>IF(ISNA(MATCH(U$2,Inputs!$K$4:$AJ$4,0)),NA(),IF(SUMPRODUCT((Inputs!$A$5:$A$140=$B43)*ISNUMBER(INDEX(Inputs!$K$5:$AJ$140,0,MATCH(U$2,Inputs!$K$4:$AJ$4,0))))+SUMPRODUCT((Inputs!$C$5:$C$140=$B43)*ISNUMBER(INDEX(Inputs!$K$5:$AJ$140,0,MATCH(U$2,Inputs!$K$4:$AJ$4,0))))+SUMPRODUCT((Inputs!$E$5:$E$140=$B43)*ISNUMBER(INDEX(Inputs!$K$5:$AJ$140,0,MATCH(U$2,Inputs!$K$4:$AJ$4,0))))=0,NA(),SUMPRODUCT((Inputs!$A$5:$A$140=$B43)*Inputs!$B$5:$B$140*(((Inputs!$G$5:$G$140="moeda")+(Inputs!$G$5:$G$140="acoes"))*Inputs!$B$1+((Inputs!$G$5:$G$140&lt;&gt;"moeda")*(Inputs!$G$5:$G$140&lt;&gt;"acoes")))*INDEX(Inputs!$K$5:$AJ$140,0,MATCH(U$2,Inputs!$K$4:$AJ$4,0)))+SUMPRODUCT((Inputs!$C$5:$C$140=$B43)*Inputs!$D$5:$D$140*(((Inputs!$G$5:$G$140="moeda")+(Inputs!$G$5:$G$140="acoes"))*Inputs!$B$1+((Inputs!$G$5:$G$140&lt;&gt;"moeda")*(Inputs!$G$5:$G$140&lt;&gt;"acoes")))*INDEX(Inputs!$K$5:$AJ$140,0,MATCH(U$2,Inputs!$K$4:$AJ$4,0)))+SUMPRODUCT((Inputs!$E$5:$E$140=$B43)*Inputs!$F$5:$F$140*(((Inputs!$G$5:$G$140="moeda")+(Inputs!$G$5:$G$140="acoes"))*Inputs!$B$1+((Inputs!$G$5:$G$140&lt;&gt;"moeda")*(Inputs!$G$5:$G$140&lt;&gt;"acoes")))*INDEX(Inputs!$K$5:$AJ$140,0,MATCH(U$2,Inputs!$K$4:$AJ$4,0)))))</f>
        <v>11846</v>
      </c>
      <c r="V43" s="6">
        <f>IF(ISNA(MATCH(V$2,Inputs!$K$4:$AJ$4,0)),NA(),IF(SUMPRODUCT((Inputs!$A$5:$A$140=$B43)*ISNUMBER(INDEX(Inputs!$K$5:$AJ$140,0,MATCH(V$2,Inputs!$K$4:$AJ$4,0))))+SUMPRODUCT((Inputs!$C$5:$C$140=$B43)*ISNUMBER(INDEX(Inputs!$K$5:$AJ$140,0,MATCH(V$2,Inputs!$K$4:$AJ$4,0))))+SUMPRODUCT((Inputs!$E$5:$E$140=$B43)*ISNUMBER(INDEX(Inputs!$K$5:$AJ$140,0,MATCH(V$2,Inputs!$K$4:$AJ$4,0))))=0,NA(),SUMPRODUCT((Inputs!$A$5:$A$140=$B43)*Inputs!$B$5:$B$140*(((Inputs!$G$5:$G$140="moeda")+(Inputs!$G$5:$G$140="acoes"))*Inputs!$B$1+((Inputs!$G$5:$G$140&lt;&gt;"moeda")*(Inputs!$G$5:$G$140&lt;&gt;"acoes")))*INDEX(Inputs!$K$5:$AJ$140,0,MATCH(V$2,Inputs!$K$4:$AJ$4,0)))+SUMPRODUCT((Inputs!$C$5:$C$140=$B43)*Inputs!$D$5:$D$140*(((Inputs!$G$5:$G$140="moeda")+(Inputs!$G$5:$G$140="acoes"))*Inputs!$B$1+((Inputs!$G$5:$G$140&lt;&gt;"moeda")*(Inputs!$G$5:$G$140&lt;&gt;"acoes")))*INDEX(Inputs!$K$5:$AJ$140,0,MATCH(V$2,Inputs!$K$4:$AJ$4,0)))+SUMPRODUCT((Inputs!$E$5:$E$140=$B43)*Inputs!$F$5:$F$140*(((Inputs!$G$5:$G$140="moeda")+(Inputs!$G$5:$G$140="acoes"))*Inputs!$B$1+((Inputs!$G$5:$G$140&lt;&gt;"moeda")*(Inputs!$G$5:$G$140&lt;&gt;"acoes")))*INDEX(Inputs!$K$5:$AJ$140,0,MATCH(V$2,Inputs!$K$4:$AJ$4,0)))))</f>
        <v>11261</v>
      </c>
      <c r="W43" s="3">
        <f>V43</f>
        <v>11261</v>
      </c>
      <c r="X43" s="6">
        <f>IF(ISNA(MATCH(X$2,Inputs!$K$4:$AJ$4,0)),NA(),IF(SUMPRODUCT((Inputs!$A$5:$A$140=$B43)*ISNUMBER(INDEX(Inputs!$K$5:$AJ$140,0,MATCH(X$2,Inputs!$K$4:$AJ$4,0))))+SUMPRODUCT((Inputs!$C$5:$C$140=$B43)*ISNUMBER(INDEX(Inputs!$K$5:$AJ$140,0,MATCH(X$2,Inputs!$K$4:$AJ$4,0))))+SUMPRODUCT((Inputs!$E$5:$E$140=$B43)*ISNUMBER(INDEX(Inputs!$K$5:$AJ$140,0,MATCH(X$2,Inputs!$K$4:$AJ$4,0))))=0,NA(),SUMPRODUCT((Inputs!$A$5:$A$140=$B43)*Inputs!$B$5:$B$140*(((Inputs!$G$5:$G$140="moeda")+(Inputs!$G$5:$G$140="acoes"))*Inputs!$B$1+((Inputs!$G$5:$G$140&lt;&gt;"moeda")*(Inputs!$G$5:$G$140&lt;&gt;"acoes")))*INDEX(Inputs!$K$5:$AJ$140,0,MATCH(X$2,Inputs!$K$4:$AJ$4,0)))+SUMPRODUCT((Inputs!$C$5:$C$140=$B43)*Inputs!$D$5:$D$140*(((Inputs!$G$5:$G$140="moeda")+(Inputs!$G$5:$G$140="acoes"))*Inputs!$B$1+((Inputs!$G$5:$G$140&lt;&gt;"moeda")*(Inputs!$G$5:$G$140&lt;&gt;"acoes")))*INDEX(Inputs!$K$5:$AJ$140,0,MATCH(X$2,Inputs!$K$4:$AJ$4,0)))+SUMPRODUCT((Inputs!$E$5:$E$140=$B43)*Inputs!$F$5:$F$140*(((Inputs!$G$5:$G$140="moeda")+(Inputs!$G$5:$G$140="acoes"))*Inputs!$B$1+((Inputs!$G$5:$G$140&lt;&gt;"moeda")*(Inputs!$G$5:$G$140&lt;&gt;"acoes")))*INDEX(Inputs!$K$5:$AJ$140,0,MATCH(X$2,Inputs!$K$4:$AJ$4,0)))))</f>
        <v>11499</v>
      </c>
      <c r="Y43" s="6">
        <f>IF(ISNA(MATCH(Y$2,Inputs!$K$4:$AJ$4,0)),NA(),IF(SUMPRODUCT((Inputs!$A$5:$A$140=$B43)*ISNUMBER(INDEX(Inputs!$K$5:$AJ$140,0,MATCH(Y$2,Inputs!$K$4:$AJ$4,0))))+SUMPRODUCT((Inputs!$C$5:$C$140=$B43)*ISNUMBER(INDEX(Inputs!$K$5:$AJ$140,0,MATCH(Y$2,Inputs!$K$4:$AJ$4,0))))+SUMPRODUCT((Inputs!$E$5:$E$140=$B43)*ISNUMBER(INDEX(Inputs!$K$5:$AJ$140,0,MATCH(Y$2,Inputs!$K$4:$AJ$4,0))))=0,NA(),SUMPRODUCT((Inputs!$A$5:$A$140=$B43)*Inputs!$B$5:$B$140*(((Inputs!$G$5:$G$140="moeda")+(Inputs!$G$5:$G$140="acoes"))*Inputs!$B$1+((Inputs!$G$5:$G$140&lt;&gt;"moeda")*(Inputs!$G$5:$G$140&lt;&gt;"acoes")))*INDEX(Inputs!$K$5:$AJ$140,0,MATCH(Y$2,Inputs!$K$4:$AJ$4,0)))+SUMPRODUCT((Inputs!$C$5:$C$140=$B43)*Inputs!$D$5:$D$140*(((Inputs!$G$5:$G$140="moeda")+(Inputs!$G$5:$G$140="acoes"))*Inputs!$B$1+((Inputs!$G$5:$G$140&lt;&gt;"moeda")*(Inputs!$G$5:$G$140&lt;&gt;"acoes")))*INDEX(Inputs!$K$5:$AJ$140,0,MATCH(Y$2,Inputs!$K$4:$AJ$4,0)))+SUMPRODUCT((Inputs!$E$5:$E$140=$B43)*Inputs!$F$5:$F$140*(((Inputs!$G$5:$G$140="moeda")+(Inputs!$G$5:$G$140="acoes"))*Inputs!$B$1+((Inputs!$G$5:$G$140&lt;&gt;"moeda")*(Inputs!$G$5:$G$140&lt;&gt;"acoes")))*INDEX(Inputs!$K$5:$AJ$140,0,MATCH(Y$2,Inputs!$K$4:$AJ$4,0)))))</f>
        <v>11224</v>
      </c>
      <c r="Z43" s="6">
        <f>IF(ISNA(MATCH(Z$2,Inputs!$K$4:$AJ$4,0)),NA(),IF(SUMPRODUCT((Inputs!$A$5:$A$140=$B43)*ISNUMBER(INDEX(Inputs!$K$5:$AJ$140,0,MATCH(Z$2,Inputs!$K$4:$AJ$4,0))))+SUMPRODUCT((Inputs!$C$5:$C$140=$B43)*ISNUMBER(INDEX(Inputs!$K$5:$AJ$140,0,MATCH(Z$2,Inputs!$K$4:$AJ$4,0))))+SUMPRODUCT((Inputs!$E$5:$E$140=$B43)*ISNUMBER(INDEX(Inputs!$K$5:$AJ$140,0,MATCH(Z$2,Inputs!$K$4:$AJ$4,0))))=0,NA(),SUMPRODUCT((Inputs!$A$5:$A$140=$B43)*Inputs!$B$5:$B$140*(((Inputs!$G$5:$G$140="moeda")+(Inputs!$G$5:$G$140="acoes"))*Inputs!$B$1+((Inputs!$G$5:$G$140&lt;&gt;"moeda")*(Inputs!$G$5:$G$140&lt;&gt;"acoes")))*INDEX(Inputs!$K$5:$AJ$140,0,MATCH(Z$2,Inputs!$K$4:$AJ$4,0)))+SUMPRODUCT((Inputs!$C$5:$C$140=$B43)*Inputs!$D$5:$D$140*(((Inputs!$G$5:$G$140="moeda")+(Inputs!$G$5:$G$140="acoes"))*Inputs!$B$1+((Inputs!$G$5:$G$140&lt;&gt;"moeda")*(Inputs!$G$5:$G$140&lt;&gt;"acoes")))*INDEX(Inputs!$K$5:$AJ$140,0,MATCH(Z$2,Inputs!$K$4:$AJ$4,0)))+SUMPRODUCT((Inputs!$E$5:$E$140=$B43)*Inputs!$F$5:$F$140*(((Inputs!$G$5:$G$140="moeda")+(Inputs!$G$5:$G$140="acoes"))*Inputs!$B$1+((Inputs!$G$5:$G$140&lt;&gt;"moeda")*(Inputs!$G$5:$G$140&lt;&gt;"acoes")))*INDEX(Inputs!$K$5:$AJ$140,0,MATCH(Z$2,Inputs!$K$4:$AJ$4,0)))))</f>
        <v>10650</v>
      </c>
      <c r="AA43" s="6">
        <f>IF(ISNA(MATCH(AA$2,Inputs!$K$4:$AJ$4,0)),NA(),IF(SUMPRODUCT((Inputs!$A$5:$A$140=$B43)*ISNUMBER(INDEX(Inputs!$K$5:$AJ$140,0,MATCH(AA$2,Inputs!$K$4:$AJ$4,0))))+SUMPRODUCT((Inputs!$C$5:$C$140=$B43)*ISNUMBER(INDEX(Inputs!$K$5:$AJ$140,0,MATCH(AA$2,Inputs!$K$4:$AJ$4,0))))+SUMPRODUCT((Inputs!$E$5:$E$140=$B43)*ISNUMBER(INDEX(Inputs!$K$5:$AJ$140,0,MATCH(AA$2,Inputs!$K$4:$AJ$4,0))))=0,NA(),SUMPRODUCT((Inputs!$A$5:$A$140=$B43)*Inputs!$B$5:$B$140*(((Inputs!$G$5:$G$140="moeda")+(Inputs!$G$5:$G$140="acoes"))*Inputs!$B$1+((Inputs!$G$5:$G$140&lt;&gt;"moeda")*(Inputs!$G$5:$G$140&lt;&gt;"acoes")))*INDEX(Inputs!$K$5:$AJ$140,0,MATCH(AA$2,Inputs!$K$4:$AJ$4,0)))+SUMPRODUCT((Inputs!$C$5:$C$140=$B43)*Inputs!$D$5:$D$140*(((Inputs!$G$5:$G$140="moeda")+(Inputs!$G$5:$G$140="acoes"))*Inputs!$B$1+((Inputs!$G$5:$G$140&lt;&gt;"moeda")*(Inputs!$G$5:$G$140&lt;&gt;"acoes")))*INDEX(Inputs!$K$5:$AJ$140,0,MATCH(AA$2,Inputs!$K$4:$AJ$4,0)))+SUMPRODUCT((Inputs!$E$5:$E$140=$B43)*Inputs!$F$5:$F$140*(((Inputs!$G$5:$G$140="moeda")+(Inputs!$G$5:$G$140="acoes"))*Inputs!$B$1+((Inputs!$G$5:$G$140&lt;&gt;"moeda")*(Inputs!$G$5:$G$140&lt;&gt;"acoes")))*INDEX(Inputs!$K$5:$AJ$140,0,MATCH(AA$2,Inputs!$K$4:$AJ$4,0)))))</f>
        <v>10142</v>
      </c>
      <c r="AB43" s="3">
        <f>AA43</f>
        <v>10142</v>
      </c>
      <c r="AC43" s="6">
        <f>IF(ISNA(MATCH(AC$2,Inputs!$K$4:$AJ$4,0)),NA(),IF(SUMPRODUCT((Inputs!$A$5:$A$140=$B43)*ISNUMBER(INDEX(Inputs!$K$5:$AJ$140,0,MATCH(AC$2,Inputs!$K$4:$AJ$4,0))))+SUMPRODUCT((Inputs!$C$5:$C$140=$B43)*ISNUMBER(INDEX(Inputs!$K$5:$AJ$140,0,MATCH(AC$2,Inputs!$K$4:$AJ$4,0))))+SUMPRODUCT((Inputs!$E$5:$E$140=$B43)*ISNUMBER(INDEX(Inputs!$K$5:$AJ$140,0,MATCH(AC$2,Inputs!$K$4:$AJ$4,0))))=0,NA(),SUMPRODUCT((Inputs!$A$5:$A$140=$B43)*Inputs!$B$5:$B$140*(((Inputs!$G$5:$G$140="moeda")+(Inputs!$G$5:$G$140="acoes"))*Inputs!$B$1+((Inputs!$G$5:$G$140&lt;&gt;"moeda")*(Inputs!$G$5:$G$140&lt;&gt;"acoes")))*INDEX(Inputs!$K$5:$AJ$140,0,MATCH(AC$2,Inputs!$K$4:$AJ$4,0)))+SUMPRODUCT((Inputs!$C$5:$C$140=$B43)*Inputs!$D$5:$D$140*(((Inputs!$G$5:$G$140="moeda")+(Inputs!$G$5:$G$140="acoes"))*Inputs!$B$1+((Inputs!$G$5:$G$140&lt;&gt;"moeda")*(Inputs!$G$5:$G$140&lt;&gt;"acoes")))*INDEX(Inputs!$K$5:$AJ$140,0,MATCH(AC$2,Inputs!$K$4:$AJ$4,0)))+SUMPRODUCT((Inputs!$E$5:$E$140=$B43)*Inputs!$F$5:$F$140*(((Inputs!$G$5:$G$140="moeda")+(Inputs!$G$5:$G$140="acoes"))*Inputs!$B$1+((Inputs!$G$5:$G$140&lt;&gt;"moeda")*(Inputs!$G$5:$G$140&lt;&gt;"acoes")))*INDEX(Inputs!$K$5:$AJ$140,0,MATCH(AC$2,Inputs!$K$4:$AJ$4,0)))))</f>
        <v>10299</v>
      </c>
      <c r="AD43" s="6">
        <f>IF(ISNA(MATCH(AD$2,Inputs!$K$4:$AJ$4,0)),NA(),IF(SUMPRODUCT((Inputs!$A$5:$A$140=$B43)*ISNUMBER(INDEX(Inputs!$K$5:$AJ$140,0,MATCH(AD$2,Inputs!$K$4:$AJ$4,0))))+SUMPRODUCT((Inputs!$C$5:$C$140=$B43)*ISNUMBER(INDEX(Inputs!$K$5:$AJ$140,0,MATCH(AD$2,Inputs!$K$4:$AJ$4,0))))+SUMPRODUCT((Inputs!$E$5:$E$140=$B43)*ISNUMBER(INDEX(Inputs!$K$5:$AJ$140,0,MATCH(AD$2,Inputs!$K$4:$AJ$4,0))))=0,NA(),SUMPRODUCT((Inputs!$A$5:$A$140=$B43)*Inputs!$B$5:$B$140*(((Inputs!$G$5:$G$140="moeda")+(Inputs!$G$5:$G$140="acoes"))*Inputs!$B$1+((Inputs!$G$5:$G$140&lt;&gt;"moeda")*(Inputs!$G$5:$G$140&lt;&gt;"acoes")))*INDEX(Inputs!$K$5:$AJ$140,0,MATCH(AD$2,Inputs!$K$4:$AJ$4,0)))+SUMPRODUCT((Inputs!$C$5:$C$140=$B43)*Inputs!$D$5:$D$140*(((Inputs!$G$5:$G$140="moeda")+(Inputs!$G$5:$G$140="acoes"))*Inputs!$B$1+((Inputs!$G$5:$G$140&lt;&gt;"moeda")*(Inputs!$G$5:$G$140&lt;&gt;"acoes")))*INDEX(Inputs!$K$5:$AJ$140,0,MATCH(AD$2,Inputs!$K$4:$AJ$4,0)))+SUMPRODUCT((Inputs!$E$5:$E$140=$B43)*Inputs!$F$5:$F$140*(((Inputs!$G$5:$G$140="moeda")+(Inputs!$G$5:$G$140="acoes"))*Inputs!$B$1+((Inputs!$G$5:$G$140&lt;&gt;"moeda")*(Inputs!$G$5:$G$140&lt;&gt;"acoes")))*INDEX(Inputs!$K$5:$AJ$140,0,MATCH(AD$2,Inputs!$K$4:$AJ$4,0)))))</f>
        <v>9852</v>
      </c>
      <c r="AE43" s="6" t="e">
        <f>IF(ISNA(MATCH(AE$2,Inputs!$K$4:$AJ$4,0)),NA(),IF(SUMPRODUCT((Inputs!$A$5:$A$140=$B43)*ISNUMBER(INDEX(Inputs!$K$5:$AJ$140,0,MATCH(AE$2,Inputs!$K$4:$AJ$4,0))))+SUMPRODUCT((Inputs!$C$5:$C$140=$B43)*ISNUMBER(INDEX(Inputs!$K$5:$AJ$140,0,MATCH(AE$2,Inputs!$K$4:$AJ$4,0))))+SUMPRODUCT((Inputs!$E$5:$E$140=$B43)*ISNUMBER(INDEX(Inputs!$K$5:$AJ$140,0,MATCH(AE$2,Inputs!$K$4:$AJ$4,0))))=0,NA(),SUMPRODUCT((Inputs!$A$5:$A$140=$B43)*Inputs!$B$5:$B$140*(((Inputs!$G$5:$G$140="moeda")+(Inputs!$G$5:$G$140="acoes"))*Inputs!$B$1+((Inputs!$G$5:$G$140&lt;&gt;"moeda")*(Inputs!$G$5:$G$140&lt;&gt;"acoes")))*INDEX(Inputs!$K$5:$AJ$140,0,MATCH(AE$2,Inputs!$K$4:$AJ$4,0)))+SUMPRODUCT((Inputs!$C$5:$C$140=$B43)*Inputs!$D$5:$D$140*(((Inputs!$G$5:$G$140="moeda")+(Inputs!$G$5:$G$140="acoes"))*Inputs!$B$1+((Inputs!$G$5:$G$140&lt;&gt;"moeda")*(Inputs!$G$5:$G$140&lt;&gt;"acoes")))*INDEX(Inputs!$K$5:$AJ$140,0,MATCH(AE$2,Inputs!$K$4:$AJ$4,0)))+SUMPRODUCT((Inputs!$E$5:$E$140=$B43)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43" s="6" t="e">
        <f>IF(ISNA(MATCH(AF$2,Inputs!$K$4:$AJ$4,0)),NA(),IF(SUMPRODUCT((Inputs!$A$5:$A$140=$B43)*ISNUMBER(INDEX(Inputs!$K$5:$AJ$140,0,MATCH(AF$2,Inputs!$K$4:$AJ$4,0))))+SUMPRODUCT((Inputs!$C$5:$C$140=$B43)*ISNUMBER(INDEX(Inputs!$K$5:$AJ$140,0,MATCH(AF$2,Inputs!$K$4:$AJ$4,0))))+SUMPRODUCT((Inputs!$E$5:$E$140=$B43)*ISNUMBER(INDEX(Inputs!$K$5:$AJ$140,0,MATCH(AF$2,Inputs!$K$4:$AJ$4,0))))=0,NA(),SUMPRODUCT((Inputs!$A$5:$A$140=$B43)*Inputs!$B$5:$B$140*(((Inputs!$G$5:$G$140="moeda")+(Inputs!$G$5:$G$140="acoes"))*Inputs!$B$1+((Inputs!$G$5:$G$140&lt;&gt;"moeda")*(Inputs!$G$5:$G$140&lt;&gt;"acoes")))*INDEX(Inputs!$K$5:$AJ$140,0,MATCH(AF$2,Inputs!$K$4:$AJ$4,0)))+SUMPRODUCT((Inputs!$C$5:$C$140=$B43)*Inputs!$D$5:$D$140*(((Inputs!$G$5:$G$140="moeda")+(Inputs!$G$5:$G$140="acoes"))*Inputs!$B$1+((Inputs!$G$5:$G$140&lt;&gt;"moeda")*(Inputs!$G$5:$G$140&lt;&gt;"acoes")))*INDEX(Inputs!$K$5:$AJ$140,0,MATCH(AF$2,Inputs!$K$4:$AJ$4,0)))+SUMPRODUCT((Inputs!$E$5:$E$140=$B43)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43" s="3" t="e">
        <f>AF43</f>
        <v>#N/A</v>
      </c>
      <c r="AH43" s="6">
        <f>IF(ISNA(MATCH(AH$2,Inputs!$K$4:$AJ$4,0)),NA(),IF(SUMPRODUCT((Inputs!$A$5:$A$140=$B43)*ISNUMBER(INDEX(Inputs!$K$5:$AJ$140,0,MATCH(AH$2,Inputs!$K$4:$AJ$4,0))))+SUMPRODUCT((Inputs!$C$5:$C$140=$B43)*ISNUMBER(INDEX(Inputs!$K$5:$AJ$140,0,MATCH(AH$2,Inputs!$K$4:$AJ$4,0))))+SUMPRODUCT((Inputs!$E$5:$E$140=$B43)*ISNUMBER(INDEX(Inputs!$K$5:$AJ$140,0,MATCH(AH$2,Inputs!$K$4:$AJ$4,0))))=0,NA(),SUMPRODUCT((Inputs!$A$5:$A$140=$B43)*Inputs!$B$5:$B$140*(((Inputs!$G$5:$G$140="moeda")+(Inputs!$G$5:$G$140="acoes"))*Inputs!$B$1+((Inputs!$G$5:$G$140&lt;&gt;"moeda")*(Inputs!$G$5:$G$140&lt;&gt;"acoes")))*INDEX(Inputs!$K$5:$AJ$140,0,MATCH(AH$2,Inputs!$K$4:$AJ$4,0)))+SUMPRODUCT((Inputs!$C$5:$C$140=$B43)*Inputs!$D$5:$D$140*(((Inputs!$G$5:$G$140="moeda")+(Inputs!$G$5:$G$140="acoes"))*Inputs!$B$1+((Inputs!$G$5:$G$140&lt;&gt;"moeda")*(Inputs!$G$5:$G$140&lt;&gt;"acoes")))*INDEX(Inputs!$K$5:$AJ$140,0,MATCH(AH$2,Inputs!$K$4:$AJ$4,0)))+SUMPRODUCT((Inputs!$E$5:$E$140=$B43)*Inputs!$F$5:$F$140*(((Inputs!$G$5:$G$140="moeda")+(Inputs!$G$5:$G$140="acoes"))*Inputs!$B$1+((Inputs!$G$5:$G$140&lt;&gt;"moeda")*(Inputs!$G$5:$G$140&lt;&gt;"acoes")))*INDEX(Inputs!$K$5:$AJ$140,0,MATCH(AH$2,Inputs!$K$4:$AJ$4,0)))))</f>
        <v>7355</v>
      </c>
      <c r="AI43" s="6">
        <f>IF(ISNA(MATCH(AI$2,Inputs!$K$4:$AJ$4,0)),NA(),IF(SUMPRODUCT((Inputs!$A$5:$A$140=$B43)*ISNUMBER(INDEX(Inputs!$K$5:$AJ$140,0,MATCH(AI$2,Inputs!$K$4:$AJ$4,0))))+SUMPRODUCT((Inputs!$C$5:$C$140=$B43)*ISNUMBER(INDEX(Inputs!$K$5:$AJ$140,0,MATCH(AI$2,Inputs!$K$4:$AJ$4,0))))+SUMPRODUCT((Inputs!$E$5:$E$140=$B43)*ISNUMBER(INDEX(Inputs!$K$5:$AJ$140,0,MATCH(AI$2,Inputs!$K$4:$AJ$4,0))))=0,NA(),SUMPRODUCT((Inputs!$A$5:$A$140=$B43)*Inputs!$B$5:$B$140*(((Inputs!$G$5:$G$140="moeda")+(Inputs!$G$5:$G$140="acoes"))*Inputs!$B$1+((Inputs!$G$5:$G$140&lt;&gt;"moeda")*(Inputs!$G$5:$G$140&lt;&gt;"acoes")))*INDEX(Inputs!$K$5:$AJ$140,0,MATCH(AI$2,Inputs!$K$4:$AJ$4,0)))+SUMPRODUCT((Inputs!$C$5:$C$140=$B43)*Inputs!$D$5:$D$140*(((Inputs!$G$5:$G$140="moeda")+(Inputs!$G$5:$G$140="acoes"))*Inputs!$B$1+((Inputs!$G$5:$G$140&lt;&gt;"moeda")*(Inputs!$G$5:$G$140&lt;&gt;"acoes")))*INDEX(Inputs!$K$5:$AJ$140,0,MATCH(AI$2,Inputs!$K$4:$AJ$4,0)))+SUMPRODUCT((Inputs!$E$5:$E$140=$B43)*Inputs!$F$5:$F$140*(((Inputs!$G$5:$G$140="moeda")+(Inputs!$G$5:$G$140="acoes"))*Inputs!$B$1+((Inputs!$G$5:$G$140&lt;&gt;"moeda")*(Inputs!$G$5:$G$140&lt;&gt;"acoes")))*INDEX(Inputs!$K$5:$AJ$140,0,MATCH(AI$2,Inputs!$K$4:$AJ$4,0)))))</f>
        <v>7829</v>
      </c>
      <c r="AJ43" s="6">
        <f>IF(ISNA(MATCH(AJ$2,Inputs!$K$4:$AJ$4,0)),NA(),IF(SUMPRODUCT((Inputs!$A$5:$A$140=$B43)*ISNUMBER(INDEX(Inputs!$K$5:$AJ$140,0,MATCH(AJ$2,Inputs!$K$4:$AJ$4,0))))+SUMPRODUCT((Inputs!$C$5:$C$140=$B43)*ISNUMBER(INDEX(Inputs!$K$5:$AJ$140,0,MATCH(AJ$2,Inputs!$K$4:$AJ$4,0))))+SUMPRODUCT((Inputs!$E$5:$E$140=$B43)*ISNUMBER(INDEX(Inputs!$K$5:$AJ$140,0,MATCH(AJ$2,Inputs!$K$4:$AJ$4,0))))=0,NA(),SUMPRODUCT((Inputs!$A$5:$A$140=$B43)*Inputs!$B$5:$B$140*(((Inputs!$G$5:$G$140="moeda")+(Inputs!$G$5:$G$140="acoes"))*Inputs!$B$1+((Inputs!$G$5:$G$140&lt;&gt;"moeda")*(Inputs!$G$5:$G$140&lt;&gt;"acoes")))*INDEX(Inputs!$K$5:$AJ$140,0,MATCH(AJ$2,Inputs!$K$4:$AJ$4,0)))+SUMPRODUCT((Inputs!$C$5:$C$140=$B43)*Inputs!$D$5:$D$140*(((Inputs!$G$5:$G$140="moeda")+(Inputs!$G$5:$G$140="acoes"))*Inputs!$B$1+((Inputs!$G$5:$G$140&lt;&gt;"moeda")*(Inputs!$G$5:$G$140&lt;&gt;"acoes")))*INDEX(Inputs!$K$5:$AJ$140,0,MATCH(AJ$2,Inputs!$K$4:$AJ$4,0)))+SUMPRODUCT((Inputs!$E$5:$E$140=$B43)*Inputs!$F$5:$F$140*(((Inputs!$G$5:$G$140="moeda")+(Inputs!$G$5:$G$140="acoes"))*Inputs!$B$1+((Inputs!$G$5:$G$140&lt;&gt;"moeda")*(Inputs!$G$5:$G$140&lt;&gt;"acoes")))*INDEX(Inputs!$K$5:$AJ$140,0,MATCH(AJ$2,Inputs!$K$4:$AJ$4,0)))))</f>
        <v>8302</v>
      </c>
      <c r="AK43" s="6">
        <f>IF(ISNA(MATCH(AK$2,Inputs!$K$4:$AJ$4,0)),NA(),IF(SUMPRODUCT((Inputs!$A$5:$A$140=$B43)*ISNUMBER(INDEX(Inputs!$K$5:$AJ$140,0,MATCH(AK$2,Inputs!$K$4:$AJ$4,0))))+SUMPRODUCT((Inputs!$C$5:$C$140=$B43)*ISNUMBER(INDEX(Inputs!$K$5:$AJ$140,0,MATCH(AK$2,Inputs!$K$4:$AJ$4,0))))+SUMPRODUCT((Inputs!$E$5:$E$140=$B43)*ISNUMBER(INDEX(Inputs!$K$5:$AJ$140,0,MATCH(AK$2,Inputs!$K$4:$AJ$4,0))))=0,NA(),SUMPRODUCT((Inputs!$A$5:$A$140=$B43)*Inputs!$B$5:$B$140*(((Inputs!$G$5:$G$140="moeda")+(Inputs!$G$5:$G$140="acoes"))*Inputs!$B$1+((Inputs!$G$5:$G$140&lt;&gt;"moeda")*(Inputs!$G$5:$G$140&lt;&gt;"acoes")))*INDEX(Inputs!$K$5:$AJ$140,0,MATCH(AK$2,Inputs!$K$4:$AJ$4,0)))+SUMPRODUCT((Inputs!$C$5:$C$140=$B43)*Inputs!$D$5:$D$140*(((Inputs!$G$5:$G$140="moeda")+(Inputs!$G$5:$G$140="acoes"))*Inputs!$B$1+((Inputs!$G$5:$G$140&lt;&gt;"moeda")*(Inputs!$G$5:$G$140&lt;&gt;"acoes")))*INDEX(Inputs!$K$5:$AJ$140,0,MATCH(AK$2,Inputs!$K$4:$AJ$4,0)))+SUMPRODUCT((Inputs!$E$5:$E$140=$B43)*Inputs!$F$5:$F$140*(((Inputs!$G$5:$G$140="moeda")+(Inputs!$G$5:$G$140="acoes"))*Inputs!$B$1+((Inputs!$G$5:$G$140&lt;&gt;"moeda")*(Inputs!$G$5:$G$140&lt;&gt;"acoes")))*INDEX(Inputs!$K$5:$AJ$140,0,MATCH(AK$2,Inputs!$K$4:$AJ$4,0)))))</f>
        <v>8722</v>
      </c>
      <c r="AL43" s="3">
        <f>AK43</f>
        <v>8722</v>
      </c>
    </row>
    <row r="44">
      <c r="B44" s="46" t="n">
        <v>38</v>
      </c>
      <c r="C44" s="26" t="inlineStr">
        <is>
          <t>Treasury stock (contra account)</t>
        </is>
      </c>
      <c r="D44" s="6">
        <f>IF(ISNA(MATCH(D$2,Inputs!$K$4:$AJ$4,0)),NA(),IF(SUMPRODUCT((Inputs!$A$5:$A$140=$B44)*ISNUMBER(INDEX(Inputs!$K$5:$AJ$140,0,MATCH(D$2,Inputs!$K$4:$AJ$4,0))))+SUMPRODUCT((Inputs!$C$5:$C$140=$B44)*ISNUMBER(INDEX(Inputs!$K$5:$AJ$140,0,MATCH(D$2,Inputs!$K$4:$AJ$4,0))))+SUMPRODUCT((Inputs!$E$5:$E$140=$B44)*ISNUMBER(INDEX(Inputs!$K$5:$AJ$140,0,MATCH(D$2,Inputs!$K$4:$AJ$4,0))))=0,NA(),SUMPRODUCT((Inputs!$A$5:$A$140=$B44)*Inputs!$B$5:$B$140*(((Inputs!$G$5:$G$140="moeda")+(Inputs!$G$5:$G$140="acoes"))*Inputs!$B$1+((Inputs!$G$5:$G$140&lt;&gt;"moeda")*(Inputs!$G$5:$G$140&lt;&gt;"acoes")))*INDEX(Inputs!$K$5:$AJ$140,0,MATCH(D$2,Inputs!$K$4:$AJ$4,0)))+SUMPRODUCT((Inputs!$C$5:$C$140=$B44)*Inputs!$D$5:$D$140*(((Inputs!$G$5:$G$140="moeda")+(Inputs!$G$5:$G$140="acoes"))*Inputs!$B$1+((Inputs!$G$5:$G$140&lt;&gt;"moeda")*(Inputs!$G$5:$G$140&lt;&gt;"acoes")))*INDEX(Inputs!$K$5:$AJ$140,0,MATCH(D$2,Inputs!$K$4:$AJ$4,0)))+SUMPRODUCT((Inputs!$E$5:$E$140=$B44)*Inputs!$F$5:$F$140*(((Inputs!$G$5:$G$140="moeda")+(Inputs!$G$5:$G$140="acoes"))*Inputs!$B$1+((Inputs!$G$5:$G$140&lt;&gt;"moeda")*(Inputs!$G$5:$G$140&lt;&gt;"acoes")))*INDEX(Inputs!$K$5:$AJ$140,0,MATCH(D$2,Inputs!$K$4:$AJ$4,0)))))</f>
        <v>-11242</v>
      </c>
      <c r="E44" s="6">
        <f>IF(ISNA(MATCH(E$2,Inputs!$K$4:$AJ$4,0)),NA(),IF(SUMPRODUCT((Inputs!$A$5:$A$140=$B44)*ISNUMBER(INDEX(Inputs!$K$5:$AJ$140,0,MATCH(E$2,Inputs!$K$4:$AJ$4,0))))+SUMPRODUCT((Inputs!$C$5:$C$140=$B44)*ISNUMBER(INDEX(Inputs!$K$5:$AJ$140,0,MATCH(E$2,Inputs!$K$4:$AJ$4,0))))+SUMPRODUCT((Inputs!$E$5:$E$140=$B44)*ISNUMBER(INDEX(Inputs!$K$5:$AJ$140,0,MATCH(E$2,Inputs!$K$4:$AJ$4,0))))=0,NA(),SUMPRODUCT((Inputs!$A$5:$A$140=$B44)*Inputs!$B$5:$B$140*(((Inputs!$G$5:$G$140="moeda")+(Inputs!$G$5:$G$140="acoes"))*Inputs!$B$1+((Inputs!$G$5:$G$140&lt;&gt;"moeda")*(Inputs!$G$5:$G$140&lt;&gt;"acoes")))*INDEX(Inputs!$K$5:$AJ$140,0,MATCH(E$2,Inputs!$K$4:$AJ$4,0)))+SUMPRODUCT((Inputs!$C$5:$C$140=$B44)*Inputs!$D$5:$D$140*(((Inputs!$G$5:$G$140="moeda")+(Inputs!$G$5:$G$140="acoes"))*Inputs!$B$1+((Inputs!$G$5:$G$140&lt;&gt;"moeda")*(Inputs!$G$5:$G$140&lt;&gt;"acoes")))*INDEX(Inputs!$K$5:$AJ$140,0,MATCH(E$2,Inputs!$K$4:$AJ$4,0)))+SUMPRODUCT((Inputs!$E$5:$E$140=$B44)*Inputs!$F$5:$F$140*(((Inputs!$G$5:$G$140="moeda")+(Inputs!$G$5:$G$140="acoes"))*Inputs!$B$1+((Inputs!$G$5:$G$140&lt;&gt;"moeda")*(Inputs!$G$5:$G$140&lt;&gt;"acoes")))*INDEX(Inputs!$K$5:$AJ$140,0,MATCH(E$2,Inputs!$K$4:$AJ$4,0)))))</f>
        <v>-11604</v>
      </c>
      <c r="F44" s="6">
        <f>IF(ISNA(MATCH(F$2,Inputs!$K$4:$AJ$4,0)),NA(),IF(SUMPRODUCT((Inputs!$A$5:$A$140=$B44)*ISNUMBER(INDEX(Inputs!$K$5:$AJ$140,0,MATCH(F$2,Inputs!$K$4:$AJ$4,0))))+SUMPRODUCT((Inputs!$C$5:$C$140=$B44)*ISNUMBER(INDEX(Inputs!$K$5:$AJ$140,0,MATCH(F$2,Inputs!$K$4:$AJ$4,0))))+SUMPRODUCT((Inputs!$E$5:$E$140=$B44)*ISNUMBER(INDEX(Inputs!$K$5:$AJ$140,0,MATCH(F$2,Inputs!$K$4:$AJ$4,0))))=0,NA(),SUMPRODUCT((Inputs!$A$5:$A$140=$B44)*Inputs!$B$5:$B$140*(((Inputs!$G$5:$G$140="moeda")+(Inputs!$G$5:$G$140="acoes"))*Inputs!$B$1+((Inputs!$G$5:$G$140&lt;&gt;"moeda")*(Inputs!$G$5:$G$140&lt;&gt;"acoes")))*INDEX(Inputs!$K$5:$AJ$140,0,MATCH(F$2,Inputs!$K$4:$AJ$4,0)))+SUMPRODUCT((Inputs!$C$5:$C$140=$B44)*Inputs!$D$5:$D$140*(((Inputs!$G$5:$G$140="moeda")+(Inputs!$G$5:$G$140="acoes"))*Inputs!$B$1+((Inputs!$G$5:$G$140&lt;&gt;"moeda")*(Inputs!$G$5:$G$140&lt;&gt;"acoes")))*INDEX(Inputs!$K$5:$AJ$140,0,MATCH(F$2,Inputs!$K$4:$AJ$4,0)))+SUMPRODUCT((Inputs!$E$5:$E$140=$B44)*Inputs!$F$5:$F$140*(((Inputs!$G$5:$G$140="moeda")+(Inputs!$G$5:$G$140="acoes"))*Inputs!$B$1+((Inputs!$G$5:$G$140&lt;&gt;"moeda")*(Inputs!$G$5:$G$140&lt;&gt;"acoes")))*INDEX(Inputs!$K$5:$AJ$140,0,MATCH(F$2,Inputs!$K$4:$AJ$4,0)))))</f>
        <v>-12038</v>
      </c>
      <c r="G44" s="6">
        <f>IF(ISNA(MATCH(G$2,Inputs!$K$4:$AJ$4,0)),NA(),IF(SUMPRODUCT((Inputs!$A$5:$A$140=$B44)*ISNUMBER(INDEX(Inputs!$K$5:$AJ$140,0,MATCH(G$2,Inputs!$K$4:$AJ$4,0))))+SUMPRODUCT((Inputs!$C$5:$C$140=$B44)*ISNUMBER(INDEX(Inputs!$K$5:$AJ$140,0,MATCH(G$2,Inputs!$K$4:$AJ$4,0))))+SUMPRODUCT((Inputs!$E$5:$E$140=$B44)*ISNUMBER(INDEX(Inputs!$K$5:$AJ$140,0,MATCH(G$2,Inputs!$K$4:$AJ$4,0))))=0,NA(),SUMPRODUCT((Inputs!$A$5:$A$140=$B44)*Inputs!$B$5:$B$140*(((Inputs!$G$5:$G$140="moeda")+(Inputs!$G$5:$G$140="acoes"))*Inputs!$B$1+((Inputs!$G$5:$G$140&lt;&gt;"moeda")*(Inputs!$G$5:$G$140&lt;&gt;"acoes")))*INDEX(Inputs!$K$5:$AJ$140,0,MATCH(G$2,Inputs!$K$4:$AJ$4,0)))+SUMPRODUCT((Inputs!$C$5:$C$140=$B44)*Inputs!$D$5:$D$140*(((Inputs!$G$5:$G$140="moeda")+(Inputs!$G$5:$G$140="acoes"))*Inputs!$B$1+((Inputs!$G$5:$G$140&lt;&gt;"moeda")*(Inputs!$G$5:$G$140&lt;&gt;"acoes")))*INDEX(Inputs!$K$5:$AJ$140,0,MATCH(G$2,Inputs!$K$4:$AJ$4,0)))+SUMPRODUCT((Inputs!$E$5:$E$140=$B44)*Inputs!$F$5:$F$140*(((Inputs!$G$5:$G$140="moeda")+(Inputs!$G$5:$G$140="acoes"))*Inputs!$B$1+((Inputs!$G$5:$G$140&lt;&gt;"moeda")*(Inputs!$G$5:$G$140&lt;&gt;"acoes")))*INDEX(Inputs!$K$5:$AJ$140,0,MATCH(G$2,Inputs!$K$4:$AJ$4,0)))))</f>
        <v>0</v>
      </c>
      <c r="H44" s="3">
        <f>G44</f>
        <v>0</v>
      </c>
      <c r="I44" s="6">
        <f>IF(ISNA(MATCH(I$2,Inputs!$K$4:$AJ$4,0)),NA(),IF(SUMPRODUCT((Inputs!$A$5:$A$140=$B44)*ISNUMBER(INDEX(Inputs!$K$5:$AJ$140,0,MATCH(I$2,Inputs!$K$4:$AJ$4,0))))+SUMPRODUCT((Inputs!$C$5:$C$140=$B44)*ISNUMBER(INDEX(Inputs!$K$5:$AJ$140,0,MATCH(I$2,Inputs!$K$4:$AJ$4,0))))+SUMPRODUCT((Inputs!$E$5:$E$140=$B44)*ISNUMBER(INDEX(Inputs!$K$5:$AJ$140,0,MATCH(I$2,Inputs!$K$4:$AJ$4,0))))=0,NA(),SUMPRODUCT((Inputs!$A$5:$A$140=$B44)*Inputs!$B$5:$B$140*(((Inputs!$G$5:$G$140="moeda")+(Inputs!$G$5:$G$140="acoes"))*Inputs!$B$1+((Inputs!$G$5:$G$140&lt;&gt;"moeda")*(Inputs!$G$5:$G$140&lt;&gt;"acoes")))*INDEX(Inputs!$K$5:$AJ$140,0,MATCH(I$2,Inputs!$K$4:$AJ$4,0)))+SUMPRODUCT((Inputs!$C$5:$C$140=$B44)*Inputs!$D$5:$D$140*(((Inputs!$G$5:$G$140="moeda")+(Inputs!$G$5:$G$140="acoes"))*Inputs!$B$1+((Inputs!$G$5:$G$140&lt;&gt;"moeda")*(Inputs!$G$5:$G$140&lt;&gt;"acoes")))*INDEX(Inputs!$K$5:$AJ$140,0,MATCH(I$2,Inputs!$K$4:$AJ$4,0)))+SUMPRODUCT((Inputs!$E$5:$E$140=$B44)*Inputs!$F$5:$F$140*(((Inputs!$G$5:$G$140="moeda")+(Inputs!$G$5:$G$140="acoes"))*Inputs!$B$1+((Inputs!$G$5:$G$140&lt;&gt;"moeda")*(Inputs!$G$5:$G$140&lt;&gt;"acoes")))*INDEX(Inputs!$K$5:$AJ$140,0,MATCH(I$2,Inputs!$K$4:$AJ$4,0)))))</f>
        <v>0</v>
      </c>
      <c r="J44" s="6">
        <f>IF(ISNA(MATCH(J$2,Inputs!$K$4:$AJ$4,0)),NA(),IF(SUMPRODUCT((Inputs!$A$5:$A$140=$B44)*ISNUMBER(INDEX(Inputs!$K$5:$AJ$140,0,MATCH(J$2,Inputs!$K$4:$AJ$4,0))))+SUMPRODUCT((Inputs!$C$5:$C$140=$B44)*ISNUMBER(INDEX(Inputs!$K$5:$AJ$140,0,MATCH(J$2,Inputs!$K$4:$AJ$4,0))))+SUMPRODUCT((Inputs!$E$5:$E$140=$B44)*ISNUMBER(INDEX(Inputs!$K$5:$AJ$140,0,MATCH(J$2,Inputs!$K$4:$AJ$4,0))))=0,NA(),SUMPRODUCT((Inputs!$A$5:$A$140=$B44)*Inputs!$B$5:$B$140*(((Inputs!$G$5:$G$140="moeda")+(Inputs!$G$5:$G$140="acoes"))*Inputs!$B$1+((Inputs!$G$5:$G$140&lt;&gt;"moeda")*(Inputs!$G$5:$G$140&lt;&gt;"acoes")))*INDEX(Inputs!$K$5:$AJ$140,0,MATCH(J$2,Inputs!$K$4:$AJ$4,0)))+SUMPRODUCT((Inputs!$C$5:$C$140=$B44)*Inputs!$D$5:$D$140*(((Inputs!$G$5:$G$140="moeda")+(Inputs!$G$5:$G$140="acoes"))*Inputs!$B$1+((Inputs!$G$5:$G$140&lt;&gt;"moeda")*(Inputs!$G$5:$G$140&lt;&gt;"acoes")))*INDEX(Inputs!$K$5:$AJ$140,0,MATCH(J$2,Inputs!$K$4:$AJ$4,0)))+SUMPRODUCT((Inputs!$E$5:$E$140=$B44)*Inputs!$F$5:$F$140*(((Inputs!$G$5:$G$140="moeda")+(Inputs!$G$5:$G$140="acoes"))*Inputs!$B$1+((Inputs!$G$5:$G$140&lt;&gt;"moeda")*(Inputs!$G$5:$G$140&lt;&gt;"acoes")))*INDEX(Inputs!$K$5:$AJ$140,0,MATCH(J$2,Inputs!$K$4:$AJ$4,0)))))</f>
        <v>0</v>
      </c>
      <c r="K44" s="6">
        <f>IF(ISNA(MATCH(K$2,Inputs!$K$4:$AJ$4,0)),NA(),IF(SUMPRODUCT((Inputs!$A$5:$A$140=$B44)*ISNUMBER(INDEX(Inputs!$K$5:$AJ$140,0,MATCH(K$2,Inputs!$K$4:$AJ$4,0))))+SUMPRODUCT((Inputs!$C$5:$C$140=$B44)*ISNUMBER(INDEX(Inputs!$K$5:$AJ$140,0,MATCH(K$2,Inputs!$K$4:$AJ$4,0))))+SUMPRODUCT((Inputs!$E$5:$E$140=$B44)*ISNUMBER(INDEX(Inputs!$K$5:$AJ$140,0,MATCH(K$2,Inputs!$K$4:$AJ$4,0))))=0,NA(),SUMPRODUCT((Inputs!$A$5:$A$140=$B44)*Inputs!$B$5:$B$140*(((Inputs!$G$5:$G$140="moeda")+(Inputs!$G$5:$G$140="acoes"))*Inputs!$B$1+((Inputs!$G$5:$G$140&lt;&gt;"moeda")*(Inputs!$G$5:$G$140&lt;&gt;"acoes")))*INDEX(Inputs!$K$5:$AJ$140,0,MATCH(K$2,Inputs!$K$4:$AJ$4,0)))+SUMPRODUCT((Inputs!$C$5:$C$140=$B44)*Inputs!$D$5:$D$140*(((Inputs!$G$5:$G$140="moeda")+(Inputs!$G$5:$G$140="acoes"))*Inputs!$B$1+((Inputs!$G$5:$G$140&lt;&gt;"moeda")*(Inputs!$G$5:$G$140&lt;&gt;"acoes")))*INDEX(Inputs!$K$5:$AJ$140,0,MATCH(K$2,Inputs!$K$4:$AJ$4,0)))+SUMPRODUCT((Inputs!$E$5:$E$140=$B44)*Inputs!$F$5:$F$140*(((Inputs!$G$5:$G$140="moeda")+(Inputs!$G$5:$G$140="acoes"))*Inputs!$B$1+((Inputs!$G$5:$G$140&lt;&gt;"moeda")*(Inputs!$G$5:$G$140&lt;&gt;"acoes")))*INDEX(Inputs!$K$5:$AJ$140,0,MATCH(K$2,Inputs!$K$4:$AJ$4,0)))))</f>
        <v>0</v>
      </c>
      <c r="L44" s="6">
        <f>IF(ISNA(MATCH(L$2,Inputs!$K$4:$AJ$4,0)),NA(),IF(SUMPRODUCT((Inputs!$A$5:$A$140=$B44)*ISNUMBER(INDEX(Inputs!$K$5:$AJ$140,0,MATCH(L$2,Inputs!$K$4:$AJ$4,0))))+SUMPRODUCT((Inputs!$C$5:$C$140=$B44)*ISNUMBER(INDEX(Inputs!$K$5:$AJ$140,0,MATCH(L$2,Inputs!$K$4:$AJ$4,0))))+SUMPRODUCT((Inputs!$E$5:$E$140=$B44)*ISNUMBER(INDEX(Inputs!$K$5:$AJ$140,0,MATCH(L$2,Inputs!$K$4:$AJ$4,0))))=0,NA(),SUMPRODUCT((Inputs!$A$5:$A$140=$B44)*Inputs!$B$5:$B$140*(((Inputs!$G$5:$G$140="moeda")+(Inputs!$G$5:$G$140="acoes"))*Inputs!$B$1+((Inputs!$G$5:$G$140&lt;&gt;"moeda")*(Inputs!$G$5:$G$140&lt;&gt;"acoes")))*INDEX(Inputs!$K$5:$AJ$140,0,MATCH(L$2,Inputs!$K$4:$AJ$4,0)))+SUMPRODUCT((Inputs!$C$5:$C$140=$B44)*Inputs!$D$5:$D$140*(((Inputs!$G$5:$G$140="moeda")+(Inputs!$G$5:$G$140="acoes"))*Inputs!$B$1+((Inputs!$G$5:$G$140&lt;&gt;"moeda")*(Inputs!$G$5:$G$140&lt;&gt;"acoes")))*INDEX(Inputs!$K$5:$AJ$140,0,MATCH(L$2,Inputs!$K$4:$AJ$4,0)))+SUMPRODUCT((Inputs!$E$5:$E$140=$B44)*Inputs!$F$5:$F$140*(((Inputs!$G$5:$G$140="moeda")+(Inputs!$G$5:$G$140="acoes"))*Inputs!$B$1+((Inputs!$G$5:$G$140&lt;&gt;"moeda")*(Inputs!$G$5:$G$140&lt;&gt;"acoes")))*INDEX(Inputs!$K$5:$AJ$140,0,MATCH(L$2,Inputs!$K$4:$AJ$4,0)))))</f>
        <v>0</v>
      </c>
      <c r="M44" s="3">
        <f>L44</f>
        <v>0</v>
      </c>
      <c r="N44" s="6">
        <f>IF(ISNA(MATCH(N$2,Inputs!$K$4:$AJ$4,0)),NA(),IF(SUMPRODUCT((Inputs!$A$5:$A$140=$B44)*ISNUMBER(INDEX(Inputs!$K$5:$AJ$140,0,MATCH(N$2,Inputs!$K$4:$AJ$4,0))))+SUMPRODUCT((Inputs!$C$5:$C$140=$B44)*ISNUMBER(INDEX(Inputs!$K$5:$AJ$140,0,MATCH(N$2,Inputs!$K$4:$AJ$4,0))))+SUMPRODUCT((Inputs!$E$5:$E$140=$B44)*ISNUMBER(INDEX(Inputs!$K$5:$AJ$140,0,MATCH(N$2,Inputs!$K$4:$AJ$4,0))))=0,NA(),SUMPRODUCT((Inputs!$A$5:$A$140=$B44)*Inputs!$B$5:$B$140*(((Inputs!$G$5:$G$140="moeda")+(Inputs!$G$5:$G$140="acoes"))*Inputs!$B$1+((Inputs!$G$5:$G$140&lt;&gt;"moeda")*(Inputs!$G$5:$G$140&lt;&gt;"acoes")))*INDEX(Inputs!$K$5:$AJ$140,0,MATCH(N$2,Inputs!$K$4:$AJ$4,0)))+SUMPRODUCT((Inputs!$C$5:$C$140=$B44)*Inputs!$D$5:$D$140*(((Inputs!$G$5:$G$140="moeda")+(Inputs!$G$5:$G$140="acoes"))*Inputs!$B$1+((Inputs!$G$5:$G$140&lt;&gt;"moeda")*(Inputs!$G$5:$G$140&lt;&gt;"acoes")))*INDEX(Inputs!$K$5:$AJ$140,0,MATCH(N$2,Inputs!$K$4:$AJ$4,0)))+SUMPRODUCT((Inputs!$E$5:$E$140=$B44)*Inputs!$F$5:$F$140*(((Inputs!$G$5:$G$140="moeda")+(Inputs!$G$5:$G$140="acoes"))*Inputs!$B$1+((Inputs!$G$5:$G$140&lt;&gt;"moeda")*(Inputs!$G$5:$G$140&lt;&gt;"acoes")))*INDEX(Inputs!$K$5:$AJ$140,0,MATCH(N$2,Inputs!$K$4:$AJ$4,0)))))</f>
        <v>0</v>
      </c>
      <c r="O44" s="6">
        <f>IF(ISNA(MATCH(O$2,Inputs!$K$4:$AJ$4,0)),NA(),IF(SUMPRODUCT((Inputs!$A$5:$A$140=$B44)*ISNUMBER(INDEX(Inputs!$K$5:$AJ$140,0,MATCH(O$2,Inputs!$K$4:$AJ$4,0))))+SUMPRODUCT((Inputs!$C$5:$C$140=$B44)*ISNUMBER(INDEX(Inputs!$K$5:$AJ$140,0,MATCH(O$2,Inputs!$K$4:$AJ$4,0))))+SUMPRODUCT((Inputs!$E$5:$E$140=$B44)*ISNUMBER(INDEX(Inputs!$K$5:$AJ$140,0,MATCH(O$2,Inputs!$K$4:$AJ$4,0))))=0,NA(),SUMPRODUCT((Inputs!$A$5:$A$140=$B44)*Inputs!$B$5:$B$140*(((Inputs!$G$5:$G$140="moeda")+(Inputs!$G$5:$G$140="acoes"))*Inputs!$B$1+((Inputs!$G$5:$G$140&lt;&gt;"moeda")*(Inputs!$G$5:$G$140&lt;&gt;"acoes")))*INDEX(Inputs!$K$5:$AJ$140,0,MATCH(O$2,Inputs!$K$4:$AJ$4,0)))+SUMPRODUCT((Inputs!$C$5:$C$140=$B44)*Inputs!$D$5:$D$140*(((Inputs!$G$5:$G$140="moeda")+(Inputs!$G$5:$G$140="acoes"))*Inputs!$B$1+((Inputs!$G$5:$G$140&lt;&gt;"moeda")*(Inputs!$G$5:$G$140&lt;&gt;"acoes")))*INDEX(Inputs!$K$5:$AJ$140,0,MATCH(O$2,Inputs!$K$4:$AJ$4,0)))+SUMPRODUCT((Inputs!$E$5:$E$140=$B44)*Inputs!$F$5:$F$140*(((Inputs!$G$5:$G$140="moeda")+(Inputs!$G$5:$G$140="acoes"))*Inputs!$B$1+((Inputs!$G$5:$G$140&lt;&gt;"moeda")*(Inputs!$G$5:$G$140&lt;&gt;"acoes")))*INDEX(Inputs!$K$5:$AJ$140,0,MATCH(O$2,Inputs!$K$4:$AJ$4,0)))))</f>
        <v>0</v>
      </c>
      <c r="P44" s="6">
        <f>IF(ISNA(MATCH(P$2,Inputs!$K$4:$AJ$4,0)),NA(),IF(SUMPRODUCT((Inputs!$A$5:$A$140=$B44)*ISNUMBER(INDEX(Inputs!$K$5:$AJ$140,0,MATCH(P$2,Inputs!$K$4:$AJ$4,0))))+SUMPRODUCT((Inputs!$C$5:$C$140=$B44)*ISNUMBER(INDEX(Inputs!$K$5:$AJ$140,0,MATCH(P$2,Inputs!$K$4:$AJ$4,0))))+SUMPRODUCT((Inputs!$E$5:$E$140=$B44)*ISNUMBER(INDEX(Inputs!$K$5:$AJ$140,0,MATCH(P$2,Inputs!$K$4:$AJ$4,0))))=0,NA(),SUMPRODUCT((Inputs!$A$5:$A$140=$B44)*Inputs!$B$5:$B$140*(((Inputs!$G$5:$G$140="moeda")+(Inputs!$G$5:$G$140="acoes"))*Inputs!$B$1+((Inputs!$G$5:$G$140&lt;&gt;"moeda")*(Inputs!$G$5:$G$140&lt;&gt;"acoes")))*INDEX(Inputs!$K$5:$AJ$140,0,MATCH(P$2,Inputs!$K$4:$AJ$4,0)))+SUMPRODUCT((Inputs!$C$5:$C$140=$B44)*Inputs!$D$5:$D$140*(((Inputs!$G$5:$G$140="moeda")+(Inputs!$G$5:$G$140="acoes"))*Inputs!$B$1+((Inputs!$G$5:$G$140&lt;&gt;"moeda")*(Inputs!$G$5:$G$140&lt;&gt;"acoes")))*INDEX(Inputs!$K$5:$AJ$140,0,MATCH(P$2,Inputs!$K$4:$AJ$4,0)))+SUMPRODUCT((Inputs!$E$5:$E$140=$B44)*Inputs!$F$5:$F$140*(((Inputs!$G$5:$G$140="moeda")+(Inputs!$G$5:$G$140="acoes"))*Inputs!$B$1+((Inputs!$G$5:$G$140&lt;&gt;"moeda")*(Inputs!$G$5:$G$140&lt;&gt;"acoes")))*INDEX(Inputs!$K$5:$AJ$140,0,MATCH(P$2,Inputs!$K$4:$AJ$4,0)))))</f>
        <v>0</v>
      </c>
      <c r="Q44" s="6">
        <f>IF(ISNA(MATCH(Q$2,Inputs!$K$4:$AJ$4,0)),NA(),IF(SUMPRODUCT((Inputs!$A$5:$A$140=$B44)*ISNUMBER(INDEX(Inputs!$K$5:$AJ$140,0,MATCH(Q$2,Inputs!$K$4:$AJ$4,0))))+SUMPRODUCT((Inputs!$C$5:$C$140=$B44)*ISNUMBER(INDEX(Inputs!$K$5:$AJ$140,0,MATCH(Q$2,Inputs!$K$4:$AJ$4,0))))+SUMPRODUCT((Inputs!$E$5:$E$140=$B44)*ISNUMBER(INDEX(Inputs!$K$5:$AJ$140,0,MATCH(Q$2,Inputs!$K$4:$AJ$4,0))))=0,NA(),SUMPRODUCT((Inputs!$A$5:$A$140=$B44)*Inputs!$B$5:$B$140*(((Inputs!$G$5:$G$140="moeda")+(Inputs!$G$5:$G$140="acoes"))*Inputs!$B$1+((Inputs!$G$5:$G$140&lt;&gt;"moeda")*(Inputs!$G$5:$G$140&lt;&gt;"acoes")))*INDEX(Inputs!$K$5:$AJ$140,0,MATCH(Q$2,Inputs!$K$4:$AJ$4,0)))+SUMPRODUCT((Inputs!$C$5:$C$140=$B44)*Inputs!$D$5:$D$140*(((Inputs!$G$5:$G$140="moeda")+(Inputs!$G$5:$G$140="acoes"))*Inputs!$B$1+((Inputs!$G$5:$G$140&lt;&gt;"moeda")*(Inputs!$G$5:$G$140&lt;&gt;"acoes")))*INDEX(Inputs!$K$5:$AJ$140,0,MATCH(Q$2,Inputs!$K$4:$AJ$4,0)))+SUMPRODUCT((Inputs!$E$5:$E$140=$B44)*Inputs!$F$5:$F$140*(((Inputs!$G$5:$G$140="moeda")+(Inputs!$G$5:$G$140="acoes"))*Inputs!$B$1+((Inputs!$G$5:$G$140&lt;&gt;"moeda")*(Inputs!$G$5:$G$140&lt;&gt;"acoes")))*INDEX(Inputs!$K$5:$AJ$140,0,MATCH(Q$2,Inputs!$K$4:$AJ$4,0)))))</f>
        <v>0</v>
      </c>
      <c r="R44" s="3">
        <f>Q44</f>
        <v>0</v>
      </c>
      <c r="S44" s="6">
        <f>IF(ISNA(MATCH(S$2,Inputs!$K$4:$AJ$4,0)),NA(),IF(SUMPRODUCT((Inputs!$A$5:$A$140=$B44)*ISNUMBER(INDEX(Inputs!$K$5:$AJ$140,0,MATCH(S$2,Inputs!$K$4:$AJ$4,0))))+SUMPRODUCT((Inputs!$C$5:$C$140=$B44)*ISNUMBER(INDEX(Inputs!$K$5:$AJ$140,0,MATCH(S$2,Inputs!$K$4:$AJ$4,0))))+SUMPRODUCT((Inputs!$E$5:$E$140=$B44)*ISNUMBER(INDEX(Inputs!$K$5:$AJ$140,0,MATCH(S$2,Inputs!$K$4:$AJ$4,0))))=0,NA(),SUMPRODUCT((Inputs!$A$5:$A$140=$B44)*Inputs!$B$5:$B$140*(((Inputs!$G$5:$G$140="moeda")+(Inputs!$G$5:$G$140="acoes"))*Inputs!$B$1+((Inputs!$G$5:$G$140&lt;&gt;"moeda")*(Inputs!$G$5:$G$140&lt;&gt;"acoes")))*INDEX(Inputs!$K$5:$AJ$140,0,MATCH(S$2,Inputs!$K$4:$AJ$4,0)))+SUMPRODUCT((Inputs!$C$5:$C$140=$B44)*Inputs!$D$5:$D$140*(((Inputs!$G$5:$G$140="moeda")+(Inputs!$G$5:$G$140="acoes"))*Inputs!$B$1+((Inputs!$G$5:$G$140&lt;&gt;"moeda")*(Inputs!$G$5:$G$140&lt;&gt;"acoes")))*INDEX(Inputs!$K$5:$AJ$140,0,MATCH(S$2,Inputs!$K$4:$AJ$4,0)))+SUMPRODUCT((Inputs!$E$5:$E$140=$B44)*Inputs!$F$5:$F$140*(((Inputs!$G$5:$G$140="moeda")+(Inputs!$G$5:$G$140="acoes"))*Inputs!$B$1+((Inputs!$G$5:$G$140&lt;&gt;"moeda")*(Inputs!$G$5:$G$140&lt;&gt;"acoes")))*INDEX(Inputs!$K$5:$AJ$140,0,MATCH(S$2,Inputs!$K$4:$AJ$4,0)))))</f>
        <v>0</v>
      </c>
      <c r="T44" s="6">
        <f>IF(ISNA(MATCH(T$2,Inputs!$K$4:$AJ$4,0)),NA(),IF(SUMPRODUCT((Inputs!$A$5:$A$140=$B44)*ISNUMBER(INDEX(Inputs!$K$5:$AJ$140,0,MATCH(T$2,Inputs!$K$4:$AJ$4,0))))+SUMPRODUCT((Inputs!$C$5:$C$140=$B44)*ISNUMBER(INDEX(Inputs!$K$5:$AJ$140,0,MATCH(T$2,Inputs!$K$4:$AJ$4,0))))+SUMPRODUCT((Inputs!$E$5:$E$140=$B44)*ISNUMBER(INDEX(Inputs!$K$5:$AJ$140,0,MATCH(T$2,Inputs!$K$4:$AJ$4,0))))=0,NA(),SUMPRODUCT((Inputs!$A$5:$A$140=$B44)*Inputs!$B$5:$B$140*(((Inputs!$G$5:$G$140="moeda")+(Inputs!$G$5:$G$140="acoes"))*Inputs!$B$1+((Inputs!$G$5:$G$140&lt;&gt;"moeda")*(Inputs!$G$5:$G$140&lt;&gt;"acoes")))*INDEX(Inputs!$K$5:$AJ$140,0,MATCH(T$2,Inputs!$K$4:$AJ$4,0)))+SUMPRODUCT((Inputs!$C$5:$C$140=$B44)*Inputs!$D$5:$D$140*(((Inputs!$G$5:$G$140="moeda")+(Inputs!$G$5:$G$140="acoes"))*Inputs!$B$1+((Inputs!$G$5:$G$140&lt;&gt;"moeda")*(Inputs!$G$5:$G$140&lt;&gt;"acoes")))*INDEX(Inputs!$K$5:$AJ$140,0,MATCH(T$2,Inputs!$K$4:$AJ$4,0)))+SUMPRODUCT((Inputs!$E$5:$E$140=$B44)*Inputs!$F$5:$F$140*(((Inputs!$G$5:$G$140="moeda")+(Inputs!$G$5:$G$140="acoes"))*Inputs!$B$1+((Inputs!$G$5:$G$140&lt;&gt;"moeda")*(Inputs!$G$5:$G$140&lt;&gt;"acoes")))*INDEX(Inputs!$K$5:$AJ$140,0,MATCH(T$2,Inputs!$K$4:$AJ$4,0)))))</f>
        <v>0</v>
      </c>
      <c r="U44" s="6">
        <f>IF(ISNA(MATCH(U$2,Inputs!$K$4:$AJ$4,0)),NA(),IF(SUMPRODUCT((Inputs!$A$5:$A$140=$B44)*ISNUMBER(INDEX(Inputs!$K$5:$AJ$140,0,MATCH(U$2,Inputs!$K$4:$AJ$4,0))))+SUMPRODUCT((Inputs!$C$5:$C$140=$B44)*ISNUMBER(INDEX(Inputs!$K$5:$AJ$140,0,MATCH(U$2,Inputs!$K$4:$AJ$4,0))))+SUMPRODUCT((Inputs!$E$5:$E$140=$B44)*ISNUMBER(INDEX(Inputs!$K$5:$AJ$140,0,MATCH(U$2,Inputs!$K$4:$AJ$4,0))))=0,NA(),SUMPRODUCT((Inputs!$A$5:$A$140=$B44)*Inputs!$B$5:$B$140*(((Inputs!$G$5:$G$140="moeda")+(Inputs!$G$5:$G$140="acoes"))*Inputs!$B$1+((Inputs!$G$5:$G$140&lt;&gt;"moeda")*(Inputs!$G$5:$G$140&lt;&gt;"acoes")))*INDEX(Inputs!$K$5:$AJ$140,0,MATCH(U$2,Inputs!$K$4:$AJ$4,0)))+SUMPRODUCT((Inputs!$C$5:$C$140=$B44)*Inputs!$D$5:$D$140*(((Inputs!$G$5:$G$140="moeda")+(Inputs!$G$5:$G$140="acoes"))*Inputs!$B$1+((Inputs!$G$5:$G$140&lt;&gt;"moeda")*(Inputs!$G$5:$G$140&lt;&gt;"acoes")))*INDEX(Inputs!$K$5:$AJ$140,0,MATCH(U$2,Inputs!$K$4:$AJ$4,0)))+SUMPRODUCT((Inputs!$E$5:$E$140=$B44)*Inputs!$F$5:$F$140*(((Inputs!$G$5:$G$140="moeda")+(Inputs!$G$5:$G$140="acoes"))*Inputs!$B$1+((Inputs!$G$5:$G$140&lt;&gt;"moeda")*(Inputs!$G$5:$G$140&lt;&gt;"acoes")))*INDEX(Inputs!$K$5:$AJ$140,0,MATCH(U$2,Inputs!$K$4:$AJ$4,0)))))</f>
        <v>0</v>
      </c>
      <c r="V44" s="6">
        <f>IF(ISNA(MATCH(V$2,Inputs!$K$4:$AJ$4,0)),NA(),IF(SUMPRODUCT((Inputs!$A$5:$A$140=$B44)*ISNUMBER(INDEX(Inputs!$K$5:$AJ$140,0,MATCH(V$2,Inputs!$K$4:$AJ$4,0))))+SUMPRODUCT((Inputs!$C$5:$C$140=$B44)*ISNUMBER(INDEX(Inputs!$K$5:$AJ$140,0,MATCH(V$2,Inputs!$K$4:$AJ$4,0))))+SUMPRODUCT((Inputs!$E$5:$E$140=$B44)*ISNUMBER(INDEX(Inputs!$K$5:$AJ$140,0,MATCH(V$2,Inputs!$K$4:$AJ$4,0))))=0,NA(),SUMPRODUCT((Inputs!$A$5:$A$140=$B44)*Inputs!$B$5:$B$140*(((Inputs!$G$5:$G$140="moeda")+(Inputs!$G$5:$G$140="acoes"))*Inputs!$B$1+((Inputs!$G$5:$G$140&lt;&gt;"moeda")*(Inputs!$G$5:$G$140&lt;&gt;"acoes")))*INDEX(Inputs!$K$5:$AJ$140,0,MATCH(V$2,Inputs!$K$4:$AJ$4,0)))+SUMPRODUCT((Inputs!$C$5:$C$140=$B44)*Inputs!$D$5:$D$140*(((Inputs!$G$5:$G$140="moeda")+(Inputs!$G$5:$G$140="acoes"))*Inputs!$B$1+((Inputs!$G$5:$G$140&lt;&gt;"moeda")*(Inputs!$G$5:$G$140&lt;&gt;"acoes")))*INDEX(Inputs!$K$5:$AJ$140,0,MATCH(V$2,Inputs!$K$4:$AJ$4,0)))+SUMPRODUCT((Inputs!$E$5:$E$140=$B44)*Inputs!$F$5:$F$140*(((Inputs!$G$5:$G$140="moeda")+(Inputs!$G$5:$G$140="acoes"))*Inputs!$B$1+((Inputs!$G$5:$G$140&lt;&gt;"moeda")*(Inputs!$G$5:$G$140&lt;&gt;"acoes")))*INDEX(Inputs!$K$5:$AJ$140,0,MATCH(V$2,Inputs!$K$4:$AJ$4,0)))))</f>
        <v>0</v>
      </c>
      <c r="W44" s="3">
        <f>V44</f>
        <v>0</v>
      </c>
      <c r="X44" s="6">
        <f>IF(ISNA(MATCH(X$2,Inputs!$K$4:$AJ$4,0)),NA(),IF(SUMPRODUCT((Inputs!$A$5:$A$140=$B44)*ISNUMBER(INDEX(Inputs!$K$5:$AJ$140,0,MATCH(X$2,Inputs!$K$4:$AJ$4,0))))+SUMPRODUCT((Inputs!$C$5:$C$140=$B44)*ISNUMBER(INDEX(Inputs!$K$5:$AJ$140,0,MATCH(X$2,Inputs!$K$4:$AJ$4,0))))+SUMPRODUCT((Inputs!$E$5:$E$140=$B44)*ISNUMBER(INDEX(Inputs!$K$5:$AJ$140,0,MATCH(X$2,Inputs!$K$4:$AJ$4,0))))=0,NA(),SUMPRODUCT((Inputs!$A$5:$A$140=$B44)*Inputs!$B$5:$B$140*(((Inputs!$G$5:$G$140="moeda")+(Inputs!$G$5:$G$140="acoes"))*Inputs!$B$1+((Inputs!$G$5:$G$140&lt;&gt;"moeda")*(Inputs!$G$5:$G$140&lt;&gt;"acoes")))*INDEX(Inputs!$K$5:$AJ$140,0,MATCH(X$2,Inputs!$K$4:$AJ$4,0)))+SUMPRODUCT((Inputs!$C$5:$C$140=$B44)*Inputs!$D$5:$D$140*(((Inputs!$G$5:$G$140="moeda")+(Inputs!$G$5:$G$140="acoes"))*Inputs!$B$1+((Inputs!$G$5:$G$140&lt;&gt;"moeda")*(Inputs!$G$5:$G$140&lt;&gt;"acoes")))*INDEX(Inputs!$K$5:$AJ$140,0,MATCH(X$2,Inputs!$K$4:$AJ$4,0)))+SUMPRODUCT((Inputs!$E$5:$E$140=$B44)*Inputs!$F$5:$F$140*(((Inputs!$G$5:$G$140="moeda")+(Inputs!$G$5:$G$140="acoes"))*Inputs!$B$1+((Inputs!$G$5:$G$140&lt;&gt;"moeda")*(Inputs!$G$5:$G$140&lt;&gt;"acoes")))*INDEX(Inputs!$K$5:$AJ$140,0,MATCH(X$2,Inputs!$K$4:$AJ$4,0)))))</f>
        <v>0</v>
      </c>
      <c r="Y44" s="6">
        <f>IF(ISNA(MATCH(Y$2,Inputs!$K$4:$AJ$4,0)),NA(),IF(SUMPRODUCT((Inputs!$A$5:$A$140=$B44)*ISNUMBER(INDEX(Inputs!$K$5:$AJ$140,0,MATCH(Y$2,Inputs!$K$4:$AJ$4,0))))+SUMPRODUCT((Inputs!$C$5:$C$140=$B44)*ISNUMBER(INDEX(Inputs!$K$5:$AJ$140,0,MATCH(Y$2,Inputs!$K$4:$AJ$4,0))))+SUMPRODUCT((Inputs!$E$5:$E$140=$B44)*ISNUMBER(INDEX(Inputs!$K$5:$AJ$140,0,MATCH(Y$2,Inputs!$K$4:$AJ$4,0))))=0,NA(),SUMPRODUCT((Inputs!$A$5:$A$140=$B44)*Inputs!$B$5:$B$140*(((Inputs!$G$5:$G$140="moeda")+(Inputs!$G$5:$G$140="acoes"))*Inputs!$B$1+((Inputs!$G$5:$G$140&lt;&gt;"moeda")*(Inputs!$G$5:$G$140&lt;&gt;"acoes")))*INDEX(Inputs!$K$5:$AJ$140,0,MATCH(Y$2,Inputs!$K$4:$AJ$4,0)))+SUMPRODUCT((Inputs!$C$5:$C$140=$B44)*Inputs!$D$5:$D$140*(((Inputs!$G$5:$G$140="moeda")+(Inputs!$G$5:$G$140="acoes"))*Inputs!$B$1+((Inputs!$G$5:$G$140&lt;&gt;"moeda")*(Inputs!$G$5:$G$140&lt;&gt;"acoes")))*INDEX(Inputs!$K$5:$AJ$140,0,MATCH(Y$2,Inputs!$K$4:$AJ$4,0)))+SUMPRODUCT((Inputs!$E$5:$E$140=$B44)*Inputs!$F$5:$F$140*(((Inputs!$G$5:$G$140="moeda")+(Inputs!$G$5:$G$140="acoes"))*Inputs!$B$1+((Inputs!$G$5:$G$140&lt;&gt;"moeda")*(Inputs!$G$5:$G$140&lt;&gt;"acoes")))*INDEX(Inputs!$K$5:$AJ$140,0,MATCH(Y$2,Inputs!$K$4:$AJ$4,0)))))</f>
        <v>0</v>
      </c>
      <c r="Z44" s="6">
        <f>IF(ISNA(MATCH(Z$2,Inputs!$K$4:$AJ$4,0)),NA(),IF(SUMPRODUCT((Inputs!$A$5:$A$140=$B44)*ISNUMBER(INDEX(Inputs!$K$5:$AJ$140,0,MATCH(Z$2,Inputs!$K$4:$AJ$4,0))))+SUMPRODUCT((Inputs!$C$5:$C$140=$B44)*ISNUMBER(INDEX(Inputs!$K$5:$AJ$140,0,MATCH(Z$2,Inputs!$K$4:$AJ$4,0))))+SUMPRODUCT((Inputs!$E$5:$E$140=$B44)*ISNUMBER(INDEX(Inputs!$K$5:$AJ$140,0,MATCH(Z$2,Inputs!$K$4:$AJ$4,0))))=0,NA(),SUMPRODUCT((Inputs!$A$5:$A$140=$B44)*Inputs!$B$5:$B$140*(((Inputs!$G$5:$G$140="moeda")+(Inputs!$G$5:$G$140="acoes"))*Inputs!$B$1+((Inputs!$G$5:$G$140&lt;&gt;"moeda")*(Inputs!$G$5:$G$140&lt;&gt;"acoes")))*INDEX(Inputs!$K$5:$AJ$140,0,MATCH(Z$2,Inputs!$K$4:$AJ$4,0)))+SUMPRODUCT((Inputs!$C$5:$C$140=$B44)*Inputs!$D$5:$D$140*(((Inputs!$G$5:$G$140="moeda")+(Inputs!$G$5:$G$140="acoes"))*Inputs!$B$1+((Inputs!$G$5:$G$140&lt;&gt;"moeda")*(Inputs!$G$5:$G$140&lt;&gt;"acoes")))*INDEX(Inputs!$K$5:$AJ$140,0,MATCH(Z$2,Inputs!$K$4:$AJ$4,0)))+SUMPRODUCT((Inputs!$E$5:$E$140=$B44)*Inputs!$F$5:$F$140*(((Inputs!$G$5:$G$140="moeda")+(Inputs!$G$5:$G$140="acoes"))*Inputs!$B$1+((Inputs!$G$5:$G$140&lt;&gt;"moeda")*(Inputs!$G$5:$G$140&lt;&gt;"acoes")))*INDEX(Inputs!$K$5:$AJ$140,0,MATCH(Z$2,Inputs!$K$4:$AJ$4,0)))))</f>
        <v>0</v>
      </c>
      <c r="AA44" s="6">
        <f>IF(ISNA(MATCH(AA$2,Inputs!$K$4:$AJ$4,0)),NA(),IF(SUMPRODUCT((Inputs!$A$5:$A$140=$B44)*ISNUMBER(INDEX(Inputs!$K$5:$AJ$140,0,MATCH(AA$2,Inputs!$K$4:$AJ$4,0))))+SUMPRODUCT((Inputs!$C$5:$C$140=$B44)*ISNUMBER(INDEX(Inputs!$K$5:$AJ$140,0,MATCH(AA$2,Inputs!$K$4:$AJ$4,0))))+SUMPRODUCT((Inputs!$E$5:$E$140=$B44)*ISNUMBER(INDEX(Inputs!$K$5:$AJ$140,0,MATCH(AA$2,Inputs!$K$4:$AJ$4,0))))=0,NA(),SUMPRODUCT((Inputs!$A$5:$A$140=$B44)*Inputs!$B$5:$B$140*(((Inputs!$G$5:$G$140="moeda")+(Inputs!$G$5:$G$140="acoes"))*Inputs!$B$1+((Inputs!$G$5:$G$140&lt;&gt;"moeda")*(Inputs!$G$5:$G$140&lt;&gt;"acoes")))*INDEX(Inputs!$K$5:$AJ$140,0,MATCH(AA$2,Inputs!$K$4:$AJ$4,0)))+SUMPRODUCT((Inputs!$C$5:$C$140=$B44)*Inputs!$D$5:$D$140*(((Inputs!$G$5:$G$140="moeda")+(Inputs!$G$5:$G$140="acoes"))*Inputs!$B$1+((Inputs!$G$5:$G$140&lt;&gt;"moeda")*(Inputs!$G$5:$G$140&lt;&gt;"acoes")))*INDEX(Inputs!$K$5:$AJ$140,0,MATCH(AA$2,Inputs!$K$4:$AJ$4,0)))+SUMPRODUCT((Inputs!$E$5:$E$140=$B44)*Inputs!$F$5:$F$140*(((Inputs!$G$5:$G$140="moeda")+(Inputs!$G$5:$G$140="acoes"))*Inputs!$B$1+((Inputs!$G$5:$G$140&lt;&gt;"moeda")*(Inputs!$G$5:$G$140&lt;&gt;"acoes")))*INDEX(Inputs!$K$5:$AJ$140,0,MATCH(AA$2,Inputs!$K$4:$AJ$4,0)))))</f>
        <v>0</v>
      </c>
      <c r="AB44" s="3">
        <f>AA44</f>
        <v>0</v>
      </c>
      <c r="AC44" s="6">
        <f>IF(ISNA(MATCH(AC$2,Inputs!$K$4:$AJ$4,0)),NA(),IF(SUMPRODUCT((Inputs!$A$5:$A$140=$B44)*ISNUMBER(INDEX(Inputs!$K$5:$AJ$140,0,MATCH(AC$2,Inputs!$K$4:$AJ$4,0))))+SUMPRODUCT((Inputs!$C$5:$C$140=$B44)*ISNUMBER(INDEX(Inputs!$K$5:$AJ$140,0,MATCH(AC$2,Inputs!$K$4:$AJ$4,0))))+SUMPRODUCT((Inputs!$E$5:$E$140=$B44)*ISNUMBER(INDEX(Inputs!$K$5:$AJ$140,0,MATCH(AC$2,Inputs!$K$4:$AJ$4,0))))=0,NA(),SUMPRODUCT((Inputs!$A$5:$A$140=$B44)*Inputs!$B$5:$B$140*(((Inputs!$G$5:$G$140="moeda")+(Inputs!$G$5:$G$140="acoes"))*Inputs!$B$1+((Inputs!$G$5:$G$140&lt;&gt;"moeda")*(Inputs!$G$5:$G$140&lt;&gt;"acoes")))*INDEX(Inputs!$K$5:$AJ$140,0,MATCH(AC$2,Inputs!$K$4:$AJ$4,0)))+SUMPRODUCT((Inputs!$C$5:$C$140=$B44)*Inputs!$D$5:$D$140*(((Inputs!$G$5:$G$140="moeda")+(Inputs!$G$5:$G$140="acoes"))*Inputs!$B$1+((Inputs!$G$5:$G$140&lt;&gt;"moeda")*(Inputs!$G$5:$G$140&lt;&gt;"acoes")))*INDEX(Inputs!$K$5:$AJ$140,0,MATCH(AC$2,Inputs!$K$4:$AJ$4,0)))+SUMPRODUCT((Inputs!$E$5:$E$140=$B44)*Inputs!$F$5:$F$140*(((Inputs!$G$5:$G$140="moeda")+(Inputs!$G$5:$G$140="acoes"))*Inputs!$B$1+((Inputs!$G$5:$G$140&lt;&gt;"moeda")*(Inputs!$G$5:$G$140&lt;&gt;"acoes")))*INDEX(Inputs!$K$5:$AJ$140,0,MATCH(AC$2,Inputs!$K$4:$AJ$4,0)))))</f>
        <v>0</v>
      </c>
      <c r="AD44" s="6">
        <f>IF(ISNA(MATCH(AD$2,Inputs!$K$4:$AJ$4,0)),NA(),IF(SUMPRODUCT((Inputs!$A$5:$A$140=$B44)*ISNUMBER(INDEX(Inputs!$K$5:$AJ$140,0,MATCH(AD$2,Inputs!$K$4:$AJ$4,0))))+SUMPRODUCT((Inputs!$C$5:$C$140=$B44)*ISNUMBER(INDEX(Inputs!$K$5:$AJ$140,0,MATCH(AD$2,Inputs!$K$4:$AJ$4,0))))+SUMPRODUCT((Inputs!$E$5:$E$140=$B44)*ISNUMBER(INDEX(Inputs!$K$5:$AJ$140,0,MATCH(AD$2,Inputs!$K$4:$AJ$4,0))))=0,NA(),SUMPRODUCT((Inputs!$A$5:$A$140=$B44)*Inputs!$B$5:$B$140*(((Inputs!$G$5:$G$140="moeda")+(Inputs!$G$5:$G$140="acoes"))*Inputs!$B$1+((Inputs!$G$5:$G$140&lt;&gt;"moeda")*(Inputs!$G$5:$G$140&lt;&gt;"acoes")))*INDEX(Inputs!$K$5:$AJ$140,0,MATCH(AD$2,Inputs!$K$4:$AJ$4,0)))+SUMPRODUCT((Inputs!$C$5:$C$140=$B44)*Inputs!$D$5:$D$140*(((Inputs!$G$5:$G$140="moeda")+(Inputs!$G$5:$G$140="acoes"))*Inputs!$B$1+((Inputs!$G$5:$G$140&lt;&gt;"moeda")*(Inputs!$G$5:$G$140&lt;&gt;"acoes")))*INDEX(Inputs!$K$5:$AJ$140,0,MATCH(AD$2,Inputs!$K$4:$AJ$4,0)))+SUMPRODUCT((Inputs!$E$5:$E$140=$B44)*Inputs!$F$5:$F$140*(((Inputs!$G$5:$G$140="moeda")+(Inputs!$G$5:$G$140="acoes"))*Inputs!$B$1+((Inputs!$G$5:$G$140&lt;&gt;"moeda")*(Inputs!$G$5:$G$140&lt;&gt;"acoes")))*INDEX(Inputs!$K$5:$AJ$140,0,MATCH(AD$2,Inputs!$K$4:$AJ$4,0)))))</f>
        <v>0</v>
      </c>
      <c r="AE44" s="6" t="e">
        <f>IF(ISNA(MATCH(AE$2,Inputs!$K$4:$AJ$4,0)),NA(),IF(SUMPRODUCT((Inputs!$A$5:$A$140=$B44)*ISNUMBER(INDEX(Inputs!$K$5:$AJ$140,0,MATCH(AE$2,Inputs!$K$4:$AJ$4,0))))+SUMPRODUCT((Inputs!$C$5:$C$140=$B44)*ISNUMBER(INDEX(Inputs!$K$5:$AJ$140,0,MATCH(AE$2,Inputs!$K$4:$AJ$4,0))))+SUMPRODUCT((Inputs!$E$5:$E$140=$B44)*ISNUMBER(INDEX(Inputs!$K$5:$AJ$140,0,MATCH(AE$2,Inputs!$K$4:$AJ$4,0))))=0,NA(),SUMPRODUCT((Inputs!$A$5:$A$140=$B44)*Inputs!$B$5:$B$140*(((Inputs!$G$5:$G$140="moeda")+(Inputs!$G$5:$G$140="acoes"))*Inputs!$B$1+((Inputs!$G$5:$G$140&lt;&gt;"moeda")*(Inputs!$G$5:$G$140&lt;&gt;"acoes")))*INDEX(Inputs!$K$5:$AJ$140,0,MATCH(AE$2,Inputs!$K$4:$AJ$4,0)))+SUMPRODUCT((Inputs!$C$5:$C$140=$B44)*Inputs!$D$5:$D$140*(((Inputs!$G$5:$G$140="moeda")+(Inputs!$G$5:$G$140="acoes"))*Inputs!$B$1+((Inputs!$G$5:$G$140&lt;&gt;"moeda")*(Inputs!$G$5:$G$140&lt;&gt;"acoes")))*INDEX(Inputs!$K$5:$AJ$140,0,MATCH(AE$2,Inputs!$K$4:$AJ$4,0)))+SUMPRODUCT((Inputs!$E$5:$E$140=$B44)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44" s="6" t="e">
        <f>IF(ISNA(MATCH(AF$2,Inputs!$K$4:$AJ$4,0)),NA(),IF(SUMPRODUCT((Inputs!$A$5:$A$140=$B44)*ISNUMBER(INDEX(Inputs!$K$5:$AJ$140,0,MATCH(AF$2,Inputs!$K$4:$AJ$4,0))))+SUMPRODUCT((Inputs!$C$5:$C$140=$B44)*ISNUMBER(INDEX(Inputs!$K$5:$AJ$140,0,MATCH(AF$2,Inputs!$K$4:$AJ$4,0))))+SUMPRODUCT((Inputs!$E$5:$E$140=$B44)*ISNUMBER(INDEX(Inputs!$K$5:$AJ$140,0,MATCH(AF$2,Inputs!$K$4:$AJ$4,0))))=0,NA(),SUMPRODUCT((Inputs!$A$5:$A$140=$B44)*Inputs!$B$5:$B$140*(((Inputs!$G$5:$G$140="moeda")+(Inputs!$G$5:$G$140="acoes"))*Inputs!$B$1+((Inputs!$G$5:$G$140&lt;&gt;"moeda")*(Inputs!$G$5:$G$140&lt;&gt;"acoes")))*INDEX(Inputs!$K$5:$AJ$140,0,MATCH(AF$2,Inputs!$K$4:$AJ$4,0)))+SUMPRODUCT((Inputs!$C$5:$C$140=$B44)*Inputs!$D$5:$D$140*(((Inputs!$G$5:$G$140="moeda")+(Inputs!$G$5:$G$140="acoes"))*Inputs!$B$1+((Inputs!$G$5:$G$140&lt;&gt;"moeda")*(Inputs!$G$5:$G$140&lt;&gt;"acoes")))*INDEX(Inputs!$K$5:$AJ$140,0,MATCH(AF$2,Inputs!$K$4:$AJ$4,0)))+SUMPRODUCT((Inputs!$E$5:$E$140=$B44)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44" s="3" t="e">
        <f>AF44</f>
        <v>#N/A</v>
      </c>
      <c r="AH44" s="6">
        <f>IF(ISNA(MATCH(AH$2,Inputs!$K$4:$AJ$4,0)),NA(),IF(SUMPRODUCT((Inputs!$A$5:$A$140=$B44)*ISNUMBER(INDEX(Inputs!$K$5:$AJ$140,0,MATCH(AH$2,Inputs!$K$4:$AJ$4,0))))+SUMPRODUCT((Inputs!$C$5:$C$140=$B44)*ISNUMBER(INDEX(Inputs!$K$5:$AJ$140,0,MATCH(AH$2,Inputs!$K$4:$AJ$4,0))))+SUMPRODUCT((Inputs!$E$5:$E$140=$B44)*ISNUMBER(INDEX(Inputs!$K$5:$AJ$140,0,MATCH(AH$2,Inputs!$K$4:$AJ$4,0))))=0,NA(),SUMPRODUCT((Inputs!$A$5:$A$140=$B44)*Inputs!$B$5:$B$140*(((Inputs!$G$5:$G$140="moeda")+(Inputs!$G$5:$G$140="acoes"))*Inputs!$B$1+((Inputs!$G$5:$G$140&lt;&gt;"moeda")*(Inputs!$G$5:$G$140&lt;&gt;"acoes")))*INDEX(Inputs!$K$5:$AJ$140,0,MATCH(AH$2,Inputs!$K$4:$AJ$4,0)))+SUMPRODUCT((Inputs!$C$5:$C$140=$B44)*Inputs!$D$5:$D$140*(((Inputs!$G$5:$G$140="moeda")+(Inputs!$G$5:$G$140="acoes"))*Inputs!$B$1+((Inputs!$G$5:$G$140&lt;&gt;"moeda")*(Inputs!$G$5:$G$140&lt;&gt;"acoes")))*INDEX(Inputs!$K$5:$AJ$140,0,MATCH(AH$2,Inputs!$K$4:$AJ$4,0)))+SUMPRODUCT((Inputs!$E$5:$E$140=$B44)*Inputs!$F$5:$F$140*(((Inputs!$G$5:$G$140="moeda")+(Inputs!$G$5:$G$140="acoes"))*Inputs!$B$1+((Inputs!$G$5:$G$140&lt;&gt;"moeda")*(Inputs!$G$5:$G$140&lt;&gt;"acoes")))*INDEX(Inputs!$K$5:$AJ$140,0,MATCH(AH$2,Inputs!$K$4:$AJ$4,0)))))</f>
        <v>-10036</v>
      </c>
      <c r="AI44" s="6">
        <f>IF(ISNA(MATCH(AI$2,Inputs!$K$4:$AJ$4,0)),NA(),IF(SUMPRODUCT((Inputs!$A$5:$A$140=$B44)*ISNUMBER(INDEX(Inputs!$K$5:$AJ$140,0,MATCH(AI$2,Inputs!$K$4:$AJ$4,0))))+SUMPRODUCT((Inputs!$C$5:$C$140=$B44)*ISNUMBER(INDEX(Inputs!$K$5:$AJ$140,0,MATCH(AI$2,Inputs!$K$4:$AJ$4,0))))+SUMPRODUCT((Inputs!$E$5:$E$140=$B44)*ISNUMBER(INDEX(Inputs!$K$5:$AJ$140,0,MATCH(AI$2,Inputs!$K$4:$AJ$4,0))))=0,NA(),SUMPRODUCT((Inputs!$A$5:$A$140=$B44)*Inputs!$B$5:$B$140*(((Inputs!$G$5:$G$140="moeda")+(Inputs!$G$5:$G$140="acoes"))*Inputs!$B$1+((Inputs!$G$5:$G$140&lt;&gt;"moeda")*(Inputs!$G$5:$G$140&lt;&gt;"acoes")))*INDEX(Inputs!$K$5:$AJ$140,0,MATCH(AI$2,Inputs!$K$4:$AJ$4,0)))+SUMPRODUCT((Inputs!$C$5:$C$140=$B44)*Inputs!$D$5:$D$140*(((Inputs!$G$5:$G$140="moeda")+(Inputs!$G$5:$G$140="acoes"))*Inputs!$B$1+((Inputs!$G$5:$G$140&lt;&gt;"moeda")*(Inputs!$G$5:$G$140&lt;&gt;"acoes")))*INDEX(Inputs!$K$5:$AJ$140,0,MATCH(AI$2,Inputs!$K$4:$AJ$4,0)))+SUMPRODUCT((Inputs!$E$5:$E$140=$B44)*Inputs!$F$5:$F$140*(((Inputs!$G$5:$G$140="moeda")+(Inputs!$G$5:$G$140="acoes"))*Inputs!$B$1+((Inputs!$G$5:$G$140&lt;&gt;"moeda")*(Inputs!$G$5:$G$140&lt;&gt;"acoes")))*INDEX(Inputs!$K$5:$AJ$140,0,MATCH(AI$2,Inputs!$K$4:$AJ$4,0)))))</f>
        <v>-10232</v>
      </c>
      <c r="AJ44" s="6">
        <f>IF(ISNA(MATCH(AJ$2,Inputs!$K$4:$AJ$4,0)),NA(),IF(SUMPRODUCT((Inputs!$A$5:$A$140=$B44)*ISNUMBER(INDEX(Inputs!$K$5:$AJ$140,0,MATCH(AJ$2,Inputs!$K$4:$AJ$4,0))))+SUMPRODUCT((Inputs!$C$5:$C$140=$B44)*ISNUMBER(INDEX(Inputs!$K$5:$AJ$140,0,MATCH(AJ$2,Inputs!$K$4:$AJ$4,0))))+SUMPRODUCT((Inputs!$E$5:$E$140=$B44)*ISNUMBER(INDEX(Inputs!$K$5:$AJ$140,0,MATCH(AJ$2,Inputs!$K$4:$AJ$4,0))))=0,NA(),SUMPRODUCT((Inputs!$A$5:$A$140=$B44)*Inputs!$B$5:$B$140*(((Inputs!$G$5:$G$140="moeda")+(Inputs!$G$5:$G$140="acoes"))*Inputs!$B$1+((Inputs!$G$5:$G$140&lt;&gt;"moeda")*(Inputs!$G$5:$G$140&lt;&gt;"acoes")))*INDEX(Inputs!$K$5:$AJ$140,0,MATCH(AJ$2,Inputs!$K$4:$AJ$4,0)))+SUMPRODUCT((Inputs!$C$5:$C$140=$B44)*Inputs!$D$5:$D$140*(((Inputs!$G$5:$G$140="moeda")+(Inputs!$G$5:$G$140="acoes"))*Inputs!$B$1+((Inputs!$G$5:$G$140&lt;&gt;"moeda")*(Inputs!$G$5:$G$140&lt;&gt;"acoes")))*INDEX(Inputs!$K$5:$AJ$140,0,MATCH(AJ$2,Inputs!$K$4:$AJ$4,0)))+SUMPRODUCT((Inputs!$E$5:$E$140=$B44)*Inputs!$F$5:$F$140*(((Inputs!$G$5:$G$140="moeda")+(Inputs!$G$5:$G$140="acoes"))*Inputs!$B$1+((Inputs!$G$5:$G$140&lt;&gt;"moeda")*(Inputs!$G$5:$G$140&lt;&gt;"acoes")))*INDEX(Inputs!$K$5:$AJ$140,0,MATCH(AJ$2,Inputs!$K$4:$AJ$4,0)))))</f>
        <v>-10530</v>
      </c>
      <c r="AK44" s="6">
        <f>IF(ISNA(MATCH(AK$2,Inputs!$K$4:$AJ$4,0)),NA(),IF(SUMPRODUCT((Inputs!$A$5:$A$140=$B44)*ISNUMBER(INDEX(Inputs!$K$5:$AJ$140,0,MATCH(AK$2,Inputs!$K$4:$AJ$4,0))))+SUMPRODUCT((Inputs!$C$5:$C$140=$B44)*ISNUMBER(INDEX(Inputs!$K$5:$AJ$140,0,MATCH(AK$2,Inputs!$K$4:$AJ$4,0))))+SUMPRODUCT((Inputs!$E$5:$E$140=$B44)*ISNUMBER(INDEX(Inputs!$K$5:$AJ$140,0,MATCH(AK$2,Inputs!$K$4:$AJ$4,0))))=0,NA(),SUMPRODUCT((Inputs!$A$5:$A$140=$B44)*Inputs!$B$5:$B$140*(((Inputs!$G$5:$G$140="moeda")+(Inputs!$G$5:$G$140="acoes"))*Inputs!$B$1+((Inputs!$G$5:$G$140&lt;&gt;"moeda")*(Inputs!$G$5:$G$140&lt;&gt;"acoes")))*INDEX(Inputs!$K$5:$AJ$140,0,MATCH(AK$2,Inputs!$K$4:$AJ$4,0)))+SUMPRODUCT((Inputs!$C$5:$C$140=$B44)*Inputs!$D$5:$D$140*(((Inputs!$G$5:$G$140="moeda")+(Inputs!$G$5:$G$140="acoes"))*Inputs!$B$1+((Inputs!$G$5:$G$140&lt;&gt;"moeda")*(Inputs!$G$5:$G$140&lt;&gt;"acoes")))*INDEX(Inputs!$K$5:$AJ$140,0,MATCH(AK$2,Inputs!$K$4:$AJ$4,0)))+SUMPRODUCT((Inputs!$E$5:$E$140=$B44)*Inputs!$F$5:$F$140*(((Inputs!$G$5:$G$140="moeda")+(Inputs!$G$5:$G$140="acoes"))*Inputs!$B$1+((Inputs!$G$5:$G$140&lt;&gt;"moeda")*(Inputs!$G$5:$G$140&lt;&gt;"acoes")))*INDEX(Inputs!$K$5:$AJ$140,0,MATCH(AK$2,Inputs!$K$4:$AJ$4,0)))))</f>
        <v>-10756</v>
      </c>
      <c r="AL44" s="3">
        <f>AK44</f>
        <v>-10756</v>
      </c>
    </row>
    <row r="45">
      <c r="B45" s="46" t="n">
        <v>39</v>
      </c>
      <c r="C45" s="26" t="inlineStr">
        <is>
          <t>Comprehensive (accumulated) loss</t>
        </is>
      </c>
      <c r="D45" s="6">
        <f>IF(ISNA(MATCH(D$2,Inputs!$K$4:$AJ$4,0)),NA(),IF(SUMPRODUCT((Inputs!$A$5:$A$140=$B45)*ISNUMBER(INDEX(Inputs!$K$5:$AJ$140,0,MATCH(D$2,Inputs!$K$4:$AJ$4,0))))+SUMPRODUCT((Inputs!$C$5:$C$140=$B45)*ISNUMBER(INDEX(Inputs!$K$5:$AJ$140,0,MATCH(D$2,Inputs!$K$4:$AJ$4,0))))+SUMPRODUCT((Inputs!$E$5:$E$140=$B45)*ISNUMBER(INDEX(Inputs!$K$5:$AJ$140,0,MATCH(D$2,Inputs!$K$4:$AJ$4,0))))=0,NA(),SUMPRODUCT((Inputs!$A$5:$A$140=$B45)*Inputs!$B$5:$B$140*(((Inputs!$G$5:$G$140="moeda")+(Inputs!$G$5:$G$140="acoes"))*Inputs!$B$1+((Inputs!$G$5:$G$140&lt;&gt;"moeda")*(Inputs!$G$5:$G$140&lt;&gt;"acoes")))*INDEX(Inputs!$K$5:$AJ$140,0,MATCH(D$2,Inputs!$K$4:$AJ$4,0)))+SUMPRODUCT((Inputs!$C$5:$C$140=$B45)*Inputs!$D$5:$D$140*(((Inputs!$G$5:$G$140="moeda")+(Inputs!$G$5:$G$140="acoes"))*Inputs!$B$1+((Inputs!$G$5:$G$140&lt;&gt;"moeda")*(Inputs!$G$5:$G$140&lt;&gt;"acoes")))*INDEX(Inputs!$K$5:$AJ$140,0,MATCH(D$2,Inputs!$K$4:$AJ$4,0)))+SUMPRODUCT((Inputs!$E$5:$E$140=$B45)*Inputs!$F$5:$F$140*(((Inputs!$G$5:$G$140="moeda")+(Inputs!$G$5:$G$140="acoes"))*Inputs!$B$1+((Inputs!$G$5:$G$140&lt;&gt;"moeda")*(Inputs!$G$5:$G$140&lt;&gt;"acoes")))*INDEX(Inputs!$K$5:$AJ$140,0,MATCH(D$2,Inputs!$K$4:$AJ$4,0)))))</f>
        <v>14</v>
      </c>
      <c r="E45" s="6">
        <f>IF(ISNA(MATCH(E$2,Inputs!$K$4:$AJ$4,0)),NA(),IF(SUMPRODUCT((Inputs!$A$5:$A$140=$B45)*ISNUMBER(INDEX(Inputs!$K$5:$AJ$140,0,MATCH(E$2,Inputs!$K$4:$AJ$4,0))))+SUMPRODUCT((Inputs!$C$5:$C$140=$B45)*ISNUMBER(INDEX(Inputs!$K$5:$AJ$140,0,MATCH(E$2,Inputs!$K$4:$AJ$4,0))))+SUMPRODUCT((Inputs!$E$5:$E$140=$B45)*ISNUMBER(INDEX(Inputs!$K$5:$AJ$140,0,MATCH(E$2,Inputs!$K$4:$AJ$4,0))))=0,NA(),SUMPRODUCT((Inputs!$A$5:$A$140=$B45)*Inputs!$B$5:$B$140*(((Inputs!$G$5:$G$140="moeda")+(Inputs!$G$5:$G$140="acoes"))*Inputs!$B$1+((Inputs!$G$5:$G$140&lt;&gt;"moeda")*(Inputs!$G$5:$G$140&lt;&gt;"acoes")))*INDEX(Inputs!$K$5:$AJ$140,0,MATCH(E$2,Inputs!$K$4:$AJ$4,0)))+SUMPRODUCT((Inputs!$C$5:$C$140=$B45)*Inputs!$D$5:$D$140*(((Inputs!$G$5:$G$140="moeda")+(Inputs!$G$5:$G$140="acoes"))*Inputs!$B$1+((Inputs!$G$5:$G$140&lt;&gt;"moeda")*(Inputs!$G$5:$G$140&lt;&gt;"acoes")))*INDEX(Inputs!$K$5:$AJ$140,0,MATCH(E$2,Inputs!$K$4:$AJ$4,0)))+SUMPRODUCT((Inputs!$E$5:$E$140=$B45)*Inputs!$F$5:$F$140*(((Inputs!$G$5:$G$140="moeda")+(Inputs!$G$5:$G$140="acoes"))*Inputs!$B$1+((Inputs!$G$5:$G$140&lt;&gt;"moeda")*(Inputs!$G$5:$G$140&lt;&gt;"acoes")))*INDEX(Inputs!$K$5:$AJ$140,0,MATCH(E$2,Inputs!$K$4:$AJ$4,0)))))</f>
        <v>8</v>
      </c>
      <c r="F45" s="6">
        <f>IF(ISNA(MATCH(F$2,Inputs!$K$4:$AJ$4,0)),NA(),IF(SUMPRODUCT((Inputs!$A$5:$A$140=$B45)*ISNUMBER(INDEX(Inputs!$K$5:$AJ$140,0,MATCH(F$2,Inputs!$K$4:$AJ$4,0))))+SUMPRODUCT((Inputs!$C$5:$C$140=$B45)*ISNUMBER(INDEX(Inputs!$K$5:$AJ$140,0,MATCH(F$2,Inputs!$K$4:$AJ$4,0))))+SUMPRODUCT((Inputs!$E$5:$E$140=$B45)*ISNUMBER(INDEX(Inputs!$K$5:$AJ$140,0,MATCH(F$2,Inputs!$K$4:$AJ$4,0))))=0,NA(),SUMPRODUCT((Inputs!$A$5:$A$140=$B45)*Inputs!$B$5:$B$140*(((Inputs!$G$5:$G$140="moeda")+(Inputs!$G$5:$G$140="acoes"))*Inputs!$B$1+((Inputs!$G$5:$G$140&lt;&gt;"moeda")*(Inputs!$G$5:$G$140&lt;&gt;"acoes")))*INDEX(Inputs!$K$5:$AJ$140,0,MATCH(F$2,Inputs!$K$4:$AJ$4,0)))+SUMPRODUCT((Inputs!$C$5:$C$140=$B45)*Inputs!$D$5:$D$140*(((Inputs!$G$5:$G$140="moeda")+(Inputs!$G$5:$G$140="acoes"))*Inputs!$B$1+((Inputs!$G$5:$G$140&lt;&gt;"moeda")*(Inputs!$G$5:$G$140&lt;&gt;"acoes")))*INDEX(Inputs!$K$5:$AJ$140,0,MATCH(F$2,Inputs!$K$4:$AJ$4,0)))+SUMPRODUCT((Inputs!$E$5:$E$140=$B45)*Inputs!$F$5:$F$140*(((Inputs!$G$5:$G$140="moeda")+(Inputs!$G$5:$G$140="acoes"))*Inputs!$B$1+((Inputs!$G$5:$G$140&lt;&gt;"moeda")*(Inputs!$G$5:$G$140&lt;&gt;"acoes")))*INDEX(Inputs!$K$5:$AJ$140,0,MATCH(F$2,Inputs!$K$4:$AJ$4,0)))))</f>
        <v>9</v>
      </c>
      <c r="G45" s="6">
        <f>IF(ISNA(MATCH(G$2,Inputs!$K$4:$AJ$4,0)),NA(),IF(SUMPRODUCT((Inputs!$A$5:$A$140=$B45)*ISNUMBER(INDEX(Inputs!$K$5:$AJ$140,0,MATCH(G$2,Inputs!$K$4:$AJ$4,0))))+SUMPRODUCT((Inputs!$C$5:$C$140=$B45)*ISNUMBER(INDEX(Inputs!$K$5:$AJ$140,0,MATCH(G$2,Inputs!$K$4:$AJ$4,0))))+SUMPRODUCT((Inputs!$E$5:$E$140=$B45)*ISNUMBER(INDEX(Inputs!$K$5:$AJ$140,0,MATCH(G$2,Inputs!$K$4:$AJ$4,0))))=0,NA(),SUMPRODUCT((Inputs!$A$5:$A$140=$B45)*Inputs!$B$5:$B$140*(((Inputs!$G$5:$G$140="moeda")+(Inputs!$G$5:$G$140="acoes"))*Inputs!$B$1+((Inputs!$G$5:$G$140&lt;&gt;"moeda")*(Inputs!$G$5:$G$140&lt;&gt;"acoes")))*INDEX(Inputs!$K$5:$AJ$140,0,MATCH(G$2,Inputs!$K$4:$AJ$4,0)))+SUMPRODUCT((Inputs!$C$5:$C$140=$B45)*Inputs!$D$5:$D$140*(((Inputs!$G$5:$G$140="moeda")+(Inputs!$G$5:$G$140="acoes"))*Inputs!$B$1+((Inputs!$G$5:$G$140&lt;&gt;"moeda")*(Inputs!$G$5:$G$140&lt;&gt;"acoes")))*INDEX(Inputs!$K$5:$AJ$140,0,MATCH(G$2,Inputs!$K$4:$AJ$4,0)))+SUMPRODUCT((Inputs!$E$5:$E$140=$B45)*Inputs!$F$5:$F$140*(((Inputs!$G$5:$G$140="moeda")+(Inputs!$G$5:$G$140="acoes"))*Inputs!$B$1+((Inputs!$G$5:$G$140&lt;&gt;"moeda")*(Inputs!$G$5:$G$140&lt;&gt;"acoes")))*INDEX(Inputs!$K$5:$AJ$140,0,MATCH(G$2,Inputs!$K$4:$AJ$4,0)))))</f>
        <v>-11</v>
      </c>
      <c r="H45" s="3">
        <f>G45</f>
        <v>-11</v>
      </c>
      <c r="I45" s="6">
        <f>IF(ISNA(MATCH(I$2,Inputs!$K$4:$AJ$4,0)),NA(),IF(SUMPRODUCT((Inputs!$A$5:$A$140=$B45)*ISNUMBER(INDEX(Inputs!$K$5:$AJ$140,0,MATCH(I$2,Inputs!$K$4:$AJ$4,0))))+SUMPRODUCT((Inputs!$C$5:$C$140=$B45)*ISNUMBER(INDEX(Inputs!$K$5:$AJ$140,0,MATCH(I$2,Inputs!$K$4:$AJ$4,0))))+SUMPRODUCT((Inputs!$E$5:$E$140=$B45)*ISNUMBER(INDEX(Inputs!$K$5:$AJ$140,0,MATCH(I$2,Inputs!$K$4:$AJ$4,0))))=0,NA(),SUMPRODUCT((Inputs!$A$5:$A$140=$B45)*Inputs!$B$5:$B$140*(((Inputs!$G$5:$G$140="moeda")+(Inputs!$G$5:$G$140="acoes"))*Inputs!$B$1+((Inputs!$G$5:$G$140&lt;&gt;"moeda")*(Inputs!$G$5:$G$140&lt;&gt;"acoes")))*INDEX(Inputs!$K$5:$AJ$140,0,MATCH(I$2,Inputs!$K$4:$AJ$4,0)))+SUMPRODUCT((Inputs!$C$5:$C$140=$B45)*Inputs!$D$5:$D$140*(((Inputs!$G$5:$G$140="moeda")+(Inputs!$G$5:$G$140="acoes"))*Inputs!$B$1+((Inputs!$G$5:$G$140&lt;&gt;"moeda")*(Inputs!$G$5:$G$140&lt;&gt;"acoes")))*INDEX(Inputs!$K$5:$AJ$140,0,MATCH(I$2,Inputs!$K$4:$AJ$4,0)))+SUMPRODUCT((Inputs!$E$5:$E$140=$B45)*Inputs!$F$5:$F$140*(((Inputs!$G$5:$G$140="moeda")+(Inputs!$G$5:$G$140="acoes"))*Inputs!$B$1+((Inputs!$G$5:$G$140&lt;&gt;"moeda")*(Inputs!$G$5:$G$140&lt;&gt;"acoes")))*INDEX(Inputs!$K$5:$AJ$140,0,MATCH(I$2,Inputs!$K$4:$AJ$4,0)))))</f>
        <v>-64</v>
      </c>
      <c r="J45" s="6">
        <f>IF(ISNA(MATCH(J$2,Inputs!$K$4:$AJ$4,0)),NA(),IF(SUMPRODUCT((Inputs!$A$5:$A$140=$B45)*ISNUMBER(INDEX(Inputs!$K$5:$AJ$140,0,MATCH(J$2,Inputs!$K$4:$AJ$4,0))))+SUMPRODUCT((Inputs!$C$5:$C$140=$B45)*ISNUMBER(INDEX(Inputs!$K$5:$AJ$140,0,MATCH(J$2,Inputs!$K$4:$AJ$4,0))))+SUMPRODUCT((Inputs!$E$5:$E$140=$B45)*ISNUMBER(INDEX(Inputs!$K$5:$AJ$140,0,MATCH(J$2,Inputs!$K$4:$AJ$4,0))))=0,NA(),SUMPRODUCT((Inputs!$A$5:$A$140=$B45)*Inputs!$B$5:$B$140*(((Inputs!$G$5:$G$140="moeda")+(Inputs!$G$5:$G$140="acoes"))*Inputs!$B$1+((Inputs!$G$5:$G$140&lt;&gt;"moeda")*(Inputs!$G$5:$G$140&lt;&gt;"acoes")))*INDEX(Inputs!$K$5:$AJ$140,0,MATCH(J$2,Inputs!$K$4:$AJ$4,0)))+SUMPRODUCT((Inputs!$C$5:$C$140=$B45)*Inputs!$D$5:$D$140*(((Inputs!$G$5:$G$140="moeda")+(Inputs!$G$5:$G$140="acoes"))*Inputs!$B$1+((Inputs!$G$5:$G$140&lt;&gt;"moeda")*(Inputs!$G$5:$G$140&lt;&gt;"acoes")))*INDEX(Inputs!$K$5:$AJ$140,0,MATCH(J$2,Inputs!$K$4:$AJ$4,0)))+SUMPRODUCT((Inputs!$E$5:$E$140=$B45)*Inputs!$F$5:$F$140*(((Inputs!$G$5:$G$140="moeda")+(Inputs!$G$5:$G$140="acoes"))*Inputs!$B$1+((Inputs!$G$5:$G$140&lt;&gt;"moeda")*(Inputs!$G$5:$G$140&lt;&gt;"acoes")))*INDEX(Inputs!$K$5:$AJ$140,0,MATCH(J$2,Inputs!$K$4:$AJ$4,0)))))</f>
        <v>-90</v>
      </c>
      <c r="K45" s="6">
        <f>IF(ISNA(MATCH(K$2,Inputs!$K$4:$AJ$4,0)),NA(),IF(SUMPRODUCT((Inputs!$A$5:$A$140=$B45)*ISNUMBER(INDEX(Inputs!$K$5:$AJ$140,0,MATCH(K$2,Inputs!$K$4:$AJ$4,0))))+SUMPRODUCT((Inputs!$C$5:$C$140=$B45)*ISNUMBER(INDEX(Inputs!$K$5:$AJ$140,0,MATCH(K$2,Inputs!$K$4:$AJ$4,0))))+SUMPRODUCT((Inputs!$E$5:$E$140=$B45)*ISNUMBER(INDEX(Inputs!$K$5:$AJ$140,0,MATCH(K$2,Inputs!$K$4:$AJ$4,0))))=0,NA(),SUMPRODUCT((Inputs!$A$5:$A$140=$B45)*Inputs!$B$5:$B$140*(((Inputs!$G$5:$G$140="moeda")+(Inputs!$G$5:$G$140="acoes"))*Inputs!$B$1+((Inputs!$G$5:$G$140&lt;&gt;"moeda")*(Inputs!$G$5:$G$140&lt;&gt;"acoes")))*INDEX(Inputs!$K$5:$AJ$140,0,MATCH(K$2,Inputs!$K$4:$AJ$4,0)))+SUMPRODUCT((Inputs!$C$5:$C$140=$B45)*Inputs!$D$5:$D$140*(((Inputs!$G$5:$G$140="moeda")+(Inputs!$G$5:$G$140="acoes"))*Inputs!$B$1+((Inputs!$G$5:$G$140&lt;&gt;"moeda")*(Inputs!$G$5:$G$140&lt;&gt;"acoes")))*INDEX(Inputs!$K$5:$AJ$140,0,MATCH(K$2,Inputs!$K$4:$AJ$4,0)))+SUMPRODUCT((Inputs!$E$5:$E$140=$B45)*Inputs!$F$5:$F$140*(((Inputs!$G$5:$G$140="moeda")+(Inputs!$G$5:$G$140="acoes"))*Inputs!$B$1+((Inputs!$G$5:$G$140&lt;&gt;"moeda")*(Inputs!$G$5:$G$140&lt;&gt;"acoes")))*INDEX(Inputs!$K$5:$AJ$140,0,MATCH(K$2,Inputs!$K$4:$AJ$4,0)))))</f>
        <v>-123</v>
      </c>
      <c r="L45" s="6">
        <f>IF(ISNA(MATCH(L$2,Inputs!$K$4:$AJ$4,0)),NA(),IF(SUMPRODUCT((Inputs!$A$5:$A$140=$B45)*ISNUMBER(INDEX(Inputs!$K$5:$AJ$140,0,MATCH(L$2,Inputs!$K$4:$AJ$4,0))))+SUMPRODUCT((Inputs!$C$5:$C$140=$B45)*ISNUMBER(INDEX(Inputs!$K$5:$AJ$140,0,MATCH(L$2,Inputs!$K$4:$AJ$4,0))))+SUMPRODUCT((Inputs!$E$5:$E$140=$B45)*ISNUMBER(INDEX(Inputs!$K$5:$AJ$140,0,MATCH(L$2,Inputs!$K$4:$AJ$4,0))))=0,NA(),SUMPRODUCT((Inputs!$A$5:$A$140=$B45)*Inputs!$B$5:$B$140*(((Inputs!$G$5:$G$140="moeda")+(Inputs!$G$5:$G$140="acoes"))*Inputs!$B$1+((Inputs!$G$5:$G$140&lt;&gt;"moeda")*(Inputs!$G$5:$G$140&lt;&gt;"acoes")))*INDEX(Inputs!$K$5:$AJ$140,0,MATCH(L$2,Inputs!$K$4:$AJ$4,0)))+SUMPRODUCT((Inputs!$C$5:$C$140=$B45)*Inputs!$D$5:$D$140*(((Inputs!$G$5:$G$140="moeda")+(Inputs!$G$5:$G$140="acoes"))*Inputs!$B$1+((Inputs!$G$5:$G$140&lt;&gt;"moeda")*(Inputs!$G$5:$G$140&lt;&gt;"acoes")))*INDEX(Inputs!$K$5:$AJ$140,0,MATCH(L$2,Inputs!$K$4:$AJ$4,0)))+SUMPRODUCT((Inputs!$E$5:$E$140=$B45)*Inputs!$F$5:$F$140*(((Inputs!$G$5:$G$140="moeda")+(Inputs!$G$5:$G$140="acoes"))*Inputs!$B$1+((Inputs!$G$5:$G$140&lt;&gt;"moeda")*(Inputs!$G$5:$G$140&lt;&gt;"acoes")))*INDEX(Inputs!$K$5:$AJ$140,0,MATCH(L$2,Inputs!$K$4:$AJ$4,0)))))</f>
        <v>-43</v>
      </c>
      <c r="M45" s="3">
        <f>L45</f>
        <v>-43</v>
      </c>
      <c r="N45" s="6">
        <f>IF(ISNA(MATCH(N$2,Inputs!$K$4:$AJ$4,0)),NA(),IF(SUMPRODUCT((Inputs!$A$5:$A$140=$B45)*ISNUMBER(INDEX(Inputs!$K$5:$AJ$140,0,MATCH(N$2,Inputs!$K$4:$AJ$4,0))))+SUMPRODUCT((Inputs!$C$5:$C$140=$B45)*ISNUMBER(INDEX(Inputs!$K$5:$AJ$140,0,MATCH(N$2,Inputs!$K$4:$AJ$4,0))))+SUMPRODUCT((Inputs!$E$5:$E$140=$B45)*ISNUMBER(INDEX(Inputs!$K$5:$AJ$140,0,MATCH(N$2,Inputs!$K$4:$AJ$4,0))))=0,NA(),SUMPRODUCT((Inputs!$A$5:$A$140=$B45)*Inputs!$B$5:$B$140*(((Inputs!$G$5:$G$140="moeda")+(Inputs!$G$5:$G$140="acoes"))*Inputs!$B$1+((Inputs!$G$5:$G$140&lt;&gt;"moeda")*(Inputs!$G$5:$G$140&lt;&gt;"acoes")))*INDEX(Inputs!$K$5:$AJ$140,0,MATCH(N$2,Inputs!$K$4:$AJ$4,0)))+SUMPRODUCT((Inputs!$C$5:$C$140=$B45)*Inputs!$D$5:$D$140*(((Inputs!$G$5:$G$140="moeda")+(Inputs!$G$5:$G$140="acoes"))*Inputs!$B$1+((Inputs!$G$5:$G$140&lt;&gt;"moeda")*(Inputs!$G$5:$G$140&lt;&gt;"acoes")))*INDEX(Inputs!$K$5:$AJ$140,0,MATCH(N$2,Inputs!$K$4:$AJ$4,0)))+SUMPRODUCT((Inputs!$E$5:$E$140=$B45)*Inputs!$F$5:$F$140*(((Inputs!$G$5:$G$140="moeda")+(Inputs!$G$5:$G$140="acoes"))*Inputs!$B$1+((Inputs!$G$5:$G$140&lt;&gt;"moeda")*(Inputs!$G$5:$G$140&lt;&gt;"acoes")))*INDEX(Inputs!$K$5:$AJ$140,0,MATCH(N$2,Inputs!$K$4:$AJ$4,0)))))</f>
        <v>-50</v>
      </c>
      <c r="O45" s="6">
        <f>IF(ISNA(MATCH(O$2,Inputs!$K$4:$AJ$4,0)),NA(),IF(SUMPRODUCT((Inputs!$A$5:$A$140=$B45)*ISNUMBER(INDEX(Inputs!$K$5:$AJ$140,0,MATCH(O$2,Inputs!$K$4:$AJ$4,0))))+SUMPRODUCT((Inputs!$C$5:$C$140=$B45)*ISNUMBER(INDEX(Inputs!$K$5:$AJ$140,0,MATCH(O$2,Inputs!$K$4:$AJ$4,0))))+SUMPRODUCT((Inputs!$E$5:$E$140=$B45)*ISNUMBER(INDEX(Inputs!$K$5:$AJ$140,0,MATCH(O$2,Inputs!$K$4:$AJ$4,0))))=0,NA(),SUMPRODUCT((Inputs!$A$5:$A$140=$B45)*Inputs!$B$5:$B$140*(((Inputs!$G$5:$G$140="moeda")+(Inputs!$G$5:$G$140="acoes"))*Inputs!$B$1+((Inputs!$G$5:$G$140&lt;&gt;"moeda")*(Inputs!$G$5:$G$140&lt;&gt;"acoes")))*INDEX(Inputs!$K$5:$AJ$140,0,MATCH(O$2,Inputs!$K$4:$AJ$4,0)))+SUMPRODUCT((Inputs!$C$5:$C$140=$B45)*Inputs!$D$5:$D$140*(((Inputs!$G$5:$G$140="moeda")+(Inputs!$G$5:$G$140="acoes"))*Inputs!$B$1+((Inputs!$G$5:$G$140&lt;&gt;"moeda")*(Inputs!$G$5:$G$140&lt;&gt;"acoes")))*INDEX(Inputs!$K$5:$AJ$140,0,MATCH(O$2,Inputs!$K$4:$AJ$4,0)))+SUMPRODUCT((Inputs!$E$5:$E$140=$B45)*Inputs!$F$5:$F$140*(((Inputs!$G$5:$G$140="moeda")+(Inputs!$G$5:$G$140="acoes"))*Inputs!$B$1+((Inputs!$G$5:$G$140&lt;&gt;"moeda")*(Inputs!$G$5:$G$140&lt;&gt;"acoes")))*INDEX(Inputs!$K$5:$AJ$140,0,MATCH(O$2,Inputs!$K$4:$AJ$4,0)))))</f>
        <v>-51</v>
      </c>
      <c r="P45" s="6">
        <f>IF(ISNA(MATCH(P$2,Inputs!$K$4:$AJ$4,0)),NA(),IF(SUMPRODUCT((Inputs!$A$5:$A$140=$B45)*ISNUMBER(INDEX(Inputs!$K$5:$AJ$140,0,MATCH(P$2,Inputs!$K$4:$AJ$4,0))))+SUMPRODUCT((Inputs!$C$5:$C$140=$B45)*ISNUMBER(INDEX(Inputs!$K$5:$AJ$140,0,MATCH(P$2,Inputs!$K$4:$AJ$4,0))))+SUMPRODUCT((Inputs!$E$5:$E$140=$B45)*ISNUMBER(INDEX(Inputs!$K$5:$AJ$140,0,MATCH(P$2,Inputs!$K$4:$AJ$4,0))))=0,NA(),SUMPRODUCT((Inputs!$A$5:$A$140=$B45)*Inputs!$B$5:$B$140*(((Inputs!$G$5:$G$140="moeda")+(Inputs!$G$5:$G$140="acoes"))*Inputs!$B$1+((Inputs!$G$5:$G$140&lt;&gt;"moeda")*(Inputs!$G$5:$G$140&lt;&gt;"acoes")))*INDEX(Inputs!$K$5:$AJ$140,0,MATCH(P$2,Inputs!$K$4:$AJ$4,0)))+SUMPRODUCT((Inputs!$C$5:$C$140=$B45)*Inputs!$D$5:$D$140*(((Inputs!$G$5:$G$140="moeda")+(Inputs!$G$5:$G$140="acoes"))*Inputs!$B$1+((Inputs!$G$5:$G$140&lt;&gt;"moeda")*(Inputs!$G$5:$G$140&lt;&gt;"acoes")))*INDEX(Inputs!$K$5:$AJ$140,0,MATCH(P$2,Inputs!$K$4:$AJ$4,0)))+SUMPRODUCT((Inputs!$E$5:$E$140=$B45)*Inputs!$F$5:$F$140*(((Inputs!$G$5:$G$140="moeda")+(Inputs!$G$5:$G$140="acoes"))*Inputs!$B$1+((Inputs!$G$5:$G$140&lt;&gt;"moeda")*(Inputs!$G$5:$G$140&lt;&gt;"acoes")))*INDEX(Inputs!$K$5:$AJ$140,0,MATCH(P$2,Inputs!$K$4:$AJ$4,0)))))</f>
        <v>-88</v>
      </c>
      <c r="Q45" s="6">
        <f>IF(ISNA(MATCH(Q$2,Inputs!$K$4:$AJ$4,0)),NA(),IF(SUMPRODUCT((Inputs!$A$5:$A$140=$B45)*ISNUMBER(INDEX(Inputs!$K$5:$AJ$140,0,MATCH(Q$2,Inputs!$K$4:$AJ$4,0))))+SUMPRODUCT((Inputs!$C$5:$C$140=$B45)*ISNUMBER(INDEX(Inputs!$K$5:$AJ$140,0,MATCH(Q$2,Inputs!$K$4:$AJ$4,0))))+SUMPRODUCT((Inputs!$E$5:$E$140=$B45)*ISNUMBER(INDEX(Inputs!$K$5:$AJ$140,0,MATCH(Q$2,Inputs!$K$4:$AJ$4,0))))=0,NA(),SUMPRODUCT((Inputs!$A$5:$A$140=$B45)*Inputs!$B$5:$B$140*(((Inputs!$G$5:$G$140="moeda")+(Inputs!$G$5:$G$140="acoes"))*Inputs!$B$1+((Inputs!$G$5:$G$140&lt;&gt;"moeda")*(Inputs!$G$5:$G$140&lt;&gt;"acoes")))*INDEX(Inputs!$K$5:$AJ$140,0,MATCH(Q$2,Inputs!$K$4:$AJ$4,0)))+SUMPRODUCT((Inputs!$C$5:$C$140=$B45)*Inputs!$D$5:$D$140*(((Inputs!$G$5:$G$140="moeda")+(Inputs!$G$5:$G$140="acoes"))*Inputs!$B$1+((Inputs!$G$5:$G$140&lt;&gt;"moeda")*(Inputs!$G$5:$G$140&lt;&gt;"acoes")))*INDEX(Inputs!$K$5:$AJ$140,0,MATCH(Q$2,Inputs!$K$4:$AJ$4,0)))+SUMPRODUCT((Inputs!$E$5:$E$140=$B45)*Inputs!$F$5:$F$140*(((Inputs!$G$5:$G$140="moeda")+(Inputs!$G$5:$G$140="acoes"))*Inputs!$B$1+((Inputs!$G$5:$G$140&lt;&gt;"moeda")*(Inputs!$G$5:$G$140&lt;&gt;"acoes")))*INDEX(Inputs!$K$5:$AJ$140,0,MATCH(Q$2,Inputs!$K$4:$AJ$4,0)))))</f>
        <v>27</v>
      </c>
      <c r="R45" s="3">
        <f>Q45</f>
        <v>27</v>
      </c>
      <c r="S45" s="6">
        <f>IF(ISNA(MATCH(S$2,Inputs!$K$4:$AJ$4,0)),NA(),IF(SUMPRODUCT((Inputs!$A$5:$A$140=$B45)*ISNUMBER(INDEX(Inputs!$K$5:$AJ$140,0,MATCH(S$2,Inputs!$K$4:$AJ$4,0))))+SUMPRODUCT((Inputs!$C$5:$C$140=$B45)*ISNUMBER(INDEX(Inputs!$K$5:$AJ$140,0,MATCH(S$2,Inputs!$K$4:$AJ$4,0))))+SUMPRODUCT((Inputs!$E$5:$E$140=$B45)*ISNUMBER(INDEX(Inputs!$K$5:$AJ$140,0,MATCH(S$2,Inputs!$K$4:$AJ$4,0))))=0,NA(),SUMPRODUCT((Inputs!$A$5:$A$140=$B45)*Inputs!$B$5:$B$140*(((Inputs!$G$5:$G$140="moeda")+(Inputs!$G$5:$G$140="acoes"))*Inputs!$B$1+((Inputs!$G$5:$G$140&lt;&gt;"moeda")*(Inputs!$G$5:$G$140&lt;&gt;"acoes")))*INDEX(Inputs!$K$5:$AJ$140,0,MATCH(S$2,Inputs!$K$4:$AJ$4,0)))+SUMPRODUCT((Inputs!$C$5:$C$140=$B45)*Inputs!$D$5:$D$140*(((Inputs!$G$5:$G$140="moeda")+(Inputs!$G$5:$G$140="acoes"))*Inputs!$B$1+((Inputs!$G$5:$G$140&lt;&gt;"moeda")*(Inputs!$G$5:$G$140&lt;&gt;"acoes")))*INDEX(Inputs!$K$5:$AJ$140,0,MATCH(S$2,Inputs!$K$4:$AJ$4,0)))+SUMPRODUCT((Inputs!$E$5:$E$140=$B45)*Inputs!$F$5:$F$140*(((Inputs!$G$5:$G$140="moeda")+(Inputs!$G$5:$G$140="acoes"))*Inputs!$B$1+((Inputs!$G$5:$G$140&lt;&gt;"moeda")*(Inputs!$G$5:$G$140&lt;&gt;"acoes")))*INDEX(Inputs!$K$5:$AJ$140,0,MATCH(S$2,Inputs!$K$4:$AJ$4,0)))))</f>
        <v>-109</v>
      </c>
      <c r="T45" s="6">
        <f>IF(ISNA(MATCH(T$2,Inputs!$K$4:$AJ$4,0)),NA(),IF(SUMPRODUCT((Inputs!$A$5:$A$140=$B45)*ISNUMBER(INDEX(Inputs!$K$5:$AJ$140,0,MATCH(T$2,Inputs!$K$4:$AJ$4,0))))+SUMPRODUCT((Inputs!$C$5:$C$140=$B45)*ISNUMBER(INDEX(Inputs!$K$5:$AJ$140,0,MATCH(T$2,Inputs!$K$4:$AJ$4,0))))+SUMPRODUCT((Inputs!$E$5:$E$140=$B45)*ISNUMBER(INDEX(Inputs!$K$5:$AJ$140,0,MATCH(T$2,Inputs!$K$4:$AJ$4,0))))=0,NA(),SUMPRODUCT((Inputs!$A$5:$A$140=$B45)*Inputs!$B$5:$B$140*(((Inputs!$G$5:$G$140="moeda")+(Inputs!$G$5:$G$140="acoes"))*Inputs!$B$1+((Inputs!$G$5:$G$140&lt;&gt;"moeda")*(Inputs!$G$5:$G$140&lt;&gt;"acoes")))*INDEX(Inputs!$K$5:$AJ$140,0,MATCH(T$2,Inputs!$K$4:$AJ$4,0)))+SUMPRODUCT((Inputs!$C$5:$C$140=$B45)*Inputs!$D$5:$D$140*(((Inputs!$G$5:$G$140="moeda")+(Inputs!$G$5:$G$140="acoes"))*Inputs!$B$1+((Inputs!$G$5:$G$140&lt;&gt;"moeda")*(Inputs!$G$5:$G$140&lt;&gt;"acoes")))*INDEX(Inputs!$K$5:$AJ$140,0,MATCH(T$2,Inputs!$K$4:$AJ$4,0)))+SUMPRODUCT((Inputs!$E$5:$E$140=$B45)*Inputs!$F$5:$F$140*(((Inputs!$G$5:$G$140="moeda")+(Inputs!$G$5:$G$140="acoes"))*Inputs!$B$1+((Inputs!$G$5:$G$140&lt;&gt;"moeda")*(Inputs!$G$5:$G$140&lt;&gt;"acoes")))*INDEX(Inputs!$K$5:$AJ$140,0,MATCH(T$2,Inputs!$K$4:$AJ$4,0)))))</f>
        <v>56</v>
      </c>
      <c r="U45" s="6">
        <f>IF(ISNA(MATCH(U$2,Inputs!$K$4:$AJ$4,0)),NA(),IF(SUMPRODUCT((Inputs!$A$5:$A$140=$B45)*ISNUMBER(INDEX(Inputs!$K$5:$AJ$140,0,MATCH(U$2,Inputs!$K$4:$AJ$4,0))))+SUMPRODUCT((Inputs!$C$5:$C$140=$B45)*ISNUMBER(INDEX(Inputs!$K$5:$AJ$140,0,MATCH(U$2,Inputs!$K$4:$AJ$4,0))))+SUMPRODUCT((Inputs!$E$5:$E$140=$B45)*ISNUMBER(INDEX(Inputs!$K$5:$AJ$140,0,MATCH(U$2,Inputs!$K$4:$AJ$4,0))))=0,NA(),SUMPRODUCT((Inputs!$A$5:$A$140=$B45)*Inputs!$B$5:$B$140*(((Inputs!$G$5:$G$140="moeda")+(Inputs!$G$5:$G$140="acoes"))*Inputs!$B$1+((Inputs!$G$5:$G$140&lt;&gt;"moeda")*(Inputs!$G$5:$G$140&lt;&gt;"acoes")))*INDEX(Inputs!$K$5:$AJ$140,0,MATCH(U$2,Inputs!$K$4:$AJ$4,0)))+SUMPRODUCT((Inputs!$C$5:$C$140=$B45)*Inputs!$D$5:$D$140*(((Inputs!$G$5:$G$140="moeda")+(Inputs!$G$5:$G$140="acoes"))*Inputs!$B$1+((Inputs!$G$5:$G$140&lt;&gt;"moeda")*(Inputs!$G$5:$G$140&lt;&gt;"acoes")))*INDEX(Inputs!$K$5:$AJ$140,0,MATCH(U$2,Inputs!$K$4:$AJ$4,0)))+SUMPRODUCT((Inputs!$E$5:$E$140=$B45)*Inputs!$F$5:$F$140*(((Inputs!$G$5:$G$140="moeda")+(Inputs!$G$5:$G$140="acoes"))*Inputs!$B$1+((Inputs!$G$5:$G$140&lt;&gt;"moeda")*(Inputs!$G$5:$G$140&lt;&gt;"acoes")))*INDEX(Inputs!$K$5:$AJ$140,0,MATCH(U$2,Inputs!$K$4:$AJ$4,0)))))</f>
        <v>103</v>
      </c>
      <c r="V45" s="6">
        <f>IF(ISNA(MATCH(V$2,Inputs!$K$4:$AJ$4,0)),NA(),IF(SUMPRODUCT((Inputs!$A$5:$A$140=$B45)*ISNUMBER(INDEX(Inputs!$K$5:$AJ$140,0,MATCH(V$2,Inputs!$K$4:$AJ$4,0))))+SUMPRODUCT((Inputs!$C$5:$C$140=$B45)*ISNUMBER(INDEX(Inputs!$K$5:$AJ$140,0,MATCH(V$2,Inputs!$K$4:$AJ$4,0))))+SUMPRODUCT((Inputs!$E$5:$E$140=$B45)*ISNUMBER(INDEX(Inputs!$K$5:$AJ$140,0,MATCH(V$2,Inputs!$K$4:$AJ$4,0))))=0,NA(),SUMPRODUCT((Inputs!$A$5:$A$140=$B45)*Inputs!$B$5:$B$140*(((Inputs!$G$5:$G$140="moeda")+(Inputs!$G$5:$G$140="acoes"))*Inputs!$B$1+((Inputs!$G$5:$G$140&lt;&gt;"moeda")*(Inputs!$G$5:$G$140&lt;&gt;"acoes")))*INDEX(Inputs!$K$5:$AJ$140,0,MATCH(V$2,Inputs!$K$4:$AJ$4,0)))+SUMPRODUCT((Inputs!$C$5:$C$140=$B45)*Inputs!$D$5:$D$140*(((Inputs!$G$5:$G$140="moeda")+(Inputs!$G$5:$G$140="acoes"))*Inputs!$B$1+((Inputs!$G$5:$G$140&lt;&gt;"moeda")*(Inputs!$G$5:$G$140&lt;&gt;"acoes")))*INDEX(Inputs!$K$5:$AJ$140,0,MATCH(V$2,Inputs!$K$4:$AJ$4,0)))+SUMPRODUCT((Inputs!$E$5:$E$140=$B45)*Inputs!$F$5:$F$140*(((Inputs!$G$5:$G$140="moeda")+(Inputs!$G$5:$G$140="acoes"))*Inputs!$B$1+((Inputs!$G$5:$G$140&lt;&gt;"moeda")*(Inputs!$G$5:$G$140&lt;&gt;"acoes")))*INDEX(Inputs!$K$5:$AJ$140,0,MATCH(V$2,Inputs!$K$4:$AJ$4,0)))))</f>
        <v>28</v>
      </c>
      <c r="W45" s="3">
        <f>V45</f>
        <v>28</v>
      </c>
      <c r="X45" s="6">
        <f>IF(ISNA(MATCH(X$2,Inputs!$K$4:$AJ$4,0)),NA(),IF(SUMPRODUCT((Inputs!$A$5:$A$140=$B45)*ISNUMBER(INDEX(Inputs!$K$5:$AJ$140,0,MATCH(X$2,Inputs!$K$4:$AJ$4,0))))+SUMPRODUCT((Inputs!$C$5:$C$140=$B45)*ISNUMBER(INDEX(Inputs!$K$5:$AJ$140,0,MATCH(X$2,Inputs!$K$4:$AJ$4,0))))+SUMPRODUCT((Inputs!$E$5:$E$140=$B45)*ISNUMBER(INDEX(Inputs!$K$5:$AJ$140,0,MATCH(X$2,Inputs!$K$4:$AJ$4,0))))=0,NA(),SUMPRODUCT((Inputs!$A$5:$A$140=$B45)*Inputs!$B$5:$B$140*(((Inputs!$G$5:$G$140="moeda")+(Inputs!$G$5:$G$140="acoes"))*Inputs!$B$1+((Inputs!$G$5:$G$140&lt;&gt;"moeda")*(Inputs!$G$5:$G$140&lt;&gt;"acoes")))*INDEX(Inputs!$K$5:$AJ$140,0,MATCH(X$2,Inputs!$K$4:$AJ$4,0)))+SUMPRODUCT((Inputs!$C$5:$C$140=$B45)*Inputs!$D$5:$D$140*(((Inputs!$G$5:$G$140="moeda")+(Inputs!$G$5:$G$140="acoes"))*Inputs!$B$1+((Inputs!$G$5:$G$140&lt;&gt;"moeda")*(Inputs!$G$5:$G$140&lt;&gt;"acoes")))*INDEX(Inputs!$K$5:$AJ$140,0,MATCH(X$2,Inputs!$K$4:$AJ$4,0)))+SUMPRODUCT((Inputs!$E$5:$E$140=$B45)*Inputs!$F$5:$F$140*(((Inputs!$G$5:$G$140="moeda")+(Inputs!$G$5:$G$140="acoes"))*Inputs!$B$1+((Inputs!$G$5:$G$140&lt;&gt;"moeda")*(Inputs!$G$5:$G$140&lt;&gt;"acoes")))*INDEX(Inputs!$K$5:$AJ$140,0,MATCH(X$2,Inputs!$K$4:$AJ$4,0)))))</f>
        <v>186</v>
      </c>
      <c r="Y45" s="6">
        <f>IF(ISNA(MATCH(Y$2,Inputs!$K$4:$AJ$4,0)),NA(),IF(SUMPRODUCT((Inputs!$A$5:$A$140=$B45)*ISNUMBER(INDEX(Inputs!$K$5:$AJ$140,0,MATCH(Y$2,Inputs!$K$4:$AJ$4,0))))+SUMPRODUCT((Inputs!$C$5:$C$140=$B45)*ISNUMBER(INDEX(Inputs!$K$5:$AJ$140,0,MATCH(Y$2,Inputs!$K$4:$AJ$4,0))))+SUMPRODUCT((Inputs!$E$5:$E$140=$B45)*ISNUMBER(INDEX(Inputs!$K$5:$AJ$140,0,MATCH(Y$2,Inputs!$K$4:$AJ$4,0))))=0,NA(),SUMPRODUCT((Inputs!$A$5:$A$140=$B45)*Inputs!$B$5:$B$140*(((Inputs!$G$5:$G$140="moeda")+(Inputs!$G$5:$G$140="acoes"))*Inputs!$B$1+((Inputs!$G$5:$G$140&lt;&gt;"moeda")*(Inputs!$G$5:$G$140&lt;&gt;"acoes")))*INDEX(Inputs!$K$5:$AJ$140,0,MATCH(Y$2,Inputs!$K$4:$AJ$4,0)))+SUMPRODUCT((Inputs!$C$5:$C$140=$B45)*Inputs!$D$5:$D$140*(((Inputs!$G$5:$G$140="moeda")+(Inputs!$G$5:$G$140="acoes"))*Inputs!$B$1+((Inputs!$G$5:$G$140&lt;&gt;"moeda")*(Inputs!$G$5:$G$140&lt;&gt;"acoes")))*INDEX(Inputs!$K$5:$AJ$140,0,MATCH(Y$2,Inputs!$K$4:$AJ$4,0)))+SUMPRODUCT((Inputs!$E$5:$E$140=$B45)*Inputs!$F$5:$F$140*(((Inputs!$G$5:$G$140="moeda")+(Inputs!$G$5:$G$140="acoes"))*Inputs!$B$1+((Inputs!$G$5:$G$140&lt;&gt;"moeda")*(Inputs!$G$5:$G$140&lt;&gt;"acoes")))*INDEX(Inputs!$K$5:$AJ$140,0,MATCH(Y$2,Inputs!$K$4:$AJ$4,0)))))</f>
        <v>170</v>
      </c>
      <c r="Z45" s="6">
        <f>IF(ISNA(MATCH(Z$2,Inputs!$K$4:$AJ$4,0)),NA(),IF(SUMPRODUCT((Inputs!$A$5:$A$140=$B45)*ISNUMBER(INDEX(Inputs!$K$5:$AJ$140,0,MATCH(Z$2,Inputs!$K$4:$AJ$4,0))))+SUMPRODUCT((Inputs!$C$5:$C$140=$B45)*ISNUMBER(INDEX(Inputs!$K$5:$AJ$140,0,MATCH(Z$2,Inputs!$K$4:$AJ$4,0))))+SUMPRODUCT((Inputs!$E$5:$E$140=$B45)*ISNUMBER(INDEX(Inputs!$K$5:$AJ$140,0,MATCH(Z$2,Inputs!$K$4:$AJ$4,0))))=0,NA(),SUMPRODUCT((Inputs!$A$5:$A$140=$B45)*Inputs!$B$5:$B$140*(((Inputs!$G$5:$G$140="moeda")+(Inputs!$G$5:$G$140="acoes"))*Inputs!$B$1+((Inputs!$G$5:$G$140&lt;&gt;"moeda")*(Inputs!$G$5:$G$140&lt;&gt;"acoes")))*INDEX(Inputs!$K$5:$AJ$140,0,MATCH(Z$2,Inputs!$K$4:$AJ$4,0)))+SUMPRODUCT((Inputs!$C$5:$C$140=$B45)*Inputs!$D$5:$D$140*(((Inputs!$G$5:$G$140="moeda")+(Inputs!$G$5:$G$140="acoes"))*Inputs!$B$1+((Inputs!$G$5:$G$140&lt;&gt;"moeda")*(Inputs!$G$5:$G$140&lt;&gt;"acoes")))*INDEX(Inputs!$K$5:$AJ$140,0,MATCH(Z$2,Inputs!$K$4:$AJ$4,0)))+SUMPRODUCT((Inputs!$E$5:$E$140=$B45)*Inputs!$F$5:$F$140*(((Inputs!$G$5:$G$140="moeda")+(Inputs!$G$5:$G$140="acoes"))*Inputs!$B$1+((Inputs!$G$5:$G$140&lt;&gt;"moeda")*(Inputs!$G$5:$G$140&lt;&gt;"acoes")))*INDEX(Inputs!$K$5:$AJ$140,0,MATCH(Z$2,Inputs!$K$4:$AJ$4,0)))))</f>
        <v>339</v>
      </c>
      <c r="AA45" s="6">
        <f>IF(ISNA(MATCH(AA$2,Inputs!$K$4:$AJ$4,0)),NA(),IF(SUMPRODUCT((Inputs!$A$5:$A$140=$B45)*ISNUMBER(INDEX(Inputs!$K$5:$AJ$140,0,MATCH(AA$2,Inputs!$K$4:$AJ$4,0))))+SUMPRODUCT((Inputs!$C$5:$C$140=$B45)*ISNUMBER(INDEX(Inputs!$K$5:$AJ$140,0,MATCH(AA$2,Inputs!$K$4:$AJ$4,0))))+SUMPRODUCT((Inputs!$E$5:$E$140=$B45)*ISNUMBER(INDEX(Inputs!$K$5:$AJ$140,0,MATCH(AA$2,Inputs!$K$4:$AJ$4,0))))=0,NA(),SUMPRODUCT((Inputs!$A$5:$A$140=$B45)*Inputs!$B$5:$B$140*(((Inputs!$G$5:$G$140="moeda")+(Inputs!$G$5:$G$140="acoes"))*Inputs!$B$1+((Inputs!$G$5:$G$140&lt;&gt;"moeda")*(Inputs!$G$5:$G$140&lt;&gt;"acoes")))*INDEX(Inputs!$K$5:$AJ$140,0,MATCH(AA$2,Inputs!$K$4:$AJ$4,0)))+SUMPRODUCT((Inputs!$C$5:$C$140=$B45)*Inputs!$D$5:$D$140*(((Inputs!$G$5:$G$140="moeda")+(Inputs!$G$5:$G$140="acoes"))*Inputs!$B$1+((Inputs!$G$5:$G$140&lt;&gt;"moeda")*(Inputs!$G$5:$G$140&lt;&gt;"acoes")))*INDEX(Inputs!$K$5:$AJ$140,0,MATCH(AA$2,Inputs!$K$4:$AJ$4,0)))+SUMPRODUCT((Inputs!$E$5:$E$140=$B45)*Inputs!$F$5:$F$140*(((Inputs!$G$5:$G$140="moeda")+(Inputs!$G$5:$G$140="acoes"))*Inputs!$B$1+((Inputs!$G$5:$G$140&lt;&gt;"moeda")*(Inputs!$G$5:$G$140&lt;&gt;"acoes")))*INDEX(Inputs!$K$5:$AJ$140,0,MATCH(AA$2,Inputs!$K$4:$AJ$4,0)))))</f>
        <v>178</v>
      </c>
      <c r="AB45" s="3">
        <f>AA45</f>
        <v>178</v>
      </c>
      <c r="AC45" s="6">
        <f>IF(ISNA(MATCH(AC$2,Inputs!$K$4:$AJ$4,0)),NA(),IF(SUMPRODUCT((Inputs!$A$5:$A$140=$B45)*ISNUMBER(INDEX(Inputs!$K$5:$AJ$140,0,MATCH(AC$2,Inputs!$K$4:$AJ$4,0))))+SUMPRODUCT((Inputs!$C$5:$C$140=$B45)*ISNUMBER(INDEX(Inputs!$K$5:$AJ$140,0,MATCH(AC$2,Inputs!$K$4:$AJ$4,0))))+SUMPRODUCT((Inputs!$E$5:$E$140=$B45)*ISNUMBER(INDEX(Inputs!$K$5:$AJ$140,0,MATCH(AC$2,Inputs!$K$4:$AJ$4,0))))=0,NA(),SUMPRODUCT((Inputs!$A$5:$A$140=$B45)*Inputs!$B$5:$B$140*(((Inputs!$G$5:$G$140="moeda")+(Inputs!$G$5:$G$140="acoes"))*Inputs!$B$1+((Inputs!$G$5:$G$140&lt;&gt;"moeda")*(Inputs!$G$5:$G$140&lt;&gt;"acoes")))*INDEX(Inputs!$K$5:$AJ$140,0,MATCH(AC$2,Inputs!$K$4:$AJ$4,0)))+SUMPRODUCT((Inputs!$C$5:$C$140=$B45)*Inputs!$D$5:$D$140*(((Inputs!$G$5:$G$140="moeda")+(Inputs!$G$5:$G$140="acoes"))*Inputs!$B$1+((Inputs!$G$5:$G$140&lt;&gt;"moeda")*(Inputs!$G$5:$G$140&lt;&gt;"acoes")))*INDEX(Inputs!$K$5:$AJ$140,0,MATCH(AC$2,Inputs!$K$4:$AJ$4,0)))+SUMPRODUCT((Inputs!$E$5:$E$140=$B45)*Inputs!$F$5:$F$140*(((Inputs!$G$5:$G$140="moeda")+(Inputs!$G$5:$G$140="acoes"))*Inputs!$B$1+((Inputs!$G$5:$G$140&lt;&gt;"moeda")*(Inputs!$G$5:$G$140&lt;&gt;"acoes")))*INDEX(Inputs!$K$5:$AJ$140,0,MATCH(AC$2,Inputs!$K$4:$AJ$4,0)))))</f>
        <v>137</v>
      </c>
      <c r="AD45" s="6">
        <f>IF(ISNA(MATCH(AD$2,Inputs!$K$4:$AJ$4,0)),NA(),IF(SUMPRODUCT((Inputs!$A$5:$A$140=$B45)*ISNUMBER(INDEX(Inputs!$K$5:$AJ$140,0,MATCH(AD$2,Inputs!$K$4:$AJ$4,0))))+SUMPRODUCT((Inputs!$C$5:$C$140=$B45)*ISNUMBER(INDEX(Inputs!$K$5:$AJ$140,0,MATCH(AD$2,Inputs!$K$4:$AJ$4,0))))+SUMPRODUCT((Inputs!$E$5:$E$140=$B45)*ISNUMBER(INDEX(Inputs!$K$5:$AJ$140,0,MATCH(AD$2,Inputs!$K$4:$AJ$4,0))))=0,NA(),SUMPRODUCT((Inputs!$A$5:$A$140=$B45)*Inputs!$B$5:$B$140*(((Inputs!$G$5:$G$140="moeda")+(Inputs!$G$5:$G$140="acoes"))*Inputs!$B$1+((Inputs!$G$5:$G$140&lt;&gt;"moeda")*(Inputs!$G$5:$G$140&lt;&gt;"acoes")))*INDEX(Inputs!$K$5:$AJ$140,0,MATCH(AD$2,Inputs!$K$4:$AJ$4,0)))+SUMPRODUCT((Inputs!$C$5:$C$140=$B45)*Inputs!$D$5:$D$140*(((Inputs!$G$5:$G$140="moeda")+(Inputs!$G$5:$G$140="acoes"))*Inputs!$B$1+((Inputs!$G$5:$G$140&lt;&gt;"moeda")*(Inputs!$G$5:$G$140&lt;&gt;"acoes")))*INDEX(Inputs!$K$5:$AJ$140,0,MATCH(AD$2,Inputs!$K$4:$AJ$4,0)))+SUMPRODUCT((Inputs!$E$5:$E$140=$B45)*Inputs!$F$5:$F$140*(((Inputs!$G$5:$G$140="moeda")+(Inputs!$G$5:$G$140="acoes"))*Inputs!$B$1+((Inputs!$G$5:$G$140&lt;&gt;"moeda")*(Inputs!$G$5:$G$140&lt;&gt;"acoes")))*INDEX(Inputs!$K$5:$AJ$140,0,MATCH(AD$2,Inputs!$K$4:$AJ$4,0)))))</f>
        <v>-25</v>
      </c>
      <c r="AE45" s="6" t="e">
        <f>IF(ISNA(MATCH(AE$2,Inputs!$K$4:$AJ$4,0)),NA(),IF(SUMPRODUCT((Inputs!$A$5:$A$140=$B45)*ISNUMBER(INDEX(Inputs!$K$5:$AJ$140,0,MATCH(AE$2,Inputs!$K$4:$AJ$4,0))))+SUMPRODUCT((Inputs!$C$5:$C$140=$B45)*ISNUMBER(INDEX(Inputs!$K$5:$AJ$140,0,MATCH(AE$2,Inputs!$K$4:$AJ$4,0))))+SUMPRODUCT((Inputs!$E$5:$E$140=$B45)*ISNUMBER(INDEX(Inputs!$K$5:$AJ$140,0,MATCH(AE$2,Inputs!$K$4:$AJ$4,0))))=0,NA(),SUMPRODUCT((Inputs!$A$5:$A$140=$B45)*Inputs!$B$5:$B$140*(((Inputs!$G$5:$G$140="moeda")+(Inputs!$G$5:$G$140="acoes"))*Inputs!$B$1+((Inputs!$G$5:$G$140&lt;&gt;"moeda")*(Inputs!$G$5:$G$140&lt;&gt;"acoes")))*INDEX(Inputs!$K$5:$AJ$140,0,MATCH(AE$2,Inputs!$K$4:$AJ$4,0)))+SUMPRODUCT((Inputs!$C$5:$C$140=$B45)*Inputs!$D$5:$D$140*(((Inputs!$G$5:$G$140="moeda")+(Inputs!$G$5:$G$140="acoes"))*Inputs!$B$1+((Inputs!$G$5:$G$140&lt;&gt;"moeda")*(Inputs!$G$5:$G$140&lt;&gt;"acoes")))*INDEX(Inputs!$K$5:$AJ$140,0,MATCH(AE$2,Inputs!$K$4:$AJ$4,0)))+SUMPRODUCT((Inputs!$E$5:$E$140=$B45)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45" s="6" t="e">
        <f>IF(ISNA(MATCH(AF$2,Inputs!$K$4:$AJ$4,0)),NA(),IF(SUMPRODUCT((Inputs!$A$5:$A$140=$B45)*ISNUMBER(INDEX(Inputs!$K$5:$AJ$140,0,MATCH(AF$2,Inputs!$K$4:$AJ$4,0))))+SUMPRODUCT((Inputs!$C$5:$C$140=$B45)*ISNUMBER(INDEX(Inputs!$K$5:$AJ$140,0,MATCH(AF$2,Inputs!$K$4:$AJ$4,0))))+SUMPRODUCT((Inputs!$E$5:$E$140=$B45)*ISNUMBER(INDEX(Inputs!$K$5:$AJ$140,0,MATCH(AF$2,Inputs!$K$4:$AJ$4,0))))=0,NA(),SUMPRODUCT((Inputs!$A$5:$A$140=$B45)*Inputs!$B$5:$B$140*(((Inputs!$G$5:$G$140="moeda")+(Inputs!$G$5:$G$140="acoes"))*Inputs!$B$1+((Inputs!$G$5:$G$140&lt;&gt;"moeda")*(Inputs!$G$5:$G$140&lt;&gt;"acoes")))*INDEX(Inputs!$K$5:$AJ$140,0,MATCH(AF$2,Inputs!$K$4:$AJ$4,0)))+SUMPRODUCT((Inputs!$C$5:$C$140=$B45)*Inputs!$D$5:$D$140*(((Inputs!$G$5:$G$140="moeda")+(Inputs!$G$5:$G$140="acoes"))*Inputs!$B$1+((Inputs!$G$5:$G$140&lt;&gt;"moeda")*(Inputs!$G$5:$G$140&lt;&gt;"acoes")))*INDEX(Inputs!$K$5:$AJ$140,0,MATCH(AF$2,Inputs!$K$4:$AJ$4,0)))+SUMPRODUCT((Inputs!$E$5:$E$140=$B45)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45" s="3" t="e">
        <f>AF45</f>
        <v>#N/A</v>
      </c>
      <c r="AH45" s="6">
        <f>IF(ISNA(MATCH(AH$2,Inputs!$K$4:$AJ$4,0)),NA(),IF(SUMPRODUCT((Inputs!$A$5:$A$140=$B45)*ISNUMBER(INDEX(Inputs!$K$5:$AJ$140,0,MATCH(AH$2,Inputs!$K$4:$AJ$4,0))))+SUMPRODUCT((Inputs!$C$5:$C$140=$B45)*ISNUMBER(INDEX(Inputs!$K$5:$AJ$140,0,MATCH(AH$2,Inputs!$K$4:$AJ$4,0))))+SUMPRODUCT((Inputs!$E$5:$E$140=$B45)*ISNUMBER(INDEX(Inputs!$K$5:$AJ$140,0,MATCH(AH$2,Inputs!$K$4:$AJ$4,0))))=0,NA(),SUMPRODUCT((Inputs!$A$5:$A$140=$B45)*Inputs!$B$5:$B$140*(((Inputs!$G$5:$G$140="moeda")+(Inputs!$G$5:$G$140="acoes"))*Inputs!$B$1+((Inputs!$G$5:$G$140&lt;&gt;"moeda")*(Inputs!$G$5:$G$140&lt;&gt;"acoes")))*INDEX(Inputs!$K$5:$AJ$140,0,MATCH(AH$2,Inputs!$K$4:$AJ$4,0)))+SUMPRODUCT((Inputs!$C$5:$C$140=$B45)*Inputs!$D$5:$D$140*(((Inputs!$G$5:$G$140="moeda")+(Inputs!$G$5:$G$140="acoes"))*Inputs!$B$1+((Inputs!$G$5:$G$140&lt;&gt;"moeda")*(Inputs!$G$5:$G$140&lt;&gt;"acoes")))*INDEX(Inputs!$K$5:$AJ$140,0,MATCH(AH$2,Inputs!$K$4:$AJ$4,0)))+SUMPRODUCT((Inputs!$E$5:$E$140=$B45)*Inputs!$F$5:$F$140*(((Inputs!$G$5:$G$140="moeda")+(Inputs!$G$5:$G$140="acoes"))*Inputs!$B$1+((Inputs!$G$5:$G$140&lt;&gt;"moeda")*(Inputs!$G$5:$G$140&lt;&gt;"acoes")))*INDEX(Inputs!$K$5:$AJ$140,0,MATCH(AH$2,Inputs!$K$4:$AJ$4,0)))))</f>
        <v>-10</v>
      </c>
      <c r="AI45" s="6">
        <f>IF(ISNA(MATCH(AI$2,Inputs!$K$4:$AJ$4,0)),NA(),IF(SUMPRODUCT((Inputs!$A$5:$A$140=$B45)*ISNUMBER(INDEX(Inputs!$K$5:$AJ$140,0,MATCH(AI$2,Inputs!$K$4:$AJ$4,0))))+SUMPRODUCT((Inputs!$C$5:$C$140=$B45)*ISNUMBER(INDEX(Inputs!$K$5:$AJ$140,0,MATCH(AI$2,Inputs!$K$4:$AJ$4,0))))+SUMPRODUCT((Inputs!$E$5:$E$140=$B45)*ISNUMBER(INDEX(Inputs!$K$5:$AJ$140,0,MATCH(AI$2,Inputs!$K$4:$AJ$4,0))))=0,NA(),SUMPRODUCT((Inputs!$A$5:$A$140=$B45)*Inputs!$B$5:$B$140*(((Inputs!$G$5:$G$140="moeda")+(Inputs!$G$5:$G$140="acoes"))*Inputs!$B$1+((Inputs!$G$5:$G$140&lt;&gt;"moeda")*(Inputs!$G$5:$G$140&lt;&gt;"acoes")))*INDEX(Inputs!$K$5:$AJ$140,0,MATCH(AI$2,Inputs!$K$4:$AJ$4,0)))+SUMPRODUCT((Inputs!$C$5:$C$140=$B45)*Inputs!$D$5:$D$140*(((Inputs!$G$5:$G$140="moeda")+(Inputs!$G$5:$G$140="acoes"))*Inputs!$B$1+((Inputs!$G$5:$G$140&lt;&gt;"moeda")*(Inputs!$G$5:$G$140&lt;&gt;"acoes")))*INDEX(Inputs!$K$5:$AJ$140,0,MATCH(AI$2,Inputs!$K$4:$AJ$4,0)))+SUMPRODUCT((Inputs!$E$5:$E$140=$B45)*Inputs!$F$5:$F$140*(((Inputs!$G$5:$G$140="moeda")+(Inputs!$G$5:$G$140="acoes"))*Inputs!$B$1+((Inputs!$G$5:$G$140&lt;&gt;"moeda")*(Inputs!$G$5:$G$140&lt;&gt;"acoes")))*INDEX(Inputs!$K$5:$AJ$140,0,MATCH(AI$2,Inputs!$K$4:$AJ$4,0)))))</f>
        <v>4</v>
      </c>
      <c r="AJ45" s="6">
        <f>IF(ISNA(MATCH(AJ$2,Inputs!$K$4:$AJ$4,0)),NA(),IF(SUMPRODUCT((Inputs!$A$5:$A$140=$B45)*ISNUMBER(INDEX(Inputs!$K$5:$AJ$140,0,MATCH(AJ$2,Inputs!$K$4:$AJ$4,0))))+SUMPRODUCT((Inputs!$C$5:$C$140=$B45)*ISNUMBER(INDEX(Inputs!$K$5:$AJ$140,0,MATCH(AJ$2,Inputs!$K$4:$AJ$4,0))))+SUMPRODUCT((Inputs!$E$5:$E$140=$B45)*ISNUMBER(INDEX(Inputs!$K$5:$AJ$140,0,MATCH(AJ$2,Inputs!$K$4:$AJ$4,0))))=0,NA(),SUMPRODUCT((Inputs!$A$5:$A$140=$B45)*Inputs!$B$5:$B$140*(((Inputs!$G$5:$G$140="moeda")+(Inputs!$G$5:$G$140="acoes"))*Inputs!$B$1+((Inputs!$G$5:$G$140&lt;&gt;"moeda")*(Inputs!$G$5:$G$140&lt;&gt;"acoes")))*INDEX(Inputs!$K$5:$AJ$140,0,MATCH(AJ$2,Inputs!$K$4:$AJ$4,0)))+SUMPRODUCT((Inputs!$C$5:$C$140=$B45)*Inputs!$D$5:$D$140*(((Inputs!$G$5:$G$140="moeda")+(Inputs!$G$5:$G$140="acoes"))*Inputs!$B$1+((Inputs!$G$5:$G$140&lt;&gt;"moeda")*(Inputs!$G$5:$G$140&lt;&gt;"acoes")))*INDEX(Inputs!$K$5:$AJ$140,0,MATCH(AJ$2,Inputs!$K$4:$AJ$4,0)))+SUMPRODUCT((Inputs!$E$5:$E$140=$B45)*Inputs!$F$5:$F$140*(((Inputs!$G$5:$G$140="moeda")+(Inputs!$G$5:$G$140="acoes"))*Inputs!$B$1+((Inputs!$G$5:$G$140&lt;&gt;"moeda")*(Inputs!$G$5:$G$140&lt;&gt;"acoes")))*INDEX(Inputs!$K$5:$AJ$140,0,MATCH(AJ$2,Inputs!$K$4:$AJ$4,0)))))</f>
        <v>12</v>
      </c>
      <c r="AK45" s="6">
        <f>IF(ISNA(MATCH(AK$2,Inputs!$K$4:$AJ$4,0)),NA(),IF(SUMPRODUCT((Inputs!$A$5:$A$140=$B45)*ISNUMBER(INDEX(Inputs!$K$5:$AJ$140,0,MATCH(AK$2,Inputs!$K$4:$AJ$4,0))))+SUMPRODUCT((Inputs!$C$5:$C$140=$B45)*ISNUMBER(INDEX(Inputs!$K$5:$AJ$140,0,MATCH(AK$2,Inputs!$K$4:$AJ$4,0))))+SUMPRODUCT((Inputs!$E$5:$E$140=$B45)*ISNUMBER(INDEX(Inputs!$K$5:$AJ$140,0,MATCH(AK$2,Inputs!$K$4:$AJ$4,0))))=0,NA(),SUMPRODUCT((Inputs!$A$5:$A$140=$B45)*Inputs!$B$5:$B$140*(((Inputs!$G$5:$G$140="moeda")+(Inputs!$G$5:$G$140="acoes"))*Inputs!$B$1+((Inputs!$G$5:$G$140&lt;&gt;"moeda")*(Inputs!$G$5:$G$140&lt;&gt;"acoes")))*INDEX(Inputs!$K$5:$AJ$140,0,MATCH(AK$2,Inputs!$K$4:$AJ$4,0)))+SUMPRODUCT((Inputs!$C$5:$C$140=$B45)*Inputs!$D$5:$D$140*(((Inputs!$G$5:$G$140="moeda")+(Inputs!$G$5:$G$140="acoes"))*Inputs!$B$1+((Inputs!$G$5:$G$140&lt;&gt;"moeda")*(Inputs!$G$5:$G$140&lt;&gt;"acoes")))*INDEX(Inputs!$K$5:$AJ$140,0,MATCH(AK$2,Inputs!$K$4:$AJ$4,0)))+SUMPRODUCT((Inputs!$E$5:$E$140=$B45)*Inputs!$F$5:$F$140*(((Inputs!$G$5:$G$140="moeda")+(Inputs!$G$5:$G$140="acoes"))*Inputs!$B$1+((Inputs!$G$5:$G$140&lt;&gt;"moeda")*(Inputs!$G$5:$G$140&lt;&gt;"acoes")))*INDEX(Inputs!$K$5:$AJ$140,0,MATCH(AK$2,Inputs!$K$4:$AJ$4,0)))))</f>
        <v>19</v>
      </c>
      <c r="AL45" s="3">
        <f>AK45</f>
        <v>19</v>
      </c>
    </row>
    <row r="46">
      <c r="B46" s="46" t="n">
        <v>40</v>
      </c>
      <c r="C46" s="26" t="inlineStr">
        <is>
          <t>Other equity account</t>
        </is>
      </c>
      <c r="D46" s="6" t="e">
        <f>IF(ISNA(MATCH(D$2,Inputs!$K$4:$AJ$4,0)),NA(),IF(SUMPRODUCT((Inputs!$A$5:$A$140=$B46)*ISNUMBER(INDEX(Inputs!$K$5:$AJ$140,0,MATCH(D$2,Inputs!$K$4:$AJ$4,0))))+SUMPRODUCT((Inputs!$C$5:$C$140=$B46)*ISNUMBER(INDEX(Inputs!$K$5:$AJ$140,0,MATCH(D$2,Inputs!$K$4:$AJ$4,0))))+SUMPRODUCT((Inputs!$E$5:$E$140=$B46)*ISNUMBER(INDEX(Inputs!$K$5:$AJ$140,0,MATCH(D$2,Inputs!$K$4:$AJ$4,0))))=0,NA(),SUMPRODUCT((Inputs!$A$5:$A$140=$B46)*Inputs!$B$5:$B$140*(((Inputs!$G$5:$G$140="moeda")+(Inputs!$G$5:$G$140="acoes"))*Inputs!$B$1+((Inputs!$G$5:$G$140&lt;&gt;"moeda")*(Inputs!$G$5:$G$140&lt;&gt;"acoes")))*INDEX(Inputs!$K$5:$AJ$140,0,MATCH(D$2,Inputs!$K$4:$AJ$4,0)))+SUMPRODUCT((Inputs!$C$5:$C$140=$B46)*Inputs!$D$5:$D$140*(((Inputs!$G$5:$G$140="moeda")+(Inputs!$G$5:$G$140="acoes"))*Inputs!$B$1+((Inputs!$G$5:$G$140&lt;&gt;"moeda")*(Inputs!$G$5:$G$140&lt;&gt;"acoes")))*INDEX(Inputs!$K$5:$AJ$140,0,MATCH(D$2,Inputs!$K$4:$AJ$4,0)))+SUMPRODUCT((Inputs!$E$5:$E$140=$B46)*Inputs!$F$5:$F$140*(((Inputs!$G$5:$G$140="moeda")+(Inputs!$G$5:$G$140="acoes"))*Inputs!$B$1+((Inputs!$G$5:$G$140&lt;&gt;"moeda")*(Inputs!$G$5:$G$140&lt;&gt;"acoes")))*INDEX(Inputs!$K$5:$AJ$140,0,MATCH(D$2,Inputs!$K$4:$AJ$4,0)))))</f>
        <v>#N/A</v>
      </c>
      <c r="E46" s="6" t="e">
        <f>IF(ISNA(MATCH(E$2,Inputs!$K$4:$AJ$4,0)),NA(),IF(SUMPRODUCT((Inputs!$A$5:$A$140=$B46)*ISNUMBER(INDEX(Inputs!$K$5:$AJ$140,0,MATCH(E$2,Inputs!$K$4:$AJ$4,0))))+SUMPRODUCT((Inputs!$C$5:$C$140=$B46)*ISNUMBER(INDEX(Inputs!$K$5:$AJ$140,0,MATCH(E$2,Inputs!$K$4:$AJ$4,0))))+SUMPRODUCT((Inputs!$E$5:$E$140=$B46)*ISNUMBER(INDEX(Inputs!$K$5:$AJ$140,0,MATCH(E$2,Inputs!$K$4:$AJ$4,0))))=0,NA(),SUMPRODUCT((Inputs!$A$5:$A$140=$B46)*Inputs!$B$5:$B$140*(((Inputs!$G$5:$G$140="moeda")+(Inputs!$G$5:$G$140="acoes"))*Inputs!$B$1+((Inputs!$G$5:$G$140&lt;&gt;"moeda")*(Inputs!$G$5:$G$140&lt;&gt;"acoes")))*INDEX(Inputs!$K$5:$AJ$140,0,MATCH(E$2,Inputs!$K$4:$AJ$4,0)))+SUMPRODUCT((Inputs!$C$5:$C$140=$B46)*Inputs!$D$5:$D$140*(((Inputs!$G$5:$G$140="moeda")+(Inputs!$G$5:$G$140="acoes"))*Inputs!$B$1+((Inputs!$G$5:$G$140&lt;&gt;"moeda")*(Inputs!$G$5:$G$140&lt;&gt;"acoes")))*INDEX(Inputs!$K$5:$AJ$140,0,MATCH(E$2,Inputs!$K$4:$AJ$4,0)))+SUMPRODUCT((Inputs!$E$5:$E$140=$B46)*Inputs!$F$5:$F$140*(((Inputs!$G$5:$G$140="moeda")+(Inputs!$G$5:$G$140="acoes"))*Inputs!$B$1+((Inputs!$G$5:$G$140&lt;&gt;"moeda")*(Inputs!$G$5:$G$140&lt;&gt;"acoes")))*INDEX(Inputs!$K$5:$AJ$140,0,MATCH(E$2,Inputs!$K$4:$AJ$4,0)))))</f>
        <v>#N/A</v>
      </c>
      <c r="F46" s="6" t="e">
        <f>IF(ISNA(MATCH(F$2,Inputs!$K$4:$AJ$4,0)),NA(),IF(SUMPRODUCT((Inputs!$A$5:$A$140=$B46)*ISNUMBER(INDEX(Inputs!$K$5:$AJ$140,0,MATCH(F$2,Inputs!$K$4:$AJ$4,0))))+SUMPRODUCT((Inputs!$C$5:$C$140=$B46)*ISNUMBER(INDEX(Inputs!$K$5:$AJ$140,0,MATCH(F$2,Inputs!$K$4:$AJ$4,0))))+SUMPRODUCT((Inputs!$E$5:$E$140=$B46)*ISNUMBER(INDEX(Inputs!$K$5:$AJ$140,0,MATCH(F$2,Inputs!$K$4:$AJ$4,0))))=0,NA(),SUMPRODUCT((Inputs!$A$5:$A$140=$B46)*Inputs!$B$5:$B$140*(((Inputs!$G$5:$G$140="moeda")+(Inputs!$G$5:$G$140="acoes"))*Inputs!$B$1+((Inputs!$G$5:$G$140&lt;&gt;"moeda")*(Inputs!$G$5:$G$140&lt;&gt;"acoes")))*INDEX(Inputs!$K$5:$AJ$140,0,MATCH(F$2,Inputs!$K$4:$AJ$4,0)))+SUMPRODUCT((Inputs!$C$5:$C$140=$B46)*Inputs!$D$5:$D$140*(((Inputs!$G$5:$G$140="moeda")+(Inputs!$G$5:$G$140="acoes"))*Inputs!$B$1+((Inputs!$G$5:$G$140&lt;&gt;"moeda")*(Inputs!$G$5:$G$140&lt;&gt;"acoes")))*INDEX(Inputs!$K$5:$AJ$140,0,MATCH(F$2,Inputs!$K$4:$AJ$4,0)))+SUMPRODUCT((Inputs!$E$5:$E$140=$B46)*Inputs!$F$5:$F$140*(((Inputs!$G$5:$G$140="moeda")+(Inputs!$G$5:$G$140="acoes"))*Inputs!$B$1+((Inputs!$G$5:$G$140&lt;&gt;"moeda")*(Inputs!$G$5:$G$140&lt;&gt;"acoes")))*INDEX(Inputs!$K$5:$AJ$140,0,MATCH(F$2,Inputs!$K$4:$AJ$4,0)))))</f>
        <v>#N/A</v>
      </c>
      <c r="G46" s="6" t="e">
        <f>IF(ISNA(MATCH(G$2,Inputs!$K$4:$AJ$4,0)),NA(),IF(SUMPRODUCT((Inputs!$A$5:$A$140=$B46)*ISNUMBER(INDEX(Inputs!$K$5:$AJ$140,0,MATCH(G$2,Inputs!$K$4:$AJ$4,0))))+SUMPRODUCT((Inputs!$C$5:$C$140=$B46)*ISNUMBER(INDEX(Inputs!$K$5:$AJ$140,0,MATCH(G$2,Inputs!$K$4:$AJ$4,0))))+SUMPRODUCT((Inputs!$E$5:$E$140=$B46)*ISNUMBER(INDEX(Inputs!$K$5:$AJ$140,0,MATCH(G$2,Inputs!$K$4:$AJ$4,0))))=0,NA(),SUMPRODUCT((Inputs!$A$5:$A$140=$B46)*Inputs!$B$5:$B$140*(((Inputs!$G$5:$G$140="moeda")+(Inputs!$G$5:$G$140="acoes"))*Inputs!$B$1+((Inputs!$G$5:$G$140&lt;&gt;"moeda")*(Inputs!$G$5:$G$140&lt;&gt;"acoes")))*INDEX(Inputs!$K$5:$AJ$140,0,MATCH(G$2,Inputs!$K$4:$AJ$4,0)))+SUMPRODUCT((Inputs!$C$5:$C$140=$B46)*Inputs!$D$5:$D$140*(((Inputs!$G$5:$G$140="moeda")+(Inputs!$G$5:$G$140="acoes"))*Inputs!$B$1+((Inputs!$G$5:$G$140&lt;&gt;"moeda")*(Inputs!$G$5:$G$140&lt;&gt;"acoes")))*INDEX(Inputs!$K$5:$AJ$140,0,MATCH(G$2,Inputs!$K$4:$AJ$4,0)))+SUMPRODUCT((Inputs!$E$5:$E$140=$B46)*Inputs!$F$5:$F$140*(((Inputs!$G$5:$G$140="moeda")+(Inputs!$G$5:$G$140="acoes"))*Inputs!$B$1+((Inputs!$G$5:$G$140&lt;&gt;"moeda")*(Inputs!$G$5:$G$140&lt;&gt;"acoes")))*INDEX(Inputs!$K$5:$AJ$140,0,MATCH(G$2,Inputs!$K$4:$AJ$4,0)))))</f>
        <v>#N/A</v>
      </c>
      <c r="H46" s="3" t="e">
        <f>G46</f>
        <v>#N/A</v>
      </c>
      <c r="I46" s="6" t="e">
        <f>IF(ISNA(MATCH(I$2,Inputs!$K$4:$AJ$4,0)),NA(),IF(SUMPRODUCT((Inputs!$A$5:$A$140=$B46)*ISNUMBER(INDEX(Inputs!$K$5:$AJ$140,0,MATCH(I$2,Inputs!$K$4:$AJ$4,0))))+SUMPRODUCT((Inputs!$C$5:$C$140=$B46)*ISNUMBER(INDEX(Inputs!$K$5:$AJ$140,0,MATCH(I$2,Inputs!$K$4:$AJ$4,0))))+SUMPRODUCT((Inputs!$E$5:$E$140=$B46)*ISNUMBER(INDEX(Inputs!$K$5:$AJ$140,0,MATCH(I$2,Inputs!$K$4:$AJ$4,0))))=0,NA(),SUMPRODUCT((Inputs!$A$5:$A$140=$B46)*Inputs!$B$5:$B$140*(((Inputs!$G$5:$G$140="moeda")+(Inputs!$G$5:$G$140="acoes"))*Inputs!$B$1+((Inputs!$G$5:$G$140&lt;&gt;"moeda")*(Inputs!$G$5:$G$140&lt;&gt;"acoes")))*INDEX(Inputs!$K$5:$AJ$140,0,MATCH(I$2,Inputs!$K$4:$AJ$4,0)))+SUMPRODUCT((Inputs!$C$5:$C$140=$B46)*Inputs!$D$5:$D$140*(((Inputs!$G$5:$G$140="moeda")+(Inputs!$G$5:$G$140="acoes"))*Inputs!$B$1+((Inputs!$G$5:$G$140&lt;&gt;"moeda")*(Inputs!$G$5:$G$140&lt;&gt;"acoes")))*INDEX(Inputs!$K$5:$AJ$140,0,MATCH(I$2,Inputs!$K$4:$AJ$4,0)))+SUMPRODUCT((Inputs!$E$5:$E$140=$B46)*Inputs!$F$5:$F$140*(((Inputs!$G$5:$G$140="moeda")+(Inputs!$G$5:$G$140="acoes"))*Inputs!$B$1+((Inputs!$G$5:$G$140&lt;&gt;"moeda")*(Inputs!$G$5:$G$140&lt;&gt;"acoes")))*INDEX(Inputs!$K$5:$AJ$140,0,MATCH(I$2,Inputs!$K$4:$AJ$4,0)))))</f>
        <v>#N/A</v>
      </c>
      <c r="J46" s="6" t="e">
        <f>IF(ISNA(MATCH(J$2,Inputs!$K$4:$AJ$4,0)),NA(),IF(SUMPRODUCT((Inputs!$A$5:$A$140=$B46)*ISNUMBER(INDEX(Inputs!$K$5:$AJ$140,0,MATCH(J$2,Inputs!$K$4:$AJ$4,0))))+SUMPRODUCT((Inputs!$C$5:$C$140=$B46)*ISNUMBER(INDEX(Inputs!$K$5:$AJ$140,0,MATCH(J$2,Inputs!$K$4:$AJ$4,0))))+SUMPRODUCT((Inputs!$E$5:$E$140=$B46)*ISNUMBER(INDEX(Inputs!$K$5:$AJ$140,0,MATCH(J$2,Inputs!$K$4:$AJ$4,0))))=0,NA(),SUMPRODUCT((Inputs!$A$5:$A$140=$B46)*Inputs!$B$5:$B$140*(((Inputs!$G$5:$G$140="moeda")+(Inputs!$G$5:$G$140="acoes"))*Inputs!$B$1+((Inputs!$G$5:$G$140&lt;&gt;"moeda")*(Inputs!$G$5:$G$140&lt;&gt;"acoes")))*INDEX(Inputs!$K$5:$AJ$140,0,MATCH(J$2,Inputs!$K$4:$AJ$4,0)))+SUMPRODUCT((Inputs!$C$5:$C$140=$B46)*Inputs!$D$5:$D$140*(((Inputs!$G$5:$G$140="moeda")+(Inputs!$G$5:$G$140="acoes"))*Inputs!$B$1+((Inputs!$G$5:$G$140&lt;&gt;"moeda")*(Inputs!$G$5:$G$140&lt;&gt;"acoes")))*INDEX(Inputs!$K$5:$AJ$140,0,MATCH(J$2,Inputs!$K$4:$AJ$4,0)))+SUMPRODUCT((Inputs!$E$5:$E$140=$B46)*Inputs!$F$5:$F$140*(((Inputs!$G$5:$G$140="moeda")+(Inputs!$G$5:$G$140="acoes"))*Inputs!$B$1+((Inputs!$G$5:$G$140&lt;&gt;"moeda")*(Inputs!$G$5:$G$140&lt;&gt;"acoes")))*INDEX(Inputs!$K$5:$AJ$140,0,MATCH(J$2,Inputs!$K$4:$AJ$4,0)))))</f>
        <v>#N/A</v>
      </c>
      <c r="K46" s="6" t="e">
        <f>IF(ISNA(MATCH(K$2,Inputs!$K$4:$AJ$4,0)),NA(),IF(SUMPRODUCT((Inputs!$A$5:$A$140=$B46)*ISNUMBER(INDEX(Inputs!$K$5:$AJ$140,0,MATCH(K$2,Inputs!$K$4:$AJ$4,0))))+SUMPRODUCT((Inputs!$C$5:$C$140=$B46)*ISNUMBER(INDEX(Inputs!$K$5:$AJ$140,0,MATCH(K$2,Inputs!$K$4:$AJ$4,0))))+SUMPRODUCT((Inputs!$E$5:$E$140=$B46)*ISNUMBER(INDEX(Inputs!$K$5:$AJ$140,0,MATCH(K$2,Inputs!$K$4:$AJ$4,0))))=0,NA(),SUMPRODUCT((Inputs!$A$5:$A$140=$B46)*Inputs!$B$5:$B$140*(((Inputs!$G$5:$G$140="moeda")+(Inputs!$G$5:$G$140="acoes"))*Inputs!$B$1+((Inputs!$G$5:$G$140&lt;&gt;"moeda")*(Inputs!$G$5:$G$140&lt;&gt;"acoes")))*INDEX(Inputs!$K$5:$AJ$140,0,MATCH(K$2,Inputs!$K$4:$AJ$4,0)))+SUMPRODUCT((Inputs!$C$5:$C$140=$B46)*Inputs!$D$5:$D$140*(((Inputs!$G$5:$G$140="moeda")+(Inputs!$G$5:$G$140="acoes"))*Inputs!$B$1+((Inputs!$G$5:$G$140&lt;&gt;"moeda")*(Inputs!$G$5:$G$140&lt;&gt;"acoes")))*INDEX(Inputs!$K$5:$AJ$140,0,MATCH(K$2,Inputs!$K$4:$AJ$4,0)))+SUMPRODUCT((Inputs!$E$5:$E$140=$B46)*Inputs!$F$5:$F$140*(((Inputs!$G$5:$G$140="moeda")+(Inputs!$G$5:$G$140="acoes"))*Inputs!$B$1+((Inputs!$G$5:$G$140&lt;&gt;"moeda")*(Inputs!$G$5:$G$140&lt;&gt;"acoes")))*INDEX(Inputs!$K$5:$AJ$140,0,MATCH(K$2,Inputs!$K$4:$AJ$4,0)))))</f>
        <v>#N/A</v>
      </c>
      <c r="L46" s="6" t="e">
        <f>IF(ISNA(MATCH(L$2,Inputs!$K$4:$AJ$4,0)),NA(),IF(SUMPRODUCT((Inputs!$A$5:$A$140=$B46)*ISNUMBER(INDEX(Inputs!$K$5:$AJ$140,0,MATCH(L$2,Inputs!$K$4:$AJ$4,0))))+SUMPRODUCT((Inputs!$C$5:$C$140=$B46)*ISNUMBER(INDEX(Inputs!$K$5:$AJ$140,0,MATCH(L$2,Inputs!$K$4:$AJ$4,0))))+SUMPRODUCT((Inputs!$E$5:$E$140=$B46)*ISNUMBER(INDEX(Inputs!$K$5:$AJ$140,0,MATCH(L$2,Inputs!$K$4:$AJ$4,0))))=0,NA(),SUMPRODUCT((Inputs!$A$5:$A$140=$B46)*Inputs!$B$5:$B$140*(((Inputs!$G$5:$G$140="moeda")+(Inputs!$G$5:$G$140="acoes"))*Inputs!$B$1+((Inputs!$G$5:$G$140&lt;&gt;"moeda")*(Inputs!$G$5:$G$140&lt;&gt;"acoes")))*INDEX(Inputs!$K$5:$AJ$140,0,MATCH(L$2,Inputs!$K$4:$AJ$4,0)))+SUMPRODUCT((Inputs!$C$5:$C$140=$B46)*Inputs!$D$5:$D$140*(((Inputs!$G$5:$G$140="moeda")+(Inputs!$G$5:$G$140="acoes"))*Inputs!$B$1+((Inputs!$G$5:$G$140&lt;&gt;"moeda")*(Inputs!$G$5:$G$140&lt;&gt;"acoes")))*INDEX(Inputs!$K$5:$AJ$140,0,MATCH(L$2,Inputs!$K$4:$AJ$4,0)))+SUMPRODUCT((Inputs!$E$5:$E$140=$B46)*Inputs!$F$5:$F$140*(((Inputs!$G$5:$G$140="moeda")+(Inputs!$G$5:$G$140="acoes"))*Inputs!$B$1+((Inputs!$G$5:$G$140&lt;&gt;"moeda")*(Inputs!$G$5:$G$140&lt;&gt;"acoes")))*INDEX(Inputs!$K$5:$AJ$140,0,MATCH(L$2,Inputs!$K$4:$AJ$4,0)))))</f>
        <v>#N/A</v>
      </c>
      <c r="M46" s="3" t="e">
        <f>L46</f>
        <v>#N/A</v>
      </c>
      <c r="N46" s="6" t="e">
        <f>IF(ISNA(MATCH(N$2,Inputs!$K$4:$AJ$4,0)),NA(),IF(SUMPRODUCT((Inputs!$A$5:$A$140=$B46)*ISNUMBER(INDEX(Inputs!$K$5:$AJ$140,0,MATCH(N$2,Inputs!$K$4:$AJ$4,0))))+SUMPRODUCT((Inputs!$C$5:$C$140=$B46)*ISNUMBER(INDEX(Inputs!$K$5:$AJ$140,0,MATCH(N$2,Inputs!$K$4:$AJ$4,0))))+SUMPRODUCT((Inputs!$E$5:$E$140=$B46)*ISNUMBER(INDEX(Inputs!$K$5:$AJ$140,0,MATCH(N$2,Inputs!$K$4:$AJ$4,0))))=0,NA(),SUMPRODUCT((Inputs!$A$5:$A$140=$B46)*Inputs!$B$5:$B$140*(((Inputs!$G$5:$G$140="moeda")+(Inputs!$G$5:$G$140="acoes"))*Inputs!$B$1+((Inputs!$G$5:$G$140&lt;&gt;"moeda")*(Inputs!$G$5:$G$140&lt;&gt;"acoes")))*INDEX(Inputs!$K$5:$AJ$140,0,MATCH(N$2,Inputs!$K$4:$AJ$4,0)))+SUMPRODUCT((Inputs!$C$5:$C$140=$B46)*Inputs!$D$5:$D$140*(((Inputs!$G$5:$G$140="moeda")+(Inputs!$G$5:$G$140="acoes"))*Inputs!$B$1+((Inputs!$G$5:$G$140&lt;&gt;"moeda")*(Inputs!$G$5:$G$140&lt;&gt;"acoes")))*INDEX(Inputs!$K$5:$AJ$140,0,MATCH(N$2,Inputs!$K$4:$AJ$4,0)))+SUMPRODUCT((Inputs!$E$5:$E$140=$B46)*Inputs!$F$5:$F$140*(((Inputs!$G$5:$G$140="moeda")+(Inputs!$G$5:$G$140="acoes"))*Inputs!$B$1+((Inputs!$G$5:$G$140&lt;&gt;"moeda")*(Inputs!$G$5:$G$140&lt;&gt;"acoes")))*INDEX(Inputs!$K$5:$AJ$140,0,MATCH(N$2,Inputs!$K$4:$AJ$4,0)))))</f>
        <v>#N/A</v>
      </c>
      <c r="O46" s="6" t="e">
        <f>IF(ISNA(MATCH(O$2,Inputs!$K$4:$AJ$4,0)),NA(),IF(SUMPRODUCT((Inputs!$A$5:$A$140=$B46)*ISNUMBER(INDEX(Inputs!$K$5:$AJ$140,0,MATCH(O$2,Inputs!$K$4:$AJ$4,0))))+SUMPRODUCT((Inputs!$C$5:$C$140=$B46)*ISNUMBER(INDEX(Inputs!$K$5:$AJ$140,0,MATCH(O$2,Inputs!$K$4:$AJ$4,0))))+SUMPRODUCT((Inputs!$E$5:$E$140=$B46)*ISNUMBER(INDEX(Inputs!$K$5:$AJ$140,0,MATCH(O$2,Inputs!$K$4:$AJ$4,0))))=0,NA(),SUMPRODUCT((Inputs!$A$5:$A$140=$B46)*Inputs!$B$5:$B$140*(((Inputs!$G$5:$G$140="moeda")+(Inputs!$G$5:$G$140="acoes"))*Inputs!$B$1+((Inputs!$G$5:$G$140&lt;&gt;"moeda")*(Inputs!$G$5:$G$140&lt;&gt;"acoes")))*INDEX(Inputs!$K$5:$AJ$140,0,MATCH(O$2,Inputs!$K$4:$AJ$4,0)))+SUMPRODUCT((Inputs!$C$5:$C$140=$B46)*Inputs!$D$5:$D$140*(((Inputs!$G$5:$G$140="moeda")+(Inputs!$G$5:$G$140="acoes"))*Inputs!$B$1+((Inputs!$G$5:$G$140&lt;&gt;"moeda")*(Inputs!$G$5:$G$140&lt;&gt;"acoes")))*INDEX(Inputs!$K$5:$AJ$140,0,MATCH(O$2,Inputs!$K$4:$AJ$4,0)))+SUMPRODUCT((Inputs!$E$5:$E$140=$B46)*Inputs!$F$5:$F$140*(((Inputs!$G$5:$G$140="moeda")+(Inputs!$G$5:$G$140="acoes"))*Inputs!$B$1+((Inputs!$G$5:$G$140&lt;&gt;"moeda")*(Inputs!$G$5:$G$140&lt;&gt;"acoes")))*INDEX(Inputs!$K$5:$AJ$140,0,MATCH(O$2,Inputs!$K$4:$AJ$4,0)))))</f>
        <v>#N/A</v>
      </c>
      <c r="P46" s="6" t="e">
        <f>IF(ISNA(MATCH(P$2,Inputs!$K$4:$AJ$4,0)),NA(),IF(SUMPRODUCT((Inputs!$A$5:$A$140=$B46)*ISNUMBER(INDEX(Inputs!$K$5:$AJ$140,0,MATCH(P$2,Inputs!$K$4:$AJ$4,0))))+SUMPRODUCT((Inputs!$C$5:$C$140=$B46)*ISNUMBER(INDEX(Inputs!$K$5:$AJ$140,0,MATCH(P$2,Inputs!$K$4:$AJ$4,0))))+SUMPRODUCT((Inputs!$E$5:$E$140=$B46)*ISNUMBER(INDEX(Inputs!$K$5:$AJ$140,0,MATCH(P$2,Inputs!$K$4:$AJ$4,0))))=0,NA(),SUMPRODUCT((Inputs!$A$5:$A$140=$B46)*Inputs!$B$5:$B$140*(((Inputs!$G$5:$G$140="moeda")+(Inputs!$G$5:$G$140="acoes"))*Inputs!$B$1+((Inputs!$G$5:$G$140&lt;&gt;"moeda")*(Inputs!$G$5:$G$140&lt;&gt;"acoes")))*INDEX(Inputs!$K$5:$AJ$140,0,MATCH(P$2,Inputs!$K$4:$AJ$4,0)))+SUMPRODUCT((Inputs!$C$5:$C$140=$B46)*Inputs!$D$5:$D$140*(((Inputs!$G$5:$G$140="moeda")+(Inputs!$G$5:$G$140="acoes"))*Inputs!$B$1+((Inputs!$G$5:$G$140&lt;&gt;"moeda")*(Inputs!$G$5:$G$140&lt;&gt;"acoes")))*INDEX(Inputs!$K$5:$AJ$140,0,MATCH(P$2,Inputs!$K$4:$AJ$4,0)))+SUMPRODUCT((Inputs!$E$5:$E$140=$B46)*Inputs!$F$5:$F$140*(((Inputs!$G$5:$G$140="moeda")+(Inputs!$G$5:$G$140="acoes"))*Inputs!$B$1+((Inputs!$G$5:$G$140&lt;&gt;"moeda")*(Inputs!$G$5:$G$140&lt;&gt;"acoes")))*INDEX(Inputs!$K$5:$AJ$140,0,MATCH(P$2,Inputs!$K$4:$AJ$4,0)))))</f>
        <v>#N/A</v>
      </c>
      <c r="Q46" s="6" t="e">
        <f>IF(ISNA(MATCH(Q$2,Inputs!$K$4:$AJ$4,0)),NA(),IF(SUMPRODUCT((Inputs!$A$5:$A$140=$B46)*ISNUMBER(INDEX(Inputs!$K$5:$AJ$140,0,MATCH(Q$2,Inputs!$K$4:$AJ$4,0))))+SUMPRODUCT((Inputs!$C$5:$C$140=$B46)*ISNUMBER(INDEX(Inputs!$K$5:$AJ$140,0,MATCH(Q$2,Inputs!$K$4:$AJ$4,0))))+SUMPRODUCT((Inputs!$E$5:$E$140=$B46)*ISNUMBER(INDEX(Inputs!$K$5:$AJ$140,0,MATCH(Q$2,Inputs!$K$4:$AJ$4,0))))=0,NA(),SUMPRODUCT((Inputs!$A$5:$A$140=$B46)*Inputs!$B$5:$B$140*(((Inputs!$G$5:$G$140="moeda")+(Inputs!$G$5:$G$140="acoes"))*Inputs!$B$1+((Inputs!$G$5:$G$140&lt;&gt;"moeda")*(Inputs!$G$5:$G$140&lt;&gt;"acoes")))*INDEX(Inputs!$K$5:$AJ$140,0,MATCH(Q$2,Inputs!$K$4:$AJ$4,0)))+SUMPRODUCT((Inputs!$C$5:$C$140=$B46)*Inputs!$D$5:$D$140*(((Inputs!$G$5:$G$140="moeda")+(Inputs!$G$5:$G$140="acoes"))*Inputs!$B$1+((Inputs!$G$5:$G$140&lt;&gt;"moeda")*(Inputs!$G$5:$G$140&lt;&gt;"acoes")))*INDEX(Inputs!$K$5:$AJ$140,0,MATCH(Q$2,Inputs!$K$4:$AJ$4,0)))+SUMPRODUCT((Inputs!$E$5:$E$140=$B46)*Inputs!$F$5:$F$140*(((Inputs!$G$5:$G$140="moeda")+(Inputs!$G$5:$G$140="acoes"))*Inputs!$B$1+((Inputs!$G$5:$G$140&lt;&gt;"moeda")*(Inputs!$G$5:$G$140&lt;&gt;"acoes")))*INDEX(Inputs!$K$5:$AJ$140,0,MATCH(Q$2,Inputs!$K$4:$AJ$4,0)))))</f>
        <v>#N/A</v>
      </c>
      <c r="R46" s="3" t="e">
        <f>Q46</f>
        <v>#N/A</v>
      </c>
      <c r="S46" s="6" t="e">
        <f>IF(ISNA(MATCH(S$2,Inputs!$K$4:$AJ$4,0)),NA(),IF(SUMPRODUCT((Inputs!$A$5:$A$140=$B46)*ISNUMBER(INDEX(Inputs!$K$5:$AJ$140,0,MATCH(S$2,Inputs!$K$4:$AJ$4,0))))+SUMPRODUCT((Inputs!$C$5:$C$140=$B46)*ISNUMBER(INDEX(Inputs!$K$5:$AJ$140,0,MATCH(S$2,Inputs!$K$4:$AJ$4,0))))+SUMPRODUCT((Inputs!$E$5:$E$140=$B46)*ISNUMBER(INDEX(Inputs!$K$5:$AJ$140,0,MATCH(S$2,Inputs!$K$4:$AJ$4,0))))=0,NA(),SUMPRODUCT((Inputs!$A$5:$A$140=$B46)*Inputs!$B$5:$B$140*(((Inputs!$G$5:$G$140="moeda")+(Inputs!$G$5:$G$140="acoes"))*Inputs!$B$1+((Inputs!$G$5:$G$140&lt;&gt;"moeda")*(Inputs!$G$5:$G$140&lt;&gt;"acoes")))*INDEX(Inputs!$K$5:$AJ$140,0,MATCH(S$2,Inputs!$K$4:$AJ$4,0)))+SUMPRODUCT((Inputs!$C$5:$C$140=$B46)*Inputs!$D$5:$D$140*(((Inputs!$G$5:$G$140="moeda")+(Inputs!$G$5:$G$140="acoes"))*Inputs!$B$1+((Inputs!$G$5:$G$140&lt;&gt;"moeda")*(Inputs!$G$5:$G$140&lt;&gt;"acoes")))*INDEX(Inputs!$K$5:$AJ$140,0,MATCH(S$2,Inputs!$K$4:$AJ$4,0)))+SUMPRODUCT((Inputs!$E$5:$E$140=$B46)*Inputs!$F$5:$F$140*(((Inputs!$G$5:$G$140="moeda")+(Inputs!$G$5:$G$140="acoes"))*Inputs!$B$1+((Inputs!$G$5:$G$140&lt;&gt;"moeda")*(Inputs!$G$5:$G$140&lt;&gt;"acoes")))*INDEX(Inputs!$K$5:$AJ$140,0,MATCH(S$2,Inputs!$K$4:$AJ$4,0)))))</f>
        <v>#N/A</v>
      </c>
      <c r="T46" s="6" t="e">
        <f>IF(ISNA(MATCH(T$2,Inputs!$K$4:$AJ$4,0)),NA(),IF(SUMPRODUCT((Inputs!$A$5:$A$140=$B46)*ISNUMBER(INDEX(Inputs!$K$5:$AJ$140,0,MATCH(T$2,Inputs!$K$4:$AJ$4,0))))+SUMPRODUCT((Inputs!$C$5:$C$140=$B46)*ISNUMBER(INDEX(Inputs!$K$5:$AJ$140,0,MATCH(T$2,Inputs!$K$4:$AJ$4,0))))+SUMPRODUCT((Inputs!$E$5:$E$140=$B46)*ISNUMBER(INDEX(Inputs!$K$5:$AJ$140,0,MATCH(T$2,Inputs!$K$4:$AJ$4,0))))=0,NA(),SUMPRODUCT((Inputs!$A$5:$A$140=$B46)*Inputs!$B$5:$B$140*(((Inputs!$G$5:$G$140="moeda")+(Inputs!$G$5:$G$140="acoes"))*Inputs!$B$1+((Inputs!$G$5:$G$140&lt;&gt;"moeda")*(Inputs!$G$5:$G$140&lt;&gt;"acoes")))*INDEX(Inputs!$K$5:$AJ$140,0,MATCH(T$2,Inputs!$K$4:$AJ$4,0)))+SUMPRODUCT((Inputs!$C$5:$C$140=$B46)*Inputs!$D$5:$D$140*(((Inputs!$G$5:$G$140="moeda")+(Inputs!$G$5:$G$140="acoes"))*Inputs!$B$1+((Inputs!$G$5:$G$140&lt;&gt;"moeda")*(Inputs!$G$5:$G$140&lt;&gt;"acoes")))*INDEX(Inputs!$K$5:$AJ$140,0,MATCH(T$2,Inputs!$K$4:$AJ$4,0)))+SUMPRODUCT((Inputs!$E$5:$E$140=$B46)*Inputs!$F$5:$F$140*(((Inputs!$G$5:$G$140="moeda")+(Inputs!$G$5:$G$140="acoes"))*Inputs!$B$1+((Inputs!$G$5:$G$140&lt;&gt;"moeda")*(Inputs!$G$5:$G$140&lt;&gt;"acoes")))*INDEX(Inputs!$K$5:$AJ$140,0,MATCH(T$2,Inputs!$K$4:$AJ$4,0)))))</f>
        <v>#N/A</v>
      </c>
      <c r="U46" s="6" t="e">
        <f>IF(ISNA(MATCH(U$2,Inputs!$K$4:$AJ$4,0)),NA(),IF(SUMPRODUCT((Inputs!$A$5:$A$140=$B46)*ISNUMBER(INDEX(Inputs!$K$5:$AJ$140,0,MATCH(U$2,Inputs!$K$4:$AJ$4,0))))+SUMPRODUCT((Inputs!$C$5:$C$140=$B46)*ISNUMBER(INDEX(Inputs!$K$5:$AJ$140,0,MATCH(U$2,Inputs!$K$4:$AJ$4,0))))+SUMPRODUCT((Inputs!$E$5:$E$140=$B46)*ISNUMBER(INDEX(Inputs!$K$5:$AJ$140,0,MATCH(U$2,Inputs!$K$4:$AJ$4,0))))=0,NA(),SUMPRODUCT((Inputs!$A$5:$A$140=$B46)*Inputs!$B$5:$B$140*(((Inputs!$G$5:$G$140="moeda")+(Inputs!$G$5:$G$140="acoes"))*Inputs!$B$1+((Inputs!$G$5:$G$140&lt;&gt;"moeda")*(Inputs!$G$5:$G$140&lt;&gt;"acoes")))*INDEX(Inputs!$K$5:$AJ$140,0,MATCH(U$2,Inputs!$K$4:$AJ$4,0)))+SUMPRODUCT((Inputs!$C$5:$C$140=$B46)*Inputs!$D$5:$D$140*(((Inputs!$G$5:$G$140="moeda")+(Inputs!$G$5:$G$140="acoes"))*Inputs!$B$1+((Inputs!$G$5:$G$140&lt;&gt;"moeda")*(Inputs!$G$5:$G$140&lt;&gt;"acoes")))*INDEX(Inputs!$K$5:$AJ$140,0,MATCH(U$2,Inputs!$K$4:$AJ$4,0)))+SUMPRODUCT((Inputs!$E$5:$E$140=$B46)*Inputs!$F$5:$F$140*(((Inputs!$G$5:$G$140="moeda")+(Inputs!$G$5:$G$140="acoes"))*Inputs!$B$1+((Inputs!$G$5:$G$140&lt;&gt;"moeda")*(Inputs!$G$5:$G$140&lt;&gt;"acoes")))*INDEX(Inputs!$K$5:$AJ$140,0,MATCH(U$2,Inputs!$K$4:$AJ$4,0)))))</f>
        <v>#N/A</v>
      </c>
      <c r="V46" s="6" t="e">
        <f>IF(ISNA(MATCH(V$2,Inputs!$K$4:$AJ$4,0)),NA(),IF(SUMPRODUCT((Inputs!$A$5:$A$140=$B46)*ISNUMBER(INDEX(Inputs!$K$5:$AJ$140,0,MATCH(V$2,Inputs!$K$4:$AJ$4,0))))+SUMPRODUCT((Inputs!$C$5:$C$140=$B46)*ISNUMBER(INDEX(Inputs!$K$5:$AJ$140,0,MATCH(V$2,Inputs!$K$4:$AJ$4,0))))+SUMPRODUCT((Inputs!$E$5:$E$140=$B46)*ISNUMBER(INDEX(Inputs!$K$5:$AJ$140,0,MATCH(V$2,Inputs!$K$4:$AJ$4,0))))=0,NA(),SUMPRODUCT((Inputs!$A$5:$A$140=$B46)*Inputs!$B$5:$B$140*(((Inputs!$G$5:$G$140="moeda")+(Inputs!$G$5:$G$140="acoes"))*Inputs!$B$1+((Inputs!$G$5:$G$140&lt;&gt;"moeda")*(Inputs!$G$5:$G$140&lt;&gt;"acoes")))*INDEX(Inputs!$K$5:$AJ$140,0,MATCH(V$2,Inputs!$K$4:$AJ$4,0)))+SUMPRODUCT((Inputs!$C$5:$C$140=$B46)*Inputs!$D$5:$D$140*(((Inputs!$G$5:$G$140="moeda")+(Inputs!$G$5:$G$140="acoes"))*Inputs!$B$1+((Inputs!$G$5:$G$140&lt;&gt;"moeda")*(Inputs!$G$5:$G$140&lt;&gt;"acoes")))*INDEX(Inputs!$K$5:$AJ$140,0,MATCH(V$2,Inputs!$K$4:$AJ$4,0)))+SUMPRODUCT((Inputs!$E$5:$E$140=$B46)*Inputs!$F$5:$F$140*(((Inputs!$G$5:$G$140="moeda")+(Inputs!$G$5:$G$140="acoes"))*Inputs!$B$1+((Inputs!$G$5:$G$140&lt;&gt;"moeda")*(Inputs!$G$5:$G$140&lt;&gt;"acoes")))*INDEX(Inputs!$K$5:$AJ$140,0,MATCH(V$2,Inputs!$K$4:$AJ$4,0)))))</f>
        <v>#N/A</v>
      </c>
      <c r="W46" s="3" t="e">
        <f>V46</f>
        <v>#N/A</v>
      </c>
      <c r="X46" s="6" t="e">
        <f>IF(ISNA(MATCH(X$2,Inputs!$K$4:$AJ$4,0)),NA(),IF(SUMPRODUCT((Inputs!$A$5:$A$140=$B46)*ISNUMBER(INDEX(Inputs!$K$5:$AJ$140,0,MATCH(X$2,Inputs!$K$4:$AJ$4,0))))+SUMPRODUCT((Inputs!$C$5:$C$140=$B46)*ISNUMBER(INDEX(Inputs!$K$5:$AJ$140,0,MATCH(X$2,Inputs!$K$4:$AJ$4,0))))+SUMPRODUCT((Inputs!$E$5:$E$140=$B46)*ISNUMBER(INDEX(Inputs!$K$5:$AJ$140,0,MATCH(X$2,Inputs!$K$4:$AJ$4,0))))=0,NA(),SUMPRODUCT((Inputs!$A$5:$A$140=$B46)*Inputs!$B$5:$B$140*(((Inputs!$G$5:$G$140="moeda")+(Inputs!$G$5:$G$140="acoes"))*Inputs!$B$1+((Inputs!$G$5:$G$140&lt;&gt;"moeda")*(Inputs!$G$5:$G$140&lt;&gt;"acoes")))*INDEX(Inputs!$K$5:$AJ$140,0,MATCH(X$2,Inputs!$K$4:$AJ$4,0)))+SUMPRODUCT((Inputs!$C$5:$C$140=$B46)*Inputs!$D$5:$D$140*(((Inputs!$G$5:$G$140="moeda")+(Inputs!$G$5:$G$140="acoes"))*Inputs!$B$1+((Inputs!$G$5:$G$140&lt;&gt;"moeda")*(Inputs!$G$5:$G$140&lt;&gt;"acoes")))*INDEX(Inputs!$K$5:$AJ$140,0,MATCH(X$2,Inputs!$K$4:$AJ$4,0)))+SUMPRODUCT((Inputs!$E$5:$E$140=$B46)*Inputs!$F$5:$F$140*(((Inputs!$G$5:$G$140="moeda")+(Inputs!$G$5:$G$140="acoes"))*Inputs!$B$1+((Inputs!$G$5:$G$140&lt;&gt;"moeda")*(Inputs!$G$5:$G$140&lt;&gt;"acoes")))*INDEX(Inputs!$K$5:$AJ$140,0,MATCH(X$2,Inputs!$K$4:$AJ$4,0)))))</f>
        <v>#N/A</v>
      </c>
      <c r="Y46" s="6" t="e">
        <f>IF(ISNA(MATCH(Y$2,Inputs!$K$4:$AJ$4,0)),NA(),IF(SUMPRODUCT((Inputs!$A$5:$A$140=$B46)*ISNUMBER(INDEX(Inputs!$K$5:$AJ$140,0,MATCH(Y$2,Inputs!$K$4:$AJ$4,0))))+SUMPRODUCT((Inputs!$C$5:$C$140=$B46)*ISNUMBER(INDEX(Inputs!$K$5:$AJ$140,0,MATCH(Y$2,Inputs!$K$4:$AJ$4,0))))+SUMPRODUCT((Inputs!$E$5:$E$140=$B46)*ISNUMBER(INDEX(Inputs!$K$5:$AJ$140,0,MATCH(Y$2,Inputs!$K$4:$AJ$4,0))))=0,NA(),SUMPRODUCT((Inputs!$A$5:$A$140=$B46)*Inputs!$B$5:$B$140*(((Inputs!$G$5:$G$140="moeda")+(Inputs!$G$5:$G$140="acoes"))*Inputs!$B$1+((Inputs!$G$5:$G$140&lt;&gt;"moeda")*(Inputs!$G$5:$G$140&lt;&gt;"acoes")))*INDEX(Inputs!$K$5:$AJ$140,0,MATCH(Y$2,Inputs!$K$4:$AJ$4,0)))+SUMPRODUCT((Inputs!$C$5:$C$140=$B46)*Inputs!$D$5:$D$140*(((Inputs!$G$5:$G$140="moeda")+(Inputs!$G$5:$G$140="acoes"))*Inputs!$B$1+((Inputs!$G$5:$G$140&lt;&gt;"moeda")*(Inputs!$G$5:$G$140&lt;&gt;"acoes")))*INDEX(Inputs!$K$5:$AJ$140,0,MATCH(Y$2,Inputs!$K$4:$AJ$4,0)))+SUMPRODUCT((Inputs!$E$5:$E$140=$B46)*Inputs!$F$5:$F$140*(((Inputs!$G$5:$G$140="moeda")+(Inputs!$G$5:$G$140="acoes"))*Inputs!$B$1+((Inputs!$G$5:$G$140&lt;&gt;"moeda")*(Inputs!$G$5:$G$140&lt;&gt;"acoes")))*INDEX(Inputs!$K$5:$AJ$140,0,MATCH(Y$2,Inputs!$K$4:$AJ$4,0)))))</f>
        <v>#N/A</v>
      </c>
      <c r="Z46" s="6" t="e">
        <f>IF(ISNA(MATCH(Z$2,Inputs!$K$4:$AJ$4,0)),NA(),IF(SUMPRODUCT((Inputs!$A$5:$A$140=$B46)*ISNUMBER(INDEX(Inputs!$K$5:$AJ$140,0,MATCH(Z$2,Inputs!$K$4:$AJ$4,0))))+SUMPRODUCT((Inputs!$C$5:$C$140=$B46)*ISNUMBER(INDEX(Inputs!$K$5:$AJ$140,0,MATCH(Z$2,Inputs!$K$4:$AJ$4,0))))+SUMPRODUCT((Inputs!$E$5:$E$140=$B46)*ISNUMBER(INDEX(Inputs!$K$5:$AJ$140,0,MATCH(Z$2,Inputs!$K$4:$AJ$4,0))))=0,NA(),SUMPRODUCT((Inputs!$A$5:$A$140=$B46)*Inputs!$B$5:$B$140*(((Inputs!$G$5:$G$140="moeda")+(Inputs!$G$5:$G$140="acoes"))*Inputs!$B$1+((Inputs!$G$5:$G$140&lt;&gt;"moeda")*(Inputs!$G$5:$G$140&lt;&gt;"acoes")))*INDEX(Inputs!$K$5:$AJ$140,0,MATCH(Z$2,Inputs!$K$4:$AJ$4,0)))+SUMPRODUCT((Inputs!$C$5:$C$140=$B46)*Inputs!$D$5:$D$140*(((Inputs!$G$5:$G$140="moeda")+(Inputs!$G$5:$G$140="acoes"))*Inputs!$B$1+((Inputs!$G$5:$G$140&lt;&gt;"moeda")*(Inputs!$G$5:$G$140&lt;&gt;"acoes")))*INDEX(Inputs!$K$5:$AJ$140,0,MATCH(Z$2,Inputs!$K$4:$AJ$4,0)))+SUMPRODUCT((Inputs!$E$5:$E$140=$B46)*Inputs!$F$5:$F$140*(((Inputs!$G$5:$G$140="moeda")+(Inputs!$G$5:$G$140="acoes"))*Inputs!$B$1+((Inputs!$G$5:$G$140&lt;&gt;"moeda")*(Inputs!$G$5:$G$140&lt;&gt;"acoes")))*INDEX(Inputs!$K$5:$AJ$140,0,MATCH(Z$2,Inputs!$K$4:$AJ$4,0)))))</f>
        <v>#N/A</v>
      </c>
      <c r="AA46" s="6" t="e">
        <f>IF(ISNA(MATCH(AA$2,Inputs!$K$4:$AJ$4,0)),NA(),IF(SUMPRODUCT((Inputs!$A$5:$A$140=$B46)*ISNUMBER(INDEX(Inputs!$K$5:$AJ$140,0,MATCH(AA$2,Inputs!$K$4:$AJ$4,0))))+SUMPRODUCT((Inputs!$C$5:$C$140=$B46)*ISNUMBER(INDEX(Inputs!$K$5:$AJ$140,0,MATCH(AA$2,Inputs!$K$4:$AJ$4,0))))+SUMPRODUCT((Inputs!$E$5:$E$140=$B46)*ISNUMBER(INDEX(Inputs!$K$5:$AJ$140,0,MATCH(AA$2,Inputs!$K$4:$AJ$4,0))))=0,NA(),SUMPRODUCT((Inputs!$A$5:$A$140=$B46)*Inputs!$B$5:$B$140*(((Inputs!$G$5:$G$140="moeda")+(Inputs!$G$5:$G$140="acoes"))*Inputs!$B$1+((Inputs!$G$5:$G$140&lt;&gt;"moeda")*(Inputs!$G$5:$G$140&lt;&gt;"acoes")))*INDEX(Inputs!$K$5:$AJ$140,0,MATCH(AA$2,Inputs!$K$4:$AJ$4,0)))+SUMPRODUCT((Inputs!$C$5:$C$140=$B46)*Inputs!$D$5:$D$140*(((Inputs!$G$5:$G$140="moeda")+(Inputs!$G$5:$G$140="acoes"))*Inputs!$B$1+((Inputs!$G$5:$G$140&lt;&gt;"moeda")*(Inputs!$G$5:$G$140&lt;&gt;"acoes")))*INDEX(Inputs!$K$5:$AJ$140,0,MATCH(AA$2,Inputs!$K$4:$AJ$4,0)))+SUMPRODUCT((Inputs!$E$5:$E$140=$B46)*Inputs!$F$5:$F$140*(((Inputs!$G$5:$G$140="moeda")+(Inputs!$G$5:$G$140="acoes"))*Inputs!$B$1+((Inputs!$G$5:$G$140&lt;&gt;"moeda")*(Inputs!$G$5:$G$140&lt;&gt;"acoes")))*INDEX(Inputs!$K$5:$AJ$140,0,MATCH(AA$2,Inputs!$K$4:$AJ$4,0)))))</f>
        <v>#N/A</v>
      </c>
      <c r="AB46" s="3" t="e">
        <f>AA46</f>
        <v>#N/A</v>
      </c>
      <c r="AC46" s="6" t="e">
        <f>IF(ISNA(MATCH(AC$2,Inputs!$K$4:$AJ$4,0)),NA(),IF(SUMPRODUCT((Inputs!$A$5:$A$140=$B46)*ISNUMBER(INDEX(Inputs!$K$5:$AJ$140,0,MATCH(AC$2,Inputs!$K$4:$AJ$4,0))))+SUMPRODUCT((Inputs!$C$5:$C$140=$B46)*ISNUMBER(INDEX(Inputs!$K$5:$AJ$140,0,MATCH(AC$2,Inputs!$K$4:$AJ$4,0))))+SUMPRODUCT((Inputs!$E$5:$E$140=$B46)*ISNUMBER(INDEX(Inputs!$K$5:$AJ$140,0,MATCH(AC$2,Inputs!$K$4:$AJ$4,0))))=0,NA(),SUMPRODUCT((Inputs!$A$5:$A$140=$B46)*Inputs!$B$5:$B$140*(((Inputs!$G$5:$G$140="moeda")+(Inputs!$G$5:$G$140="acoes"))*Inputs!$B$1+((Inputs!$G$5:$G$140&lt;&gt;"moeda")*(Inputs!$G$5:$G$140&lt;&gt;"acoes")))*INDEX(Inputs!$K$5:$AJ$140,0,MATCH(AC$2,Inputs!$K$4:$AJ$4,0)))+SUMPRODUCT((Inputs!$C$5:$C$140=$B46)*Inputs!$D$5:$D$140*(((Inputs!$G$5:$G$140="moeda")+(Inputs!$G$5:$G$140="acoes"))*Inputs!$B$1+((Inputs!$G$5:$G$140&lt;&gt;"moeda")*(Inputs!$G$5:$G$140&lt;&gt;"acoes")))*INDEX(Inputs!$K$5:$AJ$140,0,MATCH(AC$2,Inputs!$K$4:$AJ$4,0)))+SUMPRODUCT((Inputs!$E$5:$E$140=$B46)*Inputs!$F$5:$F$140*(((Inputs!$G$5:$G$140="moeda")+(Inputs!$G$5:$G$140="acoes"))*Inputs!$B$1+((Inputs!$G$5:$G$140&lt;&gt;"moeda")*(Inputs!$G$5:$G$140&lt;&gt;"acoes")))*INDEX(Inputs!$K$5:$AJ$140,0,MATCH(AC$2,Inputs!$K$4:$AJ$4,0)))))</f>
        <v>#N/A</v>
      </c>
      <c r="AD46" s="6" t="e">
        <f>IF(ISNA(MATCH(AD$2,Inputs!$K$4:$AJ$4,0)),NA(),IF(SUMPRODUCT((Inputs!$A$5:$A$140=$B46)*ISNUMBER(INDEX(Inputs!$K$5:$AJ$140,0,MATCH(AD$2,Inputs!$K$4:$AJ$4,0))))+SUMPRODUCT((Inputs!$C$5:$C$140=$B46)*ISNUMBER(INDEX(Inputs!$K$5:$AJ$140,0,MATCH(AD$2,Inputs!$K$4:$AJ$4,0))))+SUMPRODUCT((Inputs!$E$5:$E$140=$B46)*ISNUMBER(INDEX(Inputs!$K$5:$AJ$140,0,MATCH(AD$2,Inputs!$K$4:$AJ$4,0))))=0,NA(),SUMPRODUCT((Inputs!$A$5:$A$140=$B46)*Inputs!$B$5:$B$140*(((Inputs!$G$5:$G$140="moeda")+(Inputs!$G$5:$G$140="acoes"))*Inputs!$B$1+((Inputs!$G$5:$G$140&lt;&gt;"moeda")*(Inputs!$G$5:$G$140&lt;&gt;"acoes")))*INDEX(Inputs!$K$5:$AJ$140,0,MATCH(AD$2,Inputs!$K$4:$AJ$4,0)))+SUMPRODUCT((Inputs!$C$5:$C$140=$B46)*Inputs!$D$5:$D$140*(((Inputs!$G$5:$G$140="moeda")+(Inputs!$G$5:$G$140="acoes"))*Inputs!$B$1+((Inputs!$G$5:$G$140&lt;&gt;"moeda")*(Inputs!$G$5:$G$140&lt;&gt;"acoes")))*INDEX(Inputs!$K$5:$AJ$140,0,MATCH(AD$2,Inputs!$K$4:$AJ$4,0)))+SUMPRODUCT((Inputs!$E$5:$E$140=$B46)*Inputs!$F$5:$F$140*(((Inputs!$G$5:$G$140="moeda")+(Inputs!$G$5:$G$140="acoes"))*Inputs!$B$1+((Inputs!$G$5:$G$140&lt;&gt;"moeda")*(Inputs!$G$5:$G$140&lt;&gt;"acoes")))*INDEX(Inputs!$K$5:$AJ$140,0,MATCH(AD$2,Inputs!$K$4:$AJ$4,0)))))</f>
        <v>#N/A</v>
      </c>
      <c r="AE46" s="6" t="e">
        <f>IF(ISNA(MATCH(AE$2,Inputs!$K$4:$AJ$4,0)),NA(),IF(SUMPRODUCT((Inputs!$A$5:$A$140=$B46)*ISNUMBER(INDEX(Inputs!$K$5:$AJ$140,0,MATCH(AE$2,Inputs!$K$4:$AJ$4,0))))+SUMPRODUCT((Inputs!$C$5:$C$140=$B46)*ISNUMBER(INDEX(Inputs!$K$5:$AJ$140,0,MATCH(AE$2,Inputs!$K$4:$AJ$4,0))))+SUMPRODUCT((Inputs!$E$5:$E$140=$B46)*ISNUMBER(INDEX(Inputs!$K$5:$AJ$140,0,MATCH(AE$2,Inputs!$K$4:$AJ$4,0))))=0,NA(),SUMPRODUCT((Inputs!$A$5:$A$140=$B46)*Inputs!$B$5:$B$140*(((Inputs!$G$5:$G$140="moeda")+(Inputs!$G$5:$G$140="acoes"))*Inputs!$B$1+((Inputs!$G$5:$G$140&lt;&gt;"moeda")*(Inputs!$G$5:$G$140&lt;&gt;"acoes")))*INDEX(Inputs!$K$5:$AJ$140,0,MATCH(AE$2,Inputs!$K$4:$AJ$4,0)))+SUMPRODUCT((Inputs!$C$5:$C$140=$B46)*Inputs!$D$5:$D$140*(((Inputs!$G$5:$G$140="moeda")+(Inputs!$G$5:$G$140="acoes"))*Inputs!$B$1+((Inputs!$G$5:$G$140&lt;&gt;"moeda")*(Inputs!$G$5:$G$140&lt;&gt;"acoes")))*INDEX(Inputs!$K$5:$AJ$140,0,MATCH(AE$2,Inputs!$K$4:$AJ$4,0)))+SUMPRODUCT((Inputs!$E$5:$E$140=$B46)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46" s="6" t="e">
        <f>IF(ISNA(MATCH(AF$2,Inputs!$K$4:$AJ$4,0)),NA(),IF(SUMPRODUCT((Inputs!$A$5:$A$140=$B46)*ISNUMBER(INDEX(Inputs!$K$5:$AJ$140,0,MATCH(AF$2,Inputs!$K$4:$AJ$4,0))))+SUMPRODUCT((Inputs!$C$5:$C$140=$B46)*ISNUMBER(INDEX(Inputs!$K$5:$AJ$140,0,MATCH(AF$2,Inputs!$K$4:$AJ$4,0))))+SUMPRODUCT((Inputs!$E$5:$E$140=$B46)*ISNUMBER(INDEX(Inputs!$K$5:$AJ$140,0,MATCH(AF$2,Inputs!$K$4:$AJ$4,0))))=0,NA(),SUMPRODUCT((Inputs!$A$5:$A$140=$B46)*Inputs!$B$5:$B$140*(((Inputs!$G$5:$G$140="moeda")+(Inputs!$G$5:$G$140="acoes"))*Inputs!$B$1+((Inputs!$G$5:$G$140&lt;&gt;"moeda")*(Inputs!$G$5:$G$140&lt;&gt;"acoes")))*INDEX(Inputs!$K$5:$AJ$140,0,MATCH(AF$2,Inputs!$K$4:$AJ$4,0)))+SUMPRODUCT((Inputs!$C$5:$C$140=$B46)*Inputs!$D$5:$D$140*(((Inputs!$G$5:$G$140="moeda")+(Inputs!$G$5:$G$140="acoes"))*Inputs!$B$1+((Inputs!$G$5:$G$140&lt;&gt;"moeda")*(Inputs!$G$5:$G$140&lt;&gt;"acoes")))*INDEX(Inputs!$K$5:$AJ$140,0,MATCH(AF$2,Inputs!$K$4:$AJ$4,0)))+SUMPRODUCT((Inputs!$E$5:$E$140=$B46)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46" s="3" t="e">
        <f>AF46</f>
        <v>#N/A</v>
      </c>
      <c r="AH46" s="6" t="e">
        <f>IF(ISNA(MATCH(AH$2,Inputs!$K$4:$AJ$4,0)),NA(),IF(SUMPRODUCT((Inputs!$A$5:$A$140=$B46)*ISNUMBER(INDEX(Inputs!$K$5:$AJ$140,0,MATCH(AH$2,Inputs!$K$4:$AJ$4,0))))+SUMPRODUCT((Inputs!$C$5:$C$140=$B46)*ISNUMBER(INDEX(Inputs!$K$5:$AJ$140,0,MATCH(AH$2,Inputs!$K$4:$AJ$4,0))))+SUMPRODUCT((Inputs!$E$5:$E$140=$B46)*ISNUMBER(INDEX(Inputs!$K$5:$AJ$140,0,MATCH(AH$2,Inputs!$K$4:$AJ$4,0))))=0,NA(),SUMPRODUCT((Inputs!$A$5:$A$140=$B46)*Inputs!$B$5:$B$140*(((Inputs!$G$5:$G$140="moeda")+(Inputs!$G$5:$G$140="acoes"))*Inputs!$B$1+((Inputs!$G$5:$G$140&lt;&gt;"moeda")*(Inputs!$G$5:$G$140&lt;&gt;"acoes")))*INDEX(Inputs!$K$5:$AJ$140,0,MATCH(AH$2,Inputs!$K$4:$AJ$4,0)))+SUMPRODUCT((Inputs!$C$5:$C$140=$B46)*Inputs!$D$5:$D$140*(((Inputs!$G$5:$G$140="moeda")+(Inputs!$G$5:$G$140="acoes"))*Inputs!$B$1+((Inputs!$G$5:$G$140&lt;&gt;"moeda")*(Inputs!$G$5:$G$140&lt;&gt;"acoes")))*INDEX(Inputs!$K$5:$AJ$140,0,MATCH(AH$2,Inputs!$K$4:$AJ$4,0)))+SUMPRODUCT((Inputs!$E$5:$E$140=$B46)*Inputs!$F$5:$F$140*(((Inputs!$G$5:$G$140="moeda")+(Inputs!$G$5:$G$140="acoes"))*Inputs!$B$1+((Inputs!$G$5:$G$140&lt;&gt;"moeda")*(Inputs!$G$5:$G$140&lt;&gt;"acoes")))*INDEX(Inputs!$K$5:$AJ$140,0,MATCH(AH$2,Inputs!$K$4:$AJ$4,0)))))</f>
        <v>#N/A</v>
      </c>
      <c r="AI46" s="6" t="e">
        <f>IF(ISNA(MATCH(AI$2,Inputs!$K$4:$AJ$4,0)),NA(),IF(SUMPRODUCT((Inputs!$A$5:$A$140=$B46)*ISNUMBER(INDEX(Inputs!$K$5:$AJ$140,0,MATCH(AI$2,Inputs!$K$4:$AJ$4,0))))+SUMPRODUCT((Inputs!$C$5:$C$140=$B46)*ISNUMBER(INDEX(Inputs!$K$5:$AJ$140,0,MATCH(AI$2,Inputs!$K$4:$AJ$4,0))))+SUMPRODUCT((Inputs!$E$5:$E$140=$B46)*ISNUMBER(INDEX(Inputs!$K$5:$AJ$140,0,MATCH(AI$2,Inputs!$K$4:$AJ$4,0))))=0,NA(),SUMPRODUCT((Inputs!$A$5:$A$140=$B46)*Inputs!$B$5:$B$140*(((Inputs!$G$5:$G$140="moeda")+(Inputs!$G$5:$G$140="acoes"))*Inputs!$B$1+((Inputs!$G$5:$G$140&lt;&gt;"moeda")*(Inputs!$G$5:$G$140&lt;&gt;"acoes")))*INDEX(Inputs!$K$5:$AJ$140,0,MATCH(AI$2,Inputs!$K$4:$AJ$4,0)))+SUMPRODUCT((Inputs!$C$5:$C$140=$B46)*Inputs!$D$5:$D$140*(((Inputs!$G$5:$G$140="moeda")+(Inputs!$G$5:$G$140="acoes"))*Inputs!$B$1+((Inputs!$G$5:$G$140&lt;&gt;"moeda")*(Inputs!$G$5:$G$140&lt;&gt;"acoes")))*INDEX(Inputs!$K$5:$AJ$140,0,MATCH(AI$2,Inputs!$K$4:$AJ$4,0)))+SUMPRODUCT((Inputs!$E$5:$E$140=$B46)*Inputs!$F$5:$F$140*(((Inputs!$G$5:$G$140="moeda")+(Inputs!$G$5:$G$140="acoes"))*Inputs!$B$1+((Inputs!$G$5:$G$140&lt;&gt;"moeda")*(Inputs!$G$5:$G$140&lt;&gt;"acoes")))*INDEX(Inputs!$K$5:$AJ$140,0,MATCH(AI$2,Inputs!$K$4:$AJ$4,0)))))</f>
        <v>#N/A</v>
      </c>
      <c r="AJ46" s="6" t="e">
        <f>IF(ISNA(MATCH(AJ$2,Inputs!$K$4:$AJ$4,0)),NA(),IF(SUMPRODUCT((Inputs!$A$5:$A$140=$B46)*ISNUMBER(INDEX(Inputs!$K$5:$AJ$140,0,MATCH(AJ$2,Inputs!$K$4:$AJ$4,0))))+SUMPRODUCT((Inputs!$C$5:$C$140=$B46)*ISNUMBER(INDEX(Inputs!$K$5:$AJ$140,0,MATCH(AJ$2,Inputs!$K$4:$AJ$4,0))))+SUMPRODUCT((Inputs!$E$5:$E$140=$B46)*ISNUMBER(INDEX(Inputs!$K$5:$AJ$140,0,MATCH(AJ$2,Inputs!$K$4:$AJ$4,0))))=0,NA(),SUMPRODUCT((Inputs!$A$5:$A$140=$B46)*Inputs!$B$5:$B$140*(((Inputs!$G$5:$G$140="moeda")+(Inputs!$G$5:$G$140="acoes"))*Inputs!$B$1+((Inputs!$G$5:$G$140&lt;&gt;"moeda")*(Inputs!$G$5:$G$140&lt;&gt;"acoes")))*INDEX(Inputs!$K$5:$AJ$140,0,MATCH(AJ$2,Inputs!$K$4:$AJ$4,0)))+SUMPRODUCT((Inputs!$C$5:$C$140=$B46)*Inputs!$D$5:$D$140*(((Inputs!$G$5:$G$140="moeda")+(Inputs!$G$5:$G$140="acoes"))*Inputs!$B$1+((Inputs!$G$5:$G$140&lt;&gt;"moeda")*(Inputs!$G$5:$G$140&lt;&gt;"acoes")))*INDEX(Inputs!$K$5:$AJ$140,0,MATCH(AJ$2,Inputs!$K$4:$AJ$4,0)))+SUMPRODUCT((Inputs!$E$5:$E$140=$B46)*Inputs!$F$5:$F$140*(((Inputs!$G$5:$G$140="moeda")+(Inputs!$G$5:$G$140="acoes"))*Inputs!$B$1+((Inputs!$G$5:$G$140&lt;&gt;"moeda")*(Inputs!$G$5:$G$140&lt;&gt;"acoes")))*INDEX(Inputs!$K$5:$AJ$140,0,MATCH(AJ$2,Inputs!$K$4:$AJ$4,0)))))</f>
        <v>#N/A</v>
      </c>
      <c r="AK46" s="6" t="e">
        <f>IF(ISNA(MATCH(AK$2,Inputs!$K$4:$AJ$4,0)),NA(),IF(SUMPRODUCT((Inputs!$A$5:$A$140=$B46)*ISNUMBER(INDEX(Inputs!$K$5:$AJ$140,0,MATCH(AK$2,Inputs!$K$4:$AJ$4,0))))+SUMPRODUCT((Inputs!$C$5:$C$140=$B46)*ISNUMBER(INDEX(Inputs!$K$5:$AJ$140,0,MATCH(AK$2,Inputs!$K$4:$AJ$4,0))))+SUMPRODUCT((Inputs!$E$5:$E$140=$B46)*ISNUMBER(INDEX(Inputs!$K$5:$AJ$140,0,MATCH(AK$2,Inputs!$K$4:$AJ$4,0))))=0,NA(),SUMPRODUCT((Inputs!$A$5:$A$140=$B46)*Inputs!$B$5:$B$140*(((Inputs!$G$5:$G$140="moeda")+(Inputs!$G$5:$G$140="acoes"))*Inputs!$B$1+((Inputs!$G$5:$G$140&lt;&gt;"moeda")*(Inputs!$G$5:$G$140&lt;&gt;"acoes")))*INDEX(Inputs!$K$5:$AJ$140,0,MATCH(AK$2,Inputs!$K$4:$AJ$4,0)))+SUMPRODUCT((Inputs!$C$5:$C$140=$B46)*Inputs!$D$5:$D$140*(((Inputs!$G$5:$G$140="moeda")+(Inputs!$G$5:$G$140="acoes"))*Inputs!$B$1+((Inputs!$G$5:$G$140&lt;&gt;"moeda")*(Inputs!$G$5:$G$140&lt;&gt;"acoes")))*INDEX(Inputs!$K$5:$AJ$140,0,MATCH(AK$2,Inputs!$K$4:$AJ$4,0)))+SUMPRODUCT((Inputs!$E$5:$E$140=$B46)*Inputs!$F$5:$F$140*(((Inputs!$G$5:$G$140="moeda")+(Inputs!$G$5:$G$140="acoes"))*Inputs!$B$1+((Inputs!$G$5:$G$140&lt;&gt;"moeda")*(Inputs!$G$5:$G$140&lt;&gt;"acoes")))*INDEX(Inputs!$K$5:$AJ$140,0,MATCH(AK$2,Inputs!$K$4:$AJ$4,0)))))</f>
        <v>#N/A</v>
      </c>
      <c r="AL46" s="3" t="e">
        <f>AK46</f>
        <v>#N/A</v>
      </c>
    </row>
    <row r="47">
      <c r="B47" s="46" t="n">
        <v>41</v>
      </c>
      <c r="C47" s="28" t="inlineStr">
        <is>
          <t>Retained earnings</t>
        </is>
      </c>
      <c r="D47" s="6">
        <f>IF(ISNA(MATCH(D$2,Inputs!$K$4:$AJ$4,0)),NA(),IF(SUMPRODUCT((Inputs!$A$5:$A$140=$B47)*ISNUMBER(INDEX(Inputs!$K$5:$AJ$140,0,MATCH(D$2,Inputs!$K$4:$AJ$4,0))))+SUMPRODUCT((Inputs!$C$5:$C$140=$B47)*ISNUMBER(INDEX(Inputs!$K$5:$AJ$140,0,MATCH(D$2,Inputs!$K$4:$AJ$4,0))))+SUMPRODUCT((Inputs!$E$5:$E$140=$B47)*ISNUMBER(INDEX(Inputs!$K$5:$AJ$140,0,MATCH(D$2,Inputs!$K$4:$AJ$4,0))))=0,NA(),SUMPRODUCT((Inputs!$A$5:$A$140=$B47)*Inputs!$B$5:$B$140*(((Inputs!$G$5:$G$140="moeda")+(Inputs!$G$5:$G$140="acoes"))*Inputs!$B$1+((Inputs!$G$5:$G$140&lt;&gt;"moeda")*(Inputs!$G$5:$G$140&lt;&gt;"acoes")))*INDEX(Inputs!$K$5:$AJ$140,0,MATCH(D$2,Inputs!$K$4:$AJ$4,0)))+SUMPRODUCT((Inputs!$C$5:$C$140=$B47)*Inputs!$D$5:$D$140*(((Inputs!$G$5:$G$140="moeda")+(Inputs!$G$5:$G$140="acoes"))*Inputs!$B$1+((Inputs!$G$5:$G$140&lt;&gt;"moeda")*(Inputs!$G$5:$G$140&lt;&gt;"acoes")))*INDEX(Inputs!$K$5:$AJ$140,0,MATCH(D$2,Inputs!$K$4:$AJ$4,0)))+SUMPRODUCT((Inputs!$E$5:$E$140=$B47)*Inputs!$F$5:$F$140*(((Inputs!$G$5:$G$140="moeda")+(Inputs!$G$5:$G$140="acoes"))*Inputs!$B$1+((Inputs!$G$5:$G$140&lt;&gt;"moeda")*(Inputs!$G$5:$G$140&lt;&gt;"acoes")))*INDEX(Inputs!$K$5:$AJ$140,0,MATCH(D$2,Inputs!$K$4:$AJ$4,0)))))</f>
        <v>20721</v>
      </c>
      <c r="E47" s="6">
        <f>IF(ISNA(MATCH(E$2,Inputs!$K$4:$AJ$4,0)),NA(),IF(SUMPRODUCT((Inputs!$A$5:$A$140=$B47)*ISNUMBER(INDEX(Inputs!$K$5:$AJ$140,0,MATCH(E$2,Inputs!$K$4:$AJ$4,0))))+SUMPRODUCT((Inputs!$C$5:$C$140=$B47)*ISNUMBER(INDEX(Inputs!$K$5:$AJ$140,0,MATCH(E$2,Inputs!$K$4:$AJ$4,0))))+SUMPRODUCT((Inputs!$E$5:$E$140=$B47)*ISNUMBER(INDEX(Inputs!$K$5:$AJ$140,0,MATCH(E$2,Inputs!$K$4:$AJ$4,0))))=0,NA(),SUMPRODUCT((Inputs!$A$5:$A$140=$B47)*Inputs!$B$5:$B$140*(((Inputs!$G$5:$G$140="moeda")+(Inputs!$G$5:$G$140="acoes"))*Inputs!$B$1+((Inputs!$G$5:$G$140&lt;&gt;"moeda")*(Inputs!$G$5:$G$140&lt;&gt;"acoes")))*INDEX(Inputs!$K$5:$AJ$140,0,MATCH(E$2,Inputs!$K$4:$AJ$4,0)))+SUMPRODUCT((Inputs!$C$5:$C$140=$B47)*Inputs!$D$5:$D$140*(((Inputs!$G$5:$G$140="moeda")+(Inputs!$G$5:$G$140="acoes"))*Inputs!$B$1+((Inputs!$G$5:$G$140&lt;&gt;"moeda")*(Inputs!$G$5:$G$140&lt;&gt;"acoes")))*INDEX(Inputs!$K$5:$AJ$140,0,MATCH(E$2,Inputs!$K$4:$AJ$4,0)))+SUMPRODUCT((Inputs!$E$5:$E$140=$B47)*Inputs!$F$5:$F$140*(((Inputs!$G$5:$G$140="moeda")+(Inputs!$G$5:$G$140="acoes"))*Inputs!$B$1+((Inputs!$G$5:$G$140&lt;&gt;"moeda")*(Inputs!$G$5:$G$140&lt;&gt;"acoes")))*INDEX(Inputs!$K$5:$AJ$140,0,MATCH(E$2,Inputs!$K$4:$AJ$4,0)))))</f>
        <v>22995</v>
      </c>
      <c r="F47" s="6">
        <f>IF(ISNA(MATCH(F$2,Inputs!$K$4:$AJ$4,0)),NA(),IF(SUMPRODUCT((Inputs!$A$5:$A$140=$B47)*ISNUMBER(INDEX(Inputs!$K$5:$AJ$140,0,MATCH(F$2,Inputs!$K$4:$AJ$4,0))))+SUMPRODUCT((Inputs!$C$5:$C$140=$B47)*ISNUMBER(INDEX(Inputs!$K$5:$AJ$140,0,MATCH(F$2,Inputs!$K$4:$AJ$4,0))))+SUMPRODUCT((Inputs!$E$5:$E$140=$B47)*ISNUMBER(INDEX(Inputs!$K$5:$AJ$140,0,MATCH(F$2,Inputs!$K$4:$AJ$4,0))))=0,NA(),SUMPRODUCT((Inputs!$A$5:$A$140=$B47)*Inputs!$B$5:$B$140*(((Inputs!$G$5:$G$140="moeda")+(Inputs!$G$5:$G$140="acoes"))*Inputs!$B$1+((Inputs!$G$5:$G$140&lt;&gt;"moeda")*(Inputs!$G$5:$G$140&lt;&gt;"acoes")))*INDEX(Inputs!$K$5:$AJ$140,0,MATCH(F$2,Inputs!$K$4:$AJ$4,0)))+SUMPRODUCT((Inputs!$C$5:$C$140=$B47)*Inputs!$D$5:$D$140*(((Inputs!$G$5:$G$140="moeda")+(Inputs!$G$5:$G$140="acoes"))*Inputs!$B$1+((Inputs!$G$5:$G$140&lt;&gt;"moeda")*(Inputs!$G$5:$G$140&lt;&gt;"acoes")))*INDEX(Inputs!$K$5:$AJ$140,0,MATCH(F$2,Inputs!$K$4:$AJ$4,0)))+SUMPRODUCT((Inputs!$E$5:$E$140=$B47)*Inputs!$F$5:$F$140*(((Inputs!$G$5:$G$140="moeda")+(Inputs!$G$5:$G$140="acoes"))*Inputs!$B$1+((Inputs!$G$5:$G$140&lt;&gt;"moeda")*(Inputs!$G$5:$G$140&lt;&gt;"acoes")))*INDEX(Inputs!$K$5:$AJ$140,0,MATCH(F$2,Inputs!$K$4:$AJ$4,0)))))</f>
        <v>25359</v>
      </c>
      <c r="G47" s="6">
        <f>IF(ISNA(MATCH(G$2,Inputs!$K$4:$AJ$4,0)),NA(),IF(SUMPRODUCT((Inputs!$A$5:$A$140=$B47)*ISNUMBER(INDEX(Inputs!$K$5:$AJ$140,0,MATCH(G$2,Inputs!$K$4:$AJ$4,0))))+SUMPRODUCT((Inputs!$C$5:$C$140=$B47)*ISNUMBER(INDEX(Inputs!$K$5:$AJ$140,0,MATCH(G$2,Inputs!$K$4:$AJ$4,0))))+SUMPRODUCT((Inputs!$E$5:$E$140=$B47)*ISNUMBER(INDEX(Inputs!$K$5:$AJ$140,0,MATCH(G$2,Inputs!$K$4:$AJ$4,0))))=0,NA(),SUMPRODUCT((Inputs!$A$5:$A$140=$B47)*Inputs!$B$5:$B$140*(((Inputs!$G$5:$G$140="moeda")+(Inputs!$G$5:$G$140="acoes"))*Inputs!$B$1+((Inputs!$G$5:$G$140&lt;&gt;"moeda")*(Inputs!$G$5:$G$140&lt;&gt;"acoes")))*INDEX(Inputs!$K$5:$AJ$140,0,MATCH(G$2,Inputs!$K$4:$AJ$4,0)))+SUMPRODUCT((Inputs!$C$5:$C$140=$B47)*Inputs!$D$5:$D$140*(((Inputs!$G$5:$G$140="moeda")+(Inputs!$G$5:$G$140="acoes"))*Inputs!$B$1+((Inputs!$G$5:$G$140&lt;&gt;"moeda")*(Inputs!$G$5:$G$140&lt;&gt;"acoes")))*INDEX(Inputs!$K$5:$AJ$140,0,MATCH(G$2,Inputs!$K$4:$AJ$4,0)))+SUMPRODUCT((Inputs!$E$5:$E$140=$B47)*Inputs!$F$5:$F$140*(((Inputs!$G$5:$G$140="moeda")+(Inputs!$G$5:$G$140="acoes"))*Inputs!$B$1+((Inputs!$G$5:$G$140&lt;&gt;"moeda")*(Inputs!$G$5:$G$140&lt;&gt;"acoes")))*INDEX(Inputs!$K$5:$AJ$140,0,MATCH(G$2,Inputs!$K$4:$AJ$4,0)))))</f>
        <v>16235</v>
      </c>
      <c r="H47" s="3">
        <f>G47</f>
        <v>16235</v>
      </c>
      <c r="I47" s="6">
        <f>IF(ISNA(MATCH(I$2,Inputs!$K$4:$AJ$4,0)),NA(),IF(SUMPRODUCT((Inputs!$A$5:$A$140=$B47)*ISNUMBER(INDEX(Inputs!$K$5:$AJ$140,0,MATCH(I$2,Inputs!$K$4:$AJ$4,0))))+SUMPRODUCT((Inputs!$C$5:$C$140=$B47)*ISNUMBER(INDEX(Inputs!$K$5:$AJ$140,0,MATCH(I$2,Inputs!$K$4:$AJ$4,0))))+SUMPRODUCT((Inputs!$E$5:$E$140=$B47)*ISNUMBER(INDEX(Inputs!$K$5:$AJ$140,0,MATCH(I$2,Inputs!$K$4:$AJ$4,0))))=0,NA(),SUMPRODUCT((Inputs!$A$5:$A$140=$B47)*Inputs!$B$5:$B$140*(((Inputs!$G$5:$G$140="moeda")+(Inputs!$G$5:$G$140="acoes"))*Inputs!$B$1+((Inputs!$G$5:$G$140&lt;&gt;"moeda")*(Inputs!$G$5:$G$140&lt;&gt;"acoes")))*INDEX(Inputs!$K$5:$AJ$140,0,MATCH(I$2,Inputs!$K$4:$AJ$4,0)))+SUMPRODUCT((Inputs!$C$5:$C$140=$B47)*Inputs!$D$5:$D$140*(((Inputs!$G$5:$G$140="moeda")+(Inputs!$G$5:$G$140="acoes"))*Inputs!$B$1+((Inputs!$G$5:$G$140&lt;&gt;"moeda")*(Inputs!$G$5:$G$140&lt;&gt;"acoes")))*INDEX(Inputs!$K$5:$AJ$140,0,MATCH(I$2,Inputs!$K$4:$AJ$4,0)))+SUMPRODUCT((Inputs!$E$5:$E$140=$B47)*Inputs!$F$5:$F$140*(((Inputs!$G$5:$G$140="moeda")+(Inputs!$G$5:$G$140="acoes"))*Inputs!$B$1+((Inputs!$G$5:$G$140&lt;&gt;"moeda")*(Inputs!$G$5:$G$140&lt;&gt;"acoes")))*INDEX(Inputs!$K$5:$AJ$140,0,MATCH(I$2,Inputs!$K$4:$AJ$4,0)))))</f>
        <v>15758</v>
      </c>
      <c r="J47" s="6">
        <f>IF(ISNA(MATCH(J$2,Inputs!$K$4:$AJ$4,0)),NA(),IF(SUMPRODUCT((Inputs!$A$5:$A$140=$B47)*ISNUMBER(INDEX(Inputs!$K$5:$AJ$140,0,MATCH(J$2,Inputs!$K$4:$AJ$4,0))))+SUMPRODUCT((Inputs!$C$5:$C$140=$B47)*ISNUMBER(INDEX(Inputs!$K$5:$AJ$140,0,MATCH(J$2,Inputs!$K$4:$AJ$4,0))))+SUMPRODUCT((Inputs!$E$5:$E$140=$B47)*ISNUMBER(INDEX(Inputs!$K$5:$AJ$140,0,MATCH(J$2,Inputs!$K$4:$AJ$4,0))))=0,NA(),SUMPRODUCT((Inputs!$A$5:$A$140=$B47)*Inputs!$B$5:$B$140*(((Inputs!$G$5:$G$140="moeda")+(Inputs!$G$5:$G$140="acoes"))*Inputs!$B$1+((Inputs!$G$5:$G$140&lt;&gt;"moeda")*(Inputs!$G$5:$G$140&lt;&gt;"acoes")))*INDEX(Inputs!$K$5:$AJ$140,0,MATCH(J$2,Inputs!$K$4:$AJ$4,0)))+SUMPRODUCT((Inputs!$C$5:$C$140=$B47)*Inputs!$D$5:$D$140*(((Inputs!$G$5:$G$140="moeda")+(Inputs!$G$5:$G$140="acoes"))*Inputs!$B$1+((Inputs!$G$5:$G$140&lt;&gt;"moeda")*(Inputs!$G$5:$G$140&lt;&gt;"acoes")))*INDEX(Inputs!$K$5:$AJ$140,0,MATCH(J$2,Inputs!$K$4:$AJ$4,0)))+SUMPRODUCT((Inputs!$E$5:$E$140=$B47)*Inputs!$F$5:$F$140*(((Inputs!$G$5:$G$140="moeda")+(Inputs!$G$5:$G$140="acoes"))*Inputs!$B$1+((Inputs!$G$5:$G$140&lt;&gt;"moeda")*(Inputs!$G$5:$G$140&lt;&gt;"acoes")))*INDEX(Inputs!$K$5:$AJ$140,0,MATCH(J$2,Inputs!$K$4:$AJ$4,0)))))</f>
        <v>12971</v>
      </c>
      <c r="K47" s="6">
        <f>IF(ISNA(MATCH(K$2,Inputs!$K$4:$AJ$4,0)),NA(),IF(SUMPRODUCT((Inputs!$A$5:$A$140=$B47)*ISNUMBER(INDEX(Inputs!$K$5:$AJ$140,0,MATCH(K$2,Inputs!$K$4:$AJ$4,0))))+SUMPRODUCT((Inputs!$C$5:$C$140=$B47)*ISNUMBER(INDEX(Inputs!$K$5:$AJ$140,0,MATCH(K$2,Inputs!$K$4:$AJ$4,0))))+SUMPRODUCT((Inputs!$E$5:$E$140=$B47)*ISNUMBER(INDEX(Inputs!$K$5:$AJ$140,0,MATCH(K$2,Inputs!$K$4:$AJ$4,0))))=0,NA(),SUMPRODUCT((Inputs!$A$5:$A$140=$B47)*Inputs!$B$5:$B$140*(((Inputs!$G$5:$G$140="moeda")+(Inputs!$G$5:$G$140="acoes"))*Inputs!$B$1+((Inputs!$G$5:$G$140&lt;&gt;"moeda")*(Inputs!$G$5:$G$140&lt;&gt;"acoes")))*INDEX(Inputs!$K$5:$AJ$140,0,MATCH(K$2,Inputs!$K$4:$AJ$4,0)))+SUMPRODUCT((Inputs!$C$5:$C$140=$B47)*Inputs!$D$5:$D$140*(((Inputs!$G$5:$G$140="moeda")+(Inputs!$G$5:$G$140="acoes"))*Inputs!$B$1+((Inputs!$G$5:$G$140&lt;&gt;"moeda")*(Inputs!$G$5:$G$140&lt;&gt;"acoes")))*INDEX(Inputs!$K$5:$AJ$140,0,MATCH(K$2,Inputs!$K$4:$AJ$4,0)))+SUMPRODUCT((Inputs!$E$5:$E$140=$B47)*Inputs!$F$5:$F$140*(((Inputs!$G$5:$G$140="moeda")+(Inputs!$G$5:$G$140="acoes"))*Inputs!$B$1+((Inputs!$G$5:$G$140&lt;&gt;"moeda")*(Inputs!$G$5:$G$140&lt;&gt;"acoes")))*INDEX(Inputs!$K$5:$AJ$140,0,MATCH(K$2,Inputs!$K$4:$AJ$4,0)))))</f>
        <v>9905</v>
      </c>
      <c r="L47" s="6">
        <f>IF(ISNA(MATCH(L$2,Inputs!$K$4:$AJ$4,0)),NA(),IF(SUMPRODUCT((Inputs!$A$5:$A$140=$B47)*ISNUMBER(INDEX(Inputs!$K$5:$AJ$140,0,MATCH(L$2,Inputs!$K$4:$AJ$4,0))))+SUMPRODUCT((Inputs!$C$5:$C$140=$B47)*ISNUMBER(INDEX(Inputs!$K$5:$AJ$140,0,MATCH(L$2,Inputs!$K$4:$AJ$4,0))))+SUMPRODUCT((Inputs!$E$5:$E$140=$B47)*ISNUMBER(INDEX(Inputs!$K$5:$AJ$140,0,MATCH(L$2,Inputs!$K$4:$AJ$4,0))))=0,NA(),SUMPRODUCT((Inputs!$A$5:$A$140=$B47)*Inputs!$B$5:$B$140*(((Inputs!$G$5:$G$140="moeda")+(Inputs!$G$5:$G$140="acoes"))*Inputs!$B$1+((Inputs!$G$5:$G$140&lt;&gt;"moeda")*(Inputs!$G$5:$G$140&lt;&gt;"acoes")))*INDEX(Inputs!$K$5:$AJ$140,0,MATCH(L$2,Inputs!$K$4:$AJ$4,0)))+SUMPRODUCT((Inputs!$C$5:$C$140=$B47)*Inputs!$D$5:$D$140*(((Inputs!$G$5:$G$140="moeda")+(Inputs!$G$5:$G$140="acoes"))*Inputs!$B$1+((Inputs!$G$5:$G$140&lt;&gt;"moeda")*(Inputs!$G$5:$G$140&lt;&gt;"acoes")))*INDEX(Inputs!$K$5:$AJ$140,0,MATCH(L$2,Inputs!$K$4:$AJ$4,0)))+SUMPRODUCT((Inputs!$E$5:$E$140=$B47)*Inputs!$F$5:$F$140*(((Inputs!$G$5:$G$140="moeda")+(Inputs!$G$5:$G$140="acoes"))*Inputs!$B$1+((Inputs!$G$5:$G$140&lt;&gt;"moeda")*(Inputs!$G$5:$G$140&lt;&gt;"acoes")))*INDEX(Inputs!$K$5:$AJ$140,0,MATCH(L$2,Inputs!$K$4:$AJ$4,0)))))</f>
        <v>10171</v>
      </c>
      <c r="M47" s="3">
        <f>L47</f>
        <v>10171</v>
      </c>
      <c r="N47" s="6">
        <f>IF(ISNA(MATCH(N$2,Inputs!$K$4:$AJ$4,0)),NA(),IF(SUMPRODUCT((Inputs!$A$5:$A$140=$B47)*ISNUMBER(INDEX(Inputs!$K$5:$AJ$140,0,MATCH(N$2,Inputs!$K$4:$AJ$4,0))))+SUMPRODUCT((Inputs!$C$5:$C$140=$B47)*ISNUMBER(INDEX(Inputs!$K$5:$AJ$140,0,MATCH(N$2,Inputs!$K$4:$AJ$4,0))))+SUMPRODUCT((Inputs!$E$5:$E$140=$B47)*ISNUMBER(INDEX(Inputs!$K$5:$AJ$140,0,MATCH(N$2,Inputs!$K$4:$AJ$4,0))))=0,NA(),SUMPRODUCT((Inputs!$A$5:$A$140=$B47)*Inputs!$B$5:$B$140*(((Inputs!$G$5:$G$140="moeda")+(Inputs!$G$5:$G$140="acoes"))*Inputs!$B$1+((Inputs!$G$5:$G$140&lt;&gt;"moeda")*(Inputs!$G$5:$G$140&lt;&gt;"acoes")))*INDEX(Inputs!$K$5:$AJ$140,0,MATCH(N$2,Inputs!$K$4:$AJ$4,0)))+SUMPRODUCT((Inputs!$C$5:$C$140=$B47)*Inputs!$D$5:$D$140*(((Inputs!$G$5:$G$140="moeda")+(Inputs!$G$5:$G$140="acoes"))*Inputs!$B$1+((Inputs!$G$5:$G$140&lt;&gt;"moeda")*(Inputs!$G$5:$G$140&lt;&gt;"acoes")))*INDEX(Inputs!$K$5:$AJ$140,0,MATCH(N$2,Inputs!$K$4:$AJ$4,0)))+SUMPRODUCT((Inputs!$E$5:$E$140=$B47)*Inputs!$F$5:$F$140*(((Inputs!$G$5:$G$140="moeda")+(Inputs!$G$5:$G$140="acoes"))*Inputs!$B$1+((Inputs!$G$5:$G$140&lt;&gt;"moeda")*(Inputs!$G$5:$G$140&lt;&gt;"acoes")))*INDEX(Inputs!$K$5:$AJ$140,0,MATCH(N$2,Inputs!$K$4:$AJ$4,0)))))</f>
        <v>12115</v>
      </c>
      <c r="O47" s="6">
        <f>IF(ISNA(MATCH(O$2,Inputs!$K$4:$AJ$4,0)),NA(),IF(SUMPRODUCT((Inputs!$A$5:$A$140=$B47)*ISNUMBER(INDEX(Inputs!$K$5:$AJ$140,0,MATCH(O$2,Inputs!$K$4:$AJ$4,0))))+SUMPRODUCT((Inputs!$C$5:$C$140=$B47)*ISNUMBER(INDEX(Inputs!$K$5:$AJ$140,0,MATCH(O$2,Inputs!$K$4:$AJ$4,0))))+SUMPRODUCT((Inputs!$E$5:$E$140=$B47)*ISNUMBER(INDEX(Inputs!$K$5:$AJ$140,0,MATCH(O$2,Inputs!$K$4:$AJ$4,0))))=0,NA(),SUMPRODUCT((Inputs!$A$5:$A$140=$B47)*Inputs!$B$5:$B$140*(((Inputs!$G$5:$G$140="moeda")+(Inputs!$G$5:$G$140="acoes"))*Inputs!$B$1+((Inputs!$G$5:$G$140&lt;&gt;"moeda")*(Inputs!$G$5:$G$140&lt;&gt;"acoes")))*INDEX(Inputs!$K$5:$AJ$140,0,MATCH(O$2,Inputs!$K$4:$AJ$4,0)))+SUMPRODUCT((Inputs!$C$5:$C$140=$B47)*Inputs!$D$5:$D$140*(((Inputs!$G$5:$G$140="moeda")+(Inputs!$G$5:$G$140="acoes"))*Inputs!$B$1+((Inputs!$G$5:$G$140&lt;&gt;"moeda")*(Inputs!$G$5:$G$140&lt;&gt;"acoes")))*INDEX(Inputs!$K$5:$AJ$140,0,MATCH(O$2,Inputs!$K$4:$AJ$4,0)))+SUMPRODUCT((Inputs!$E$5:$E$140=$B47)*Inputs!$F$5:$F$140*(((Inputs!$G$5:$G$140="moeda")+(Inputs!$G$5:$G$140="acoes"))*Inputs!$B$1+((Inputs!$G$5:$G$140&lt;&gt;"moeda")*(Inputs!$G$5:$G$140&lt;&gt;"acoes")))*INDEX(Inputs!$K$5:$AJ$140,0,MATCH(O$2,Inputs!$K$4:$AJ$4,0)))))</f>
        <v>14921</v>
      </c>
      <c r="P47" s="6">
        <f>IF(ISNA(MATCH(P$2,Inputs!$K$4:$AJ$4,0)),NA(),IF(SUMPRODUCT((Inputs!$A$5:$A$140=$B47)*ISNUMBER(INDEX(Inputs!$K$5:$AJ$140,0,MATCH(P$2,Inputs!$K$4:$AJ$4,0))))+SUMPRODUCT((Inputs!$C$5:$C$140=$B47)*ISNUMBER(INDEX(Inputs!$K$5:$AJ$140,0,MATCH(P$2,Inputs!$K$4:$AJ$4,0))))+SUMPRODUCT((Inputs!$E$5:$E$140=$B47)*ISNUMBER(INDEX(Inputs!$K$5:$AJ$140,0,MATCH(P$2,Inputs!$K$4:$AJ$4,0))))=0,NA(),SUMPRODUCT((Inputs!$A$5:$A$140=$B47)*Inputs!$B$5:$B$140*(((Inputs!$G$5:$G$140="moeda")+(Inputs!$G$5:$G$140="acoes"))*Inputs!$B$1+((Inputs!$G$5:$G$140&lt;&gt;"moeda")*(Inputs!$G$5:$G$140&lt;&gt;"acoes")))*INDEX(Inputs!$K$5:$AJ$140,0,MATCH(P$2,Inputs!$K$4:$AJ$4,0)))+SUMPRODUCT((Inputs!$C$5:$C$140=$B47)*Inputs!$D$5:$D$140*(((Inputs!$G$5:$G$140="moeda")+(Inputs!$G$5:$G$140="acoes"))*Inputs!$B$1+((Inputs!$G$5:$G$140&lt;&gt;"moeda")*(Inputs!$G$5:$G$140&lt;&gt;"acoes")))*INDEX(Inputs!$K$5:$AJ$140,0,MATCH(P$2,Inputs!$K$4:$AJ$4,0)))+SUMPRODUCT((Inputs!$E$5:$E$140=$B47)*Inputs!$F$5:$F$140*(((Inputs!$G$5:$G$140="moeda")+(Inputs!$G$5:$G$140="acoes"))*Inputs!$B$1+((Inputs!$G$5:$G$140&lt;&gt;"moeda")*(Inputs!$G$5:$G$140&lt;&gt;"acoes")))*INDEX(Inputs!$K$5:$AJ$140,0,MATCH(P$2,Inputs!$K$4:$AJ$4,0)))))</f>
        <v>20360</v>
      </c>
      <c r="Q47" s="6">
        <f>IF(ISNA(MATCH(Q$2,Inputs!$K$4:$AJ$4,0)),NA(),IF(SUMPRODUCT((Inputs!$A$5:$A$140=$B47)*ISNUMBER(INDEX(Inputs!$K$5:$AJ$140,0,MATCH(Q$2,Inputs!$K$4:$AJ$4,0))))+SUMPRODUCT((Inputs!$C$5:$C$140=$B47)*ISNUMBER(INDEX(Inputs!$K$5:$AJ$140,0,MATCH(Q$2,Inputs!$K$4:$AJ$4,0))))+SUMPRODUCT((Inputs!$E$5:$E$140=$B47)*ISNUMBER(INDEX(Inputs!$K$5:$AJ$140,0,MATCH(Q$2,Inputs!$K$4:$AJ$4,0))))=0,NA(),SUMPRODUCT((Inputs!$A$5:$A$140=$B47)*Inputs!$B$5:$B$140*(((Inputs!$G$5:$G$140="moeda")+(Inputs!$G$5:$G$140="acoes"))*Inputs!$B$1+((Inputs!$G$5:$G$140&lt;&gt;"moeda")*(Inputs!$G$5:$G$140&lt;&gt;"acoes")))*INDEX(Inputs!$K$5:$AJ$140,0,MATCH(Q$2,Inputs!$K$4:$AJ$4,0)))+SUMPRODUCT((Inputs!$C$5:$C$140=$B47)*Inputs!$D$5:$D$140*(((Inputs!$G$5:$G$140="moeda")+(Inputs!$G$5:$G$140="acoes"))*Inputs!$B$1+((Inputs!$G$5:$G$140&lt;&gt;"moeda")*(Inputs!$G$5:$G$140&lt;&gt;"acoes")))*INDEX(Inputs!$K$5:$AJ$140,0,MATCH(Q$2,Inputs!$K$4:$AJ$4,0)))+SUMPRODUCT((Inputs!$E$5:$E$140=$B47)*Inputs!$F$5:$F$140*(((Inputs!$G$5:$G$140="moeda")+(Inputs!$G$5:$G$140="acoes"))*Inputs!$B$1+((Inputs!$G$5:$G$140&lt;&gt;"moeda")*(Inputs!$G$5:$G$140&lt;&gt;"acoes")))*INDEX(Inputs!$K$5:$AJ$140,0,MATCH(Q$2,Inputs!$K$4:$AJ$4,0)))))</f>
        <v>29817</v>
      </c>
      <c r="R47" s="3">
        <f>Q47</f>
        <v>29817</v>
      </c>
      <c r="S47" s="6">
        <f>IF(ISNA(MATCH(S$2,Inputs!$K$4:$AJ$4,0)),NA(),IF(SUMPRODUCT((Inputs!$A$5:$A$140=$B47)*ISNUMBER(INDEX(Inputs!$K$5:$AJ$140,0,MATCH(S$2,Inputs!$K$4:$AJ$4,0))))+SUMPRODUCT((Inputs!$C$5:$C$140=$B47)*ISNUMBER(INDEX(Inputs!$K$5:$AJ$140,0,MATCH(S$2,Inputs!$K$4:$AJ$4,0))))+SUMPRODUCT((Inputs!$E$5:$E$140=$B47)*ISNUMBER(INDEX(Inputs!$K$5:$AJ$140,0,MATCH(S$2,Inputs!$K$4:$AJ$4,0))))=0,NA(),SUMPRODUCT((Inputs!$A$5:$A$140=$B47)*Inputs!$B$5:$B$140*(((Inputs!$G$5:$G$140="moeda")+(Inputs!$G$5:$G$140="acoes"))*Inputs!$B$1+((Inputs!$G$5:$G$140&lt;&gt;"moeda")*(Inputs!$G$5:$G$140&lt;&gt;"acoes")))*INDEX(Inputs!$K$5:$AJ$140,0,MATCH(S$2,Inputs!$K$4:$AJ$4,0)))+SUMPRODUCT((Inputs!$C$5:$C$140=$B47)*Inputs!$D$5:$D$140*(((Inputs!$G$5:$G$140="moeda")+(Inputs!$G$5:$G$140="acoes"))*Inputs!$B$1+((Inputs!$G$5:$G$140&lt;&gt;"moeda")*(Inputs!$G$5:$G$140&lt;&gt;"acoes")))*INDEX(Inputs!$K$5:$AJ$140,0,MATCH(S$2,Inputs!$K$4:$AJ$4,0)))+SUMPRODUCT((Inputs!$E$5:$E$140=$B47)*Inputs!$F$5:$F$140*(((Inputs!$G$5:$G$140="moeda")+(Inputs!$G$5:$G$140="acoes"))*Inputs!$B$1+((Inputs!$G$5:$G$140&lt;&gt;"moeda")*(Inputs!$G$5:$G$140&lt;&gt;"acoes")))*INDEX(Inputs!$K$5:$AJ$140,0,MATCH(S$2,Inputs!$K$4:$AJ$4,0)))))</f>
        <v>36598</v>
      </c>
      <c r="T47" s="6">
        <f>IF(ISNA(MATCH(T$2,Inputs!$K$4:$AJ$4,0)),NA(),IF(SUMPRODUCT((Inputs!$A$5:$A$140=$B47)*ISNUMBER(INDEX(Inputs!$K$5:$AJ$140,0,MATCH(T$2,Inputs!$K$4:$AJ$4,0))))+SUMPRODUCT((Inputs!$C$5:$C$140=$B47)*ISNUMBER(INDEX(Inputs!$K$5:$AJ$140,0,MATCH(T$2,Inputs!$K$4:$AJ$4,0))))+SUMPRODUCT((Inputs!$E$5:$E$140=$B47)*ISNUMBER(INDEX(Inputs!$K$5:$AJ$140,0,MATCH(T$2,Inputs!$K$4:$AJ$4,0))))=0,NA(),SUMPRODUCT((Inputs!$A$5:$A$140=$B47)*Inputs!$B$5:$B$140*(((Inputs!$G$5:$G$140="moeda")+(Inputs!$G$5:$G$140="acoes"))*Inputs!$B$1+((Inputs!$G$5:$G$140&lt;&gt;"moeda")*(Inputs!$G$5:$G$140&lt;&gt;"acoes")))*INDEX(Inputs!$K$5:$AJ$140,0,MATCH(T$2,Inputs!$K$4:$AJ$4,0)))+SUMPRODUCT((Inputs!$C$5:$C$140=$B47)*Inputs!$D$5:$D$140*(((Inputs!$G$5:$G$140="moeda")+(Inputs!$G$5:$G$140="acoes"))*Inputs!$B$1+((Inputs!$G$5:$G$140&lt;&gt;"moeda")*(Inputs!$G$5:$G$140&lt;&gt;"acoes")))*INDEX(Inputs!$K$5:$AJ$140,0,MATCH(T$2,Inputs!$K$4:$AJ$4,0)))+SUMPRODUCT((Inputs!$E$5:$E$140=$B47)*Inputs!$F$5:$F$140*(((Inputs!$G$5:$G$140="moeda")+(Inputs!$G$5:$G$140="acoes"))*Inputs!$B$1+((Inputs!$G$5:$G$140&lt;&gt;"moeda")*(Inputs!$G$5:$G$140&lt;&gt;"acoes")))*INDEX(Inputs!$K$5:$AJ$140,0,MATCH(T$2,Inputs!$K$4:$AJ$4,0)))))</f>
        <v>45961</v>
      </c>
      <c r="U47" s="6">
        <f>IF(ISNA(MATCH(U$2,Inputs!$K$4:$AJ$4,0)),NA(),IF(SUMPRODUCT((Inputs!$A$5:$A$140=$B47)*ISNUMBER(INDEX(Inputs!$K$5:$AJ$140,0,MATCH(U$2,Inputs!$K$4:$AJ$4,0))))+SUMPRODUCT((Inputs!$C$5:$C$140=$B47)*ISNUMBER(INDEX(Inputs!$K$5:$AJ$140,0,MATCH(U$2,Inputs!$K$4:$AJ$4,0))))+SUMPRODUCT((Inputs!$E$5:$E$140=$B47)*ISNUMBER(INDEX(Inputs!$K$5:$AJ$140,0,MATCH(U$2,Inputs!$K$4:$AJ$4,0))))=0,NA(),SUMPRODUCT((Inputs!$A$5:$A$140=$B47)*Inputs!$B$5:$B$140*(((Inputs!$G$5:$G$140="moeda")+(Inputs!$G$5:$G$140="acoes"))*Inputs!$B$1+((Inputs!$G$5:$G$140&lt;&gt;"moeda")*(Inputs!$G$5:$G$140&lt;&gt;"acoes")))*INDEX(Inputs!$K$5:$AJ$140,0,MATCH(U$2,Inputs!$K$4:$AJ$4,0)))+SUMPRODUCT((Inputs!$C$5:$C$140=$B47)*Inputs!$D$5:$D$140*(((Inputs!$G$5:$G$140="moeda")+(Inputs!$G$5:$G$140="acoes"))*Inputs!$B$1+((Inputs!$G$5:$G$140&lt;&gt;"moeda")*(Inputs!$G$5:$G$140&lt;&gt;"acoes")))*INDEX(Inputs!$K$5:$AJ$140,0,MATCH(U$2,Inputs!$K$4:$AJ$4,0)))+SUMPRODUCT((Inputs!$E$5:$E$140=$B47)*Inputs!$F$5:$F$140*(((Inputs!$G$5:$G$140="moeda")+(Inputs!$G$5:$G$140="acoes"))*Inputs!$B$1+((Inputs!$G$5:$G$140&lt;&gt;"moeda")*(Inputs!$G$5:$G$140&lt;&gt;"acoes")))*INDEX(Inputs!$K$5:$AJ$140,0,MATCH(U$2,Inputs!$K$4:$AJ$4,0)))))</f>
        <v>53950</v>
      </c>
      <c r="V47" s="6">
        <f>IF(ISNA(MATCH(V$2,Inputs!$K$4:$AJ$4,0)),NA(),IF(SUMPRODUCT((Inputs!$A$5:$A$140=$B47)*ISNUMBER(INDEX(Inputs!$K$5:$AJ$140,0,MATCH(V$2,Inputs!$K$4:$AJ$4,0))))+SUMPRODUCT((Inputs!$C$5:$C$140=$B47)*ISNUMBER(INDEX(Inputs!$K$5:$AJ$140,0,MATCH(V$2,Inputs!$K$4:$AJ$4,0))))+SUMPRODUCT((Inputs!$E$5:$E$140=$B47)*ISNUMBER(INDEX(Inputs!$K$5:$AJ$140,0,MATCH(V$2,Inputs!$K$4:$AJ$4,0))))=0,NA(),SUMPRODUCT((Inputs!$A$5:$A$140=$B47)*Inputs!$B$5:$B$140*(((Inputs!$G$5:$G$140="moeda")+(Inputs!$G$5:$G$140="acoes"))*Inputs!$B$1+((Inputs!$G$5:$G$140&lt;&gt;"moeda")*(Inputs!$G$5:$G$140&lt;&gt;"acoes")))*INDEX(Inputs!$K$5:$AJ$140,0,MATCH(V$2,Inputs!$K$4:$AJ$4,0)))+SUMPRODUCT((Inputs!$C$5:$C$140=$B47)*Inputs!$D$5:$D$140*(((Inputs!$G$5:$G$140="moeda")+(Inputs!$G$5:$G$140="acoes"))*Inputs!$B$1+((Inputs!$G$5:$G$140&lt;&gt;"moeda")*(Inputs!$G$5:$G$140&lt;&gt;"acoes")))*INDEX(Inputs!$K$5:$AJ$140,0,MATCH(V$2,Inputs!$K$4:$AJ$4,0)))+SUMPRODUCT((Inputs!$E$5:$E$140=$B47)*Inputs!$F$5:$F$140*(((Inputs!$G$5:$G$140="moeda")+(Inputs!$G$5:$G$140="acoes"))*Inputs!$B$1+((Inputs!$G$5:$G$140&lt;&gt;"moeda")*(Inputs!$G$5:$G$140&lt;&gt;"acoes")))*INDEX(Inputs!$K$5:$AJ$140,0,MATCH(V$2,Inputs!$K$4:$AJ$4,0)))))</f>
        <v>68038</v>
      </c>
      <c r="W47" s="3">
        <f>V47</f>
        <v>68038</v>
      </c>
      <c r="X47" s="6">
        <f>IF(ISNA(MATCH(X$2,Inputs!$K$4:$AJ$4,0)),NA(),IF(SUMPRODUCT((Inputs!$A$5:$A$140=$B47)*ISNUMBER(INDEX(Inputs!$K$5:$AJ$140,0,MATCH(X$2,Inputs!$K$4:$AJ$4,0))))+SUMPRODUCT((Inputs!$C$5:$C$140=$B47)*ISNUMBER(INDEX(Inputs!$K$5:$AJ$140,0,MATCH(X$2,Inputs!$K$4:$AJ$4,0))))+SUMPRODUCT((Inputs!$E$5:$E$140=$B47)*ISNUMBER(INDEX(Inputs!$K$5:$AJ$140,0,MATCH(X$2,Inputs!$K$4:$AJ$4,0))))=0,NA(),SUMPRODUCT((Inputs!$A$5:$A$140=$B47)*Inputs!$B$5:$B$140*(((Inputs!$G$5:$G$140="moeda")+(Inputs!$G$5:$G$140="acoes"))*Inputs!$B$1+((Inputs!$G$5:$G$140&lt;&gt;"moeda")*(Inputs!$G$5:$G$140&lt;&gt;"acoes")))*INDEX(Inputs!$K$5:$AJ$140,0,MATCH(X$2,Inputs!$K$4:$AJ$4,0)))+SUMPRODUCT((Inputs!$C$5:$C$140=$B47)*Inputs!$D$5:$D$140*(((Inputs!$G$5:$G$140="moeda")+(Inputs!$G$5:$G$140="acoes"))*Inputs!$B$1+((Inputs!$G$5:$G$140&lt;&gt;"moeda")*(Inputs!$G$5:$G$140&lt;&gt;"acoes")))*INDEX(Inputs!$K$5:$AJ$140,0,MATCH(X$2,Inputs!$K$4:$AJ$4,0)))+SUMPRODUCT((Inputs!$E$5:$E$140=$B47)*Inputs!$F$5:$F$140*(((Inputs!$G$5:$G$140="moeda")+(Inputs!$G$5:$G$140="acoes"))*Inputs!$B$1+((Inputs!$G$5:$G$140&lt;&gt;"moeda")*(Inputs!$G$5:$G$140&lt;&gt;"acoes")))*INDEX(Inputs!$K$5:$AJ$140,0,MATCH(X$2,Inputs!$K$4:$AJ$4,0)))))</f>
        <v>72158</v>
      </c>
      <c r="Y47" s="6">
        <f>IF(ISNA(MATCH(Y$2,Inputs!$K$4:$AJ$4,0)),NA(),IF(SUMPRODUCT((Inputs!$A$5:$A$140=$B47)*ISNUMBER(INDEX(Inputs!$K$5:$AJ$140,0,MATCH(Y$2,Inputs!$K$4:$AJ$4,0))))+SUMPRODUCT((Inputs!$C$5:$C$140=$B47)*ISNUMBER(INDEX(Inputs!$K$5:$AJ$140,0,MATCH(Y$2,Inputs!$K$4:$AJ$4,0))))+SUMPRODUCT((Inputs!$E$5:$E$140=$B47)*ISNUMBER(INDEX(Inputs!$K$5:$AJ$140,0,MATCH(Y$2,Inputs!$K$4:$AJ$4,0))))=0,NA(),SUMPRODUCT((Inputs!$A$5:$A$140=$B47)*Inputs!$B$5:$B$140*(((Inputs!$G$5:$G$140="moeda")+(Inputs!$G$5:$G$140="acoes"))*Inputs!$B$1+((Inputs!$G$5:$G$140&lt;&gt;"moeda")*(Inputs!$G$5:$G$140&lt;&gt;"acoes")))*INDEX(Inputs!$K$5:$AJ$140,0,MATCH(Y$2,Inputs!$K$4:$AJ$4,0)))+SUMPRODUCT((Inputs!$C$5:$C$140=$B47)*Inputs!$D$5:$D$140*(((Inputs!$G$5:$G$140="moeda")+(Inputs!$G$5:$G$140="acoes"))*Inputs!$B$1+((Inputs!$G$5:$G$140&lt;&gt;"moeda")*(Inputs!$G$5:$G$140&lt;&gt;"acoes")))*INDEX(Inputs!$K$5:$AJ$140,0,MATCH(Y$2,Inputs!$K$4:$AJ$4,0)))+SUMPRODUCT((Inputs!$E$5:$E$140=$B47)*Inputs!$F$5:$F$140*(((Inputs!$G$5:$G$140="moeda")+(Inputs!$G$5:$G$140="acoes"))*Inputs!$B$1+((Inputs!$G$5:$G$140&lt;&gt;"moeda")*(Inputs!$G$5:$G$140&lt;&gt;"acoes")))*INDEX(Inputs!$K$5:$AJ$140,0,MATCH(Y$2,Inputs!$K$4:$AJ$4,0)))))</f>
        <v>88737</v>
      </c>
      <c r="Z47" s="6">
        <f>IF(ISNA(MATCH(Z$2,Inputs!$K$4:$AJ$4,0)),NA(),IF(SUMPRODUCT((Inputs!$A$5:$A$140=$B47)*ISNUMBER(INDEX(Inputs!$K$5:$AJ$140,0,MATCH(Z$2,Inputs!$K$4:$AJ$4,0))))+SUMPRODUCT((Inputs!$C$5:$C$140=$B47)*ISNUMBER(INDEX(Inputs!$K$5:$AJ$140,0,MATCH(Z$2,Inputs!$K$4:$AJ$4,0))))+SUMPRODUCT((Inputs!$E$5:$E$140=$B47)*ISNUMBER(INDEX(Inputs!$K$5:$AJ$140,0,MATCH(Z$2,Inputs!$K$4:$AJ$4,0))))=0,NA(),SUMPRODUCT((Inputs!$A$5:$A$140=$B47)*Inputs!$B$5:$B$140*(((Inputs!$G$5:$G$140="moeda")+(Inputs!$G$5:$G$140="acoes"))*Inputs!$B$1+((Inputs!$G$5:$G$140&lt;&gt;"moeda")*(Inputs!$G$5:$G$140&lt;&gt;"acoes")))*INDEX(Inputs!$K$5:$AJ$140,0,MATCH(Z$2,Inputs!$K$4:$AJ$4,0)))+SUMPRODUCT((Inputs!$C$5:$C$140=$B47)*Inputs!$D$5:$D$140*(((Inputs!$G$5:$G$140="moeda")+(Inputs!$G$5:$G$140="acoes"))*Inputs!$B$1+((Inputs!$G$5:$G$140&lt;&gt;"moeda")*(Inputs!$G$5:$G$140&lt;&gt;"acoes")))*INDEX(Inputs!$K$5:$AJ$140,0,MATCH(Z$2,Inputs!$K$4:$AJ$4,0)))+SUMPRODUCT((Inputs!$E$5:$E$140=$B47)*Inputs!$F$5:$F$140*(((Inputs!$G$5:$G$140="moeda")+(Inputs!$G$5:$G$140="acoes"))*Inputs!$B$1+((Inputs!$G$5:$G$140&lt;&gt;"moeda")*(Inputs!$G$5:$G$140&lt;&gt;"acoes")))*INDEX(Inputs!$K$5:$AJ$140,0,MATCH(Z$2,Inputs!$K$4:$AJ$4,0)))))</f>
        <v>107908</v>
      </c>
      <c r="AA47" s="6">
        <f>IF(ISNA(MATCH(AA$2,Inputs!$K$4:$AJ$4,0)),NA(),IF(SUMPRODUCT((Inputs!$A$5:$A$140=$B47)*ISNUMBER(INDEX(Inputs!$K$5:$AJ$140,0,MATCH(AA$2,Inputs!$K$4:$AJ$4,0))))+SUMPRODUCT((Inputs!$C$5:$C$140=$B47)*ISNUMBER(INDEX(Inputs!$K$5:$AJ$140,0,MATCH(AA$2,Inputs!$K$4:$AJ$4,0))))+SUMPRODUCT((Inputs!$E$5:$E$140=$B47)*ISNUMBER(INDEX(Inputs!$K$5:$AJ$140,0,MATCH(AA$2,Inputs!$K$4:$AJ$4,0))))=0,NA(),SUMPRODUCT((Inputs!$A$5:$A$140=$B47)*Inputs!$B$5:$B$140*(((Inputs!$G$5:$G$140="moeda")+(Inputs!$G$5:$G$140="acoes"))*Inputs!$B$1+((Inputs!$G$5:$G$140&lt;&gt;"moeda")*(Inputs!$G$5:$G$140&lt;&gt;"acoes")))*INDEX(Inputs!$K$5:$AJ$140,0,MATCH(AA$2,Inputs!$K$4:$AJ$4,0)))+SUMPRODUCT((Inputs!$C$5:$C$140=$B47)*Inputs!$D$5:$D$140*(((Inputs!$G$5:$G$140="moeda")+(Inputs!$G$5:$G$140="acoes"))*Inputs!$B$1+((Inputs!$G$5:$G$140&lt;&gt;"moeda")*(Inputs!$G$5:$G$140&lt;&gt;"acoes")))*INDEX(Inputs!$K$5:$AJ$140,0,MATCH(AA$2,Inputs!$K$4:$AJ$4,0)))+SUMPRODUCT((Inputs!$E$5:$E$140=$B47)*Inputs!$F$5:$F$140*(((Inputs!$G$5:$G$140="moeda")+(Inputs!$G$5:$G$140="acoes"))*Inputs!$B$1+((Inputs!$G$5:$G$140&lt;&gt;"moeda")*(Inputs!$G$5:$G$140&lt;&gt;"acoes")))*INDEX(Inputs!$K$5:$AJ$140,0,MATCH(AA$2,Inputs!$K$4:$AJ$4,0)))))</f>
        <v>146973</v>
      </c>
      <c r="AB47" s="3">
        <f>AA47</f>
        <v>146973</v>
      </c>
      <c r="AC47" s="6">
        <f>IF(ISNA(MATCH(AC$2,Inputs!$K$4:$AJ$4,0)),NA(),IF(SUMPRODUCT((Inputs!$A$5:$A$140=$B47)*ISNUMBER(INDEX(Inputs!$K$5:$AJ$140,0,MATCH(AC$2,Inputs!$K$4:$AJ$4,0))))+SUMPRODUCT((Inputs!$C$5:$C$140=$B47)*ISNUMBER(INDEX(Inputs!$K$5:$AJ$140,0,MATCH(AC$2,Inputs!$K$4:$AJ$4,0))))+SUMPRODUCT((Inputs!$E$5:$E$140=$B47)*ISNUMBER(INDEX(Inputs!$K$5:$AJ$140,0,MATCH(AC$2,Inputs!$K$4:$AJ$4,0))))=0,NA(),SUMPRODUCT((Inputs!$A$5:$A$140=$B47)*Inputs!$B$5:$B$140*(((Inputs!$G$5:$G$140="moeda")+(Inputs!$G$5:$G$140="acoes"))*Inputs!$B$1+((Inputs!$G$5:$G$140&lt;&gt;"moeda")*(Inputs!$G$5:$G$140&lt;&gt;"acoes")))*INDEX(Inputs!$K$5:$AJ$140,0,MATCH(AC$2,Inputs!$K$4:$AJ$4,0)))+SUMPRODUCT((Inputs!$C$5:$C$140=$B47)*Inputs!$D$5:$D$140*(((Inputs!$G$5:$G$140="moeda")+(Inputs!$G$5:$G$140="acoes"))*Inputs!$B$1+((Inputs!$G$5:$G$140&lt;&gt;"moeda")*(Inputs!$G$5:$G$140&lt;&gt;"acoes")))*INDEX(Inputs!$K$5:$AJ$140,0,MATCH(AC$2,Inputs!$K$4:$AJ$4,0)))+SUMPRODUCT((Inputs!$E$5:$E$140=$B47)*Inputs!$F$5:$F$140*(((Inputs!$G$5:$G$140="moeda")+(Inputs!$G$5:$G$140="acoes"))*Inputs!$B$1+((Inputs!$G$5:$G$140&lt;&gt;"moeda")*(Inputs!$G$5:$G$140&lt;&gt;"acoes")))*INDEX(Inputs!$K$5:$AJ$140,0,MATCH(AC$2,Inputs!$K$4:$AJ$4,0)))))</f>
        <v>185038</v>
      </c>
      <c r="AD47" s="6">
        <f>IF(ISNA(MATCH(AD$2,Inputs!$K$4:$AJ$4,0)),NA(),IF(SUMPRODUCT((Inputs!$A$5:$A$140=$B47)*ISNUMBER(INDEX(Inputs!$K$5:$AJ$140,0,MATCH(AD$2,Inputs!$K$4:$AJ$4,0))))+SUMPRODUCT((Inputs!$C$5:$C$140=$B47)*ISNUMBER(INDEX(Inputs!$K$5:$AJ$140,0,MATCH(AD$2,Inputs!$K$4:$AJ$4,0))))+SUMPRODUCT((Inputs!$E$5:$E$140=$B47)*ISNUMBER(INDEX(Inputs!$K$5:$AJ$140,0,MATCH(AD$2,Inputs!$K$4:$AJ$4,0))))=0,NA(),SUMPRODUCT((Inputs!$A$5:$A$140=$B47)*Inputs!$B$5:$B$140*(((Inputs!$G$5:$G$140="moeda")+(Inputs!$G$5:$G$140="acoes"))*Inputs!$B$1+((Inputs!$G$5:$G$140&lt;&gt;"moeda")*(Inputs!$G$5:$G$140&lt;&gt;"acoes")))*INDEX(Inputs!$K$5:$AJ$140,0,MATCH(AD$2,Inputs!$K$4:$AJ$4,0)))+SUMPRODUCT((Inputs!$C$5:$C$140=$B47)*Inputs!$D$5:$D$140*(((Inputs!$G$5:$G$140="moeda")+(Inputs!$G$5:$G$140="acoes"))*Inputs!$B$1+((Inputs!$G$5:$G$140&lt;&gt;"moeda")*(Inputs!$G$5:$G$140&lt;&gt;"acoes")))*INDEX(Inputs!$K$5:$AJ$140,0,MATCH(AD$2,Inputs!$K$4:$AJ$4,0)))+SUMPRODUCT((Inputs!$E$5:$E$140=$B47)*Inputs!$F$5:$F$140*(((Inputs!$G$5:$G$140="moeda")+(Inputs!$G$5:$G$140="acoes"))*Inputs!$B$1+((Inputs!$G$5:$G$140&lt;&gt;"moeda")*(Inputs!$G$5:$G$140&lt;&gt;"acoes")))*INDEX(Inputs!$K$5:$AJ$140,0,MATCH(AD$2,Inputs!$K$4:$AJ$4,0)))))</f>
        <v>219157</v>
      </c>
      <c r="AE47" s="6" t="e">
        <f>IF(ISNA(MATCH(AE$2,Inputs!$K$4:$AJ$4,0)),NA(),IF(SUMPRODUCT((Inputs!$A$5:$A$140=$B47)*ISNUMBER(INDEX(Inputs!$K$5:$AJ$140,0,MATCH(AE$2,Inputs!$K$4:$AJ$4,0))))+SUMPRODUCT((Inputs!$C$5:$C$140=$B47)*ISNUMBER(INDEX(Inputs!$K$5:$AJ$140,0,MATCH(AE$2,Inputs!$K$4:$AJ$4,0))))+SUMPRODUCT((Inputs!$E$5:$E$140=$B47)*ISNUMBER(INDEX(Inputs!$K$5:$AJ$140,0,MATCH(AE$2,Inputs!$K$4:$AJ$4,0))))=0,NA(),SUMPRODUCT((Inputs!$A$5:$A$140=$B47)*Inputs!$B$5:$B$140*(((Inputs!$G$5:$G$140="moeda")+(Inputs!$G$5:$G$140="acoes"))*Inputs!$B$1+((Inputs!$G$5:$G$140&lt;&gt;"moeda")*(Inputs!$G$5:$G$140&lt;&gt;"acoes")))*INDEX(Inputs!$K$5:$AJ$140,0,MATCH(AE$2,Inputs!$K$4:$AJ$4,0)))+SUMPRODUCT((Inputs!$C$5:$C$140=$B47)*Inputs!$D$5:$D$140*(((Inputs!$G$5:$G$140="moeda")+(Inputs!$G$5:$G$140="acoes"))*Inputs!$B$1+((Inputs!$G$5:$G$140&lt;&gt;"moeda")*(Inputs!$G$5:$G$140&lt;&gt;"acoes")))*INDEX(Inputs!$K$5:$AJ$140,0,MATCH(AE$2,Inputs!$K$4:$AJ$4,0)))+SUMPRODUCT((Inputs!$E$5:$E$140=$B47)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47" s="6" t="e">
        <f>IF(ISNA(MATCH(AF$2,Inputs!$K$4:$AJ$4,0)),NA(),IF(SUMPRODUCT((Inputs!$A$5:$A$140=$B47)*ISNUMBER(INDEX(Inputs!$K$5:$AJ$140,0,MATCH(AF$2,Inputs!$K$4:$AJ$4,0))))+SUMPRODUCT((Inputs!$C$5:$C$140=$B47)*ISNUMBER(INDEX(Inputs!$K$5:$AJ$140,0,MATCH(AF$2,Inputs!$K$4:$AJ$4,0))))+SUMPRODUCT((Inputs!$E$5:$E$140=$B47)*ISNUMBER(INDEX(Inputs!$K$5:$AJ$140,0,MATCH(AF$2,Inputs!$K$4:$AJ$4,0))))=0,NA(),SUMPRODUCT((Inputs!$A$5:$A$140=$B47)*Inputs!$B$5:$B$140*(((Inputs!$G$5:$G$140="moeda")+(Inputs!$G$5:$G$140="acoes"))*Inputs!$B$1+((Inputs!$G$5:$G$140&lt;&gt;"moeda")*(Inputs!$G$5:$G$140&lt;&gt;"acoes")))*INDEX(Inputs!$K$5:$AJ$140,0,MATCH(AF$2,Inputs!$K$4:$AJ$4,0)))+SUMPRODUCT((Inputs!$C$5:$C$140=$B47)*Inputs!$D$5:$D$140*(((Inputs!$G$5:$G$140="moeda")+(Inputs!$G$5:$G$140="acoes"))*Inputs!$B$1+((Inputs!$G$5:$G$140&lt;&gt;"moeda")*(Inputs!$G$5:$G$140&lt;&gt;"acoes")))*INDEX(Inputs!$K$5:$AJ$140,0,MATCH(AF$2,Inputs!$K$4:$AJ$4,0)))+SUMPRODUCT((Inputs!$E$5:$E$140=$B47)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47" s="3" t="e">
        <f>AF47</f>
        <v>#N/A</v>
      </c>
      <c r="AH47" s="6">
        <f>IF(ISNA(MATCH(AH$2,Inputs!$K$4:$AJ$4,0)),NA(),IF(SUMPRODUCT((Inputs!$A$5:$A$140=$B47)*ISNUMBER(INDEX(Inputs!$K$5:$AJ$140,0,MATCH(AH$2,Inputs!$K$4:$AJ$4,0))))+SUMPRODUCT((Inputs!$C$5:$C$140=$B47)*ISNUMBER(INDEX(Inputs!$K$5:$AJ$140,0,MATCH(AH$2,Inputs!$K$4:$AJ$4,0))))+SUMPRODUCT((Inputs!$E$5:$E$140=$B47)*ISNUMBER(INDEX(Inputs!$K$5:$AJ$140,0,MATCH(AH$2,Inputs!$K$4:$AJ$4,0))))=0,NA(),SUMPRODUCT((Inputs!$A$5:$A$140=$B47)*Inputs!$B$5:$B$140*(((Inputs!$G$5:$G$140="moeda")+(Inputs!$G$5:$G$140="acoes"))*Inputs!$B$1+((Inputs!$G$5:$G$140&lt;&gt;"moeda")*(Inputs!$G$5:$G$140&lt;&gt;"acoes")))*INDEX(Inputs!$K$5:$AJ$140,0,MATCH(AH$2,Inputs!$K$4:$AJ$4,0)))+SUMPRODUCT((Inputs!$C$5:$C$140=$B47)*Inputs!$D$5:$D$140*(((Inputs!$G$5:$G$140="moeda")+(Inputs!$G$5:$G$140="acoes"))*Inputs!$B$1+((Inputs!$G$5:$G$140&lt;&gt;"moeda")*(Inputs!$G$5:$G$140&lt;&gt;"acoes")))*INDEX(Inputs!$K$5:$AJ$140,0,MATCH(AH$2,Inputs!$K$4:$AJ$4,0)))+SUMPRODUCT((Inputs!$E$5:$E$140=$B47)*Inputs!$F$5:$F$140*(((Inputs!$G$5:$G$140="moeda")+(Inputs!$G$5:$G$140="acoes"))*Inputs!$B$1+((Inputs!$G$5:$G$140&lt;&gt;"moeda")*(Inputs!$G$5:$G$140&lt;&gt;"acoes")))*INDEX(Inputs!$K$5:$AJ$140,0,MATCH(AH$2,Inputs!$K$4:$AJ$4,0)))))</f>
        <v>15790</v>
      </c>
      <c r="AI47" s="6">
        <f>IF(ISNA(MATCH(AI$2,Inputs!$K$4:$AJ$4,0)),NA(),IF(SUMPRODUCT((Inputs!$A$5:$A$140=$B47)*ISNUMBER(INDEX(Inputs!$K$5:$AJ$140,0,MATCH(AI$2,Inputs!$K$4:$AJ$4,0))))+SUMPRODUCT((Inputs!$C$5:$C$140=$B47)*ISNUMBER(INDEX(Inputs!$K$5:$AJ$140,0,MATCH(AI$2,Inputs!$K$4:$AJ$4,0))))+SUMPRODUCT((Inputs!$E$5:$E$140=$B47)*ISNUMBER(INDEX(Inputs!$K$5:$AJ$140,0,MATCH(AI$2,Inputs!$K$4:$AJ$4,0))))=0,NA(),SUMPRODUCT((Inputs!$A$5:$A$140=$B47)*Inputs!$B$5:$B$140*(((Inputs!$G$5:$G$140="moeda")+(Inputs!$G$5:$G$140="acoes"))*Inputs!$B$1+((Inputs!$G$5:$G$140&lt;&gt;"moeda")*(Inputs!$G$5:$G$140&lt;&gt;"acoes")))*INDEX(Inputs!$K$5:$AJ$140,0,MATCH(AI$2,Inputs!$K$4:$AJ$4,0)))+SUMPRODUCT((Inputs!$C$5:$C$140=$B47)*Inputs!$D$5:$D$140*(((Inputs!$G$5:$G$140="moeda")+(Inputs!$G$5:$G$140="acoes"))*Inputs!$B$1+((Inputs!$G$5:$G$140&lt;&gt;"moeda")*(Inputs!$G$5:$G$140&lt;&gt;"acoes")))*INDEX(Inputs!$K$5:$AJ$140,0,MATCH(AI$2,Inputs!$K$4:$AJ$4,0)))+SUMPRODUCT((Inputs!$E$5:$E$140=$B47)*Inputs!$F$5:$F$140*(((Inputs!$G$5:$G$140="moeda")+(Inputs!$G$5:$G$140="acoes"))*Inputs!$B$1+((Inputs!$G$5:$G$140&lt;&gt;"moeda")*(Inputs!$G$5:$G$140&lt;&gt;"acoes")))*INDEX(Inputs!$K$5:$AJ$140,0,MATCH(AI$2,Inputs!$K$4:$AJ$4,0)))))</f>
        <v>16313</v>
      </c>
      <c r="AJ47" s="6">
        <f>IF(ISNA(MATCH(AJ$2,Inputs!$K$4:$AJ$4,0)),NA(),IF(SUMPRODUCT((Inputs!$A$5:$A$140=$B47)*ISNUMBER(INDEX(Inputs!$K$5:$AJ$140,0,MATCH(AJ$2,Inputs!$K$4:$AJ$4,0))))+SUMPRODUCT((Inputs!$C$5:$C$140=$B47)*ISNUMBER(INDEX(Inputs!$K$5:$AJ$140,0,MATCH(AJ$2,Inputs!$K$4:$AJ$4,0))))+SUMPRODUCT((Inputs!$E$5:$E$140=$B47)*ISNUMBER(INDEX(Inputs!$K$5:$AJ$140,0,MATCH(AJ$2,Inputs!$K$4:$AJ$4,0))))=0,NA(),SUMPRODUCT((Inputs!$A$5:$A$140=$B47)*Inputs!$B$5:$B$140*(((Inputs!$G$5:$G$140="moeda")+(Inputs!$G$5:$G$140="acoes"))*Inputs!$B$1+((Inputs!$G$5:$G$140&lt;&gt;"moeda")*(Inputs!$G$5:$G$140&lt;&gt;"acoes")))*INDEX(Inputs!$K$5:$AJ$140,0,MATCH(AJ$2,Inputs!$K$4:$AJ$4,0)))+SUMPRODUCT((Inputs!$C$5:$C$140=$B47)*Inputs!$D$5:$D$140*(((Inputs!$G$5:$G$140="moeda")+(Inputs!$G$5:$G$140="acoes"))*Inputs!$B$1+((Inputs!$G$5:$G$140&lt;&gt;"moeda")*(Inputs!$G$5:$G$140&lt;&gt;"acoes")))*INDEX(Inputs!$K$5:$AJ$140,0,MATCH(AJ$2,Inputs!$K$4:$AJ$4,0)))+SUMPRODUCT((Inputs!$E$5:$E$140=$B47)*Inputs!$F$5:$F$140*(((Inputs!$G$5:$G$140="moeda")+(Inputs!$G$5:$G$140="acoes"))*Inputs!$B$1+((Inputs!$G$5:$G$140&lt;&gt;"moeda")*(Inputs!$G$5:$G$140&lt;&gt;"acoes")))*INDEX(Inputs!$K$5:$AJ$140,0,MATCH(AJ$2,Inputs!$K$4:$AJ$4,0)))))</f>
        <v>17550</v>
      </c>
      <c r="AK47" s="6">
        <f>IF(ISNA(MATCH(AK$2,Inputs!$K$4:$AJ$4,0)),NA(),IF(SUMPRODUCT((Inputs!$A$5:$A$140=$B47)*ISNUMBER(INDEX(Inputs!$K$5:$AJ$140,0,MATCH(AK$2,Inputs!$K$4:$AJ$4,0))))+SUMPRODUCT((Inputs!$C$5:$C$140=$B47)*ISNUMBER(INDEX(Inputs!$K$5:$AJ$140,0,MATCH(AK$2,Inputs!$K$4:$AJ$4,0))))+SUMPRODUCT((Inputs!$E$5:$E$140=$B47)*ISNUMBER(INDEX(Inputs!$K$5:$AJ$140,0,MATCH(AK$2,Inputs!$K$4:$AJ$4,0))))=0,NA(),SUMPRODUCT((Inputs!$A$5:$A$140=$B47)*Inputs!$B$5:$B$140*(((Inputs!$G$5:$G$140="moeda")+(Inputs!$G$5:$G$140="acoes"))*Inputs!$B$1+((Inputs!$G$5:$G$140&lt;&gt;"moeda")*(Inputs!$G$5:$G$140&lt;&gt;"acoes")))*INDEX(Inputs!$K$5:$AJ$140,0,MATCH(AK$2,Inputs!$K$4:$AJ$4,0)))+SUMPRODUCT((Inputs!$C$5:$C$140=$B47)*Inputs!$D$5:$D$140*(((Inputs!$G$5:$G$140="moeda")+(Inputs!$G$5:$G$140="acoes"))*Inputs!$B$1+((Inputs!$G$5:$G$140&lt;&gt;"moeda")*(Inputs!$G$5:$G$140&lt;&gt;"acoes")))*INDEX(Inputs!$K$5:$AJ$140,0,MATCH(AK$2,Inputs!$K$4:$AJ$4,0)))+SUMPRODUCT((Inputs!$E$5:$E$140=$B47)*Inputs!$F$5:$F$140*(((Inputs!$G$5:$G$140="moeda")+(Inputs!$G$5:$G$140="acoes"))*Inputs!$B$1+((Inputs!$G$5:$G$140&lt;&gt;"moeda")*(Inputs!$G$5:$G$140&lt;&gt;"acoes")))*INDEX(Inputs!$K$5:$AJ$140,0,MATCH(AK$2,Inputs!$K$4:$AJ$4,0)))))</f>
        <v>18908</v>
      </c>
      <c r="AL47" s="3">
        <f>AK47</f>
        <v>18908</v>
      </c>
    </row>
    <row r="48"/>
    <row r="49" customFormat="1" s="1">
      <c r="C49" s="4" t="n"/>
      <c r="D49" s="245" t="n"/>
      <c r="E49" s="245" t="n"/>
      <c r="F49" s="245" t="n"/>
      <c r="G49" s="245" t="n"/>
      <c r="H49" s="3" t="n"/>
      <c r="I49" s="245" t="n"/>
      <c r="J49" s="245" t="n"/>
      <c r="K49" s="245" t="n"/>
      <c r="L49" s="245" t="n"/>
      <c r="M49" s="3" t="n"/>
      <c r="N49" s="245" t="n"/>
      <c r="O49" s="245" t="n"/>
      <c r="P49" s="245" t="n"/>
      <c r="Q49" s="245" t="n"/>
      <c r="R49" s="3" t="n"/>
      <c r="S49" s="245" t="n"/>
      <c r="T49" s="245" t="n"/>
      <c r="U49" s="245" t="n"/>
      <c r="V49" s="245" t="n"/>
      <c r="W49" s="3" t="n"/>
      <c r="X49" s="245" t="n"/>
      <c r="Y49" s="245" t="n"/>
      <c r="Z49" s="245" t="n"/>
      <c r="AA49" s="245" t="n"/>
      <c r="AC49" s="245" t="n"/>
      <c r="AD49" s="245" t="n"/>
      <c r="AE49" s="245" t="n"/>
      <c r="AF49" s="245" t="n"/>
    </row>
    <row r="50">
      <c r="B50" s="46" t="n">
        <v>44</v>
      </c>
      <c r="C50" s="24" t="inlineStr">
        <is>
          <t>Net income reported (lucro liquido) - memo p/ check IS [Model linha 4]</t>
        </is>
      </c>
      <c r="D50" s="6">
        <f>IF(ISNA(MATCH(D$2,Inputs!$K$4:$AJ$4,0)),NA(),IF(SUMPRODUCT((Inputs!$A$5:$A$140=$B50)*ISNUMBER(INDEX(Inputs!$K$5:$AJ$140,0,MATCH(D$2,Inputs!$K$4:$AJ$4,0))))+SUMPRODUCT((Inputs!$C$5:$C$140=$B50)*ISNUMBER(INDEX(Inputs!$K$5:$AJ$140,0,MATCH(D$2,Inputs!$K$4:$AJ$4,0))))+SUMPRODUCT((Inputs!$E$5:$E$140=$B50)*ISNUMBER(INDEX(Inputs!$K$5:$AJ$140,0,MATCH(D$2,Inputs!$K$4:$AJ$4,0))))=0,NA(),SUMPRODUCT((Inputs!$A$5:$A$140=$B50)*Inputs!$B$5:$B$140*(((Inputs!$G$5:$G$140="moeda")+(Inputs!$G$5:$G$140="acoes"))*Inputs!$B$1+((Inputs!$G$5:$G$140&lt;&gt;"moeda")*(Inputs!$G$5:$G$140&lt;&gt;"acoes")))*INDEX(Inputs!$K$5:$AJ$140,0,MATCH(D$2,Inputs!$K$4:$AJ$4,0)))+SUMPRODUCT((Inputs!$C$5:$C$140=$B50)*Inputs!$D$5:$D$140*(((Inputs!$G$5:$G$140="moeda")+(Inputs!$G$5:$G$140="acoes"))*Inputs!$B$1+((Inputs!$G$5:$G$140&lt;&gt;"moeda")*(Inputs!$G$5:$G$140&lt;&gt;"acoes")))*INDEX(Inputs!$K$5:$AJ$140,0,MATCH(D$2,Inputs!$K$4:$AJ$4,0)))+SUMPRODUCT((Inputs!$E$5:$E$140=$B50)*Inputs!$F$5:$F$140*(((Inputs!$G$5:$G$140="moeda")+(Inputs!$G$5:$G$140="acoes"))*Inputs!$B$1+((Inputs!$G$5:$G$140&lt;&gt;"moeda")*(Inputs!$G$5:$G$140&lt;&gt;"acoes")))*INDEX(Inputs!$K$5:$AJ$140,0,MATCH(D$2,Inputs!$K$4:$AJ$4,0)))))</f>
        <v>1912</v>
      </c>
      <c r="E50" s="6">
        <f>IF(ISNA(MATCH(E$2,Inputs!$K$4:$AJ$4,0)),NA(),IF(SUMPRODUCT((Inputs!$A$5:$A$140=$B50)*ISNUMBER(INDEX(Inputs!$K$5:$AJ$140,0,MATCH(E$2,Inputs!$K$4:$AJ$4,0))))+SUMPRODUCT((Inputs!$C$5:$C$140=$B50)*ISNUMBER(INDEX(Inputs!$K$5:$AJ$140,0,MATCH(E$2,Inputs!$K$4:$AJ$4,0))))+SUMPRODUCT((Inputs!$E$5:$E$140=$B50)*ISNUMBER(INDEX(Inputs!$K$5:$AJ$140,0,MATCH(E$2,Inputs!$K$4:$AJ$4,0))))=0,NA(),SUMPRODUCT((Inputs!$A$5:$A$140=$B50)*Inputs!$B$5:$B$140*(((Inputs!$G$5:$G$140="moeda")+(Inputs!$G$5:$G$140="acoes"))*Inputs!$B$1+((Inputs!$G$5:$G$140&lt;&gt;"moeda")*(Inputs!$G$5:$G$140&lt;&gt;"acoes")))*INDEX(Inputs!$K$5:$AJ$140,0,MATCH(E$2,Inputs!$K$4:$AJ$4,0)))+SUMPRODUCT((Inputs!$C$5:$C$140=$B50)*Inputs!$D$5:$D$140*(((Inputs!$G$5:$G$140="moeda")+(Inputs!$G$5:$G$140="acoes"))*Inputs!$B$1+((Inputs!$G$5:$G$140&lt;&gt;"moeda")*(Inputs!$G$5:$G$140&lt;&gt;"acoes")))*INDEX(Inputs!$K$5:$AJ$140,0,MATCH(E$2,Inputs!$K$4:$AJ$4,0)))+SUMPRODUCT((Inputs!$E$5:$E$140=$B50)*Inputs!$F$5:$F$140*(((Inputs!$G$5:$G$140="moeda")+(Inputs!$G$5:$G$140="acoes"))*Inputs!$B$1+((Inputs!$G$5:$G$140&lt;&gt;"moeda")*(Inputs!$G$5:$G$140&lt;&gt;"acoes")))*INDEX(Inputs!$K$5:$AJ$140,0,MATCH(E$2,Inputs!$K$4:$AJ$4,0)))))</f>
        <v>2374</v>
      </c>
      <c r="F50" s="6">
        <f>IF(ISNA(MATCH(F$2,Inputs!$K$4:$AJ$4,0)),NA(),IF(SUMPRODUCT((Inputs!$A$5:$A$140=$B50)*ISNUMBER(INDEX(Inputs!$K$5:$AJ$140,0,MATCH(F$2,Inputs!$K$4:$AJ$4,0))))+SUMPRODUCT((Inputs!$C$5:$C$140=$B50)*ISNUMBER(INDEX(Inputs!$K$5:$AJ$140,0,MATCH(F$2,Inputs!$K$4:$AJ$4,0))))+SUMPRODUCT((Inputs!$E$5:$E$140=$B50)*ISNUMBER(INDEX(Inputs!$K$5:$AJ$140,0,MATCH(F$2,Inputs!$K$4:$AJ$4,0))))=0,NA(),SUMPRODUCT((Inputs!$A$5:$A$140=$B50)*Inputs!$B$5:$B$140*(((Inputs!$G$5:$G$140="moeda")+(Inputs!$G$5:$G$140="acoes"))*Inputs!$B$1+((Inputs!$G$5:$G$140&lt;&gt;"moeda")*(Inputs!$G$5:$G$140&lt;&gt;"acoes")))*INDEX(Inputs!$K$5:$AJ$140,0,MATCH(F$2,Inputs!$K$4:$AJ$4,0)))+SUMPRODUCT((Inputs!$C$5:$C$140=$B50)*Inputs!$D$5:$D$140*(((Inputs!$G$5:$G$140="moeda")+(Inputs!$G$5:$G$140="acoes"))*Inputs!$B$1+((Inputs!$G$5:$G$140&lt;&gt;"moeda")*(Inputs!$G$5:$G$140&lt;&gt;"acoes")))*INDEX(Inputs!$K$5:$AJ$140,0,MATCH(F$2,Inputs!$K$4:$AJ$4,0)))+SUMPRODUCT((Inputs!$E$5:$E$140=$B50)*Inputs!$F$5:$F$140*(((Inputs!$G$5:$G$140="moeda")+(Inputs!$G$5:$G$140="acoes"))*Inputs!$B$1+((Inputs!$G$5:$G$140&lt;&gt;"moeda")*(Inputs!$G$5:$G$140&lt;&gt;"acoes")))*INDEX(Inputs!$K$5:$AJ$140,0,MATCH(F$2,Inputs!$K$4:$AJ$4,0)))))</f>
        <v>2464</v>
      </c>
      <c r="G50" s="6">
        <f>IF(ISNA(MATCH(G$2,Inputs!$K$4:$AJ$4,0)),NA(),IF(SUMPRODUCT((Inputs!$A$5:$A$140=$B50)*ISNUMBER(INDEX(Inputs!$K$5:$AJ$140,0,MATCH(G$2,Inputs!$K$4:$AJ$4,0))))+SUMPRODUCT((Inputs!$C$5:$C$140=$B50)*ISNUMBER(INDEX(Inputs!$K$5:$AJ$140,0,MATCH(G$2,Inputs!$K$4:$AJ$4,0))))+SUMPRODUCT((Inputs!$E$5:$E$140=$B50)*ISNUMBER(INDEX(Inputs!$K$5:$AJ$140,0,MATCH(G$2,Inputs!$K$4:$AJ$4,0))))=0,NA(),SUMPRODUCT((Inputs!$A$5:$A$140=$B50)*Inputs!$B$5:$B$140*(((Inputs!$G$5:$G$140="moeda")+(Inputs!$G$5:$G$140="acoes"))*Inputs!$B$1+((Inputs!$G$5:$G$140&lt;&gt;"moeda")*(Inputs!$G$5:$G$140&lt;&gt;"acoes")))*INDEX(Inputs!$K$5:$AJ$140,0,MATCH(G$2,Inputs!$K$4:$AJ$4,0)))+SUMPRODUCT((Inputs!$C$5:$C$140=$B50)*Inputs!$D$5:$D$140*(((Inputs!$G$5:$G$140="moeda")+(Inputs!$G$5:$G$140="acoes"))*Inputs!$B$1+((Inputs!$G$5:$G$140&lt;&gt;"moeda")*(Inputs!$G$5:$G$140&lt;&gt;"acoes")))*INDEX(Inputs!$K$5:$AJ$140,0,MATCH(G$2,Inputs!$K$4:$AJ$4,0)))+SUMPRODUCT((Inputs!$E$5:$E$140=$B50)*Inputs!$F$5:$F$140*(((Inputs!$G$5:$G$140="moeda")+(Inputs!$G$5:$G$140="acoes"))*Inputs!$B$1+((Inputs!$G$5:$G$140&lt;&gt;"moeda")*(Inputs!$G$5:$G$140&lt;&gt;"acoes")))*INDEX(Inputs!$K$5:$AJ$140,0,MATCH(G$2,Inputs!$K$4:$AJ$4,0)))))</f>
        <v>3003</v>
      </c>
      <c r="H50" s="3">
        <f>SUM(D50:G50)</f>
        <v>9753</v>
      </c>
      <c r="I50" s="6">
        <f>IF(ISNA(MATCH(I$2,Inputs!$K$4:$AJ$4,0)),NA(),IF(SUMPRODUCT((Inputs!$A$5:$A$140=$B50)*ISNUMBER(INDEX(Inputs!$K$5:$AJ$140,0,MATCH(I$2,Inputs!$K$4:$AJ$4,0))))+SUMPRODUCT((Inputs!$C$5:$C$140=$B50)*ISNUMBER(INDEX(Inputs!$K$5:$AJ$140,0,MATCH(I$2,Inputs!$K$4:$AJ$4,0))))+SUMPRODUCT((Inputs!$E$5:$E$140=$B50)*ISNUMBER(INDEX(Inputs!$K$5:$AJ$140,0,MATCH(I$2,Inputs!$K$4:$AJ$4,0))))=0,NA(),SUMPRODUCT((Inputs!$A$5:$A$140=$B50)*Inputs!$B$5:$B$140*(((Inputs!$G$5:$G$140="moeda")+(Inputs!$G$5:$G$140="acoes"))*Inputs!$B$1+((Inputs!$G$5:$G$140&lt;&gt;"moeda")*(Inputs!$G$5:$G$140&lt;&gt;"acoes")))*INDEX(Inputs!$K$5:$AJ$140,0,MATCH(I$2,Inputs!$K$4:$AJ$4,0)))+SUMPRODUCT((Inputs!$C$5:$C$140=$B50)*Inputs!$D$5:$D$140*(((Inputs!$G$5:$G$140="moeda")+(Inputs!$G$5:$G$140="acoes"))*Inputs!$B$1+((Inputs!$G$5:$G$140&lt;&gt;"moeda")*(Inputs!$G$5:$G$140&lt;&gt;"acoes")))*INDEX(Inputs!$K$5:$AJ$140,0,MATCH(I$2,Inputs!$K$4:$AJ$4,0)))+SUMPRODUCT((Inputs!$E$5:$E$140=$B50)*Inputs!$F$5:$F$140*(((Inputs!$G$5:$G$140="moeda")+(Inputs!$G$5:$G$140="acoes"))*Inputs!$B$1+((Inputs!$G$5:$G$140&lt;&gt;"moeda")*(Inputs!$G$5:$G$140&lt;&gt;"acoes")))*INDEX(Inputs!$K$5:$AJ$140,0,MATCH(I$2,Inputs!$K$4:$AJ$4,0)))))</f>
        <v>1618</v>
      </c>
      <c r="J50" s="6">
        <f>IF(ISNA(MATCH(J$2,Inputs!$K$4:$AJ$4,0)),NA(),IF(SUMPRODUCT((Inputs!$A$5:$A$140=$B50)*ISNUMBER(INDEX(Inputs!$K$5:$AJ$140,0,MATCH(J$2,Inputs!$K$4:$AJ$4,0))))+SUMPRODUCT((Inputs!$C$5:$C$140=$B50)*ISNUMBER(INDEX(Inputs!$K$5:$AJ$140,0,MATCH(J$2,Inputs!$K$4:$AJ$4,0))))+SUMPRODUCT((Inputs!$E$5:$E$140=$B50)*ISNUMBER(INDEX(Inputs!$K$5:$AJ$140,0,MATCH(J$2,Inputs!$K$4:$AJ$4,0))))=0,NA(),SUMPRODUCT((Inputs!$A$5:$A$140=$B50)*Inputs!$B$5:$B$140*(((Inputs!$G$5:$G$140="moeda")+(Inputs!$G$5:$G$140="acoes"))*Inputs!$B$1+((Inputs!$G$5:$G$140&lt;&gt;"moeda")*(Inputs!$G$5:$G$140&lt;&gt;"acoes")))*INDEX(Inputs!$K$5:$AJ$140,0,MATCH(J$2,Inputs!$K$4:$AJ$4,0)))+SUMPRODUCT((Inputs!$C$5:$C$140=$B50)*Inputs!$D$5:$D$140*(((Inputs!$G$5:$G$140="moeda")+(Inputs!$G$5:$G$140="acoes"))*Inputs!$B$1+((Inputs!$G$5:$G$140&lt;&gt;"moeda")*(Inputs!$G$5:$G$140&lt;&gt;"acoes")))*INDEX(Inputs!$K$5:$AJ$140,0,MATCH(J$2,Inputs!$K$4:$AJ$4,0)))+SUMPRODUCT((Inputs!$E$5:$E$140=$B50)*Inputs!$F$5:$F$140*(((Inputs!$G$5:$G$140="moeda")+(Inputs!$G$5:$G$140="acoes"))*Inputs!$B$1+((Inputs!$G$5:$G$140&lt;&gt;"moeda")*(Inputs!$G$5:$G$140&lt;&gt;"acoes")))*INDEX(Inputs!$K$5:$AJ$140,0,MATCH(J$2,Inputs!$K$4:$AJ$4,0)))))</f>
        <v>656</v>
      </c>
      <c r="K50" s="6">
        <f>IF(ISNA(MATCH(K$2,Inputs!$K$4:$AJ$4,0)),NA(),IF(SUMPRODUCT((Inputs!$A$5:$A$140=$B50)*ISNUMBER(INDEX(Inputs!$K$5:$AJ$140,0,MATCH(K$2,Inputs!$K$4:$AJ$4,0))))+SUMPRODUCT((Inputs!$C$5:$C$140=$B50)*ISNUMBER(INDEX(Inputs!$K$5:$AJ$140,0,MATCH(K$2,Inputs!$K$4:$AJ$4,0))))+SUMPRODUCT((Inputs!$E$5:$E$140=$B50)*ISNUMBER(INDEX(Inputs!$K$5:$AJ$140,0,MATCH(K$2,Inputs!$K$4:$AJ$4,0))))=0,NA(),SUMPRODUCT((Inputs!$A$5:$A$140=$B50)*Inputs!$B$5:$B$140*(((Inputs!$G$5:$G$140="moeda")+(Inputs!$G$5:$G$140="acoes"))*Inputs!$B$1+((Inputs!$G$5:$G$140&lt;&gt;"moeda")*(Inputs!$G$5:$G$140&lt;&gt;"acoes")))*INDEX(Inputs!$K$5:$AJ$140,0,MATCH(K$2,Inputs!$K$4:$AJ$4,0)))+SUMPRODUCT((Inputs!$C$5:$C$140=$B50)*Inputs!$D$5:$D$140*(((Inputs!$G$5:$G$140="moeda")+(Inputs!$G$5:$G$140="acoes"))*Inputs!$B$1+((Inputs!$G$5:$G$140&lt;&gt;"moeda")*(Inputs!$G$5:$G$140&lt;&gt;"acoes")))*INDEX(Inputs!$K$5:$AJ$140,0,MATCH(K$2,Inputs!$K$4:$AJ$4,0)))+SUMPRODUCT((Inputs!$E$5:$E$140=$B50)*Inputs!$F$5:$F$140*(((Inputs!$G$5:$G$140="moeda")+(Inputs!$G$5:$G$140="acoes"))*Inputs!$B$1+((Inputs!$G$5:$G$140&lt;&gt;"moeda")*(Inputs!$G$5:$G$140&lt;&gt;"acoes")))*INDEX(Inputs!$K$5:$AJ$140,0,MATCH(K$2,Inputs!$K$4:$AJ$4,0)))))</f>
        <v>680</v>
      </c>
      <c r="L50" s="6">
        <f>IF(ISNA(MATCH(L$2,Inputs!$K$4:$AJ$4,0)),NA(),IF(SUMPRODUCT((Inputs!$A$5:$A$140=$B50)*ISNUMBER(INDEX(Inputs!$K$5:$AJ$140,0,MATCH(L$2,Inputs!$K$4:$AJ$4,0))))+SUMPRODUCT((Inputs!$C$5:$C$140=$B50)*ISNUMBER(INDEX(Inputs!$K$5:$AJ$140,0,MATCH(L$2,Inputs!$K$4:$AJ$4,0))))+SUMPRODUCT((Inputs!$E$5:$E$140=$B50)*ISNUMBER(INDEX(Inputs!$K$5:$AJ$140,0,MATCH(L$2,Inputs!$K$4:$AJ$4,0))))=0,NA(),SUMPRODUCT((Inputs!$A$5:$A$140=$B50)*Inputs!$B$5:$B$140*(((Inputs!$G$5:$G$140="moeda")+(Inputs!$G$5:$G$140="acoes"))*Inputs!$B$1+((Inputs!$G$5:$G$140&lt;&gt;"moeda")*(Inputs!$G$5:$G$140&lt;&gt;"acoes")))*INDEX(Inputs!$K$5:$AJ$140,0,MATCH(L$2,Inputs!$K$4:$AJ$4,0)))+SUMPRODUCT((Inputs!$C$5:$C$140=$B50)*Inputs!$D$5:$D$140*(((Inputs!$G$5:$G$140="moeda")+(Inputs!$G$5:$G$140="acoes"))*Inputs!$B$1+((Inputs!$G$5:$G$140&lt;&gt;"moeda")*(Inputs!$G$5:$G$140&lt;&gt;"acoes")))*INDEX(Inputs!$K$5:$AJ$140,0,MATCH(L$2,Inputs!$K$4:$AJ$4,0)))+SUMPRODUCT((Inputs!$E$5:$E$140=$B50)*Inputs!$F$5:$F$140*(((Inputs!$G$5:$G$140="moeda")+(Inputs!$G$5:$G$140="acoes"))*Inputs!$B$1+((Inputs!$G$5:$G$140&lt;&gt;"moeda")*(Inputs!$G$5:$G$140&lt;&gt;"acoes")))*INDEX(Inputs!$K$5:$AJ$140,0,MATCH(L$2,Inputs!$K$4:$AJ$4,0)))))</f>
        <v>1414</v>
      </c>
      <c r="M50" s="3">
        <f>SUM(I50:L50)</f>
        <v>4368</v>
      </c>
      <c r="N50" s="6">
        <f>IF(ISNA(MATCH(N$2,Inputs!$K$4:$AJ$4,0)),NA(),IF(SUMPRODUCT((Inputs!$A$5:$A$140=$B50)*ISNUMBER(INDEX(Inputs!$K$5:$AJ$140,0,MATCH(N$2,Inputs!$K$4:$AJ$4,0))))+SUMPRODUCT((Inputs!$C$5:$C$140=$B50)*ISNUMBER(INDEX(Inputs!$K$5:$AJ$140,0,MATCH(N$2,Inputs!$K$4:$AJ$4,0))))+SUMPRODUCT((Inputs!$E$5:$E$140=$B50)*ISNUMBER(INDEX(Inputs!$K$5:$AJ$140,0,MATCH(N$2,Inputs!$K$4:$AJ$4,0))))=0,NA(),SUMPRODUCT((Inputs!$A$5:$A$140=$B50)*Inputs!$B$5:$B$140*(((Inputs!$G$5:$G$140="moeda")+(Inputs!$G$5:$G$140="acoes"))*Inputs!$B$1+((Inputs!$G$5:$G$140&lt;&gt;"moeda")*(Inputs!$G$5:$G$140&lt;&gt;"acoes")))*INDEX(Inputs!$K$5:$AJ$140,0,MATCH(N$2,Inputs!$K$4:$AJ$4,0)))+SUMPRODUCT((Inputs!$C$5:$C$140=$B50)*Inputs!$D$5:$D$140*(((Inputs!$G$5:$G$140="moeda")+(Inputs!$G$5:$G$140="acoes"))*Inputs!$B$1+((Inputs!$G$5:$G$140&lt;&gt;"moeda")*(Inputs!$G$5:$G$140&lt;&gt;"acoes")))*INDEX(Inputs!$K$5:$AJ$140,0,MATCH(N$2,Inputs!$K$4:$AJ$4,0)))+SUMPRODUCT((Inputs!$E$5:$E$140=$B50)*Inputs!$F$5:$F$140*(((Inputs!$G$5:$G$140="moeda")+(Inputs!$G$5:$G$140="acoes"))*Inputs!$B$1+((Inputs!$G$5:$G$140&lt;&gt;"moeda")*(Inputs!$G$5:$G$140&lt;&gt;"acoes")))*INDEX(Inputs!$K$5:$AJ$140,0,MATCH(N$2,Inputs!$K$4:$AJ$4,0)))))</f>
        <v>2043</v>
      </c>
      <c r="O50" s="6">
        <f>IF(ISNA(MATCH(O$2,Inputs!$K$4:$AJ$4,0)),NA(),IF(SUMPRODUCT((Inputs!$A$5:$A$140=$B50)*ISNUMBER(INDEX(Inputs!$K$5:$AJ$140,0,MATCH(O$2,Inputs!$K$4:$AJ$4,0))))+SUMPRODUCT((Inputs!$C$5:$C$140=$B50)*ISNUMBER(INDEX(Inputs!$K$5:$AJ$140,0,MATCH(O$2,Inputs!$K$4:$AJ$4,0))))+SUMPRODUCT((Inputs!$E$5:$E$140=$B50)*ISNUMBER(INDEX(Inputs!$K$5:$AJ$140,0,MATCH(O$2,Inputs!$K$4:$AJ$4,0))))=0,NA(),SUMPRODUCT((Inputs!$A$5:$A$140=$B50)*Inputs!$B$5:$B$140*(((Inputs!$G$5:$G$140="moeda")+(Inputs!$G$5:$G$140="acoes"))*Inputs!$B$1+((Inputs!$G$5:$G$140&lt;&gt;"moeda")*(Inputs!$G$5:$G$140&lt;&gt;"acoes")))*INDEX(Inputs!$K$5:$AJ$140,0,MATCH(O$2,Inputs!$K$4:$AJ$4,0)))+SUMPRODUCT((Inputs!$C$5:$C$140=$B50)*Inputs!$D$5:$D$140*(((Inputs!$G$5:$G$140="moeda")+(Inputs!$G$5:$G$140="acoes"))*Inputs!$B$1+((Inputs!$G$5:$G$140&lt;&gt;"moeda")*(Inputs!$G$5:$G$140&lt;&gt;"acoes")))*INDEX(Inputs!$K$5:$AJ$140,0,MATCH(O$2,Inputs!$K$4:$AJ$4,0)))+SUMPRODUCT((Inputs!$E$5:$E$140=$B50)*Inputs!$F$5:$F$140*(((Inputs!$G$5:$G$140="moeda")+(Inputs!$G$5:$G$140="acoes"))*Inputs!$B$1+((Inputs!$G$5:$G$140&lt;&gt;"moeda")*(Inputs!$G$5:$G$140&lt;&gt;"acoes")))*INDEX(Inputs!$K$5:$AJ$140,0,MATCH(O$2,Inputs!$K$4:$AJ$4,0)))))</f>
        <v>6188</v>
      </c>
      <c r="P50" s="6">
        <f>IF(ISNA(MATCH(P$2,Inputs!$K$4:$AJ$4,0)),NA(),IF(SUMPRODUCT((Inputs!$A$5:$A$140=$B50)*ISNUMBER(INDEX(Inputs!$K$5:$AJ$140,0,MATCH(P$2,Inputs!$K$4:$AJ$4,0))))+SUMPRODUCT((Inputs!$C$5:$C$140=$B50)*ISNUMBER(INDEX(Inputs!$K$5:$AJ$140,0,MATCH(P$2,Inputs!$K$4:$AJ$4,0))))+SUMPRODUCT((Inputs!$E$5:$E$140=$B50)*ISNUMBER(INDEX(Inputs!$K$5:$AJ$140,0,MATCH(P$2,Inputs!$K$4:$AJ$4,0))))=0,NA(),SUMPRODUCT((Inputs!$A$5:$A$140=$B50)*Inputs!$B$5:$B$140*(((Inputs!$G$5:$G$140="moeda")+(Inputs!$G$5:$G$140="acoes"))*Inputs!$B$1+((Inputs!$G$5:$G$140&lt;&gt;"moeda")*(Inputs!$G$5:$G$140&lt;&gt;"acoes")))*INDEX(Inputs!$K$5:$AJ$140,0,MATCH(P$2,Inputs!$K$4:$AJ$4,0)))+SUMPRODUCT((Inputs!$C$5:$C$140=$B50)*Inputs!$D$5:$D$140*(((Inputs!$G$5:$G$140="moeda")+(Inputs!$G$5:$G$140="acoes"))*Inputs!$B$1+((Inputs!$G$5:$G$140&lt;&gt;"moeda")*(Inputs!$G$5:$G$140&lt;&gt;"acoes")))*INDEX(Inputs!$K$5:$AJ$140,0,MATCH(P$2,Inputs!$K$4:$AJ$4,0)))+SUMPRODUCT((Inputs!$E$5:$E$140=$B50)*Inputs!$F$5:$F$140*(((Inputs!$G$5:$G$140="moeda")+(Inputs!$G$5:$G$140="acoes"))*Inputs!$B$1+((Inputs!$G$5:$G$140&lt;&gt;"moeda")*(Inputs!$G$5:$G$140&lt;&gt;"acoes")))*INDEX(Inputs!$K$5:$AJ$140,0,MATCH(P$2,Inputs!$K$4:$AJ$4,0)))))</f>
        <v>9243</v>
      </c>
      <c r="Q50" s="6">
        <f>IF(ISNA(MATCH(Q$2,Inputs!$K$4:$AJ$4,0)),NA(),IF(SUMPRODUCT((Inputs!$A$5:$A$140=$B50)*ISNUMBER(INDEX(Inputs!$K$5:$AJ$140,0,MATCH(Q$2,Inputs!$K$4:$AJ$4,0))))+SUMPRODUCT((Inputs!$C$5:$C$140=$B50)*ISNUMBER(INDEX(Inputs!$K$5:$AJ$140,0,MATCH(Q$2,Inputs!$K$4:$AJ$4,0))))+SUMPRODUCT((Inputs!$E$5:$E$140=$B50)*ISNUMBER(INDEX(Inputs!$K$5:$AJ$140,0,MATCH(Q$2,Inputs!$K$4:$AJ$4,0))))=0,NA(),SUMPRODUCT((Inputs!$A$5:$A$140=$B50)*Inputs!$B$5:$B$140*(((Inputs!$G$5:$G$140="moeda")+(Inputs!$G$5:$G$140="acoes"))*Inputs!$B$1+((Inputs!$G$5:$G$140&lt;&gt;"moeda")*(Inputs!$G$5:$G$140&lt;&gt;"acoes")))*INDEX(Inputs!$K$5:$AJ$140,0,MATCH(Q$2,Inputs!$K$4:$AJ$4,0)))+SUMPRODUCT((Inputs!$C$5:$C$140=$B50)*Inputs!$D$5:$D$140*(((Inputs!$G$5:$G$140="moeda")+(Inputs!$G$5:$G$140="acoes"))*Inputs!$B$1+((Inputs!$G$5:$G$140&lt;&gt;"moeda")*(Inputs!$G$5:$G$140&lt;&gt;"acoes")))*INDEX(Inputs!$K$5:$AJ$140,0,MATCH(Q$2,Inputs!$K$4:$AJ$4,0)))+SUMPRODUCT((Inputs!$E$5:$E$140=$B50)*Inputs!$F$5:$F$140*(((Inputs!$G$5:$G$140="moeda")+(Inputs!$G$5:$G$140="acoes"))*Inputs!$B$1+((Inputs!$G$5:$G$140&lt;&gt;"moeda")*(Inputs!$G$5:$G$140&lt;&gt;"acoes")))*INDEX(Inputs!$K$5:$AJ$140,0,MATCH(Q$2,Inputs!$K$4:$AJ$4,0)))))</f>
        <v>12285</v>
      </c>
      <c r="R50" s="3">
        <f>SUM(N50:Q50)</f>
        <v>29759</v>
      </c>
      <c r="S50" s="6">
        <f>IF(ISNA(MATCH(S$2,Inputs!$K$4:$AJ$4,0)),NA(),IF(SUMPRODUCT((Inputs!$A$5:$A$140=$B50)*ISNUMBER(INDEX(Inputs!$K$5:$AJ$140,0,MATCH(S$2,Inputs!$K$4:$AJ$4,0))))+SUMPRODUCT((Inputs!$C$5:$C$140=$B50)*ISNUMBER(INDEX(Inputs!$K$5:$AJ$140,0,MATCH(S$2,Inputs!$K$4:$AJ$4,0))))+SUMPRODUCT((Inputs!$E$5:$E$140=$B50)*ISNUMBER(INDEX(Inputs!$K$5:$AJ$140,0,MATCH(S$2,Inputs!$K$4:$AJ$4,0))))=0,NA(),SUMPRODUCT((Inputs!$A$5:$A$140=$B50)*Inputs!$B$5:$B$140*(((Inputs!$G$5:$G$140="moeda")+(Inputs!$G$5:$G$140="acoes"))*Inputs!$B$1+((Inputs!$G$5:$G$140&lt;&gt;"moeda")*(Inputs!$G$5:$G$140&lt;&gt;"acoes")))*INDEX(Inputs!$K$5:$AJ$140,0,MATCH(S$2,Inputs!$K$4:$AJ$4,0)))+SUMPRODUCT((Inputs!$C$5:$C$140=$B50)*Inputs!$D$5:$D$140*(((Inputs!$G$5:$G$140="moeda")+(Inputs!$G$5:$G$140="acoes"))*Inputs!$B$1+((Inputs!$G$5:$G$140&lt;&gt;"moeda")*(Inputs!$G$5:$G$140&lt;&gt;"acoes")))*INDEX(Inputs!$K$5:$AJ$140,0,MATCH(S$2,Inputs!$K$4:$AJ$4,0)))+SUMPRODUCT((Inputs!$E$5:$E$140=$B50)*Inputs!$F$5:$F$140*(((Inputs!$G$5:$G$140="moeda")+(Inputs!$G$5:$G$140="acoes"))*Inputs!$B$1+((Inputs!$G$5:$G$140&lt;&gt;"moeda")*(Inputs!$G$5:$G$140&lt;&gt;"acoes")))*INDEX(Inputs!$K$5:$AJ$140,0,MATCH(S$2,Inputs!$K$4:$AJ$4,0)))))</f>
        <v>14881</v>
      </c>
      <c r="T50" s="6">
        <f>IF(ISNA(MATCH(T$2,Inputs!$K$4:$AJ$4,0)),NA(),IF(SUMPRODUCT((Inputs!$A$5:$A$140=$B50)*ISNUMBER(INDEX(Inputs!$K$5:$AJ$140,0,MATCH(T$2,Inputs!$K$4:$AJ$4,0))))+SUMPRODUCT((Inputs!$C$5:$C$140=$B50)*ISNUMBER(INDEX(Inputs!$K$5:$AJ$140,0,MATCH(T$2,Inputs!$K$4:$AJ$4,0))))+SUMPRODUCT((Inputs!$E$5:$E$140=$B50)*ISNUMBER(INDEX(Inputs!$K$5:$AJ$140,0,MATCH(T$2,Inputs!$K$4:$AJ$4,0))))=0,NA(),SUMPRODUCT((Inputs!$A$5:$A$140=$B50)*Inputs!$B$5:$B$140*(((Inputs!$G$5:$G$140="moeda")+(Inputs!$G$5:$G$140="acoes"))*Inputs!$B$1+((Inputs!$G$5:$G$140&lt;&gt;"moeda")*(Inputs!$G$5:$G$140&lt;&gt;"acoes")))*INDEX(Inputs!$K$5:$AJ$140,0,MATCH(T$2,Inputs!$K$4:$AJ$4,0)))+SUMPRODUCT((Inputs!$C$5:$C$140=$B50)*Inputs!$D$5:$D$140*(((Inputs!$G$5:$G$140="moeda")+(Inputs!$G$5:$G$140="acoes"))*Inputs!$B$1+((Inputs!$G$5:$G$140&lt;&gt;"moeda")*(Inputs!$G$5:$G$140&lt;&gt;"acoes")))*INDEX(Inputs!$K$5:$AJ$140,0,MATCH(T$2,Inputs!$K$4:$AJ$4,0)))+SUMPRODUCT((Inputs!$E$5:$E$140=$B50)*Inputs!$F$5:$F$140*(((Inputs!$G$5:$G$140="moeda")+(Inputs!$G$5:$G$140="acoes"))*Inputs!$B$1+((Inputs!$G$5:$G$140&lt;&gt;"moeda")*(Inputs!$G$5:$G$140&lt;&gt;"acoes")))*INDEX(Inputs!$K$5:$AJ$140,0,MATCH(T$2,Inputs!$K$4:$AJ$4,0)))))</f>
        <v>16599</v>
      </c>
      <c r="U50" s="6">
        <f>IF(ISNA(MATCH(U$2,Inputs!$K$4:$AJ$4,0)),NA(),IF(SUMPRODUCT((Inputs!$A$5:$A$140=$B50)*ISNUMBER(INDEX(Inputs!$K$5:$AJ$140,0,MATCH(U$2,Inputs!$K$4:$AJ$4,0))))+SUMPRODUCT((Inputs!$C$5:$C$140=$B50)*ISNUMBER(INDEX(Inputs!$K$5:$AJ$140,0,MATCH(U$2,Inputs!$K$4:$AJ$4,0))))+SUMPRODUCT((Inputs!$E$5:$E$140=$B50)*ISNUMBER(INDEX(Inputs!$K$5:$AJ$140,0,MATCH(U$2,Inputs!$K$4:$AJ$4,0))))=0,NA(),SUMPRODUCT((Inputs!$A$5:$A$140=$B50)*Inputs!$B$5:$B$140*(((Inputs!$G$5:$G$140="moeda")+(Inputs!$G$5:$G$140="acoes"))*Inputs!$B$1+((Inputs!$G$5:$G$140&lt;&gt;"moeda")*(Inputs!$G$5:$G$140&lt;&gt;"acoes")))*INDEX(Inputs!$K$5:$AJ$140,0,MATCH(U$2,Inputs!$K$4:$AJ$4,0)))+SUMPRODUCT((Inputs!$C$5:$C$140=$B50)*Inputs!$D$5:$D$140*(((Inputs!$G$5:$G$140="moeda")+(Inputs!$G$5:$G$140="acoes"))*Inputs!$B$1+((Inputs!$G$5:$G$140&lt;&gt;"moeda")*(Inputs!$G$5:$G$140&lt;&gt;"acoes")))*INDEX(Inputs!$K$5:$AJ$140,0,MATCH(U$2,Inputs!$K$4:$AJ$4,0)))+SUMPRODUCT((Inputs!$E$5:$E$140=$B50)*Inputs!$F$5:$F$140*(((Inputs!$G$5:$G$140="moeda")+(Inputs!$G$5:$G$140="acoes"))*Inputs!$B$1+((Inputs!$G$5:$G$140&lt;&gt;"moeda")*(Inputs!$G$5:$G$140&lt;&gt;"acoes")))*INDEX(Inputs!$K$5:$AJ$140,0,MATCH(U$2,Inputs!$K$4:$AJ$4,0)))))</f>
        <v>19309</v>
      </c>
      <c r="V50" s="6">
        <f>IF(ISNA(MATCH(V$2,Inputs!$K$4:$AJ$4,0)),NA(),IF(SUMPRODUCT((Inputs!$A$5:$A$140=$B50)*ISNUMBER(INDEX(Inputs!$K$5:$AJ$140,0,MATCH(V$2,Inputs!$K$4:$AJ$4,0))))+SUMPRODUCT((Inputs!$C$5:$C$140=$B50)*ISNUMBER(INDEX(Inputs!$K$5:$AJ$140,0,MATCH(V$2,Inputs!$K$4:$AJ$4,0))))+SUMPRODUCT((Inputs!$E$5:$E$140=$B50)*ISNUMBER(INDEX(Inputs!$K$5:$AJ$140,0,MATCH(V$2,Inputs!$K$4:$AJ$4,0))))=0,NA(),SUMPRODUCT((Inputs!$A$5:$A$140=$B50)*Inputs!$B$5:$B$140*(((Inputs!$G$5:$G$140="moeda")+(Inputs!$G$5:$G$140="acoes"))*Inputs!$B$1+((Inputs!$G$5:$G$140&lt;&gt;"moeda")*(Inputs!$G$5:$G$140&lt;&gt;"acoes")))*INDEX(Inputs!$K$5:$AJ$140,0,MATCH(V$2,Inputs!$K$4:$AJ$4,0)))+SUMPRODUCT((Inputs!$C$5:$C$140=$B50)*Inputs!$D$5:$D$140*(((Inputs!$G$5:$G$140="moeda")+(Inputs!$G$5:$G$140="acoes"))*Inputs!$B$1+((Inputs!$G$5:$G$140&lt;&gt;"moeda")*(Inputs!$G$5:$G$140&lt;&gt;"acoes")))*INDEX(Inputs!$K$5:$AJ$140,0,MATCH(V$2,Inputs!$K$4:$AJ$4,0)))+SUMPRODUCT((Inputs!$E$5:$E$140=$B50)*Inputs!$F$5:$F$140*(((Inputs!$G$5:$G$140="moeda")+(Inputs!$G$5:$G$140="acoes"))*Inputs!$B$1+((Inputs!$G$5:$G$140&lt;&gt;"moeda")*(Inputs!$G$5:$G$140&lt;&gt;"acoes")))*INDEX(Inputs!$K$5:$AJ$140,0,MATCH(V$2,Inputs!$K$4:$AJ$4,0)))))</f>
        <v>22091</v>
      </c>
      <c r="W50" s="3">
        <f>SUM(S50:V50)</f>
        <v>72880</v>
      </c>
      <c r="X50" s="6">
        <f>IF(ISNA(MATCH(X$2,Inputs!$K$4:$AJ$4,0)),NA(),IF(SUMPRODUCT((Inputs!$A$5:$A$140=$B50)*ISNUMBER(INDEX(Inputs!$K$5:$AJ$140,0,MATCH(X$2,Inputs!$K$4:$AJ$4,0))))+SUMPRODUCT((Inputs!$C$5:$C$140=$B50)*ISNUMBER(INDEX(Inputs!$K$5:$AJ$140,0,MATCH(X$2,Inputs!$K$4:$AJ$4,0))))+SUMPRODUCT((Inputs!$E$5:$E$140=$B50)*ISNUMBER(INDEX(Inputs!$K$5:$AJ$140,0,MATCH(X$2,Inputs!$K$4:$AJ$4,0))))=0,NA(),SUMPRODUCT((Inputs!$A$5:$A$140=$B50)*Inputs!$B$5:$B$140*(((Inputs!$G$5:$G$140="moeda")+(Inputs!$G$5:$G$140="acoes"))*Inputs!$B$1+((Inputs!$G$5:$G$140&lt;&gt;"moeda")*(Inputs!$G$5:$G$140&lt;&gt;"acoes")))*INDEX(Inputs!$K$5:$AJ$140,0,MATCH(X$2,Inputs!$K$4:$AJ$4,0)))+SUMPRODUCT((Inputs!$C$5:$C$140=$B50)*Inputs!$D$5:$D$140*(((Inputs!$G$5:$G$140="moeda")+(Inputs!$G$5:$G$140="acoes"))*Inputs!$B$1+((Inputs!$G$5:$G$140&lt;&gt;"moeda")*(Inputs!$G$5:$G$140&lt;&gt;"acoes")))*INDEX(Inputs!$K$5:$AJ$140,0,MATCH(X$2,Inputs!$K$4:$AJ$4,0)))+SUMPRODUCT((Inputs!$E$5:$E$140=$B50)*Inputs!$F$5:$F$140*(((Inputs!$G$5:$G$140="moeda")+(Inputs!$G$5:$G$140="acoes"))*Inputs!$B$1+((Inputs!$G$5:$G$140&lt;&gt;"moeda")*(Inputs!$G$5:$G$140&lt;&gt;"acoes")))*INDEX(Inputs!$K$5:$AJ$140,0,MATCH(X$2,Inputs!$K$4:$AJ$4,0)))))</f>
        <v>18775</v>
      </c>
      <c r="Y50" s="6">
        <f>IF(ISNA(MATCH(Y$2,Inputs!$K$4:$AJ$4,0)),NA(),IF(SUMPRODUCT((Inputs!$A$5:$A$140=$B50)*ISNUMBER(INDEX(Inputs!$K$5:$AJ$140,0,MATCH(Y$2,Inputs!$K$4:$AJ$4,0))))+SUMPRODUCT((Inputs!$C$5:$C$140=$B50)*ISNUMBER(INDEX(Inputs!$K$5:$AJ$140,0,MATCH(Y$2,Inputs!$K$4:$AJ$4,0))))+SUMPRODUCT((Inputs!$E$5:$E$140=$B50)*ISNUMBER(INDEX(Inputs!$K$5:$AJ$140,0,MATCH(Y$2,Inputs!$K$4:$AJ$4,0))))=0,NA(),SUMPRODUCT((Inputs!$A$5:$A$140=$B50)*Inputs!$B$5:$B$140*(((Inputs!$G$5:$G$140="moeda")+(Inputs!$G$5:$G$140="acoes"))*Inputs!$B$1+((Inputs!$G$5:$G$140&lt;&gt;"moeda")*(Inputs!$G$5:$G$140&lt;&gt;"acoes")))*INDEX(Inputs!$K$5:$AJ$140,0,MATCH(Y$2,Inputs!$K$4:$AJ$4,0)))+SUMPRODUCT((Inputs!$C$5:$C$140=$B50)*Inputs!$D$5:$D$140*(((Inputs!$G$5:$G$140="moeda")+(Inputs!$G$5:$G$140="acoes"))*Inputs!$B$1+((Inputs!$G$5:$G$140&lt;&gt;"moeda")*(Inputs!$G$5:$G$140&lt;&gt;"acoes")))*INDEX(Inputs!$K$5:$AJ$140,0,MATCH(Y$2,Inputs!$K$4:$AJ$4,0)))+SUMPRODUCT((Inputs!$E$5:$E$140=$B50)*Inputs!$F$5:$F$140*(((Inputs!$G$5:$G$140="moeda")+(Inputs!$G$5:$G$140="acoes"))*Inputs!$B$1+((Inputs!$G$5:$G$140&lt;&gt;"moeda")*(Inputs!$G$5:$G$140&lt;&gt;"acoes")))*INDEX(Inputs!$K$5:$AJ$140,0,MATCH(Y$2,Inputs!$K$4:$AJ$4,0)))))</f>
        <v>26422</v>
      </c>
      <c r="Z50" s="6">
        <f>IF(ISNA(MATCH(Z$2,Inputs!$K$4:$AJ$4,0)),NA(),IF(SUMPRODUCT((Inputs!$A$5:$A$140=$B50)*ISNUMBER(INDEX(Inputs!$K$5:$AJ$140,0,MATCH(Z$2,Inputs!$K$4:$AJ$4,0))))+SUMPRODUCT((Inputs!$C$5:$C$140=$B50)*ISNUMBER(INDEX(Inputs!$K$5:$AJ$140,0,MATCH(Z$2,Inputs!$K$4:$AJ$4,0))))+SUMPRODUCT((Inputs!$E$5:$E$140=$B50)*ISNUMBER(INDEX(Inputs!$K$5:$AJ$140,0,MATCH(Z$2,Inputs!$K$4:$AJ$4,0))))=0,NA(),SUMPRODUCT((Inputs!$A$5:$A$140=$B50)*Inputs!$B$5:$B$140*(((Inputs!$G$5:$G$140="moeda")+(Inputs!$G$5:$G$140="acoes"))*Inputs!$B$1+((Inputs!$G$5:$G$140&lt;&gt;"moeda")*(Inputs!$G$5:$G$140&lt;&gt;"acoes")))*INDEX(Inputs!$K$5:$AJ$140,0,MATCH(Z$2,Inputs!$K$4:$AJ$4,0)))+SUMPRODUCT((Inputs!$C$5:$C$140=$B50)*Inputs!$D$5:$D$140*(((Inputs!$G$5:$G$140="moeda")+(Inputs!$G$5:$G$140="acoes"))*Inputs!$B$1+((Inputs!$G$5:$G$140&lt;&gt;"moeda")*(Inputs!$G$5:$G$140&lt;&gt;"acoes")))*INDEX(Inputs!$K$5:$AJ$140,0,MATCH(Z$2,Inputs!$K$4:$AJ$4,0)))+SUMPRODUCT((Inputs!$E$5:$E$140=$B50)*Inputs!$F$5:$F$140*(((Inputs!$G$5:$G$140="moeda")+(Inputs!$G$5:$G$140="acoes"))*Inputs!$B$1+((Inputs!$G$5:$G$140&lt;&gt;"moeda")*(Inputs!$G$5:$G$140&lt;&gt;"acoes")))*INDEX(Inputs!$K$5:$AJ$140,0,MATCH(Z$2,Inputs!$K$4:$AJ$4,0)))))</f>
        <v>31910</v>
      </c>
      <c r="AA50" s="6">
        <f>IF(ISNA(MATCH(AA$2,Inputs!$K$4:$AJ$4,0)),NA(),IF(SUMPRODUCT((Inputs!$A$5:$A$140=$B50)*ISNUMBER(INDEX(Inputs!$K$5:$AJ$140,0,MATCH(AA$2,Inputs!$K$4:$AJ$4,0))))+SUMPRODUCT((Inputs!$C$5:$C$140=$B50)*ISNUMBER(INDEX(Inputs!$K$5:$AJ$140,0,MATCH(AA$2,Inputs!$K$4:$AJ$4,0))))+SUMPRODUCT((Inputs!$E$5:$E$140=$B50)*ISNUMBER(INDEX(Inputs!$K$5:$AJ$140,0,MATCH(AA$2,Inputs!$K$4:$AJ$4,0))))=0,NA(),SUMPRODUCT((Inputs!$A$5:$A$140=$B50)*Inputs!$B$5:$B$140*(((Inputs!$G$5:$G$140="moeda")+(Inputs!$G$5:$G$140="acoes"))*Inputs!$B$1+((Inputs!$G$5:$G$140&lt;&gt;"moeda")*(Inputs!$G$5:$G$140&lt;&gt;"acoes")))*INDEX(Inputs!$K$5:$AJ$140,0,MATCH(AA$2,Inputs!$K$4:$AJ$4,0)))+SUMPRODUCT((Inputs!$C$5:$C$140=$B50)*Inputs!$D$5:$D$140*(((Inputs!$G$5:$G$140="moeda")+(Inputs!$G$5:$G$140="acoes"))*Inputs!$B$1+((Inputs!$G$5:$G$140&lt;&gt;"moeda")*(Inputs!$G$5:$G$140&lt;&gt;"acoes")))*INDEX(Inputs!$K$5:$AJ$140,0,MATCH(AA$2,Inputs!$K$4:$AJ$4,0)))+SUMPRODUCT((Inputs!$E$5:$E$140=$B50)*Inputs!$F$5:$F$140*(((Inputs!$G$5:$G$140="moeda")+(Inputs!$G$5:$G$140="acoes"))*Inputs!$B$1+((Inputs!$G$5:$G$140&lt;&gt;"moeda")*(Inputs!$G$5:$G$140&lt;&gt;"acoes")))*INDEX(Inputs!$K$5:$AJ$140,0,MATCH(AA$2,Inputs!$K$4:$AJ$4,0)))))</f>
        <v>42960</v>
      </c>
      <c r="AB50" s="3">
        <f>SUM(X50:AA50)</f>
        <v>120067</v>
      </c>
      <c r="AC50" s="6">
        <f>IF(ISNA(MATCH(AC$2,Inputs!$K$4:$AJ$4,0)),NA(),IF(SUMPRODUCT((Inputs!$A$5:$A$140=$B50)*ISNUMBER(INDEX(Inputs!$K$5:$AJ$140,0,MATCH(AC$2,Inputs!$K$4:$AJ$4,0))))+SUMPRODUCT((Inputs!$C$5:$C$140=$B50)*ISNUMBER(INDEX(Inputs!$K$5:$AJ$140,0,MATCH(AC$2,Inputs!$K$4:$AJ$4,0))))+SUMPRODUCT((Inputs!$E$5:$E$140=$B50)*ISNUMBER(INDEX(Inputs!$K$5:$AJ$140,0,MATCH(AC$2,Inputs!$K$4:$AJ$4,0))))=0,NA(),SUMPRODUCT((Inputs!$A$5:$A$140=$B50)*Inputs!$B$5:$B$140*(((Inputs!$G$5:$G$140="moeda")+(Inputs!$G$5:$G$140="acoes"))*Inputs!$B$1+((Inputs!$G$5:$G$140&lt;&gt;"moeda")*(Inputs!$G$5:$G$140&lt;&gt;"acoes")))*INDEX(Inputs!$K$5:$AJ$140,0,MATCH(AC$2,Inputs!$K$4:$AJ$4,0)))+SUMPRODUCT((Inputs!$C$5:$C$140=$B50)*Inputs!$D$5:$D$140*(((Inputs!$G$5:$G$140="moeda")+(Inputs!$G$5:$G$140="acoes"))*Inputs!$B$1+((Inputs!$G$5:$G$140&lt;&gt;"moeda")*(Inputs!$G$5:$G$140&lt;&gt;"acoes")))*INDEX(Inputs!$K$5:$AJ$140,0,MATCH(AC$2,Inputs!$K$4:$AJ$4,0)))+SUMPRODUCT((Inputs!$E$5:$E$140=$B50)*Inputs!$F$5:$F$140*(((Inputs!$G$5:$G$140="moeda")+(Inputs!$G$5:$G$140="acoes"))*Inputs!$B$1+((Inputs!$G$5:$G$140&lt;&gt;"moeda")*(Inputs!$G$5:$G$140&lt;&gt;"acoes")))*INDEX(Inputs!$K$5:$AJ$140,0,MATCH(AC$2,Inputs!$K$4:$AJ$4,0)))))</f>
        <v>58321</v>
      </c>
      <c r="AD50" s="6">
        <f>IF(ISNA(MATCH(AD$2,Inputs!$K$4:$AJ$4,0)),NA(),IF(SUMPRODUCT((Inputs!$A$5:$A$140=$B50)*ISNUMBER(INDEX(Inputs!$K$5:$AJ$140,0,MATCH(AD$2,Inputs!$K$4:$AJ$4,0))))+SUMPRODUCT((Inputs!$C$5:$C$140=$B50)*ISNUMBER(INDEX(Inputs!$K$5:$AJ$140,0,MATCH(AD$2,Inputs!$K$4:$AJ$4,0))))+SUMPRODUCT((Inputs!$E$5:$E$140=$B50)*ISNUMBER(INDEX(Inputs!$K$5:$AJ$140,0,MATCH(AD$2,Inputs!$K$4:$AJ$4,0))))=0,NA(),SUMPRODUCT((Inputs!$A$5:$A$140=$B50)*Inputs!$B$5:$B$140*(((Inputs!$G$5:$G$140="moeda")+(Inputs!$G$5:$G$140="acoes"))*Inputs!$B$1+((Inputs!$G$5:$G$140&lt;&gt;"moeda")*(Inputs!$G$5:$G$140&lt;&gt;"acoes")))*INDEX(Inputs!$K$5:$AJ$140,0,MATCH(AD$2,Inputs!$K$4:$AJ$4,0)))+SUMPRODUCT((Inputs!$C$5:$C$140=$B50)*Inputs!$D$5:$D$140*(((Inputs!$G$5:$G$140="moeda")+(Inputs!$G$5:$G$140="acoes"))*Inputs!$B$1+((Inputs!$G$5:$G$140&lt;&gt;"moeda")*(Inputs!$G$5:$G$140&lt;&gt;"acoes")))*INDEX(Inputs!$K$5:$AJ$140,0,MATCH(AD$2,Inputs!$K$4:$AJ$4,0)))+SUMPRODUCT((Inputs!$E$5:$E$140=$B50)*Inputs!$F$5:$F$140*(((Inputs!$G$5:$G$140="moeda")+(Inputs!$G$5:$G$140="acoes"))*Inputs!$B$1+((Inputs!$G$5:$G$140&lt;&gt;"moeda")*(Inputs!$G$5:$G$140&lt;&gt;"acoes")))*INDEX(Inputs!$K$5:$AJ$140,0,MATCH(AD$2,Inputs!$K$4:$AJ$4,0)))))</f>
        <v>59688</v>
      </c>
      <c r="AE50" s="6" t="e">
        <f>IF(ISNA(MATCH(AE$2,Inputs!$K$4:$AJ$4,0)),NA(),IF(SUMPRODUCT((Inputs!$A$5:$A$140=$B50)*ISNUMBER(INDEX(Inputs!$K$5:$AJ$140,0,MATCH(AE$2,Inputs!$K$4:$AJ$4,0))))+SUMPRODUCT((Inputs!$C$5:$C$140=$B50)*ISNUMBER(INDEX(Inputs!$K$5:$AJ$140,0,MATCH(AE$2,Inputs!$K$4:$AJ$4,0))))+SUMPRODUCT((Inputs!$E$5:$E$140=$B50)*ISNUMBER(INDEX(Inputs!$K$5:$AJ$140,0,MATCH(AE$2,Inputs!$K$4:$AJ$4,0))))=0,NA(),SUMPRODUCT((Inputs!$A$5:$A$140=$B50)*Inputs!$B$5:$B$140*(((Inputs!$G$5:$G$140="moeda")+(Inputs!$G$5:$G$140="acoes"))*Inputs!$B$1+((Inputs!$G$5:$G$140&lt;&gt;"moeda")*(Inputs!$G$5:$G$140&lt;&gt;"acoes")))*INDEX(Inputs!$K$5:$AJ$140,0,MATCH(AE$2,Inputs!$K$4:$AJ$4,0)))+SUMPRODUCT((Inputs!$C$5:$C$140=$B50)*Inputs!$D$5:$D$140*(((Inputs!$G$5:$G$140="moeda")+(Inputs!$G$5:$G$140="acoes"))*Inputs!$B$1+((Inputs!$G$5:$G$140&lt;&gt;"moeda")*(Inputs!$G$5:$G$140&lt;&gt;"acoes")))*INDEX(Inputs!$K$5:$AJ$140,0,MATCH(AE$2,Inputs!$K$4:$AJ$4,0)))+SUMPRODUCT((Inputs!$E$5:$E$140=$B50)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50" s="6" t="e">
        <f>IF(ISNA(MATCH(AF$2,Inputs!$K$4:$AJ$4,0)),NA(),IF(SUMPRODUCT((Inputs!$A$5:$A$140=$B50)*ISNUMBER(INDEX(Inputs!$K$5:$AJ$140,0,MATCH(AF$2,Inputs!$K$4:$AJ$4,0))))+SUMPRODUCT((Inputs!$C$5:$C$140=$B50)*ISNUMBER(INDEX(Inputs!$K$5:$AJ$140,0,MATCH(AF$2,Inputs!$K$4:$AJ$4,0))))+SUMPRODUCT((Inputs!$E$5:$E$140=$B50)*ISNUMBER(INDEX(Inputs!$K$5:$AJ$140,0,MATCH(AF$2,Inputs!$K$4:$AJ$4,0))))=0,NA(),SUMPRODUCT((Inputs!$A$5:$A$140=$B50)*Inputs!$B$5:$B$140*(((Inputs!$G$5:$G$140="moeda")+(Inputs!$G$5:$G$140="acoes"))*Inputs!$B$1+((Inputs!$G$5:$G$140&lt;&gt;"moeda")*(Inputs!$G$5:$G$140&lt;&gt;"acoes")))*INDEX(Inputs!$K$5:$AJ$140,0,MATCH(AF$2,Inputs!$K$4:$AJ$4,0)))+SUMPRODUCT((Inputs!$C$5:$C$140=$B50)*Inputs!$D$5:$D$140*(((Inputs!$G$5:$G$140="moeda")+(Inputs!$G$5:$G$140="acoes"))*Inputs!$B$1+((Inputs!$G$5:$G$140&lt;&gt;"moeda")*(Inputs!$G$5:$G$140&lt;&gt;"acoes")))*INDEX(Inputs!$K$5:$AJ$140,0,MATCH(AF$2,Inputs!$K$4:$AJ$4,0)))+SUMPRODUCT((Inputs!$E$5:$E$140=$B50)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50" s="3" t="e">
        <f>SUM(AC50:AF50)</f>
        <v>#N/A</v>
      </c>
      <c r="AH50">
        <f>IF(ISNA(MATCH(AH$2,Inputs!$K$4:$AJ$4,0)),NA(),IF(SUMPRODUCT((Inputs!$A$5:$A$140=$B50)*ISNUMBER(INDEX(Inputs!$K$5:$AJ$140,0,MATCH(AH$2,Inputs!$K$4:$AJ$4,0))))+SUMPRODUCT((Inputs!$C$5:$C$140=$B50)*ISNUMBER(INDEX(Inputs!$K$5:$AJ$140,0,MATCH(AH$2,Inputs!$K$4:$AJ$4,0))))+SUMPRODUCT((Inputs!$E$5:$E$140=$B50)*ISNUMBER(INDEX(Inputs!$K$5:$AJ$140,0,MATCH(AH$2,Inputs!$K$4:$AJ$4,0))))=0,NA(),SUMPRODUCT((Inputs!$A$5:$A$140=$B50)*Inputs!$B$5:$B$140*(((Inputs!$G$5:$G$140="moeda")+(Inputs!$G$5:$G$140="acoes"))*Inputs!$B$1+((Inputs!$G$5:$G$140&lt;&gt;"moeda")*(Inputs!$G$5:$G$140&lt;&gt;"acoes")))*INDEX(Inputs!$K$5:$AJ$140,0,MATCH(AH$2,Inputs!$K$4:$AJ$4,0)))+SUMPRODUCT((Inputs!$C$5:$C$140=$B50)*Inputs!$D$5:$D$140*(((Inputs!$G$5:$G$140="moeda")+(Inputs!$G$5:$G$140="acoes"))*Inputs!$B$1+((Inputs!$G$5:$G$140&lt;&gt;"moeda")*(Inputs!$G$5:$G$140&lt;&gt;"acoes")))*INDEX(Inputs!$K$5:$AJ$140,0,MATCH(AH$2,Inputs!$K$4:$AJ$4,0)))+SUMPRODUCT((Inputs!$E$5:$E$140=$B50)*Inputs!$F$5:$F$140*(((Inputs!$G$5:$G$140="moeda")+(Inputs!$G$5:$G$140="acoes"))*Inputs!$B$1+((Inputs!$G$5:$G$140&lt;&gt;"moeda")*(Inputs!$G$5:$G$140&lt;&gt;"acoes")))*INDEX(Inputs!$K$5:$AJ$140,0,MATCH(AH$2,Inputs!$K$4:$AJ$4,0)))))</f>
        <v>917</v>
      </c>
      <c r="AI50">
        <f>IF(ISNA(MATCH(AI$2,Inputs!$K$4:$AJ$4,0)),NA(),IF(SUMPRODUCT((Inputs!$A$5:$A$140=$B50)*ISNUMBER(INDEX(Inputs!$K$5:$AJ$140,0,MATCH(AI$2,Inputs!$K$4:$AJ$4,0))))+SUMPRODUCT((Inputs!$C$5:$C$140=$B50)*ISNUMBER(INDEX(Inputs!$K$5:$AJ$140,0,MATCH(AI$2,Inputs!$K$4:$AJ$4,0))))+SUMPRODUCT((Inputs!$E$5:$E$140=$B50)*ISNUMBER(INDEX(Inputs!$K$5:$AJ$140,0,MATCH(AI$2,Inputs!$K$4:$AJ$4,0))))=0,NA(),SUMPRODUCT((Inputs!$A$5:$A$140=$B50)*Inputs!$B$5:$B$140*(((Inputs!$G$5:$G$140="moeda")+(Inputs!$G$5:$G$140="acoes"))*Inputs!$B$1+((Inputs!$G$5:$G$140&lt;&gt;"moeda")*(Inputs!$G$5:$G$140&lt;&gt;"acoes")))*INDEX(Inputs!$K$5:$AJ$140,0,MATCH(AI$2,Inputs!$K$4:$AJ$4,0)))+SUMPRODUCT((Inputs!$C$5:$C$140=$B50)*Inputs!$D$5:$D$140*(((Inputs!$G$5:$G$140="moeda")+(Inputs!$G$5:$G$140="acoes"))*Inputs!$B$1+((Inputs!$G$5:$G$140&lt;&gt;"moeda")*(Inputs!$G$5:$G$140&lt;&gt;"acoes")))*INDEX(Inputs!$K$5:$AJ$140,0,MATCH(AI$2,Inputs!$K$4:$AJ$4,0)))+SUMPRODUCT((Inputs!$E$5:$E$140=$B50)*Inputs!$F$5:$F$140*(((Inputs!$G$5:$G$140="moeda")+(Inputs!$G$5:$G$140="acoes"))*Inputs!$B$1+((Inputs!$G$5:$G$140&lt;&gt;"moeda")*(Inputs!$G$5:$G$140&lt;&gt;"acoes")))*INDEX(Inputs!$K$5:$AJ$140,0,MATCH(AI$2,Inputs!$K$4:$AJ$4,0)))))</f>
        <v>622</v>
      </c>
      <c r="AJ50">
        <f>IF(ISNA(MATCH(AJ$2,Inputs!$K$4:$AJ$4,0)),NA(),IF(SUMPRODUCT((Inputs!$A$5:$A$140=$B50)*ISNUMBER(INDEX(Inputs!$K$5:$AJ$140,0,MATCH(AJ$2,Inputs!$K$4:$AJ$4,0))))+SUMPRODUCT((Inputs!$C$5:$C$140=$B50)*ISNUMBER(INDEX(Inputs!$K$5:$AJ$140,0,MATCH(AJ$2,Inputs!$K$4:$AJ$4,0))))+SUMPRODUCT((Inputs!$E$5:$E$140=$B50)*ISNUMBER(INDEX(Inputs!$K$5:$AJ$140,0,MATCH(AJ$2,Inputs!$K$4:$AJ$4,0))))=0,NA(),SUMPRODUCT((Inputs!$A$5:$A$140=$B50)*Inputs!$B$5:$B$140*(((Inputs!$G$5:$G$140="moeda")+(Inputs!$G$5:$G$140="acoes"))*Inputs!$B$1+((Inputs!$G$5:$G$140&lt;&gt;"moeda")*(Inputs!$G$5:$G$140&lt;&gt;"acoes")))*INDEX(Inputs!$K$5:$AJ$140,0,MATCH(AJ$2,Inputs!$K$4:$AJ$4,0)))+SUMPRODUCT((Inputs!$C$5:$C$140=$B50)*Inputs!$D$5:$D$140*(((Inputs!$G$5:$G$140="moeda")+(Inputs!$G$5:$G$140="acoes"))*Inputs!$B$1+((Inputs!$G$5:$G$140&lt;&gt;"moeda")*(Inputs!$G$5:$G$140&lt;&gt;"acoes")))*INDEX(Inputs!$K$5:$AJ$140,0,MATCH(AJ$2,Inputs!$K$4:$AJ$4,0)))+SUMPRODUCT((Inputs!$E$5:$E$140=$B50)*Inputs!$F$5:$F$140*(((Inputs!$G$5:$G$140="moeda")+(Inputs!$G$5:$G$140="acoes"))*Inputs!$B$1+((Inputs!$G$5:$G$140&lt;&gt;"moeda")*(Inputs!$G$5:$G$140&lt;&gt;"acoes")))*INDEX(Inputs!$K$5:$AJ$140,0,MATCH(AJ$2,Inputs!$K$4:$AJ$4,0)))))</f>
        <v>1336</v>
      </c>
      <c r="AK50">
        <f>IF(ISNA(MATCH(AK$2,Inputs!$K$4:$AJ$4,0)),NA(),IF(SUMPRODUCT((Inputs!$A$5:$A$140=$B50)*ISNUMBER(INDEX(Inputs!$K$5:$AJ$140,0,MATCH(AK$2,Inputs!$K$4:$AJ$4,0))))+SUMPRODUCT((Inputs!$C$5:$C$140=$B50)*ISNUMBER(INDEX(Inputs!$K$5:$AJ$140,0,MATCH(AK$2,Inputs!$K$4:$AJ$4,0))))+SUMPRODUCT((Inputs!$E$5:$E$140=$B50)*ISNUMBER(INDEX(Inputs!$K$5:$AJ$140,0,MATCH(AK$2,Inputs!$K$4:$AJ$4,0))))=0,NA(),SUMPRODUCT((Inputs!$A$5:$A$140=$B50)*Inputs!$B$5:$B$140*(((Inputs!$G$5:$G$140="moeda")+(Inputs!$G$5:$G$140="acoes"))*Inputs!$B$1+((Inputs!$G$5:$G$140&lt;&gt;"moeda")*(Inputs!$G$5:$G$140&lt;&gt;"acoes")))*INDEX(Inputs!$K$5:$AJ$140,0,MATCH(AK$2,Inputs!$K$4:$AJ$4,0)))+SUMPRODUCT((Inputs!$C$5:$C$140=$B50)*Inputs!$D$5:$D$140*(((Inputs!$G$5:$G$140="moeda")+(Inputs!$G$5:$G$140="acoes"))*Inputs!$B$1+((Inputs!$G$5:$G$140&lt;&gt;"moeda")*(Inputs!$G$5:$G$140&lt;&gt;"acoes")))*INDEX(Inputs!$K$5:$AJ$140,0,MATCH(AK$2,Inputs!$K$4:$AJ$4,0)))+SUMPRODUCT((Inputs!$E$5:$E$140=$B50)*Inputs!$F$5:$F$140*(((Inputs!$G$5:$G$140="moeda")+(Inputs!$G$5:$G$140="acoes"))*Inputs!$B$1+((Inputs!$G$5:$G$140&lt;&gt;"moeda")*(Inputs!$G$5:$G$140&lt;&gt;"acoes")))*INDEX(Inputs!$K$5:$AJ$140,0,MATCH(AK$2,Inputs!$K$4:$AJ$4,0)))))</f>
        <v>1457</v>
      </c>
      <c r="AL50">
        <f>SUM(AH50:AK50)</f>
        <v>4332</v>
      </c>
    </row>
    <row r="52">
      <c r="C52" s="254" t="inlineStr">
        <is>
          <t>Drivers de receita (memo) - codigos 45+ [Model, bloco abaixo da receita liquida]</t>
        </is>
      </c>
    </row>
    <row r="53">
      <c r="B53" s="46" t="n">
        <v>45</v>
      </c>
      <c r="C53" s="29" t="inlineStr">
        <is>
          <t>Receita Data Center (USD; trimestre-calendário; o 4T (nov-jan, FQ4) = ano fiscal do 10-K menos 9M do 10-Q de out)</t>
        </is>
      </c>
      <c r="D53" s="263">
        <f>IF(ISNA(MATCH(D$2,Inputs!$K$4:$AJ$4,0)),NA(),IF(SUMPRODUCT((Inputs!$A$5:$A$140=$B53)*ISNUMBER(INDEX(Inputs!$K$5:$AJ$140,0,MATCH(D$2,Inputs!$K$4:$AJ$4,0))))+SUMPRODUCT((Inputs!$C$5:$C$140=$B53)*ISNUMBER(INDEX(Inputs!$K$5:$AJ$140,0,MATCH(D$2,Inputs!$K$4:$AJ$4,0))))+SUMPRODUCT((Inputs!$E$5:$E$140=$B53)*ISNUMBER(INDEX(Inputs!$K$5:$AJ$140,0,MATCH(D$2,Inputs!$K$4:$AJ$4,0))))=0,NA(),SUMPRODUCT((Inputs!$A$5:$A$140=$B53)*Inputs!$B$5:$B$140*(((Inputs!$G$5:$G$140="moeda")+(Inputs!$G$5:$G$140="acoes"))*Inputs!$B$1+((Inputs!$G$5:$G$140&lt;&gt;"moeda")*(Inputs!$G$5:$G$140&lt;&gt;"acoes")))*INDEX(Inputs!$K$5:$AJ$140,0,MATCH(D$2,Inputs!$K$4:$AJ$4,0)))+SUMPRODUCT((Inputs!$C$5:$C$140=$B53)*Inputs!$D$5:$D$140*(((Inputs!$G$5:$G$140="moeda")+(Inputs!$G$5:$G$140="acoes"))*Inputs!$B$1+((Inputs!$G$5:$G$140&lt;&gt;"moeda")*(Inputs!$G$5:$G$140&lt;&gt;"acoes")))*INDEX(Inputs!$K$5:$AJ$140,0,MATCH(D$2,Inputs!$K$4:$AJ$4,0)))+SUMPRODUCT((Inputs!$E$5:$E$140=$B53)*Inputs!$F$5:$F$140*(((Inputs!$G$5:$G$140="moeda")+(Inputs!$G$5:$G$140="acoes"))*Inputs!$B$1+((Inputs!$G$5:$G$140&lt;&gt;"moeda")*(Inputs!$G$5:$G$140&lt;&gt;"acoes")))*INDEX(Inputs!$K$5:$AJ$140,0,MATCH(D$2,Inputs!$K$4:$AJ$4,0)))))</f>
        <v>2048</v>
      </c>
      <c r="E53" s="263">
        <f>IF(ISNA(MATCH(E$2,Inputs!$K$4:$AJ$4,0)),NA(),IF(SUMPRODUCT((Inputs!$A$5:$A$140=$B53)*ISNUMBER(INDEX(Inputs!$K$5:$AJ$140,0,MATCH(E$2,Inputs!$K$4:$AJ$4,0))))+SUMPRODUCT((Inputs!$C$5:$C$140=$B53)*ISNUMBER(INDEX(Inputs!$K$5:$AJ$140,0,MATCH(E$2,Inputs!$K$4:$AJ$4,0))))+SUMPRODUCT((Inputs!$E$5:$E$140=$B53)*ISNUMBER(INDEX(Inputs!$K$5:$AJ$140,0,MATCH(E$2,Inputs!$K$4:$AJ$4,0))))=0,NA(),SUMPRODUCT((Inputs!$A$5:$A$140=$B53)*Inputs!$B$5:$B$140*(((Inputs!$G$5:$G$140="moeda")+(Inputs!$G$5:$G$140="acoes"))*Inputs!$B$1+((Inputs!$G$5:$G$140&lt;&gt;"moeda")*(Inputs!$G$5:$G$140&lt;&gt;"acoes")))*INDEX(Inputs!$K$5:$AJ$140,0,MATCH(E$2,Inputs!$K$4:$AJ$4,0)))+SUMPRODUCT((Inputs!$C$5:$C$140=$B53)*Inputs!$D$5:$D$140*(((Inputs!$G$5:$G$140="moeda")+(Inputs!$G$5:$G$140="acoes"))*Inputs!$B$1+((Inputs!$G$5:$G$140&lt;&gt;"moeda")*(Inputs!$G$5:$G$140&lt;&gt;"acoes")))*INDEX(Inputs!$K$5:$AJ$140,0,MATCH(E$2,Inputs!$K$4:$AJ$4,0)))+SUMPRODUCT((Inputs!$E$5:$E$140=$B53)*Inputs!$F$5:$F$140*(((Inputs!$G$5:$G$140="moeda")+(Inputs!$G$5:$G$140="acoes"))*Inputs!$B$1+((Inputs!$G$5:$G$140&lt;&gt;"moeda")*(Inputs!$G$5:$G$140&lt;&gt;"acoes")))*INDEX(Inputs!$K$5:$AJ$140,0,MATCH(E$2,Inputs!$K$4:$AJ$4,0)))))</f>
        <v>2366</v>
      </c>
      <c r="F53" s="263">
        <f>IF(ISNA(MATCH(F$2,Inputs!$K$4:$AJ$4,0)),NA(),IF(SUMPRODUCT((Inputs!$A$5:$A$140=$B53)*ISNUMBER(INDEX(Inputs!$K$5:$AJ$140,0,MATCH(F$2,Inputs!$K$4:$AJ$4,0))))+SUMPRODUCT((Inputs!$C$5:$C$140=$B53)*ISNUMBER(INDEX(Inputs!$K$5:$AJ$140,0,MATCH(F$2,Inputs!$K$4:$AJ$4,0))))+SUMPRODUCT((Inputs!$E$5:$E$140=$B53)*ISNUMBER(INDEX(Inputs!$K$5:$AJ$140,0,MATCH(F$2,Inputs!$K$4:$AJ$4,0))))=0,NA(),SUMPRODUCT((Inputs!$A$5:$A$140=$B53)*Inputs!$B$5:$B$140*(((Inputs!$G$5:$G$140="moeda")+(Inputs!$G$5:$G$140="acoes"))*Inputs!$B$1+((Inputs!$G$5:$G$140&lt;&gt;"moeda")*(Inputs!$G$5:$G$140&lt;&gt;"acoes")))*INDEX(Inputs!$K$5:$AJ$140,0,MATCH(F$2,Inputs!$K$4:$AJ$4,0)))+SUMPRODUCT((Inputs!$C$5:$C$140=$B53)*Inputs!$D$5:$D$140*(((Inputs!$G$5:$G$140="moeda")+(Inputs!$G$5:$G$140="acoes"))*Inputs!$B$1+((Inputs!$G$5:$G$140&lt;&gt;"moeda")*(Inputs!$G$5:$G$140&lt;&gt;"acoes")))*INDEX(Inputs!$K$5:$AJ$140,0,MATCH(F$2,Inputs!$K$4:$AJ$4,0)))+SUMPRODUCT((Inputs!$E$5:$E$140=$B53)*Inputs!$F$5:$F$140*(((Inputs!$G$5:$G$140="moeda")+(Inputs!$G$5:$G$140="acoes"))*Inputs!$B$1+((Inputs!$G$5:$G$140&lt;&gt;"moeda")*(Inputs!$G$5:$G$140&lt;&gt;"acoes")))*INDEX(Inputs!$K$5:$AJ$140,0,MATCH(F$2,Inputs!$K$4:$AJ$4,0)))))</f>
        <v>2936</v>
      </c>
      <c r="G53" s="263">
        <f>IF(ISNA(MATCH(G$2,Inputs!$K$4:$AJ$4,0)),NA(),IF(SUMPRODUCT((Inputs!$A$5:$A$140=$B53)*ISNUMBER(INDEX(Inputs!$K$5:$AJ$140,0,MATCH(G$2,Inputs!$K$4:$AJ$4,0))))+SUMPRODUCT((Inputs!$C$5:$C$140=$B53)*ISNUMBER(INDEX(Inputs!$K$5:$AJ$140,0,MATCH(G$2,Inputs!$K$4:$AJ$4,0))))+SUMPRODUCT((Inputs!$E$5:$E$140=$B53)*ISNUMBER(INDEX(Inputs!$K$5:$AJ$140,0,MATCH(G$2,Inputs!$K$4:$AJ$4,0))))=0,NA(),SUMPRODUCT((Inputs!$A$5:$A$140=$B53)*Inputs!$B$5:$B$140*(((Inputs!$G$5:$G$140="moeda")+(Inputs!$G$5:$G$140="acoes"))*Inputs!$B$1+((Inputs!$G$5:$G$140&lt;&gt;"moeda")*(Inputs!$G$5:$G$140&lt;&gt;"acoes")))*INDEX(Inputs!$K$5:$AJ$140,0,MATCH(G$2,Inputs!$K$4:$AJ$4,0)))+SUMPRODUCT((Inputs!$C$5:$C$140=$B53)*Inputs!$D$5:$D$140*(((Inputs!$G$5:$G$140="moeda")+(Inputs!$G$5:$G$140="acoes"))*Inputs!$B$1+((Inputs!$G$5:$G$140&lt;&gt;"moeda")*(Inputs!$G$5:$G$140&lt;&gt;"acoes")))*INDEX(Inputs!$K$5:$AJ$140,0,MATCH(G$2,Inputs!$K$4:$AJ$4,0)))+SUMPRODUCT((Inputs!$E$5:$E$140=$B53)*Inputs!$F$5:$F$140*(((Inputs!$G$5:$G$140="moeda")+(Inputs!$G$5:$G$140="acoes"))*Inputs!$B$1+((Inputs!$G$5:$G$140&lt;&gt;"moeda")*(Inputs!$G$5:$G$140&lt;&gt;"acoes")))*INDEX(Inputs!$K$5:$AJ$140,0,MATCH(G$2,Inputs!$K$4:$AJ$4,0)))))</f>
        <v>3263</v>
      </c>
      <c r="H53" s="264">
        <f>SUM(D53:G53)</f>
        <v>10613</v>
      </c>
      <c r="I53" s="263">
        <f>IF(ISNA(MATCH(I$2,Inputs!$K$4:$AJ$4,0)),NA(),IF(SUMPRODUCT((Inputs!$A$5:$A$140=$B53)*ISNUMBER(INDEX(Inputs!$K$5:$AJ$140,0,MATCH(I$2,Inputs!$K$4:$AJ$4,0))))+SUMPRODUCT((Inputs!$C$5:$C$140=$B53)*ISNUMBER(INDEX(Inputs!$K$5:$AJ$140,0,MATCH(I$2,Inputs!$K$4:$AJ$4,0))))+SUMPRODUCT((Inputs!$E$5:$E$140=$B53)*ISNUMBER(INDEX(Inputs!$K$5:$AJ$140,0,MATCH(I$2,Inputs!$K$4:$AJ$4,0))))=0,NA(),SUMPRODUCT((Inputs!$A$5:$A$140=$B53)*Inputs!$B$5:$B$140*(((Inputs!$G$5:$G$140="moeda")+(Inputs!$G$5:$G$140="acoes"))*Inputs!$B$1+((Inputs!$G$5:$G$140&lt;&gt;"moeda")*(Inputs!$G$5:$G$140&lt;&gt;"acoes")))*INDEX(Inputs!$K$5:$AJ$140,0,MATCH(I$2,Inputs!$K$4:$AJ$4,0)))+SUMPRODUCT((Inputs!$C$5:$C$140=$B53)*Inputs!$D$5:$D$140*(((Inputs!$G$5:$G$140="moeda")+(Inputs!$G$5:$G$140="acoes"))*Inputs!$B$1+((Inputs!$G$5:$G$140&lt;&gt;"moeda")*(Inputs!$G$5:$G$140&lt;&gt;"acoes")))*INDEX(Inputs!$K$5:$AJ$140,0,MATCH(I$2,Inputs!$K$4:$AJ$4,0)))+SUMPRODUCT((Inputs!$E$5:$E$140=$B53)*Inputs!$F$5:$F$140*(((Inputs!$G$5:$G$140="moeda")+(Inputs!$G$5:$G$140="acoes"))*Inputs!$B$1+((Inputs!$G$5:$G$140&lt;&gt;"moeda")*(Inputs!$G$5:$G$140&lt;&gt;"acoes")))*INDEX(Inputs!$K$5:$AJ$140,0,MATCH(I$2,Inputs!$K$4:$AJ$4,0)))))</f>
        <v>3750</v>
      </c>
      <c r="J53" s="263">
        <f>IF(ISNA(MATCH(J$2,Inputs!$K$4:$AJ$4,0)),NA(),IF(SUMPRODUCT((Inputs!$A$5:$A$140=$B53)*ISNUMBER(INDEX(Inputs!$K$5:$AJ$140,0,MATCH(J$2,Inputs!$K$4:$AJ$4,0))))+SUMPRODUCT((Inputs!$C$5:$C$140=$B53)*ISNUMBER(INDEX(Inputs!$K$5:$AJ$140,0,MATCH(J$2,Inputs!$K$4:$AJ$4,0))))+SUMPRODUCT((Inputs!$E$5:$E$140=$B53)*ISNUMBER(INDEX(Inputs!$K$5:$AJ$140,0,MATCH(J$2,Inputs!$K$4:$AJ$4,0))))=0,NA(),SUMPRODUCT((Inputs!$A$5:$A$140=$B53)*Inputs!$B$5:$B$140*(((Inputs!$G$5:$G$140="moeda")+(Inputs!$G$5:$G$140="acoes"))*Inputs!$B$1+((Inputs!$G$5:$G$140&lt;&gt;"moeda")*(Inputs!$G$5:$G$140&lt;&gt;"acoes")))*INDEX(Inputs!$K$5:$AJ$140,0,MATCH(J$2,Inputs!$K$4:$AJ$4,0)))+SUMPRODUCT((Inputs!$C$5:$C$140=$B53)*Inputs!$D$5:$D$140*(((Inputs!$G$5:$G$140="moeda")+(Inputs!$G$5:$G$140="acoes"))*Inputs!$B$1+((Inputs!$G$5:$G$140&lt;&gt;"moeda")*(Inputs!$G$5:$G$140&lt;&gt;"acoes")))*INDEX(Inputs!$K$5:$AJ$140,0,MATCH(J$2,Inputs!$K$4:$AJ$4,0)))+SUMPRODUCT((Inputs!$E$5:$E$140=$B53)*Inputs!$F$5:$F$140*(((Inputs!$G$5:$G$140="moeda")+(Inputs!$G$5:$G$140="acoes"))*Inputs!$B$1+((Inputs!$G$5:$G$140&lt;&gt;"moeda")*(Inputs!$G$5:$G$140&lt;&gt;"acoes")))*INDEX(Inputs!$K$5:$AJ$140,0,MATCH(J$2,Inputs!$K$4:$AJ$4,0)))))</f>
        <v>3806</v>
      </c>
      <c r="K53" s="263">
        <f>IF(ISNA(MATCH(K$2,Inputs!$K$4:$AJ$4,0)),NA(),IF(SUMPRODUCT((Inputs!$A$5:$A$140=$B53)*ISNUMBER(INDEX(Inputs!$K$5:$AJ$140,0,MATCH(K$2,Inputs!$K$4:$AJ$4,0))))+SUMPRODUCT((Inputs!$C$5:$C$140=$B53)*ISNUMBER(INDEX(Inputs!$K$5:$AJ$140,0,MATCH(K$2,Inputs!$K$4:$AJ$4,0))))+SUMPRODUCT((Inputs!$E$5:$E$140=$B53)*ISNUMBER(INDEX(Inputs!$K$5:$AJ$140,0,MATCH(K$2,Inputs!$K$4:$AJ$4,0))))=0,NA(),SUMPRODUCT((Inputs!$A$5:$A$140=$B53)*Inputs!$B$5:$B$140*(((Inputs!$G$5:$G$140="moeda")+(Inputs!$G$5:$G$140="acoes"))*Inputs!$B$1+((Inputs!$G$5:$G$140&lt;&gt;"moeda")*(Inputs!$G$5:$G$140&lt;&gt;"acoes")))*INDEX(Inputs!$K$5:$AJ$140,0,MATCH(K$2,Inputs!$K$4:$AJ$4,0)))+SUMPRODUCT((Inputs!$C$5:$C$140=$B53)*Inputs!$D$5:$D$140*(((Inputs!$G$5:$G$140="moeda")+(Inputs!$G$5:$G$140="acoes"))*Inputs!$B$1+((Inputs!$G$5:$G$140&lt;&gt;"moeda")*(Inputs!$G$5:$G$140&lt;&gt;"acoes")))*INDEX(Inputs!$K$5:$AJ$140,0,MATCH(K$2,Inputs!$K$4:$AJ$4,0)))+SUMPRODUCT((Inputs!$E$5:$E$140=$B53)*Inputs!$F$5:$F$140*(((Inputs!$G$5:$G$140="moeda")+(Inputs!$G$5:$G$140="acoes"))*Inputs!$B$1+((Inputs!$G$5:$G$140&lt;&gt;"moeda")*(Inputs!$G$5:$G$140&lt;&gt;"acoes")))*INDEX(Inputs!$K$5:$AJ$140,0,MATCH(K$2,Inputs!$K$4:$AJ$4,0)))))</f>
        <v>3833</v>
      </c>
      <c r="L53" s="263">
        <f>IF(ISNA(MATCH(L$2,Inputs!$K$4:$AJ$4,0)),NA(),IF(SUMPRODUCT((Inputs!$A$5:$A$140=$B53)*ISNUMBER(INDEX(Inputs!$K$5:$AJ$140,0,MATCH(L$2,Inputs!$K$4:$AJ$4,0))))+SUMPRODUCT((Inputs!$C$5:$C$140=$B53)*ISNUMBER(INDEX(Inputs!$K$5:$AJ$140,0,MATCH(L$2,Inputs!$K$4:$AJ$4,0))))+SUMPRODUCT((Inputs!$E$5:$E$140=$B53)*ISNUMBER(INDEX(Inputs!$K$5:$AJ$140,0,MATCH(L$2,Inputs!$K$4:$AJ$4,0))))=0,NA(),SUMPRODUCT((Inputs!$A$5:$A$140=$B53)*Inputs!$B$5:$B$140*(((Inputs!$G$5:$G$140="moeda")+(Inputs!$G$5:$G$140="acoes"))*Inputs!$B$1+((Inputs!$G$5:$G$140&lt;&gt;"moeda")*(Inputs!$G$5:$G$140&lt;&gt;"acoes")))*INDEX(Inputs!$K$5:$AJ$140,0,MATCH(L$2,Inputs!$K$4:$AJ$4,0)))+SUMPRODUCT((Inputs!$C$5:$C$140=$B53)*Inputs!$D$5:$D$140*(((Inputs!$G$5:$G$140="moeda")+(Inputs!$G$5:$G$140="acoes"))*Inputs!$B$1+((Inputs!$G$5:$G$140&lt;&gt;"moeda")*(Inputs!$G$5:$G$140&lt;&gt;"acoes")))*INDEX(Inputs!$K$5:$AJ$140,0,MATCH(L$2,Inputs!$K$4:$AJ$4,0)))+SUMPRODUCT((Inputs!$E$5:$E$140=$B53)*Inputs!$F$5:$F$140*(((Inputs!$G$5:$G$140="moeda")+(Inputs!$G$5:$G$140="acoes"))*Inputs!$B$1+((Inputs!$G$5:$G$140&lt;&gt;"moeda")*(Inputs!$G$5:$G$140&lt;&gt;"acoes")))*INDEX(Inputs!$K$5:$AJ$140,0,MATCH(L$2,Inputs!$K$4:$AJ$4,0)))))</f>
        <v>3616</v>
      </c>
      <c r="M53" s="264">
        <f>SUM(I53:L53)</f>
        <v>15005</v>
      </c>
      <c r="N53" s="263">
        <f>IF(ISNA(MATCH(N$2,Inputs!$K$4:$AJ$4,0)),NA(),IF(SUMPRODUCT((Inputs!$A$5:$A$140=$B53)*ISNUMBER(INDEX(Inputs!$K$5:$AJ$140,0,MATCH(N$2,Inputs!$K$4:$AJ$4,0))))+SUMPRODUCT((Inputs!$C$5:$C$140=$B53)*ISNUMBER(INDEX(Inputs!$K$5:$AJ$140,0,MATCH(N$2,Inputs!$K$4:$AJ$4,0))))+SUMPRODUCT((Inputs!$E$5:$E$140=$B53)*ISNUMBER(INDEX(Inputs!$K$5:$AJ$140,0,MATCH(N$2,Inputs!$K$4:$AJ$4,0))))=0,NA(),SUMPRODUCT((Inputs!$A$5:$A$140=$B53)*Inputs!$B$5:$B$140*(((Inputs!$G$5:$G$140="moeda")+(Inputs!$G$5:$G$140="acoes"))*Inputs!$B$1+((Inputs!$G$5:$G$140&lt;&gt;"moeda")*(Inputs!$G$5:$G$140&lt;&gt;"acoes")))*INDEX(Inputs!$K$5:$AJ$140,0,MATCH(N$2,Inputs!$K$4:$AJ$4,0)))+SUMPRODUCT((Inputs!$C$5:$C$140=$B53)*Inputs!$D$5:$D$140*(((Inputs!$G$5:$G$140="moeda")+(Inputs!$G$5:$G$140="acoes"))*Inputs!$B$1+((Inputs!$G$5:$G$140&lt;&gt;"moeda")*(Inputs!$G$5:$G$140&lt;&gt;"acoes")))*INDEX(Inputs!$K$5:$AJ$140,0,MATCH(N$2,Inputs!$K$4:$AJ$4,0)))+SUMPRODUCT((Inputs!$E$5:$E$140=$B53)*Inputs!$F$5:$F$140*(((Inputs!$G$5:$G$140="moeda")+(Inputs!$G$5:$G$140="acoes"))*Inputs!$B$1+((Inputs!$G$5:$G$140&lt;&gt;"moeda")*(Inputs!$G$5:$G$140&lt;&gt;"acoes")))*INDEX(Inputs!$K$5:$AJ$140,0,MATCH(N$2,Inputs!$K$4:$AJ$4,0)))))</f>
        <v>4284</v>
      </c>
      <c r="O53" s="263">
        <f>IF(ISNA(MATCH(O$2,Inputs!$K$4:$AJ$4,0)),NA(),IF(SUMPRODUCT((Inputs!$A$5:$A$140=$B53)*ISNUMBER(INDEX(Inputs!$K$5:$AJ$140,0,MATCH(O$2,Inputs!$K$4:$AJ$4,0))))+SUMPRODUCT((Inputs!$C$5:$C$140=$B53)*ISNUMBER(INDEX(Inputs!$K$5:$AJ$140,0,MATCH(O$2,Inputs!$K$4:$AJ$4,0))))+SUMPRODUCT((Inputs!$E$5:$E$140=$B53)*ISNUMBER(INDEX(Inputs!$K$5:$AJ$140,0,MATCH(O$2,Inputs!$K$4:$AJ$4,0))))=0,NA(),SUMPRODUCT((Inputs!$A$5:$A$140=$B53)*Inputs!$B$5:$B$140*(((Inputs!$G$5:$G$140="moeda")+(Inputs!$G$5:$G$140="acoes"))*Inputs!$B$1+((Inputs!$G$5:$G$140&lt;&gt;"moeda")*(Inputs!$G$5:$G$140&lt;&gt;"acoes")))*INDEX(Inputs!$K$5:$AJ$140,0,MATCH(O$2,Inputs!$K$4:$AJ$4,0)))+SUMPRODUCT((Inputs!$C$5:$C$140=$B53)*Inputs!$D$5:$D$140*(((Inputs!$G$5:$G$140="moeda")+(Inputs!$G$5:$G$140="acoes"))*Inputs!$B$1+((Inputs!$G$5:$G$140&lt;&gt;"moeda")*(Inputs!$G$5:$G$140&lt;&gt;"acoes")))*INDEX(Inputs!$K$5:$AJ$140,0,MATCH(O$2,Inputs!$K$4:$AJ$4,0)))+SUMPRODUCT((Inputs!$E$5:$E$140=$B53)*Inputs!$F$5:$F$140*(((Inputs!$G$5:$G$140="moeda")+(Inputs!$G$5:$G$140="acoes"))*Inputs!$B$1+((Inputs!$G$5:$G$140&lt;&gt;"moeda")*(Inputs!$G$5:$G$140&lt;&gt;"acoes")))*INDEX(Inputs!$K$5:$AJ$140,0,MATCH(O$2,Inputs!$K$4:$AJ$4,0)))))</f>
        <v>10323</v>
      </c>
      <c r="P53" s="263">
        <f>IF(ISNA(MATCH(P$2,Inputs!$K$4:$AJ$4,0)),NA(),IF(SUMPRODUCT((Inputs!$A$5:$A$140=$B53)*ISNUMBER(INDEX(Inputs!$K$5:$AJ$140,0,MATCH(P$2,Inputs!$K$4:$AJ$4,0))))+SUMPRODUCT((Inputs!$C$5:$C$140=$B53)*ISNUMBER(INDEX(Inputs!$K$5:$AJ$140,0,MATCH(P$2,Inputs!$K$4:$AJ$4,0))))+SUMPRODUCT((Inputs!$E$5:$E$140=$B53)*ISNUMBER(INDEX(Inputs!$K$5:$AJ$140,0,MATCH(P$2,Inputs!$K$4:$AJ$4,0))))=0,NA(),SUMPRODUCT((Inputs!$A$5:$A$140=$B53)*Inputs!$B$5:$B$140*(((Inputs!$G$5:$G$140="moeda")+(Inputs!$G$5:$G$140="acoes"))*Inputs!$B$1+((Inputs!$G$5:$G$140&lt;&gt;"moeda")*(Inputs!$G$5:$G$140&lt;&gt;"acoes")))*INDEX(Inputs!$K$5:$AJ$140,0,MATCH(P$2,Inputs!$K$4:$AJ$4,0)))+SUMPRODUCT((Inputs!$C$5:$C$140=$B53)*Inputs!$D$5:$D$140*(((Inputs!$G$5:$G$140="moeda")+(Inputs!$G$5:$G$140="acoes"))*Inputs!$B$1+((Inputs!$G$5:$G$140&lt;&gt;"moeda")*(Inputs!$G$5:$G$140&lt;&gt;"acoes")))*INDEX(Inputs!$K$5:$AJ$140,0,MATCH(P$2,Inputs!$K$4:$AJ$4,0)))+SUMPRODUCT((Inputs!$E$5:$E$140=$B53)*Inputs!$F$5:$F$140*(((Inputs!$G$5:$G$140="moeda")+(Inputs!$G$5:$G$140="acoes"))*Inputs!$B$1+((Inputs!$G$5:$G$140&lt;&gt;"moeda")*(Inputs!$G$5:$G$140&lt;&gt;"acoes")))*INDEX(Inputs!$K$5:$AJ$140,0,MATCH(P$2,Inputs!$K$4:$AJ$4,0)))))</f>
        <v>14514</v>
      </c>
      <c r="Q53" s="263">
        <f>IF(ISNA(MATCH(Q$2,Inputs!$K$4:$AJ$4,0)),NA(),IF(SUMPRODUCT((Inputs!$A$5:$A$140=$B53)*ISNUMBER(INDEX(Inputs!$K$5:$AJ$140,0,MATCH(Q$2,Inputs!$K$4:$AJ$4,0))))+SUMPRODUCT((Inputs!$C$5:$C$140=$B53)*ISNUMBER(INDEX(Inputs!$K$5:$AJ$140,0,MATCH(Q$2,Inputs!$K$4:$AJ$4,0))))+SUMPRODUCT((Inputs!$E$5:$E$140=$B53)*ISNUMBER(INDEX(Inputs!$K$5:$AJ$140,0,MATCH(Q$2,Inputs!$K$4:$AJ$4,0))))=0,NA(),SUMPRODUCT((Inputs!$A$5:$A$140=$B53)*Inputs!$B$5:$B$140*(((Inputs!$G$5:$G$140="moeda")+(Inputs!$G$5:$G$140="acoes"))*Inputs!$B$1+((Inputs!$G$5:$G$140&lt;&gt;"moeda")*(Inputs!$G$5:$G$140&lt;&gt;"acoes")))*INDEX(Inputs!$K$5:$AJ$140,0,MATCH(Q$2,Inputs!$K$4:$AJ$4,0)))+SUMPRODUCT((Inputs!$C$5:$C$140=$B53)*Inputs!$D$5:$D$140*(((Inputs!$G$5:$G$140="moeda")+(Inputs!$G$5:$G$140="acoes"))*Inputs!$B$1+((Inputs!$G$5:$G$140&lt;&gt;"moeda")*(Inputs!$G$5:$G$140&lt;&gt;"acoes")))*INDEX(Inputs!$K$5:$AJ$140,0,MATCH(Q$2,Inputs!$K$4:$AJ$4,0)))+SUMPRODUCT((Inputs!$E$5:$E$140=$B53)*Inputs!$F$5:$F$140*(((Inputs!$G$5:$G$140="moeda")+(Inputs!$G$5:$G$140="acoes"))*Inputs!$B$1+((Inputs!$G$5:$G$140&lt;&gt;"moeda")*(Inputs!$G$5:$G$140&lt;&gt;"acoes")))*INDEX(Inputs!$K$5:$AJ$140,0,MATCH(Q$2,Inputs!$K$4:$AJ$4,0)))))</f>
        <v>18404</v>
      </c>
      <c r="R53" s="264">
        <f>SUM(N53:Q53)</f>
        <v>47525</v>
      </c>
      <c r="S53" s="263">
        <f>IF(ISNA(MATCH(S$2,Inputs!$K$4:$AJ$4,0)),NA(),IF(SUMPRODUCT((Inputs!$A$5:$A$140=$B53)*ISNUMBER(INDEX(Inputs!$K$5:$AJ$140,0,MATCH(S$2,Inputs!$K$4:$AJ$4,0))))+SUMPRODUCT((Inputs!$C$5:$C$140=$B53)*ISNUMBER(INDEX(Inputs!$K$5:$AJ$140,0,MATCH(S$2,Inputs!$K$4:$AJ$4,0))))+SUMPRODUCT((Inputs!$E$5:$E$140=$B53)*ISNUMBER(INDEX(Inputs!$K$5:$AJ$140,0,MATCH(S$2,Inputs!$K$4:$AJ$4,0))))=0,NA(),SUMPRODUCT((Inputs!$A$5:$A$140=$B53)*Inputs!$B$5:$B$140*(((Inputs!$G$5:$G$140="moeda")+(Inputs!$G$5:$G$140="acoes"))*Inputs!$B$1+((Inputs!$G$5:$G$140&lt;&gt;"moeda")*(Inputs!$G$5:$G$140&lt;&gt;"acoes")))*INDEX(Inputs!$K$5:$AJ$140,0,MATCH(S$2,Inputs!$K$4:$AJ$4,0)))+SUMPRODUCT((Inputs!$C$5:$C$140=$B53)*Inputs!$D$5:$D$140*(((Inputs!$G$5:$G$140="moeda")+(Inputs!$G$5:$G$140="acoes"))*Inputs!$B$1+((Inputs!$G$5:$G$140&lt;&gt;"moeda")*(Inputs!$G$5:$G$140&lt;&gt;"acoes")))*INDEX(Inputs!$K$5:$AJ$140,0,MATCH(S$2,Inputs!$K$4:$AJ$4,0)))+SUMPRODUCT((Inputs!$E$5:$E$140=$B53)*Inputs!$F$5:$F$140*(((Inputs!$G$5:$G$140="moeda")+(Inputs!$G$5:$G$140="acoes"))*Inputs!$B$1+((Inputs!$G$5:$G$140&lt;&gt;"moeda")*(Inputs!$G$5:$G$140&lt;&gt;"acoes")))*INDEX(Inputs!$K$5:$AJ$140,0,MATCH(S$2,Inputs!$K$4:$AJ$4,0)))))</f>
        <v>22563</v>
      </c>
      <c r="T53" s="263">
        <f>IF(ISNA(MATCH(T$2,Inputs!$K$4:$AJ$4,0)),NA(),IF(SUMPRODUCT((Inputs!$A$5:$A$140=$B53)*ISNUMBER(INDEX(Inputs!$K$5:$AJ$140,0,MATCH(T$2,Inputs!$K$4:$AJ$4,0))))+SUMPRODUCT((Inputs!$C$5:$C$140=$B53)*ISNUMBER(INDEX(Inputs!$K$5:$AJ$140,0,MATCH(T$2,Inputs!$K$4:$AJ$4,0))))+SUMPRODUCT((Inputs!$E$5:$E$140=$B53)*ISNUMBER(INDEX(Inputs!$K$5:$AJ$140,0,MATCH(T$2,Inputs!$K$4:$AJ$4,0))))=0,NA(),SUMPRODUCT((Inputs!$A$5:$A$140=$B53)*Inputs!$B$5:$B$140*(((Inputs!$G$5:$G$140="moeda")+(Inputs!$G$5:$G$140="acoes"))*Inputs!$B$1+((Inputs!$G$5:$G$140&lt;&gt;"moeda")*(Inputs!$G$5:$G$140&lt;&gt;"acoes")))*INDEX(Inputs!$K$5:$AJ$140,0,MATCH(T$2,Inputs!$K$4:$AJ$4,0)))+SUMPRODUCT((Inputs!$C$5:$C$140=$B53)*Inputs!$D$5:$D$140*(((Inputs!$G$5:$G$140="moeda")+(Inputs!$G$5:$G$140="acoes"))*Inputs!$B$1+((Inputs!$G$5:$G$140&lt;&gt;"moeda")*(Inputs!$G$5:$G$140&lt;&gt;"acoes")))*INDEX(Inputs!$K$5:$AJ$140,0,MATCH(T$2,Inputs!$K$4:$AJ$4,0)))+SUMPRODUCT((Inputs!$E$5:$E$140=$B53)*Inputs!$F$5:$F$140*(((Inputs!$G$5:$G$140="moeda")+(Inputs!$G$5:$G$140="acoes"))*Inputs!$B$1+((Inputs!$G$5:$G$140&lt;&gt;"moeda")*(Inputs!$G$5:$G$140&lt;&gt;"acoes")))*INDEX(Inputs!$K$5:$AJ$140,0,MATCH(T$2,Inputs!$K$4:$AJ$4,0)))))</f>
        <v>26272</v>
      </c>
      <c r="U53" s="263">
        <f>IF(ISNA(MATCH(U$2,Inputs!$K$4:$AJ$4,0)),NA(),IF(SUMPRODUCT((Inputs!$A$5:$A$140=$B53)*ISNUMBER(INDEX(Inputs!$K$5:$AJ$140,0,MATCH(U$2,Inputs!$K$4:$AJ$4,0))))+SUMPRODUCT((Inputs!$C$5:$C$140=$B53)*ISNUMBER(INDEX(Inputs!$K$5:$AJ$140,0,MATCH(U$2,Inputs!$K$4:$AJ$4,0))))+SUMPRODUCT((Inputs!$E$5:$E$140=$B53)*ISNUMBER(INDEX(Inputs!$K$5:$AJ$140,0,MATCH(U$2,Inputs!$K$4:$AJ$4,0))))=0,NA(),SUMPRODUCT((Inputs!$A$5:$A$140=$B53)*Inputs!$B$5:$B$140*(((Inputs!$G$5:$G$140="moeda")+(Inputs!$G$5:$G$140="acoes"))*Inputs!$B$1+((Inputs!$G$5:$G$140&lt;&gt;"moeda")*(Inputs!$G$5:$G$140&lt;&gt;"acoes")))*INDEX(Inputs!$K$5:$AJ$140,0,MATCH(U$2,Inputs!$K$4:$AJ$4,0)))+SUMPRODUCT((Inputs!$C$5:$C$140=$B53)*Inputs!$D$5:$D$140*(((Inputs!$G$5:$G$140="moeda")+(Inputs!$G$5:$G$140="acoes"))*Inputs!$B$1+((Inputs!$G$5:$G$140&lt;&gt;"moeda")*(Inputs!$G$5:$G$140&lt;&gt;"acoes")))*INDEX(Inputs!$K$5:$AJ$140,0,MATCH(U$2,Inputs!$K$4:$AJ$4,0)))+SUMPRODUCT((Inputs!$E$5:$E$140=$B53)*Inputs!$F$5:$F$140*(((Inputs!$G$5:$G$140="moeda")+(Inputs!$G$5:$G$140="acoes"))*Inputs!$B$1+((Inputs!$G$5:$G$140&lt;&gt;"moeda")*(Inputs!$G$5:$G$140&lt;&gt;"acoes")))*INDEX(Inputs!$K$5:$AJ$140,0,MATCH(U$2,Inputs!$K$4:$AJ$4,0)))))</f>
        <v>30771</v>
      </c>
      <c r="V53" s="263">
        <f>IF(ISNA(MATCH(V$2,Inputs!$K$4:$AJ$4,0)),NA(),IF(SUMPRODUCT((Inputs!$A$5:$A$140=$B53)*ISNUMBER(INDEX(Inputs!$K$5:$AJ$140,0,MATCH(V$2,Inputs!$K$4:$AJ$4,0))))+SUMPRODUCT((Inputs!$C$5:$C$140=$B53)*ISNUMBER(INDEX(Inputs!$K$5:$AJ$140,0,MATCH(V$2,Inputs!$K$4:$AJ$4,0))))+SUMPRODUCT((Inputs!$E$5:$E$140=$B53)*ISNUMBER(INDEX(Inputs!$K$5:$AJ$140,0,MATCH(V$2,Inputs!$K$4:$AJ$4,0))))=0,NA(),SUMPRODUCT((Inputs!$A$5:$A$140=$B53)*Inputs!$B$5:$B$140*(((Inputs!$G$5:$G$140="moeda")+(Inputs!$G$5:$G$140="acoes"))*Inputs!$B$1+((Inputs!$G$5:$G$140&lt;&gt;"moeda")*(Inputs!$G$5:$G$140&lt;&gt;"acoes")))*INDEX(Inputs!$K$5:$AJ$140,0,MATCH(V$2,Inputs!$K$4:$AJ$4,0)))+SUMPRODUCT((Inputs!$C$5:$C$140=$B53)*Inputs!$D$5:$D$140*(((Inputs!$G$5:$G$140="moeda")+(Inputs!$G$5:$G$140="acoes"))*Inputs!$B$1+((Inputs!$G$5:$G$140&lt;&gt;"moeda")*(Inputs!$G$5:$G$140&lt;&gt;"acoes")))*INDEX(Inputs!$K$5:$AJ$140,0,MATCH(V$2,Inputs!$K$4:$AJ$4,0)))+SUMPRODUCT((Inputs!$E$5:$E$140=$B53)*Inputs!$F$5:$F$140*(((Inputs!$G$5:$G$140="moeda")+(Inputs!$G$5:$G$140="acoes"))*Inputs!$B$1+((Inputs!$G$5:$G$140&lt;&gt;"moeda")*(Inputs!$G$5:$G$140&lt;&gt;"acoes")))*INDEX(Inputs!$K$5:$AJ$140,0,MATCH(V$2,Inputs!$K$4:$AJ$4,0)))))</f>
        <v>35580</v>
      </c>
      <c r="W53" s="264">
        <f>SUM(S53:V53)</f>
        <v>115186</v>
      </c>
      <c r="X53" s="263">
        <f>IF(ISNA(MATCH(X$2,Inputs!$K$4:$AJ$4,0)),NA(),IF(SUMPRODUCT((Inputs!$A$5:$A$140=$B53)*ISNUMBER(INDEX(Inputs!$K$5:$AJ$140,0,MATCH(X$2,Inputs!$K$4:$AJ$4,0))))+SUMPRODUCT((Inputs!$C$5:$C$140=$B53)*ISNUMBER(INDEX(Inputs!$K$5:$AJ$140,0,MATCH(X$2,Inputs!$K$4:$AJ$4,0))))+SUMPRODUCT((Inputs!$E$5:$E$140=$B53)*ISNUMBER(INDEX(Inputs!$K$5:$AJ$140,0,MATCH(X$2,Inputs!$K$4:$AJ$4,0))))=0,NA(),SUMPRODUCT((Inputs!$A$5:$A$140=$B53)*Inputs!$B$5:$B$140*(((Inputs!$G$5:$G$140="moeda")+(Inputs!$G$5:$G$140="acoes"))*Inputs!$B$1+((Inputs!$G$5:$G$140&lt;&gt;"moeda")*(Inputs!$G$5:$G$140&lt;&gt;"acoes")))*INDEX(Inputs!$K$5:$AJ$140,0,MATCH(X$2,Inputs!$K$4:$AJ$4,0)))+SUMPRODUCT((Inputs!$C$5:$C$140=$B53)*Inputs!$D$5:$D$140*(((Inputs!$G$5:$G$140="moeda")+(Inputs!$G$5:$G$140="acoes"))*Inputs!$B$1+((Inputs!$G$5:$G$140&lt;&gt;"moeda")*(Inputs!$G$5:$G$140&lt;&gt;"acoes")))*INDEX(Inputs!$K$5:$AJ$140,0,MATCH(X$2,Inputs!$K$4:$AJ$4,0)))+SUMPRODUCT((Inputs!$E$5:$E$140=$B53)*Inputs!$F$5:$F$140*(((Inputs!$G$5:$G$140="moeda")+(Inputs!$G$5:$G$140="acoes"))*Inputs!$B$1+((Inputs!$G$5:$G$140&lt;&gt;"moeda")*(Inputs!$G$5:$G$140&lt;&gt;"acoes")))*INDEX(Inputs!$K$5:$AJ$140,0,MATCH(X$2,Inputs!$K$4:$AJ$4,0)))))</f>
        <v>39112</v>
      </c>
      <c r="Y53" s="263">
        <f>IF(ISNA(MATCH(Y$2,Inputs!$K$4:$AJ$4,0)),NA(),IF(SUMPRODUCT((Inputs!$A$5:$A$140=$B53)*ISNUMBER(INDEX(Inputs!$K$5:$AJ$140,0,MATCH(Y$2,Inputs!$K$4:$AJ$4,0))))+SUMPRODUCT((Inputs!$C$5:$C$140=$B53)*ISNUMBER(INDEX(Inputs!$K$5:$AJ$140,0,MATCH(Y$2,Inputs!$K$4:$AJ$4,0))))+SUMPRODUCT((Inputs!$E$5:$E$140=$B53)*ISNUMBER(INDEX(Inputs!$K$5:$AJ$140,0,MATCH(Y$2,Inputs!$K$4:$AJ$4,0))))=0,NA(),SUMPRODUCT((Inputs!$A$5:$A$140=$B53)*Inputs!$B$5:$B$140*(((Inputs!$G$5:$G$140="moeda")+(Inputs!$G$5:$G$140="acoes"))*Inputs!$B$1+((Inputs!$G$5:$G$140&lt;&gt;"moeda")*(Inputs!$G$5:$G$140&lt;&gt;"acoes")))*INDEX(Inputs!$K$5:$AJ$140,0,MATCH(Y$2,Inputs!$K$4:$AJ$4,0)))+SUMPRODUCT((Inputs!$C$5:$C$140=$B53)*Inputs!$D$5:$D$140*(((Inputs!$G$5:$G$140="moeda")+(Inputs!$G$5:$G$140="acoes"))*Inputs!$B$1+((Inputs!$G$5:$G$140&lt;&gt;"moeda")*(Inputs!$G$5:$G$140&lt;&gt;"acoes")))*INDEX(Inputs!$K$5:$AJ$140,0,MATCH(Y$2,Inputs!$K$4:$AJ$4,0)))+SUMPRODUCT((Inputs!$E$5:$E$140=$B53)*Inputs!$F$5:$F$140*(((Inputs!$G$5:$G$140="moeda")+(Inputs!$G$5:$G$140="acoes"))*Inputs!$B$1+((Inputs!$G$5:$G$140&lt;&gt;"moeda")*(Inputs!$G$5:$G$140&lt;&gt;"acoes")))*INDEX(Inputs!$K$5:$AJ$140,0,MATCH(Y$2,Inputs!$K$4:$AJ$4,0)))))</f>
        <v>41096</v>
      </c>
      <c r="Z53" s="263">
        <f>IF(ISNA(MATCH(Z$2,Inputs!$K$4:$AJ$4,0)),NA(),IF(SUMPRODUCT((Inputs!$A$5:$A$140=$B53)*ISNUMBER(INDEX(Inputs!$K$5:$AJ$140,0,MATCH(Z$2,Inputs!$K$4:$AJ$4,0))))+SUMPRODUCT((Inputs!$C$5:$C$140=$B53)*ISNUMBER(INDEX(Inputs!$K$5:$AJ$140,0,MATCH(Z$2,Inputs!$K$4:$AJ$4,0))))+SUMPRODUCT((Inputs!$E$5:$E$140=$B53)*ISNUMBER(INDEX(Inputs!$K$5:$AJ$140,0,MATCH(Z$2,Inputs!$K$4:$AJ$4,0))))=0,NA(),SUMPRODUCT((Inputs!$A$5:$A$140=$B53)*Inputs!$B$5:$B$140*(((Inputs!$G$5:$G$140="moeda")+(Inputs!$G$5:$G$140="acoes"))*Inputs!$B$1+((Inputs!$G$5:$G$140&lt;&gt;"moeda")*(Inputs!$G$5:$G$140&lt;&gt;"acoes")))*INDEX(Inputs!$K$5:$AJ$140,0,MATCH(Z$2,Inputs!$K$4:$AJ$4,0)))+SUMPRODUCT((Inputs!$C$5:$C$140=$B53)*Inputs!$D$5:$D$140*(((Inputs!$G$5:$G$140="moeda")+(Inputs!$G$5:$G$140="acoes"))*Inputs!$B$1+((Inputs!$G$5:$G$140&lt;&gt;"moeda")*(Inputs!$G$5:$G$140&lt;&gt;"acoes")))*INDEX(Inputs!$K$5:$AJ$140,0,MATCH(Z$2,Inputs!$K$4:$AJ$4,0)))+SUMPRODUCT((Inputs!$E$5:$E$140=$B53)*Inputs!$F$5:$F$140*(((Inputs!$G$5:$G$140="moeda")+(Inputs!$G$5:$G$140="acoes"))*Inputs!$B$1+((Inputs!$G$5:$G$140&lt;&gt;"moeda")*(Inputs!$G$5:$G$140&lt;&gt;"acoes")))*INDEX(Inputs!$K$5:$AJ$140,0,MATCH(Z$2,Inputs!$K$4:$AJ$4,0)))))</f>
        <v>51215</v>
      </c>
      <c r="AA53" s="263">
        <f>IF(ISNA(MATCH(AA$2,Inputs!$K$4:$AJ$4,0)),NA(),IF(SUMPRODUCT((Inputs!$A$5:$A$140=$B53)*ISNUMBER(INDEX(Inputs!$K$5:$AJ$140,0,MATCH(AA$2,Inputs!$K$4:$AJ$4,0))))+SUMPRODUCT((Inputs!$C$5:$C$140=$B53)*ISNUMBER(INDEX(Inputs!$K$5:$AJ$140,0,MATCH(AA$2,Inputs!$K$4:$AJ$4,0))))+SUMPRODUCT((Inputs!$E$5:$E$140=$B53)*ISNUMBER(INDEX(Inputs!$K$5:$AJ$140,0,MATCH(AA$2,Inputs!$K$4:$AJ$4,0))))=0,NA(),SUMPRODUCT((Inputs!$A$5:$A$140=$B53)*Inputs!$B$5:$B$140*(((Inputs!$G$5:$G$140="moeda")+(Inputs!$G$5:$G$140="acoes"))*Inputs!$B$1+((Inputs!$G$5:$G$140&lt;&gt;"moeda")*(Inputs!$G$5:$G$140&lt;&gt;"acoes")))*INDEX(Inputs!$K$5:$AJ$140,0,MATCH(AA$2,Inputs!$K$4:$AJ$4,0)))+SUMPRODUCT((Inputs!$C$5:$C$140=$B53)*Inputs!$D$5:$D$140*(((Inputs!$G$5:$G$140="moeda")+(Inputs!$G$5:$G$140="acoes"))*Inputs!$B$1+((Inputs!$G$5:$G$140&lt;&gt;"moeda")*(Inputs!$G$5:$G$140&lt;&gt;"acoes")))*INDEX(Inputs!$K$5:$AJ$140,0,MATCH(AA$2,Inputs!$K$4:$AJ$4,0)))+SUMPRODUCT((Inputs!$E$5:$E$140=$B53)*Inputs!$F$5:$F$140*(((Inputs!$G$5:$G$140="moeda")+(Inputs!$G$5:$G$140="acoes"))*Inputs!$B$1+((Inputs!$G$5:$G$140&lt;&gt;"moeda")*(Inputs!$G$5:$G$140&lt;&gt;"acoes")))*INDEX(Inputs!$K$5:$AJ$140,0,MATCH(AA$2,Inputs!$K$4:$AJ$4,0)))))</f>
        <v>62314</v>
      </c>
      <c r="AB53" s="264">
        <f>SUM(X53:AA53)</f>
        <v>193737</v>
      </c>
      <c r="AC53" s="263">
        <f>IF(ISNA(MATCH(AC$2,Inputs!$K$4:$AJ$4,0)),NA(),IF(SUMPRODUCT((Inputs!$A$5:$A$140=$B53)*ISNUMBER(INDEX(Inputs!$K$5:$AJ$140,0,MATCH(AC$2,Inputs!$K$4:$AJ$4,0))))+SUMPRODUCT((Inputs!$C$5:$C$140=$B53)*ISNUMBER(INDEX(Inputs!$K$5:$AJ$140,0,MATCH(AC$2,Inputs!$K$4:$AJ$4,0))))+SUMPRODUCT((Inputs!$E$5:$E$140=$B53)*ISNUMBER(INDEX(Inputs!$K$5:$AJ$140,0,MATCH(AC$2,Inputs!$K$4:$AJ$4,0))))=0,NA(),SUMPRODUCT((Inputs!$A$5:$A$140=$B53)*Inputs!$B$5:$B$140*(((Inputs!$G$5:$G$140="moeda")+(Inputs!$G$5:$G$140="acoes"))*Inputs!$B$1+((Inputs!$G$5:$G$140&lt;&gt;"moeda")*(Inputs!$G$5:$G$140&lt;&gt;"acoes")))*INDEX(Inputs!$K$5:$AJ$140,0,MATCH(AC$2,Inputs!$K$4:$AJ$4,0)))+SUMPRODUCT((Inputs!$C$5:$C$140=$B53)*Inputs!$D$5:$D$140*(((Inputs!$G$5:$G$140="moeda")+(Inputs!$G$5:$G$140="acoes"))*Inputs!$B$1+((Inputs!$G$5:$G$140&lt;&gt;"moeda")*(Inputs!$G$5:$G$140&lt;&gt;"acoes")))*INDEX(Inputs!$K$5:$AJ$140,0,MATCH(AC$2,Inputs!$K$4:$AJ$4,0)))+SUMPRODUCT((Inputs!$E$5:$E$140=$B53)*Inputs!$F$5:$F$140*(((Inputs!$G$5:$G$140="moeda")+(Inputs!$G$5:$G$140="acoes"))*Inputs!$B$1+((Inputs!$G$5:$G$140&lt;&gt;"moeda")*(Inputs!$G$5:$G$140&lt;&gt;"acoes")))*INDEX(Inputs!$K$5:$AJ$140,0,MATCH(AC$2,Inputs!$K$4:$AJ$4,0)))))</f>
        <v>75246</v>
      </c>
      <c r="AD53" s="263">
        <f>IF(ISNA(MATCH(AD$2,Inputs!$K$4:$AJ$4,0)),NA(),IF(SUMPRODUCT((Inputs!$A$5:$A$140=$B53)*ISNUMBER(INDEX(Inputs!$K$5:$AJ$140,0,MATCH(AD$2,Inputs!$K$4:$AJ$4,0))))+SUMPRODUCT((Inputs!$C$5:$C$140=$B53)*ISNUMBER(INDEX(Inputs!$K$5:$AJ$140,0,MATCH(AD$2,Inputs!$K$4:$AJ$4,0))))+SUMPRODUCT((Inputs!$E$5:$E$140=$B53)*ISNUMBER(INDEX(Inputs!$K$5:$AJ$140,0,MATCH(AD$2,Inputs!$K$4:$AJ$4,0))))=0,NA(),SUMPRODUCT((Inputs!$A$5:$A$140=$B53)*Inputs!$B$5:$B$140*(((Inputs!$G$5:$G$140="moeda")+(Inputs!$G$5:$G$140="acoes"))*Inputs!$B$1+((Inputs!$G$5:$G$140&lt;&gt;"moeda")*(Inputs!$G$5:$G$140&lt;&gt;"acoes")))*INDEX(Inputs!$K$5:$AJ$140,0,MATCH(AD$2,Inputs!$K$4:$AJ$4,0)))+SUMPRODUCT((Inputs!$C$5:$C$140=$B53)*Inputs!$D$5:$D$140*(((Inputs!$G$5:$G$140="moeda")+(Inputs!$G$5:$G$140="acoes"))*Inputs!$B$1+((Inputs!$G$5:$G$140&lt;&gt;"moeda")*(Inputs!$G$5:$G$140&lt;&gt;"acoes")))*INDEX(Inputs!$K$5:$AJ$140,0,MATCH(AD$2,Inputs!$K$4:$AJ$4,0)))+SUMPRODUCT((Inputs!$E$5:$E$140=$B53)*Inputs!$F$5:$F$140*(((Inputs!$G$5:$G$140="moeda")+(Inputs!$G$5:$G$140="acoes"))*Inputs!$B$1+((Inputs!$G$5:$G$140&lt;&gt;"moeda")*(Inputs!$G$5:$G$140&lt;&gt;"acoes")))*INDEX(Inputs!$K$5:$AJ$140,0,MATCH(AD$2,Inputs!$K$4:$AJ$4,0)))))</f>
        <v>89023</v>
      </c>
      <c r="AE53" s="263" t="e">
        <f>IF(ISNA(MATCH(AE$2,Inputs!$K$4:$AJ$4,0)),NA(),IF(SUMPRODUCT((Inputs!$A$5:$A$140=$B53)*ISNUMBER(INDEX(Inputs!$K$5:$AJ$140,0,MATCH(AE$2,Inputs!$K$4:$AJ$4,0))))+SUMPRODUCT((Inputs!$C$5:$C$140=$B53)*ISNUMBER(INDEX(Inputs!$K$5:$AJ$140,0,MATCH(AE$2,Inputs!$K$4:$AJ$4,0))))+SUMPRODUCT((Inputs!$E$5:$E$140=$B53)*ISNUMBER(INDEX(Inputs!$K$5:$AJ$140,0,MATCH(AE$2,Inputs!$K$4:$AJ$4,0))))=0,NA(),SUMPRODUCT((Inputs!$A$5:$A$140=$B53)*Inputs!$B$5:$B$140*(((Inputs!$G$5:$G$140="moeda")+(Inputs!$G$5:$G$140="acoes"))*Inputs!$B$1+((Inputs!$G$5:$G$140&lt;&gt;"moeda")*(Inputs!$G$5:$G$140&lt;&gt;"acoes")))*INDEX(Inputs!$K$5:$AJ$140,0,MATCH(AE$2,Inputs!$K$4:$AJ$4,0)))+SUMPRODUCT((Inputs!$C$5:$C$140=$B53)*Inputs!$D$5:$D$140*(((Inputs!$G$5:$G$140="moeda")+(Inputs!$G$5:$G$140="acoes"))*Inputs!$B$1+((Inputs!$G$5:$G$140&lt;&gt;"moeda")*(Inputs!$G$5:$G$140&lt;&gt;"acoes")))*INDEX(Inputs!$K$5:$AJ$140,0,MATCH(AE$2,Inputs!$K$4:$AJ$4,0)))+SUMPRODUCT((Inputs!$E$5:$E$140=$B53)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53" s="263" t="e">
        <f>IF(ISNA(MATCH(AF$2,Inputs!$K$4:$AJ$4,0)),NA(),IF(SUMPRODUCT((Inputs!$A$5:$A$140=$B53)*ISNUMBER(INDEX(Inputs!$K$5:$AJ$140,0,MATCH(AF$2,Inputs!$K$4:$AJ$4,0))))+SUMPRODUCT((Inputs!$C$5:$C$140=$B53)*ISNUMBER(INDEX(Inputs!$K$5:$AJ$140,0,MATCH(AF$2,Inputs!$K$4:$AJ$4,0))))+SUMPRODUCT((Inputs!$E$5:$E$140=$B53)*ISNUMBER(INDEX(Inputs!$K$5:$AJ$140,0,MATCH(AF$2,Inputs!$K$4:$AJ$4,0))))=0,NA(),SUMPRODUCT((Inputs!$A$5:$A$140=$B53)*Inputs!$B$5:$B$140*(((Inputs!$G$5:$G$140="moeda")+(Inputs!$G$5:$G$140="acoes"))*Inputs!$B$1+((Inputs!$G$5:$G$140&lt;&gt;"moeda")*(Inputs!$G$5:$G$140&lt;&gt;"acoes")))*INDEX(Inputs!$K$5:$AJ$140,0,MATCH(AF$2,Inputs!$K$4:$AJ$4,0)))+SUMPRODUCT((Inputs!$C$5:$C$140=$B53)*Inputs!$D$5:$D$140*(((Inputs!$G$5:$G$140="moeda")+(Inputs!$G$5:$G$140="acoes"))*Inputs!$B$1+((Inputs!$G$5:$G$140&lt;&gt;"moeda")*(Inputs!$G$5:$G$140&lt;&gt;"acoes")))*INDEX(Inputs!$K$5:$AJ$140,0,MATCH(AF$2,Inputs!$K$4:$AJ$4,0)))+SUMPRODUCT((Inputs!$E$5:$E$140=$B53)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53" s="264" t="e">
        <f>SUM(AC53:AF53)</f>
        <v>#N/A</v>
      </c>
      <c r="AH53" s="263">
        <f>IF(ISNA(MATCH(AH$2,Inputs!$K$4:$AJ$4,0)),NA(),IF(SUMPRODUCT((Inputs!$A$5:$A$140=$B53)*ISNUMBER(INDEX(Inputs!$K$5:$AJ$140,0,MATCH(AH$2,Inputs!$K$4:$AJ$4,0))))+SUMPRODUCT((Inputs!$C$5:$C$140=$B53)*ISNUMBER(INDEX(Inputs!$K$5:$AJ$140,0,MATCH(AH$2,Inputs!$K$4:$AJ$4,0))))+SUMPRODUCT((Inputs!$E$5:$E$140=$B53)*ISNUMBER(INDEX(Inputs!$K$5:$AJ$140,0,MATCH(AH$2,Inputs!$K$4:$AJ$4,0))))=0,NA(),SUMPRODUCT((Inputs!$A$5:$A$140=$B53)*Inputs!$B$5:$B$140*(((Inputs!$G$5:$G$140="moeda")+(Inputs!$G$5:$G$140="acoes"))*Inputs!$B$1+((Inputs!$G$5:$G$140&lt;&gt;"moeda")*(Inputs!$G$5:$G$140&lt;&gt;"acoes")))*INDEX(Inputs!$K$5:$AJ$140,0,MATCH(AH$2,Inputs!$K$4:$AJ$4,0)))+SUMPRODUCT((Inputs!$C$5:$C$140=$B53)*Inputs!$D$5:$D$140*(((Inputs!$G$5:$G$140="moeda")+(Inputs!$G$5:$G$140="acoes"))*Inputs!$B$1+((Inputs!$G$5:$G$140&lt;&gt;"moeda")*(Inputs!$G$5:$G$140&lt;&gt;"acoes")))*INDEX(Inputs!$K$5:$AJ$140,0,MATCH(AH$2,Inputs!$K$4:$AJ$4,0)))+SUMPRODUCT((Inputs!$E$5:$E$140=$B53)*Inputs!$F$5:$F$140*(((Inputs!$G$5:$G$140="moeda")+(Inputs!$G$5:$G$140="acoes"))*Inputs!$B$1+((Inputs!$G$5:$G$140&lt;&gt;"moeda")*(Inputs!$G$5:$G$140&lt;&gt;"acoes")))*INDEX(Inputs!$K$5:$AJ$140,0,MATCH(AH$2,Inputs!$K$4:$AJ$4,0)))))</f>
        <v>1141</v>
      </c>
      <c r="AI53" s="263">
        <f>IF(ISNA(MATCH(AI$2,Inputs!$K$4:$AJ$4,0)),NA(),IF(SUMPRODUCT((Inputs!$A$5:$A$140=$B53)*ISNUMBER(INDEX(Inputs!$K$5:$AJ$140,0,MATCH(AI$2,Inputs!$K$4:$AJ$4,0))))+SUMPRODUCT((Inputs!$C$5:$C$140=$B53)*ISNUMBER(INDEX(Inputs!$K$5:$AJ$140,0,MATCH(AI$2,Inputs!$K$4:$AJ$4,0))))+SUMPRODUCT((Inputs!$E$5:$E$140=$B53)*ISNUMBER(INDEX(Inputs!$K$5:$AJ$140,0,MATCH(AI$2,Inputs!$K$4:$AJ$4,0))))=0,NA(),SUMPRODUCT((Inputs!$A$5:$A$140=$B53)*Inputs!$B$5:$B$140*(((Inputs!$G$5:$G$140="moeda")+(Inputs!$G$5:$G$140="acoes"))*Inputs!$B$1+((Inputs!$G$5:$G$140&lt;&gt;"moeda")*(Inputs!$G$5:$G$140&lt;&gt;"acoes")))*INDEX(Inputs!$K$5:$AJ$140,0,MATCH(AI$2,Inputs!$K$4:$AJ$4,0)))+SUMPRODUCT((Inputs!$C$5:$C$140=$B53)*Inputs!$D$5:$D$140*(((Inputs!$G$5:$G$140="moeda")+(Inputs!$G$5:$G$140="acoes"))*Inputs!$B$1+((Inputs!$G$5:$G$140&lt;&gt;"moeda")*(Inputs!$G$5:$G$140&lt;&gt;"acoes")))*INDEX(Inputs!$K$5:$AJ$140,0,MATCH(AI$2,Inputs!$K$4:$AJ$4,0)))+SUMPRODUCT((Inputs!$E$5:$E$140=$B53)*Inputs!$F$5:$F$140*(((Inputs!$G$5:$G$140="moeda")+(Inputs!$G$5:$G$140="acoes"))*Inputs!$B$1+((Inputs!$G$5:$G$140&lt;&gt;"moeda")*(Inputs!$G$5:$G$140&lt;&gt;"acoes")))*INDEX(Inputs!$K$5:$AJ$140,0,MATCH(AI$2,Inputs!$K$4:$AJ$4,0)))))</f>
        <v>1752</v>
      </c>
      <c r="AJ53" s="263">
        <f>IF(ISNA(MATCH(AJ$2,Inputs!$K$4:$AJ$4,0)),NA(),IF(SUMPRODUCT((Inputs!$A$5:$A$140=$B53)*ISNUMBER(INDEX(Inputs!$K$5:$AJ$140,0,MATCH(AJ$2,Inputs!$K$4:$AJ$4,0))))+SUMPRODUCT((Inputs!$C$5:$C$140=$B53)*ISNUMBER(INDEX(Inputs!$K$5:$AJ$140,0,MATCH(AJ$2,Inputs!$K$4:$AJ$4,0))))+SUMPRODUCT((Inputs!$E$5:$E$140=$B53)*ISNUMBER(INDEX(Inputs!$K$5:$AJ$140,0,MATCH(AJ$2,Inputs!$K$4:$AJ$4,0))))=0,NA(),SUMPRODUCT((Inputs!$A$5:$A$140=$B53)*Inputs!$B$5:$B$140*(((Inputs!$G$5:$G$140="moeda")+(Inputs!$G$5:$G$140="acoes"))*Inputs!$B$1+((Inputs!$G$5:$G$140&lt;&gt;"moeda")*(Inputs!$G$5:$G$140&lt;&gt;"acoes")))*INDEX(Inputs!$K$5:$AJ$140,0,MATCH(AJ$2,Inputs!$K$4:$AJ$4,0)))+SUMPRODUCT((Inputs!$C$5:$C$140=$B53)*Inputs!$D$5:$D$140*(((Inputs!$G$5:$G$140="moeda")+(Inputs!$G$5:$G$140="acoes"))*Inputs!$B$1+((Inputs!$G$5:$G$140&lt;&gt;"moeda")*(Inputs!$G$5:$G$140&lt;&gt;"acoes")))*INDEX(Inputs!$K$5:$AJ$140,0,MATCH(AJ$2,Inputs!$K$4:$AJ$4,0)))+SUMPRODUCT((Inputs!$E$5:$E$140=$B53)*Inputs!$F$5:$F$140*(((Inputs!$G$5:$G$140="moeda")+(Inputs!$G$5:$G$140="acoes"))*Inputs!$B$1+((Inputs!$G$5:$G$140&lt;&gt;"moeda")*(Inputs!$G$5:$G$140&lt;&gt;"acoes")))*INDEX(Inputs!$K$5:$AJ$140,0,MATCH(AJ$2,Inputs!$K$4:$AJ$4,0)))))</f>
        <v>1900</v>
      </c>
      <c r="AK53" s="263">
        <f>IF(ISNA(MATCH(AK$2,Inputs!$K$4:$AJ$4,0)),NA(),IF(SUMPRODUCT((Inputs!$A$5:$A$140=$B53)*ISNUMBER(INDEX(Inputs!$K$5:$AJ$140,0,MATCH(AK$2,Inputs!$K$4:$AJ$4,0))))+SUMPRODUCT((Inputs!$C$5:$C$140=$B53)*ISNUMBER(INDEX(Inputs!$K$5:$AJ$140,0,MATCH(AK$2,Inputs!$K$4:$AJ$4,0))))+SUMPRODUCT((Inputs!$E$5:$E$140=$B53)*ISNUMBER(INDEX(Inputs!$K$5:$AJ$140,0,MATCH(AK$2,Inputs!$K$4:$AJ$4,0))))=0,NA(),SUMPRODUCT((Inputs!$A$5:$A$140=$B53)*Inputs!$B$5:$B$140*(((Inputs!$G$5:$G$140="moeda")+(Inputs!$G$5:$G$140="acoes"))*Inputs!$B$1+((Inputs!$G$5:$G$140&lt;&gt;"moeda")*(Inputs!$G$5:$G$140&lt;&gt;"acoes")))*INDEX(Inputs!$K$5:$AJ$140,0,MATCH(AK$2,Inputs!$K$4:$AJ$4,0)))+SUMPRODUCT((Inputs!$C$5:$C$140=$B53)*Inputs!$D$5:$D$140*(((Inputs!$G$5:$G$140="moeda")+(Inputs!$G$5:$G$140="acoes"))*Inputs!$B$1+((Inputs!$G$5:$G$140&lt;&gt;"moeda")*(Inputs!$G$5:$G$140&lt;&gt;"acoes")))*INDEX(Inputs!$K$5:$AJ$140,0,MATCH(AK$2,Inputs!$K$4:$AJ$4,0)))+SUMPRODUCT((Inputs!$E$5:$E$140=$B53)*Inputs!$F$5:$F$140*(((Inputs!$G$5:$G$140="moeda")+(Inputs!$G$5:$G$140="acoes"))*Inputs!$B$1+((Inputs!$G$5:$G$140&lt;&gt;"moeda")*(Inputs!$G$5:$G$140&lt;&gt;"acoes")))*INDEX(Inputs!$K$5:$AJ$140,0,MATCH(AK$2,Inputs!$K$4:$AJ$4,0)))))</f>
        <v>1903</v>
      </c>
      <c r="AL53" s="264">
        <f>SUM(AH53:AK53)</f>
        <v>6696</v>
      </c>
    </row>
    <row r="54">
      <c r="B54" s="46" t="n">
        <v>46</v>
      </c>
      <c r="C54" s="29" t="inlineStr">
        <is>
          <t>Data Center - Compute (USD; aberto de 1T23 a 4T25)</t>
        </is>
      </c>
      <c r="D54" s="263" t="e">
        <f>IF(ISNA(MATCH(D$2,Inputs!$K$4:$AJ$4,0)),NA(),IF(SUMPRODUCT((Inputs!$A$5:$A$140=$B54)*ISNUMBER(INDEX(Inputs!$K$5:$AJ$140,0,MATCH(D$2,Inputs!$K$4:$AJ$4,0))))+SUMPRODUCT((Inputs!$C$5:$C$140=$B54)*ISNUMBER(INDEX(Inputs!$K$5:$AJ$140,0,MATCH(D$2,Inputs!$K$4:$AJ$4,0))))+SUMPRODUCT((Inputs!$E$5:$E$140=$B54)*ISNUMBER(INDEX(Inputs!$K$5:$AJ$140,0,MATCH(D$2,Inputs!$K$4:$AJ$4,0))))=0,NA(),SUMPRODUCT((Inputs!$A$5:$A$140=$B54)*Inputs!$B$5:$B$140*(((Inputs!$G$5:$G$140="moeda")+(Inputs!$G$5:$G$140="acoes"))*Inputs!$B$1+((Inputs!$G$5:$G$140&lt;&gt;"moeda")*(Inputs!$G$5:$G$140&lt;&gt;"acoes")))*INDEX(Inputs!$K$5:$AJ$140,0,MATCH(D$2,Inputs!$K$4:$AJ$4,0)))+SUMPRODUCT((Inputs!$C$5:$C$140=$B54)*Inputs!$D$5:$D$140*(((Inputs!$G$5:$G$140="moeda")+(Inputs!$G$5:$G$140="acoes"))*Inputs!$B$1+((Inputs!$G$5:$G$140&lt;&gt;"moeda")*(Inputs!$G$5:$G$140&lt;&gt;"acoes")))*INDEX(Inputs!$K$5:$AJ$140,0,MATCH(D$2,Inputs!$K$4:$AJ$4,0)))+SUMPRODUCT((Inputs!$E$5:$E$140=$B54)*Inputs!$F$5:$F$140*(((Inputs!$G$5:$G$140="moeda")+(Inputs!$G$5:$G$140="acoes"))*Inputs!$B$1+((Inputs!$G$5:$G$140&lt;&gt;"moeda")*(Inputs!$G$5:$G$140&lt;&gt;"acoes")))*INDEX(Inputs!$K$5:$AJ$140,0,MATCH(D$2,Inputs!$K$4:$AJ$4,0)))))</f>
        <v>#N/A</v>
      </c>
      <c r="E54" s="263" t="e">
        <f>IF(ISNA(MATCH(E$2,Inputs!$K$4:$AJ$4,0)),NA(),IF(SUMPRODUCT((Inputs!$A$5:$A$140=$B54)*ISNUMBER(INDEX(Inputs!$K$5:$AJ$140,0,MATCH(E$2,Inputs!$K$4:$AJ$4,0))))+SUMPRODUCT((Inputs!$C$5:$C$140=$B54)*ISNUMBER(INDEX(Inputs!$K$5:$AJ$140,0,MATCH(E$2,Inputs!$K$4:$AJ$4,0))))+SUMPRODUCT((Inputs!$E$5:$E$140=$B54)*ISNUMBER(INDEX(Inputs!$K$5:$AJ$140,0,MATCH(E$2,Inputs!$K$4:$AJ$4,0))))=0,NA(),SUMPRODUCT((Inputs!$A$5:$A$140=$B54)*Inputs!$B$5:$B$140*(((Inputs!$G$5:$G$140="moeda")+(Inputs!$G$5:$G$140="acoes"))*Inputs!$B$1+((Inputs!$G$5:$G$140&lt;&gt;"moeda")*(Inputs!$G$5:$G$140&lt;&gt;"acoes")))*INDEX(Inputs!$K$5:$AJ$140,0,MATCH(E$2,Inputs!$K$4:$AJ$4,0)))+SUMPRODUCT((Inputs!$C$5:$C$140=$B54)*Inputs!$D$5:$D$140*(((Inputs!$G$5:$G$140="moeda")+(Inputs!$G$5:$G$140="acoes"))*Inputs!$B$1+((Inputs!$G$5:$G$140&lt;&gt;"moeda")*(Inputs!$G$5:$G$140&lt;&gt;"acoes")))*INDEX(Inputs!$K$5:$AJ$140,0,MATCH(E$2,Inputs!$K$4:$AJ$4,0)))+SUMPRODUCT((Inputs!$E$5:$E$140=$B54)*Inputs!$F$5:$F$140*(((Inputs!$G$5:$G$140="moeda")+(Inputs!$G$5:$G$140="acoes"))*Inputs!$B$1+((Inputs!$G$5:$G$140&lt;&gt;"moeda")*(Inputs!$G$5:$G$140&lt;&gt;"acoes")))*INDEX(Inputs!$K$5:$AJ$140,0,MATCH(E$2,Inputs!$K$4:$AJ$4,0)))))</f>
        <v>#N/A</v>
      </c>
      <c r="F54" s="263" t="e">
        <f>IF(ISNA(MATCH(F$2,Inputs!$K$4:$AJ$4,0)),NA(),IF(SUMPRODUCT((Inputs!$A$5:$A$140=$B54)*ISNUMBER(INDEX(Inputs!$K$5:$AJ$140,0,MATCH(F$2,Inputs!$K$4:$AJ$4,0))))+SUMPRODUCT((Inputs!$C$5:$C$140=$B54)*ISNUMBER(INDEX(Inputs!$K$5:$AJ$140,0,MATCH(F$2,Inputs!$K$4:$AJ$4,0))))+SUMPRODUCT((Inputs!$E$5:$E$140=$B54)*ISNUMBER(INDEX(Inputs!$K$5:$AJ$140,0,MATCH(F$2,Inputs!$K$4:$AJ$4,0))))=0,NA(),SUMPRODUCT((Inputs!$A$5:$A$140=$B54)*Inputs!$B$5:$B$140*(((Inputs!$G$5:$G$140="moeda")+(Inputs!$G$5:$G$140="acoes"))*Inputs!$B$1+((Inputs!$G$5:$G$140&lt;&gt;"moeda")*(Inputs!$G$5:$G$140&lt;&gt;"acoes")))*INDEX(Inputs!$K$5:$AJ$140,0,MATCH(F$2,Inputs!$K$4:$AJ$4,0)))+SUMPRODUCT((Inputs!$C$5:$C$140=$B54)*Inputs!$D$5:$D$140*(((Inputs!$G$5:$G$140="moeda")+(Inputs!$G$5:$G$140="acoes"))*Inputs!$B$1+((Inputs!$G$5:$G$140&lt;&gt;"moeda")*(Inputs!$G$5:$G$140&lt;&gt;"acoes")))*INDEX(Inputs!$K$5:$AJ$140,0,MATCH(F$2,Inputs!$K$4:$AJ$4,0)))+SUMPRODUCT((Inputs!$E$5:$E$140=$B54)*Inputs!$F$5:$F$140*(((Inputs!$G$5:$G$140="moeda")+(Inputs!$G$5:$G$140="acoes"))*Inputs!$B$1+((Inputs!$G$5:$G$140&lt;&gt;"moeda")*(Inputs!$G$5:$G$140&lt;&gt;"acoes")))*INDEX(Inputs!$K$5:$AJ$140,0,MATCH(F$2,Inputs!$K$4:$AJ$4,0)))))</f>
        <v>#N/A</v>
      </c>
      <c r="G54" s="263" t="e">
        <f>IF(ISNA(MATCH(G$2,Inputs!$K$4:$AJ$4,0)),NA(),IF(SUMPRODUCT((Inputs!$A$5:$A$140=$B54)*ISNUMBER(INDEX(Inputs!$K$5:$AJ$140,0,MATCH(G$2,Inputs!$K$4:$AJ$4,0))))+SUMPRODUCT((Inputs!$C$5:$C$140=$B54)*ISNUMBER(INDEX(Inputs!$K$5:$AJ$140,0,MATCH(G$2,Inputs!$K$4:$AJ$4,0))))+SUMPRODUCT((Inputs!$E$5:$E$140=$B54)*ISNUMBER(INDEX(Inputs!$K$5:$AJ$140,0,MATCH(G$2,Inputs!$K$4:$AJ$4,0))))=0,NA(),SUMPRODUCT((Inputs!$A$5:$A$140=$B54)*Inputs!$B$5:$B$140*(((Inputs!$G$5:$G$140="moeda")+(Inputs!$G$5:$G$140="acoes"))*Inputs!$B$1+((Inputs!$G$5:$G$140&lt;&gt;"moeda")*(Inputs!$G$5:$G$140&lt;&gt;"acoes")))*INDEX(Inputs!$K$5:$AJ$140,0,MATCH(G$2,Inputs!$K$4:$AJ$4,0)))+SUMPRODUCT((Inputs!$C$5:$C$140=$B54)*Inputs!$D$5:$D$140*(((Inputs!$G$5:$G$140="moeda")+(Inputs!$G$5:$G$140="acoes"))*Inputs!$B$1+((Inputs!$G$5:$G$140&lt;&gt;"moeda")*(Inputs!$G$5:$G$140&lt;&gt;"acoes")))*INDEX(Inputs!$K$5:$AJ$140,0,MATCH(G$2,Inputs!$K$4:$AJ$4,0)))+SUMPRODUCT((Inputs!$E$5:$E$140=$B54)*Inputs!$F$5:$F$140*(((Inputs!$G$5:$G$140="moeda")+(Inputs!$G$5:$G$140="acoes"))*Inputs!$B$1+((Inputs!$G$5:$G$140&lt;&gt;"moeda")*(Inputs!$G$5:$G$140&lt;&gt;"acoes")))*INDEX(Inputs!$K$5:$AJ$140,0,MATCH(G$2,Inputs!$K$4:$AJ$4,0)))))</f>
        <v>#N/A</v>
      </c>
      <c r="H54" s="264" t="e">
        <f>SUM(D54:G54)</f>
        <v>#N/A</v>
      </c>
      <c r="I54" s="263" t="e">
        <f>IF(ISNA(MATCH(I$2,Inputs!$K$4:$AJ$4,0)),NA(),IF(SUMPRODUCT((Inputs!$A$5:$A$140=$B54)*ISNUMBER(INDEX(Inputs!$K$5:$AJ$140,0,MATCH(I$2,Inputs!$K$4:$AJ$4,0))))+SUMPRODUCT((Inputs!$C$5:$C$140=$B54)*ISNUMBER(INDEX(Inputs!$K$5:$AJ$140,0,MATCH(I$2,Inputs!$K$4:$AJ$4,0))))+SUMPRODUCT((Inputs!$E$5:$E$140=$B54)*ISNUMBER(INDEX(Inputs!$K$5:$AJ$140,0,MATCH(I$2,Inputs!$K$4:$AJ$4,0))))=0,NA(),SUMPRODUCT((Inputs!$A$5:$A$140=$B54)*Inputs!$B$5:$B$140*(((Inputs!$G$5:$G$140="moeda")+(Inputs!$G$5:$G$140="acoes"))*Inputs!$B$1+((Inputs!$G$5:$G$140&lt;&gt;"moeda")*(Inputs!$G$5:$G$140&lt;&gt;"acoes")))*INDEX(Inputs!$K$5:$AJ$140,0,MATCH(I$2,Inputs!$K$4:$AJ$4,0)))+SUMPRODUCT((Inputs!$C$5:$C$140=$B54)*Inputs!$D$5:$D$140*(((Inputs!$G$5:$G$140="moeda")+(Inputs!$G$5:$G$140="acoes"))*Inputs!$B$1+((Inputs!$G$5:$G$140&lt;&gt;"moeda")*(Inputs!$G$5:$G$140&lt;&gt;"acoes")))*INDEX(Inputs!$K$5:$AJ$140,0,MATCH(I$2,Inputs!$K$4:$AJ$4,0)))+SUMPRODUCT((Inputs!$E$5:$E$140=$B54)*Inputs!$F$5:$F$140*(((Inputs!$G$5:$G$140="moeda")+(Inputs!$G$5:$G$140="acoes"))*Inputs!$B$1+((Inputs!$G$5:$G$140&lt;&gt;"moeda")*(Inputs!$G$5:$G$140&lt;&gt;"acoes")))*INDEX(Inputs!$K$5:$AJ$140,0,MATCH(I$2,Inputs!$K$4:$AJ$4,0)))))</f>
        <v>#N/A</v>
      </c>
      <c r="J54" s="263" t="e">
        <f>IF(ISNA(MATCH(J$2,Inputs!$K$4:$AJ$4,0)),NA(),IF(SUMPRODUCT((Inputs!$A$5:$A$140=$B54)*ISNUMBER(INDEX(Inputs!$K$5:$AJ$140,0,MATCH(J$2,Inputs!$K$4:$AJ$4,0))))+SUMPRODUCT((Inputs!$C$5:$C$140=$B54)*ISNUMBER(INDEX(Inputs!$K$5:$AJ$140,0,MATCH(J$2,Inputs!$K$4:$AJ$4,0))))+SUMPRODUCT((Inputs!$E$5:$E$140=$B54)*ISNUMBER(INDEX(Inputs!$K$5:$AJ$140,0,MATCH(J$2,Inputs!$K$4:$AJ$4,0))))=0,NA(),SUMPRODUCT((Inputs!$A$5:$A$140=$B54)*Inputs!$B$5:$B$140*(((Inputs!$G$5:$G$140="moeda")+(Inputs!$G$5:$G$140="acoes"))*Inputs!$B$1+((Inputs!$G$5:$G$140&lt;&gt;"moeda")*(Inputs!$G$5:$G$140&lt;&gt;"acoes")))*INDEX(Inputs!$K$5:$AJ$140,0,MATCH(J$2,Inputs!$K$4:$AJ$4,0)))+SUMPRODUCT((Inputs!$C$5:$C$140=$B54)*Inputs!$D$5:$D$140*(((Inputs!$G$5:$G$140="moeda")+(Inputs!$G$5:$G$140="acoes"))*Inputs!$B$1+((Inputs!$G$5:$G$140&lt;&gt;"moeda")*(Inputs!$G$5:$G$140&lt;&gt;"acoes")))*INDEX(Inputs!$K$5:$AJ$140,0,MATCH(J$2,Inputs!$K$4:$AJ$4,0)))+SUMPRODUCT((Inputs!$E$5:$E$140=$B54)*Inputs!$F$5:$F$140*(((Inputs!$G$5:$G$140="moeda")+(Inputs!$G$5:$G$140="acoes"))*Inputs!$B$1+((Inputs!$G$5:$G$140&lt;&gt;"moeda")*(Inputs!$G$5:$G$140&lt;&gt;"acoes")))*INDEX(Inputs!$K$5:$AJ$140,0,MATCH(J$2,Inputs!$K$4:$AJ$4,0)))))</f>
        <v>#N/A</v>
      </c>
      <c r="K54" s="263" t="e">
        <f>IF(ISNA(MATCH(K$2,Inputs!$K$4:$AJ$4,0)),NA(),IF(SUMPRODUCT((Inputs!$A$5:$A$140=$B54)*ISNUMBER(INDEX(Inputs!$K$5:$AJ$140,0,MATCH(K$2,Inputs!$K$4:$AJ$4,0))))+SUMPRODUCT((Inputs!$C$5:$C$140=$B54)*ISNUMBER(INDEX(Inputs!$K$5:$AJ$140,0,MATCH(K$2,Inputs!$K$4:$AJ$4,0))))+SUMPRODUCT((Inputs!$E$5:$E$140=$B54)*ISNUMBER(INDEX(Inputs!$K$5:$AJ$140,0,MATCH(K$2,Inputs!$K$4:$AJ$4,0))))=0,NA(),SUMPRODUCT((Inputs!$A$5:$A$140=$B54)*Inputs!$B$5:$B$140*(((Inputs!$G$5:$G$140="moeda")+(Inputs!$G$5:$G$140="acoes"))*Inputs!$B$1+((Inputs!$G$5:$G$140&lt;&gt;"moeda")*(Inputs!$G$5:$G$140&lt;&gt;"acoes")))*INDEX(Inputs!$K$5:$AJ$140,0,MATCH(K$2,Inputs!$K$4:$AJ$4,0)))+SUMPRODUCT((Inputs!$C$5:$C$140=$B54)*Inputs!$D$5:$D$140*(((Inputs!$G$5:$G$140="moeda")+(Inputs!$G$5:$G$140="acoes"))*Inputs!$B$1+((Inputs!$G$5:$G$140&lt;&gt;"moeda")*(Inputs!$G$5:$G$140&lt;&gt;"acoes")))*INDEX(Inputs!$K$5:$AJ$140,0,MATCH(K$2,Inputs!$K$4:$AJ$4,0)))+SUMPRODUCT((Inputs!$E$5:$E$140=$B54)*Inputs!$F$5:$F$140*(((Inputs!$G$5:$G$140="moeda")+(Inputs!$G$5:$G$140="acoes"))*Inputs!$B$1+((Inputs!$G$5:$G$140&lt;&gt;"moeda")*(Inputs!$G$5:$G$140&lt;&gt;"acoes")))*INDEX(Inputs!$K$5:$AJ$140,0,MATCH(K$2,Inputs!$K$4:$AJ$4,0)))))</f>
        <v>#N/A</v>
      </c>
      <c r="L54" s="263" t="e">
        <f>IF(ISNA(MATCH(L$2,Inputs!$K$4:$AJ$4,0)),NA(),IF(SUMPRODUCT((Inputs!$A$5:$A$140=$B54)*ISNUMBER(INDEX(Inputs!$K$5:$AJ$140,0,MATCH(L$2,Inputs!$K$4:$AJ$4,0))))+SUMPRODUCT((Inputs!$C$5:$C$140=$B54)*ISNUMBER(INDEX(Inputs!$K$5:$AJ$140,0,MATCH(L$2,Inputs!$K$4:$AJ$4,0))))+SUMPRODUCT((Inputs!$E$5:$E$140=$B54)*ISNUMBER(INDEX(Inputs!$K$5:$AJ$140,0,MATCH(L$2,Inputs!$K$4:$AJ$4,0))))=0,NA(),SUMPRODUCT((Inputs!$A$5:$A$140=$B54)*Inputs!$B$5:$B$140*(((Inputs!$G$5:$G$140="moeda")+(Inputs!$G$5:$G$140="acoes"))*Inputs!$B$1+((Inputs!$G$5:$G$140&lt;&gt;"moeda")*(Inputs!$G$5:$G$140&lt;&gt;"acoes")))*INDEX(Inputs!$K$5:$AJ$140,0,MATCH(L$2,Inputs!$K$4:$AJ$4,0)))+SUMPRODUCT((Inputs!$C$5:$C$140=$B54)*Inputs!$D$5:$D$140*(((Inputs!$G$5:$G$140="moeda")+(Inputs!$G$5:$G$140="acoes"))*Inputs!$B$1+((Inputs!$G$5:$G$140&lt;&gt;"moeda")*(Inputs!$G$5:$G$140&lt;&gt;"acoes")))*INDEX(Inputs!$K$5:$AJ$140,0,MATCH(L$2,Inputs!$K$4:$AJ$4,0)))+SUMPRODUCT((Inputs!$E$5:$E$140=$B54)*Inputs!$F$5:$F$140*(((Inputs!$G$5:$G$140="moeda")+(Inputs!$G$5:$G$140="acoes"))*Inputs!$B$1+((Inputs!$G$5:$G$140&lt;&gt;"moeda")*(Inputs!$G$5:$G$140&lt;&gt;"acoes")))*INDEX(Inputs!$K$5:$AJ$140,0,MATCH(L$2,Inputs!$K$4:$AJ$4,0)))))</f>
        <v>#N/A</v>
      </c>
      <c r="M54" s="264" t="e">
        <f>SUM(I54:L54)</f>
        <v>#N/A</v>
      </c>
      <c r="N54" s="263">
        <f>IF(ISNA(MATCH(N$2,Inputs!$K$4:$AJ$4,0)),NA(),IF(SUMPRODUCT((Inputs!$A$5:$A$140=$B54)*ISNUMBER(INDEX(Inputs!$K$5:$AJ$140,0,MATCH(N$2,Inputs!$K$4:$AJ$4,0))))+SUMPRODUCT((Inputs!$C$5:$C$140=$B54)*ISNUMBER(INDEX(Inputs!$K$5:$AJ$140,0,MATCH(N$2,Inputs!$K$4:$AJ$4,0))))+SUMPRODUCT((Inputs!$E$5:$E$140=$B54)*ISNUMBER(INDEX(Inputs!$K$5:$AJ$140,0,MATCH(N$2,Inputs!$K$4:$AJ$4,0))))=0,NA(),SUMPRODUCT((Inputs!$A$5:$A$140=$B54)*Inputs!$B$5:$B$140*(((Inputs!$G$5:$G$140="moeda")+(Inputs!$G$5:$G$140="acoes"))*Inputs!$B$1+((Inputs!$G$5:$G$140&lt;&gt;"moeda")*(Inputs!$G$5:$G$140&lt;&gt;"acoes")))*INDEX(Inputs!$K$5:$AJ$140,0,MATCH(N$2,Inputs!$K$4:$AJ$4,0)))+SUMPRODUCT((Inputs!$C$5:$C$140=$B54)*Inputs!$D$5:$D$140*(((Inputs!$G$5:$G$140="moeda")+(Inputs!$G$5:$G$140="acoes"))*Inputs!$B$1+((Inputs!$G$5:$G$140&lt;&gt;"moeda")*(Inputs!$G$5:$G$140&lt;&gt;"acoes")))*INDEX(Inputs!$K$5:$AJ$140,0,MATCH(N$2,Inputs!$K$4:$AJ$4,0)))+SUMPRODUCT((Inputs!$E$5:$E$140=$B54)*Inputs!$F$5:$F$140*(((Inputs!$G$5:$G$140="moeda")+(Inputs!$G$5:$G$140="acoes"))*Inputs!$B$1+((Inputs!$G$5:$G$140&lt;&gt;"moeda")*(Inputs!$G$5:$G$140&lt;&gt;"acoes")))*INDEX(Inputs!$K$5:$AJ$140,0,MATCH(N$2,Inputs!$K$4:$AJ$4,0)))))</f>
        <v>3357</v>
      </c>
      <c r="O54" s="263">
        <f>IF(ISNA(MATCH(O$2,Inputs!$K$4:$AJ$4,0)),NA(),IF(SUMPRODUCT((Inputs!$A$5:$A$140=$B54)*ISNUMBER(INDEX(Inputs!$K$5:$AJ$140,0,MATCH(O$2,Inputs!$K$4:$AJ$4,0))))+SUMPRODUCT((Inputs!$C$5:$C$140=$B54)*ISNUMBER(INDEX(Inputs!$K$5:$AJ$140,0,MATCH(O$2,Inputs!$K$4:$AJ$4,0))))+SUMPRODUCT((Inputs!$E$5:$E$140=$B54)*ISNUMBER(INDEX(Inputs!$K$5:$AJ$140,0,MATCH(O$2,Inputs!$K$4:$AJ$4,0))))=0,NA(),SUMPRODUCT((Inputs!$A$5:$A$140=$B54)*Inputs!$B$5:$B$140*(((Inputs!$G$5:$G$140="moeda")+(Inputs!$G$5:$G$140="acoes"))*Inputs!$B$1+((Inputs!$G$5:$G$140&lt;&gt;"moeda")*(Inputs!$G$5:$G$140&lt;&gt;"acoes")))*INDEX(Inputs!$K$5:$AJ$140,0,MATCH(O$2,Inputs!$K$4:$AJ$4,0)))+SUMPRODUCT((Inputs!$C$5:$C$140=$B54)*Inputs!$D$5:$D$140*(((Inputs!$G$5:$G$140="moeda")+(Inputs!$G$5:$G$140="acoes"))*Inputs!$B$1+((Inputs!$G$5:$G$140&lt;&gt;"moeda")*(Inputs!$G$5:$G$140&lt;&gt;"acoes")))*INDEX(Inputs!$K$5:$AJ$140,0,MATCH(O$2,Inputs!$K$4:$AJ$4,0)))+SUMPRODUCT((Inputs!$E$5:$E$140=$B54)*Inputs!$F$5:$F$140*(((Inputs!$G$5:$G$140="moeda")+(Inputs!$G$5:$G$140="acoes"))*Inputs!$B$1+((Inputs!$G$5:$G$140&lt;&gt;"moeda")*(Inputs!$G$5:$G$140&lt;&gt;"acoes")))*INDEX(Inputs!$K$5:$AJ$140,0,MATCH(O$2,Inputs!$K$4:$AJ$4,0)))))</f>
        <v>8612</v>
      </c>
      <c r="P54" s="263">
        <f>IF(ISNA(MATCH(P$2,Inputs!$K$4:$AJ$4,0)),NA(),IF(SUMPRODUCT((Inputs!$A$5:$A$140=$B54)*ISNUMBER(INDEX(Inputs!$K$5:$AJ$140,0,MATCH(P$2,Inputs!$K$4:$AJ$4,0))))+SUMPRODUCT((Inputs!$C$5:$C$140=$B54)*ISNUMBER(INDEX(Inputs!$K$5:$AJ$140,0,MATCH(P$2,Inputs!$K$4:$AJ$4,0))))+SUMPRODUCT((Inputs!$E$5:$E$140=$B54)*ISNUMBER(INDEX(Inputs!$K$5:$AJ$140,0,MATCH(P$2,Inputs!$K$4:$AJ$4,0))))=0,NA(),SUMPRODUCT((Inputs!$A$5:$A$140=$B54)*Inputs!$B$5:$B$140*(((Inputs!$G$5:$G$140="moeda")+(Inputs!$G$5:$G$140="acoes"))*Inputs!$B$1+((Inputs!$G$5:$G$140&lt;&gt;"moeda")*(Inputs!$G$5:$G$140&lt;&gt;"acoes")))*INDEX(Inputs!$K$5:$AJ$140,0,MATCH(P$2,Inputs!$K$4:$AJ$4,0)))+SUMPRODUCT((Inputs!$C$5:$C$140=$B54)*Inputs!$D$5:$D$140*(((Inputs!$G$5:$G$140="moeda")+(Inputs!$G$5:$G$140="acoes"))*Inputs!$B$1+((Inputs!$G$5:$G$140&lt;&gt;"moeda")*(Inputs!$G$5:$G$140&lt;&gt;"acoes")))*INDEX(Inputs!$K$5:$AJ$140,0,MATCH(P$2,Inputs!$K$4:$AJ$4,0)))+SUMPRODUCT((Inputs!$E$5:$E$140=$B54)*Inputs!$F$5:$F$140*(((Inputs!$G$5:$G$140="moeda")+(Inputs!$G$5:$G$140="acoes"))*Inputs!$B$1+((Inputs!$G$5:$G$140&lt;&gt;"moeda")*(Inputs!$G$5:$G$140&lt;&gt;"acoes")))*INDEX(Inputs!$K$5:$AJ$140,0,MATCH(P$2,Inputs!$K$4:$AJ$4,0)))))</f>
        <v>11908</v>
      </c>
      <c r="Q54" s="263">
        <f>IF(ISNA(MATCH(Q$2,Inputs!$K$4:$AJ$4,0)),NA(),IF(SUMPRODUCT((Inputs!$A$5:$A$140=$B54)*ISNUMBER(INDEX(Inputs!$K$5:$AJ$140,0,MATCH(Q$2,Inputs!$K$4:$AJ$4,0))))+SUMPRODUCT((Inputs!$C$5:$C$140=$B54)*ISNUMBER(INDEX(Inputs!$K$5:$AJ$140,0,MATCH(Q$2,Inputs!$K$4:$AJ$4,0))))+SUMPRODUCT((Inputs!$E$5:$E$140=$B54)*ISNUMBER(INDEX(Inputs!$K$5:$AJ$140,0,MATCH(Q$2,Inputs!$K$4:$AJ$4,0))))=0,NA(),SUMPRODUCT((Inputs!$A$5:$A$140=$B54)*Inputs!$B$5:$B$140*(((Inputs!$G$5:$G$140="moeda")+(Inputs!$G$5:$G$140="acoes"))*Inputs!$B$1+((Inputs!$G$5:$G$140&lt;&gt;"moeda")*(Inputs!$G$5:$G$140&lt;&gt;"acoes")))*INDEX(Inputs!$K$5:$AJ$140,0,MATCH(Q$2,Inputs!$K$4:$AJ$4,0)))+SUMPRODUCT((Inputs!$C$5:$C$140=$B54)*Inputs!$D$5:$D$140*(((Inputs!$G$5:$G$140="moeda")+(Inputs!$G$5:$G$140="acoes"))*Inputs!$B$1+((Inputs!$G$5:$G$140&lt;&gt;"moeda")*(Inputs!$G$5:$G$140&lt;&gt;"acoes")))*INDEX(Inputs!$K$5:$AJ$140,0,MATCH(Q$2,Inputs!$K$4:$AJ$4,0)))+SUMPRODUCT((Inputs!$E$5:$E$140=$B54)*Inputs!$F$5:$F$140*(((Inputs!$G$5:$G$140="moeda")+(Inputs!$G$5:$G$140="acoes"))*Inputs!$B$1+((Inputs!$G$5:$G$140&lt;&gt;"moeda")*(Inputs!$G$5:$G$140&lt;&gt;"acoes")))*INDEX(Inputs!$K$5:$AJ$140,0,MATCH(Q$2,Inputs!$K$4:$AJ$4,0)))))</f>
        <v>15073</v>
      </c>
      <c r="R54" s="264">
        <f>SUM(N54:Q54)</f>
        <v>38950</v>
      </c>
      <c r="S54" s="263">
        <f>IF(ISNA(MATCH(S$2,Inputs!$K$4:$AJ$4,0)),NA(),IF(SUMPRODUCT((Inputs!$A$5:$A$140=$B54)*ISNUMBER(INDEX(Inputs!$K$5:$AJ$140,0,MATCH(S$2,Inputs!$K$4:$AJ$4,0))))+SUMPRODUCT((Inputs!$C$5:$C$140=$B54)*ISNUMBER(INDEX(Inputs!$K$5:$AJ$140,0,MATCH(S$2,Inputs!$K$4:$AJ$4,0))))+SUMPRODUCT((Inputs!$E$5:$E$140=$B54)*ISNUMBER(INDEX(Inputs!$K$5:$AJ$140,0,MATCH(S$2,Inputs!$K$4:$AJ$4,0))))=0,NA(),SUMPRODUCT((Inputs!$A$5:$A$140=$B54)*Inputs!$B$5:$B$140*(((Inputs!$G$5:$G$140="moeda")+(Inputs!$G$5:$G$140="acoes"))*Inputs!$B$1+((Inputs!$G$5:$G$140&lt;&gt;"moeda")*(Inputs!$G$5:$G$140&lt;&gt;"acoes")))*INDEX(Inputs!$K$5:$AJ$140,0,MATCH(S$2,Inputs!$K$4:$AJ$4,0)))+SUMPRODUCT((Inputs!$C$5:$C$140=$B54)*Inputs!$D$5:$D$140*(((Inputs!$G$5:$G$140="moeda")+(Inputs!$G$5:$G$140="acoes"))*Inputs!$B$1+((Inputs!$G$5:$G$140&lt;&gt;"moeda")*(Inputs!$G$5:$G$140&lt;&gt;"acoes")))*INDEX(Inputs!$K$5:$AJ$140,0,MATCH(S$2,Inputs!$K$4:$AJ$4,0)))+SUMPRODUCT((Inputs!$E$5:$E$140=$B54)*Inputs!$F$5:$F$140*(((Inputs!$G$5:$G$140="moeda")+(Inputs!$G$5:$G$140="acoes"))*Inputs!$B$1+((Inputs!$G$5:$G$140&lt;&gt;"moeda")*(Inputs!$G$5:$G$140&lt;&gt;"acoes")))*INDEX(Inputs!$K$5:$AJ$140,0,MATCH(S$2,Inputs!$K$4:$AJ$4,0)))))</f>
        <v>19392</v>
      </c>
      <c r="T54" s="263">
        <f>IF(ISNA(MATCH(T$2,Inputs!$K$4:$AJ$4,0)),NA(),IF(SUMPRODUCT((Inputs!$A$5:$A$140=$B54)*ISNUMBER(INDEX(Inputs!$K$5:$AJ$140,0,MATCH(T$2,Inputs!$K$4:$AJ$4,0))))+SUMPRODUCT((Inputs!$C$5:$C$140=$B54)*ISNUMBER(INDEX(Inputs!$K$5:$AJ$140,0,MATCH(T$2,Inputs!$K$4:$AJ$4,0))))+SUMPRODUCT((Inputs!$E$5:$E$140=$B54)*ISNUMBER(INDEX(Inputs!$K$5:$AJ$140,0,MATCH(T$2,Inputs!$K$4:$AJ$4,0))))=0,NA(),SUMPRODUCT((Inputs!$A$5:$A$140=$B54)*Inputs!$B$5:$B$140*(((Inputs!$G$5:$G$140="moeda")+(Inputs!$G$5:$G$140="acoes"))*Inputs!$B$1+((Inputs!$G$5:$G$140&lt;&gt;"moeda")*(Inputs!$G$5:$G$140&lt;&gt;"acoes")))*INDEX(Inputs!$K$5:$AJ$140,0,MATCH(T$2,Inputs!$K$4:$AJ$4,0)))+SUMPRODUCT((Inputs!$C$5:$C$140=$B54)*Inputs!$D$5:$D$140*(((Inputs!$G$5:$G$140="moeda")+(Inputs!$G$5:$G$140="acoes"))*Inputs!$B$1+((Inputs!$G$5:$G$140&lt;&gt;"moeda")*(Inputs!$G$5:$G$140&lt;&gt;"acoes")))*INDEX(Inputs!$K$5:$AJ$140,0,MATCH(T$2,Inputs!$K$4:$AJ$4,0)))+SUMPRODUCT((Inputs!$E$5:$E$140=$B54)*Inputs!$F$5:$F$140*(((Inputs!$G$5:$G$140="moeda")+(Inputs!$G$5:$G$140="acoes"))*Inputs!$B$1+((Inputs!$G$5:$G$140&lt;&gt;"moeda")*(Inputs!$G$5:$G$140&lt;&gt;"acoes")))*INDEX(Inputs!$K$5:$AJ$140,0,MATCH(T$2,Inputs!$K$4:$AJ$4,0)))))</f>
        <v>22604</v>
      </c>
      <c r="U54" s="263">
        <f>IF(ISNA(MATCH(U$2,Inputs!$K$4:$AJ$4,0)),NA(),IF(SUMPRODUCT((Inputs!$A$5:$A$140=$B54)*ISNUMBER(INDEX(Inputs!$K$5:$AJ$140,0,MATCH(U$2,Inputs!$K$4:$AJ$4,0))))+SUMPRODUCT((Inputs!$C$5:$C$140=$B54)*ISNUMBER(INDEX(Inputs!$K$5:$AJ$140,0,MATCH(U$2,Inputs!$K$4:$AJ$4,0))))+SUMPRODUCT((Inputs!$E$5:$E$140=$B54)*ISNUMBER(INDEX(Inputs!$K$5:$AJ$140,0,MATCH(U$2,Inputs!$K$4:$AJ$4,0))))=0,NA(),SUMPRODUCT((Inputs!$A$5:$A$140=$B54)*Inputs!$B$5:$B$140*(((Inputs!$G$5:$G$140="moeda")+(Inputs!$G$5:$G$140="acoes"))*Inputs!$B$1+((Inputs!$G$5:$G$140&lt;&gt;"moeda")*(Inputs!$G$5:$G$140&lt;&gt;"acoes")))*INDEX(Inputs!$K$5:$AJ$140,0,MATCH(U$2,Inputs!$K$4:$AJ$4,0)))+SUMPRODUCT((Inputs!$C$5:$C$140=$B54)*Inputs!$D$5:$D$140*(((Inputs!$G$5:$G$140="moeda")+(Inputs!$G$5:$G$140="acoes"))*Inputs!$B$1+((Inputs!$G$5:$G$140&lt;&gt;"moeda")*(Inputs!$G$5:$G$140&lt;&gt;"acoes")))*INDEX(Inputs!$K$5:$AJ$140,0,MATCH(U$2,Inputs!$K$4:$AJ$4,0)))+SUMPRODUCT((Inputs!$E$5:$E$140=$B54)*Inputs!$F$5:$F$140*(((Inputs!$G$5:$G$140="moeda")+(Inputs!$G$5:$G$140="acoes"))*Inputs!$B$1+((Inputs!$G$5:$G$140&lt;&gt;"moeda")*(Inputs!$G$5:$G$140&lt;&gt;"acoes")))*INDEX(Inputs!$K$5:$AJ$140,0,MATCH(U$2,Inputs!$K$4:$AJ$4,0)))))</f>
        <v>27644</v>
      </c>
      <c r="V54" s="263">
        <f>IF(ISNA(MATCH(V$2,Inputs!$K$4:$AJ$4,0)),NA(),IF(SUMPRODUCT((Inputs!$A$5:$A$140=$B54)*ISNUMBER(INDEX(Inputs!$K$5:$AJ$140,0,MATCH(V$2,Inputs!$K$4:$AJ$4,0))))+SUMPRODUCT((Inputs!$C$5:$C$140=$B54)*ISNUMBER(INDEX(Inputs!$K$5:$AJ$140,0,MATCH(V$2,Inputs!$K$4:$AJ$4,0))))+SUMPRODUCT((Inputs!$E$5:$E$140=$B54)*ISNUMBER(INDEX(Inputs!$K$5:$AJ$140,0,MATCH(V$2,Inputs!$K$4:$AJ$4,0))))=0,NA(),SUMPRODUCT((Inputs!$A$5:$A$140=$B54)*Inputs!$B$5:$B$140*(((Inputs!$G$5:$G$140="moeda")+(Inputs!$G$5:$G$140="acoes"))*Inputs!$B$1+((Inputs!$G$5:$G$140&lt;&gt;"moeda")*(Inputs!$G$5:$G$140&lt;&gt;"acoes")))*INDEX(Inputs!$K$5:$AJ$140,0,MATCH(V$2,Inputs!$K$4:$AJ$4,0)))+SUMPRODUCT((Inputs!$C$5:$C$140=$B54)*Inputs!$D$5:$D$140*(((Inputs!$G$5:$G$140="moeda")+(Inputs!$G$5:$G$140="acoes"))*Inputs!$B$1+((Inputs!$G$5:$G$140&lt;&gt;"moeda")*(Inputs!$G$5:$G$140&lt;&gt;"acoes")))*INDEX(Inputs!$K$5:$AJ$140,0,MATCH(V$2,Inputs!$K$4:$AJ$4,0)))+SUMPRODUCT((Inputs!$E$5:$E$140=$B54)*Inputs!$F$5:$F$140*(((Inputs!$G$5:$G$140="moeda")+(Inputs!$G$5:$G$140="acoes"))*Inputs!$B$1+((Inputs!$G$5:$G$140&lt;&gt;"moeda")*(Inputs!$G$5:$G$140&lt;&gt;"acoes")))*INDEX(Inputs!$K$5:$AJ$140,0,MATCH(V$2,Inputs!$K$4:$AJ$4,0)))))</f>
        <v>32556</v>
      </c>
      <c r="W54" s="264">
        <f>SUM(S54:V54)</f>
        <v>102196</v>
      </c>
      <c r="X54" s="263">
        <f>IF(ISNA(MATCH(X$2,Inputs!$K$4:$AJ$4,0)),NA(),IF(SUMPRODUCT((Inputs!$A$5:$A$140=$B54)*ISNUMBER(INDEX(Inputs!$K$5:$AJ$140,0,MATCH(X$2,Inputs!$K$4:$AJ$4,0))))+SUMPRODUCT((Inputs!$C$5:$C$140=$B54)*ISNUMBER(INDEX(Inputs!$K$5:$AJ$140,0,MATCH(X$2,Inputs!$K$4:$AJ$4,0))))+SUMPRODUCT((Inputs!$E$5:$E$140=$B54)*ISNUMBER(INDEX(Inputs!$K$5:$AJ$140,0,MATCH(X$2,Inputs!$K$4:$AJ$4,0))))=0,NA(),SUMPRODUCT((Inputs!$A$5:$A$140=$B54)*Inputs!$B$5:$B$140*(((Inputs!$G$5:$G$140="moeda")+(Inputs!$G$5:$G$140="acoes"))*Inputs!$B$1+((Inputs!$G$5:$G$140&lt;&gt;"moeda")*(Inputs!$G$5:$G$140&lt;&gt;"acoes")))*INDEX(Inputs!$K$5:$AJ$140,0,MATCH(X$2,Inputs!$K$4:$AJ$4,0)))+SUMPRODUCT((Inputs!$C$5:$C$140=$B54)*Inputs!$D$5:$D$140*(((Inputs!$G$5:$G$140="moeda")+(Inputs!$G$5:$G$140="acoes"))*Inputs!$B$1+((Inputs!$G$5:$G$140&lt;&gt;"moeda")*(Inputs!$G$5:$G$140&lt;&gt;"acoes")))*INDEX(Inputs!$K$5:$AJ$140,0,MATCH(X$2,Inputs!$K$4:$AJ$4,0)))+SUMPRODUCT((Inputs!$E$5:$E$140=$B54)*Inputs!$F$5:$F$140*(((Inputs!$G$5:$G$140="moeda")+(Inputs!$G$5:$G$140="acoes"))*Inputs!$B$1+((Inputs!$G$5:$G$140&lt;&gt;"moeda")*(Inputs!$G$5:$G$140&lt;&gt;"acoes")))*INDEX(Inputs!$K$5:$AJ$140,0,MATCH(X$2,Inputs!$K$4:$AJ$4,0)))))</f>
        <v>34155</v>
      </c>
      <c r="Y54" s="263">
        <f>IF(ISNA(MATCH(Y$2,Inputs!$K$4:$AJ$4,0)),NA(),IF(SUMPRODUCT((Inputs!$A$5:$A$140=$B54)*ISNUMBER(INDEX(Inputs!$K$5:$AJ$140,0,MATCH(Y$2,Inputs!$K$4:$AJ$4,0))))+SUMPRODUCT((Inputs!$C$5:$C$140=$B54)*ISNUMBER(INDEX(Inputs!$K$5:$AJ$140,0,MATCH(Y$2,Inputs!$K$4:$AJ$4,0))))+SUMPRODUCT((Inputs!$E$5:$E$140=$B54)*ISNUMBER(INDEX(Inputs!$K$5:$AJ$140,0,MATCH(Y$2,Inputs!$K$4:$AJ$4,0))))=0,NA(),SUMPRODUCT((Inputs!$A$5:$A$140=$B54)*Inputs!$B$5:$B$140*(((Inputs!$G$5:$G$140="moeda")+(Inputs!$G$5:$G$140="acoes"))*Inputs!$B$1+((Inputs!$G$5:$G$140&lt;&gt;"moeda")*(Inputs!$G$5:$G$140&lt;&gt;"acoes")))*INDEX(Inputs!$K$5:$AJ$140,0,MATCH(Y$2,Inputs!$K$4:$AJ$4,0)))+SUMPRODUCT((Inputs!$C$5:$C$140=$B54)*Inputs!$D$5:$D$140*(((Inputs!$G$5:$G$140="moeda")+(Inputs!$G$5:$G$140="acoes"))*Inputs!$B$1+((Inputs!$G$5:$G$140&lt;&gt;"moeda")*(Inputs!$G$5:$G$140&lt;&gt;"acoes")))*INDEX(Inputs!$K$5:$AJ$140,0,MATCH(Y$2,Inputs!$K$4:$AJ$4,0)))+SUMPRODUCT((Inputs!$E$5:$E$140=$B54)*Inputs!$F$5:$F$140*(((Inputs!$G$5:$G$140="moeda")+(Inputs!$G$5:$G$140="acoes"))*Inputs!$B$1+((Inputs!$G$5:$G$140&lt;&gt;"moeda")*(Inputs!$G$5:$G$140&lt;&gt;"acoes")))*INDEX(Inputs!$K$5:$AJ$140,0,MATCH(Y$2,Inputs!$K$4:$AJ$4,0)))))</f>
        <v>33844</v>
      </c>
      <c r="Z54" s="263">
        <f>IF(ISNA(MATCH(Z$2,Inputs!$K$4:$AJ$4,0)),NA(),IF(SUMPRODUCT((Inputs!$A$5:$A$140=$B54)*ISNUMBER(INDEX(Inputs!$K$5:$AJ$140,0,MATCH(Z$2,Inputs!$K$4:$AJ$4,0))))+SUMPRODUCT((Inputs!$C$5:$C$140=$B54)*ISNUMBER(INDEX(Inputs!$K$5:$AJ$140,0,MATCH(Z$2,Inputs!$K$4:$AJ$4,0))))+SUMPRODUCT((Inputs!$E$5:$E$140=$B54)*ISNUMBER(INDEX(Inputs!$K$5:$AJ$140,0,MATCH(Z$2,Inputs!$K$4:$AJ$4,0))))=0,NA(),SUMPRODUCT((Inputs!$A$5:$A$140=$B54)*Inputs!$B$5:$B$140*(((Inputs!$G$5:$G$140="moeda")+(Inputs!$G$5:$G$140="acoes"))*Inputs!$B$1+((Inputs!$G$5:$G$140&lt;&gt;"moeda")*(Inputs!$G$5:$G$140&lt;&gt;"acoes")))*INDEX(Inputs!$K$5:$AJ$140,0,MATCH(Z$2,Inputs!$K$4:$AJ$4,0)))+SUMPRODUCT((Inputs!$C$5:$C$140=$B54)*Inputs!$D$5:$D$140*(((Inputs!$G$5:$G$140="moeda")+(Inputs!$G$5:$G$140="acoes"))*Inputs!$B$1+((Inputs!$G$5:$G$140&lt;&gt;"moeda")*(Inputs!$G$5:$G$140&lt;&gt;"acoes")))*INDEX(Inputs!$K$5:$AJ$140,0,MATCH(Z$2,Inputs!$K$4:$AJ$4,0)))+SUMPRODUCT((Inputs!$E$5:$E$140=$B54)*Inputs!$F$5:$F$140*(((Inputs!$G$5:$G$140="moeda")+(Inputs!$G$5:$G$140="acoes"))*Inputs!$B$1+((Inputs!$G$5:$G$140&lt;&gt;"moeda")*(Inputs!$G$5:$G$140&lt;&gt;"acoes")))*INDEX(Inputs!$K$5:$AJ$140,0,MATCH(Z$2,Inputs!$K$4:$AJ$4,0)))))</f>
        <v>43028</v>
      </c>
      <c r="AA54" s="263">
        <f>IF(ISNA(MATCH(AA$2,Inputs!$K$4:$AJ$4,0)),NA(),IF(SUMPRODUCT((Inputs!$A$5:$A$140=$B54)*ISNUMBER(INDEX(Inputs!$K$5:$AJ$140,0,MATCH(AA$2,Inputs!$K$4:$AJ$4,0))))+SUMPRODUCT((Inputs!$C$5:$C$140=$B54)*ISNUMBER(INDEX(Inputs!$K$5:$AJ$140,0,MATCH(AA$2,Inputs!$K$4:$AJ$4,0))))+SUMPRODUCT((Inputs!$E$5:$E$140=$B54)*ISNUMBER(INDEX(Inputs!$K$5:$AJ$140,0,MATCH(AA$2,Inputs!$K$4:$AJ$4,0))))=0,NA(),SUMPRODUCT((Inputs!$A$5:$A$140=$B54)*Inputs!$B$5:$B$140*(((Inputs!$G$5:$G$140="moeda")+(Inputs!$G$5:$G$140="acoes"))*Inputs!$B$1+((Inputs!$G$5:$G$140&lt;&gt;"moeda")*(Inputs!$G$5:$G$140&lt;&gt;"acoes")))*INDEX(Inputs!$K$5:$AJ$140,0,MATCH(AA$2,Inputs!$K$4:$AJ$4,0)))+SUMPRODUCT((Inputs!$C$5:$C$140=$B54)*Inputs!$D$5:$D$140*(((Inputs!$G$5:$G$140="moeda")+(Inputs!$G$5:$G$140="acoes"))*Inputs!$B$1+((Inputs!$G$5:$G$140&lt;&gt;"moeda")*(Inputs!$G$5:$G$140&lt;&gt;"acoes")))*INDEX(Inputs!$K$5:$AJ$140,0,MATCH(AA$2,Inputs!$K$4:$AJ$4,0)))+SUMPRODUCT((Inputs!$E$5:$E$140=$B54)*Inputs!$F$5:$F$140*(((Inputs!$G$5:$G$140="moeda")+(Inputs!$G$5:$G$140="acoes"))*Inputs!$B$1+((Inputs!$G$5:$G$140&lt;&gt;"moeda")*(Inputs!$G$5:$G$140&lt;&gt;"acoes")))*INDEX(Inputs!$K$5:$AJ$140,0,MATCH(AA$2,Inputs!$K$4:$AJ$4,0)))))</f>
        <v>51334</v>
      </c>
      <c r="AB54" s="264">
        <f>SUM(X54:AA54)</f>
        <v>162361</v>
      </c>
      <c r="AC54" s="263" t="e">
        <f>IF(ISNA(MATCH(AC$2,Inputs!$K$4:$AJ$4,0)),NA(),IF(SUMPRODUCT((Inputs!$A$5:$A$140=$B54)*ISNUMBER(INDEX(Inputs!$K$5:$AJ$140,0,MATCH(AC$2,Inputs!$K$4:$AJ$4,0))))+SUMPRODUCT((Inputs!$C$5:$C$140=$B54)*ISNUMBER(INDEX(Inputs!$K$5:$AJ$140,0,MATCH(AC$2,Inputs!$K$4:$AJ$4,0))))+SUMPRODUCT((Inputs!$E$5:$E$140=$B54)*ISNUMBER(INDEX(Inputs!$K$5:$AJ$140,0,MATCH(AC$2,Inputs!$K$4:$AJ$4,0))))=0,NA(),SUMPRODUCT((Inputs!$A$5:$A$140=$B54)*Inputs!$B$5:$B$140*(((Inputs!$G$5:$G$140="moeda")+(Inputs!$G$5:$G$140="acoes"))*Inputs!$B$1+((Inputs!$G$5:$G$140&lt;&gt;"moeda")*(Inputs!$G$5:$G$140&lt;&gt;"acoes")))*INDEX(Inputs!$K$5:$AJ$140,0,MATCH(AC$2,Inputs!$K$4:$AJ$4,0)))+SUMPRODUCT((Inputs!$C$5:$C$140=$B54)*Inputs!$D$5:$D$140*(((Inputs!$G$5:$G$140="moeda")+(Inputs!$G$5:$G$140="acoes"))*Inputs!$B$1+((Inputs!$G$5:$G$140&lt;&gt;"moeda")*(Inputs!$G$5:$G$140&lt;&gt;"acoes")))*INDEX(Inputs!$K$5:$AJ$140,0,MATCH(AC$2,Inputs!$K$4:$AJ$4,0)))+SUMPRODUCT((Inputs!$E$5:$E$140=$B54)*Inputs!$F$5:$F$140*(((Inputs!$G$5:$G$140="moeda")+(Inputs!$G$5:$G$140="acoes"))*Inputs!$B$1+((Inputs!$G$5:$G$140&lt;&gt;"moeda")*(Inputs!$G$5:$G$140&lt;&gt;"acoes")))*INDEX(Inputs!$K$5:$AJ$140,0,MATCH(AC$2,Inputs!$K$4:$AJ$4,0)))))</f>
        <v>#N/A</v>
      </c>
      <c r="AD54" s="263" t="e">
        <f>IF(ISNA(MATCH(AD$2,Inputs!$K$4:$AJ$4,0)),NA(),IF(SUMPRODUCT((Inputs!$A$5:$A$140=$B54)*ISNUMBER(INDEX(Inputs!$K$5:$AJ$140,0,MATCH(AD$2,Inputs!$K$4:$AJ$4,0))))+SUMPRODUCT((Inputs!$C$5:$C$140=$B54)*ISNUMBER(INDEX(Inputs!$K$5:$AJ$140,0,MATCH(AD$2,Inputs!$K$4:$AJ$4,0))))+SUMPRODUCT((Inputs!$E$5:$E$140=$B54)*ISNUMBER(INDEX(Inputs!$K$5:$AJ$140,0,MATCH(AD$2,Inputs!$K$4:$AJ$4,0))))=0,NA(),SUMPRODUCT((Inputs!$A$5:$A$140=$B54)*Inputs!$B$5:$B$140*(((Inputs!$G$5:$G$140="moeda")+(Inputs!$G$5:$G$140="acoes"))*Inputs!$B$1+((Inputs!$G$5:$G$140&lt;&gt;"moeda")*(Inputs!$G$5:$G$140&lt;&gt;"acoes")))*INDEX(Inputs!$K$5:$AJ$140,0,MATCH(AD$2,Inputs!$K$4:$AJ$4,0)))+SUMPRODUCT((Inputs!$C$5:$C$140=$B54)*Inputs!$D$5:$D$140*(((Inputs!$G$5:$G$140="moeda")+(Inputs!$G$5:$G$140="acoes"))*Inputs!$B$1+((Inputs!$G$5:$G$140&lt;&gt;"moeda")*(Inputs!$G$5:$G$140&lt;&gt;"acoes")))*INDEX(Inputs!$K$5:$AJ$140,0,MATCH(AD$2,Inputs!$K$4:$AJ$4,0)))+SUMPRODUCT((Inputs!$E$5:$E$140=$B54)*Inputs!$F$5:$F$140*(((Inputs!$G$5:$G$140="moeda")+(Inputs!$G$5:$G$140="acoes"))*Inputs!$B$1+((Inputs!$G$5:$G$140&lt;&gt;"moeda")*(Inputs!$G$5:$G$140&lt;&gt;"acoes")))*INDEX(Inputs!$K$5:$AJ$140,0,MATCH(AD$2,Inputs!$K$4:$AJ$4,0)))))</f>
        <v>#N/A</v>
      </c>
      <c r="AE54" s="263" t="e">
        <f>IF(ISNA(MATCH(AE$2,Inputs!$K$4:$AJ$4,0)),NA(),IF(SUMPRODUCT((Inputs!$A$5:$A$140=$B54)*ISNUMBER(INDEX(Inputs!$K$5:$AJ$140,0,MATCH(AE$2,Inputs!$K$4:$AJ$4,0))))+SUMPRODUCT((Inputs!$C$5:$C$140=$B54)*ISNUMBER(INDEX(Inputs!$K$5:$AJ$140,0,MATCH(AE$2,Inputs!$K$4:$AJ$4,0))))+SUMPRODUCT((Inputs!$E$5:$E$140=$B54)*ISNUMBER(INDEX(Inputs!$K$5:$AJ$140,0,MATCH(AE$2,Inputs!$K$4:$AJ$4,0))))=0,NA(),SUMPRODUCT((Inputs!$A$5:$A$140=$B54)*Inputs!$B$5:$B$140*(((Inputs!$G$5:$G$140="moeda")+(Inputs!$G$5:$G$140="acoes"))*Inputs!$B$1+((Inputs!$G$5:$G$140&lt;&gt;"moeda")*(Inputs!$G$5:$G$140&lt;&gt;"acoes")))*INDEX(Inputs!$K$5:$AJ$140,0,MATCH(AE$2,Inputs!$K$4:$AJ$4,0)))+SUMPRODUCT((Inputs!$C$5:$C$140=$B54)*Inputs!$D$5:$D$140*(((Inputs!$G$5:$G$140="moeda")+(Inputs!$G$5:$G$140="acoes"))*Inputs!$B$1+((Inputs!$G$5:$G$140&lt;&gt;"moeda")*(Inputs!$G$5:$G$140&lt;&gt;"acoes")))*INDEX(Inputs!$K$5:$AJ$140,0,MATCH(AE$2,Inputs!$K$4:$AJ$4,0)))+SUMPRODUCT((Inputs!$E$5:$E$140=$B54)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54" s="263" t="e">
        <f>IF(ISNA(MATCH(AF$2,Inputs!$K$4:$AJ$4,0)),NA(),IF(SUMPRODUCT((Inputs!$A$5:$A$140=$B54)*ISNUMBER(INDEX(Inputs!$K$5:$AJ$140,0,MATCH(AF$2,Inputs!$K$4:$AJ$4,0))))+SUMPRODUCT((Inputs!$C$5:$C$140=$B54)*ISNUMBER(INDEX(Inputs!$K$5:$AJ$140,0,MATCH(AF$2,Inputs!$K$4:$AJ$4,0))))+SUMPRODUCT((Inputs!$E$5:$E$140=$B54)*ISNUMBER(INDEX(Inputs!$K$5:$AJ$140,0,MATCH(AF$2,Inputs!$K$4:$AJ$4,0))))=0,NA(),SUMPRODUCT((Inputs!$A$5:$A$140=$B54)*Inputs!$B$5:$B$140*(((Inputs!$G$5:$G$140="moeda")+(Inputs!$G$5:$G$140="acoes"))*Inputs!$B$1+((Inputs!$G$5:$G$140&lt;&gt;"moeda")*(Inputs!$G$5:$G$140&lt;&gt;"acoes")))*INDEX(Inputs!$K$5:$AJ$140,0,MATCH(AF$2,Inputs!$K$4:$AJ$4,0)))+SUMPRODUCT((Inputs!$C$5:$C$140=$B54)*Inputs!$D$5:$D$140*(((Inputs!$G$5:$G$140="moeda")+(Inputs!$G$5:$G$140="acoes"))*Inputs!$B$1+((Inputs!$G$5:$G$140&lt;&gt;"moeda")*(Inputs!$G$5:$G$140&lt;&gt;"acoes")))*INDEX(Inputs!$K$5:$AJ$140,0,MATCH(AF$2,Inputs!$K$4:$AJ$4,0)))+SUMPRODUCT((Inputs!$E$5:$E$140=$B54)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54" s="264" t="e">
        <f>SUM(AC54:AF54)</f>
        <v>#N/A</v>
      </c>
      <c r="AH54" s="263" t="e">
        <f>IF(ISNA(MATCH(AH$2,Inputs!$K$4:$AJ$4,0)),NA(),IF(SUMPRODUCT((Inputs!$A$5:$A$140=$B54)*ISNUMBER(INDEX(Inputs!$K$5:$AJ$140,0,MATCH(AH$2,Inputs!$K$4:$AJ$4,0))))+SUMPRODUCT((Inputs!$C$5:$C$140=$B54)*ISNUMBER(INDEX(Inputs!$K$5:$AJ$140,0,MATCH(AH$2,Inputs!$K$4:$AJ$4,0))))+SUMPRODUCT((Inputs!$E$5:$E$140=$B54)*ISNUMBER(INDEX(Inputs!$K$5:$AJ$140,0,MATCH(AH$2,Inputs!$K$4:$AJ$4,0))))=0,NA(),SUMPRODUCT((Inputs!$A$5:$A$140=$B54)*Inputs!$B$5:$B$140*(((Inputs!$G$5:$G$140="moeda")+(Inputs!$G$5:$G$140="acoes"))*Inputs!$B$1+((Inputs!$G$5:$G$140&lt;&gt;"moeda")*(Inputs!$G$5:$G$140&lt;&gt;"acoes")))*INDEX(Inputs!$K$5:$AJ$140,0,MATCH(AH$2,Inputs!$K$4:$AJ$4,0)))+SUMPRODUCT((Inputs!$C$5:$C$140=$B54)*Inputs!$D$5:$D$140*(((Inputs!$G$5:$G$140="moeda")+(Inputs!$G$5:$G$140="acoes"))*Inputs!$B$1+((Inputs!$G$5:$G$140&lt;&gt;"moeda")*(Inputs!$G$5:$G$140&lt;&gt;"acoes")))*INDEX(Inputs!$K$5:$AJ$140,0,MATCH(AH$2,Inputs!$K$4:$AJ$4,0)))+SUMPRODUCT((Inputs!$E$5:$E$140=$B54)*Inputs!$F$5:$F$140*(((Inputs!$G$5:$G$140="moeda")+(Inputs!$G$5:$G$140="acoes"))*Inputs!$B$1+((Inputs!$G$5:$G$140&lt;&gt;"moeda")*(Inputs!$G$5:$G$140&lt;&gt;"acoes")))*INDEX(Inputs!$K$5:$AJ$140,0,MATCH(AH$2,Inputs!$K$4:$AJ$4,0)))))</f>
        <v>#N/A</v>
      </c>
      <c r="AI54" s="263" t="e">
        <f>IF(ISNA(MATCH(AI$2,Inputs!$K$4:$AJ$4,0)),NA(),IF(SUMPRODUCT((Inputs!$A$5:$A$140=$B54)*ISNUMBER(INDEX(Inputs!$K$5:$AJ$140,0,MATCH(AI$2,Inputs!$K$4:$AJ$4,0))))+SUMPRODUCT((Inputs!$C$5:$C$140=$B54)*ISNUMBER(INDEX(Inputs!$K$5:$AJ$140,0,MATCH(AI$2,Inputs!$K$4:$AJ$4,0))))+SUMPRODUCT((Inputs!$E$5:$E$140=$B54)*ISNUMBER(INDEX(Inputs!$K$5:$AJ$140,0,MATCH(AI$2,Inputs!$K$4:$AJ$4,0))))=0,NA(),SUMPRODUCT((Inputs!$A$5:$A$140=$B54)*Inputs!$B$5:$B$140*(((Inputs!$G$5:$G$140="moeda")+(Inputs!$G$5:$G$140="acoes"))*Inputs!$B$1+((Inputs!$G$5:$G$140&lt;&gt;"moeda")*(Inputs!$G$5:$G$140&lt;&gt;"acoes")))*INDEX(Inputs!$K$5:$AJ$140,0,MATCH(AI$2,Inputs!$K$4:$AJ$4,0)))+SUMPRODUCT((Inputs!$C$5:$C$140=$B54)*Inputs!$D$5:$D$140*(((Inputs!$G$5:$G$140="moeda")+(Inputs!$G$5:$G$140="acoes"))*Inputs!$B$1+((Inputs!$G$5:$G$140&lt;&gt;"moeda")*(Inputs!$G$5:$G$140&lt;&gt;"acoes")))*INDEX(Inputs!$K$5:$AJ$140,0,MATCH(AI$2,Inputs!$K$4:$AJ$4,0)))+SUMPRODUCT((Inputs!$E$5:$E$140=$B54)*Inputs!$F$5:$F$140*(((Inputs!$G$5:$G$140="moeda")+(Inputs!$G$5:$G$140="acoes"))*Inputs!$B$1+((Inputs!$G$5:$G$140&lt;&gt;"moeda")*(Inputs!$G$5:$G$140&lt;&gt;"acoes")))*INDEX(Inputs!$K$5:$AJ$140,0,MATCH(AI$2,Inputs!$K$4:$AJ$4,0)))))</f>
        <v>#N/A</v>
      </c>
      <c r="AJ54" s="263" t="e">
        <f>IF(ISNA(MATCH(AJ$2,Inputs!$K$4:$AJ$4,0)),NA(),IF(SUMPRODUCT((Inputs!$A$5:$A$140=$B54)*ISNUMBER(INDEX(Inputs!$K$5:$AJ$140,0,MATCH(AJ$2,Inputs!$K$4:$AJ$4,0))))+SUMPRODUCT((Inputs!$C$5:$C$140=$B54)*ISNUMBER(INDEX(Inputs!$K$5:$AJ$140,0,MATCH(AJ$2,Inputs!$K$4:$AJ$4,0))))+SUMPRODUCT((Inputs!$E$5:$E$140=$B54)*ISNUMBER(INDEX(Inputs!$K$5:$AJ$140,0,MATCH(AJ$2,Inputs!$K$4:$AJ$4,0))))=0,NA(),SUMPRODUCT((Inputs!$A$5:$A$140=$B54)*Inputs!$B$5:$B$140*(((Inputs!$G$5:$G$140="moeda")+(Inputs!$G$5:$G$140="acoes"))*Inputs!$B$1+((Inputs!$G$5:$G$140&lt;&gt;"moeda")*(Inputs!$G$5:$G$140&lt;&gt;"acoes")))*INDEX(Inputs!$K$5:$AJ$140,0,MATCH(AJ$2,Inputs!$K$4:$AJ$4,0)))+SUMPRODUCT((Inputs!$C$5:$C$140=$B54)*Inputs!$D$5:$D$140*(((Inputs!$G$5:$G$140="moeda")+(Inputs!$G$5:$G$140="acoes"))*Inputs!$B$1+((Inputs!$G$5:$G$140&lt;&gt;"moeda")*(Inputs!$G$5:$G$140&lt;&gt;"acoes")))*INDEX(Inputs!$K$5:$AJ$140,0,MATCH(AJ$2,Inputs!$K$4:$AJ$4,0)))+SUMPRODUCT((Inputs!$E$5:$E$140=$B54)*Inputs!$F$5:$F$140*(((Inputs!$G$5:$G$140="moeda")+(Inputs!$G$5:$G$140="acoes"))*Inputs!$B$1+((Inputs!$G$5:$G$140&lt;&gt;"moeda")*(Inputs!$G$5:$G$140&lt;&gt;"acoes")))*INDEX(Inputs!$K$5:$AJ$140,0,MATCH(AJ$2,Inputs!$K$4:$AJ$4,0)))))</f>
        <v>#N/A</v>
      </c>
      <c r="AK54" s="263" t="e">
        <f>IF(ISNA(MATCH(AK$2,Inputs!$K$4:$AJ$4,0)),NA(),IF(SUMPRODUCT((Inputs!$A$5:$A$140=$B54)*ISNUMBER(INDEX(Inputs!$K$5:$AJ$140,0,MATCH(AK$2,Inputs!$K$4:$AJ$4,0))))+SUMPRODUCT((Inputs!$C$5:$C$140=$B54)*ISNUMBER(INDEX(Inputs!$K$5:$AJ$140,0,MATCH(AK$2,Inputs!$K$4:$AJ$4,0))))+SUMPRODUCT((Inputs!$E$5:$E$140=$B54)*ISNUMBER(INDEX(Inputs!$K$5:$AJ$140,0,MATCH(AK$2,Inputs!$K$4:$AJ$4,0))))=0,NA(),SUMPRODUCT((Inputs!$A$5:$A$140=$B54)*Inputs!$B$5:$B$140*(((Inputs!$G$5:$G$140="moeda")+(Inputs!$G$5:$G$140="acoes"))*Inputs!$B$1+((Inputs!$G$5:$G$140&lt;&gt;"moeda")*(Inputs!$G$5:$G$140&lt;&gt;"acoes")))*INDEX(Inputs!$K$5:$AJ$140,0,MATCH(AK$2,Inputs!$K$4:$AJ$4,0)))+SUMPRODUCT((Inputs!$C$5:$C$140=$B54)*Inputs!$D$5:$D$140*(((Inputs!$G$5:$G$140="moeda")+(Inputs!$G$5:$G$140="acoes"))*Inputs!$B$1+((Inputs!$G$5:$G$140&lt;&gt;"moeda")*(Inputs!$G$5:$G$140&lt;&gt;"acoes")))*INDEX(Inputs!$K$5:$AJ$140,0,MATCH(AK$2,Inputs!$K$4:$AJ$4,0)))+SUMPRODUCT((Inputs!$E$5:$E$140=$B54)*Inputs!$F$5:$F$140*(((Inputs!$G$5:$G$140="moeda")+(Inputs!$G$5:$G$140="acoes"))*Inputs!$B$1+((Inputs!$G$5:$G$140&lt;&gt;"moeda")*(Inputs!$G$5:$G$140&lt;&gt;"acoes")))*INDEX(Inputs!$K$5:$AJ$140,0,MATCH(AK$2,Inputs!$K$4:$AJ$4,0)))))</f>
        <v>#N/A</v>
      </c>
      <c r="AL54" s="264" t="e">
        <f>SUM(AH54:AK54)</f>
        <v>#N/A</v>
      </c>
    </row>
    <row r="55">
      <c r="B55" s="46" t="n">
        <v>47</v>
      </c>
      <c r="C55" s="29" t="inlineStr">
        <is>
          <t>Data Center - Networking (USD; aberto de 1T23 a 4T25)</t>
        </is>
      </c>
      <c r="D55" s="263" t="e">
        <f>IF(ISNA(MATCH(D$2,Inputs!$K$4:$AJ$4,0)),NA(),IF(SUMPRODUCT((Inputs!$A$5:$A$140=$B55)*ISNUMBER(INDEX(Inputs!$K$5:$AJ$140,0,MATCH(D$2,Inputs!$K$4:$AJ$4,0))))+SUMPRODUCT((Inputs!$C$5:$C$140=$B55)*ISNUMBER(INDEX(Inputs!$K$5:$AJ$140,0,MATCH(D$2,Inputs!$K$4:$AJ$4,0))))+SUMPRODUCT((Inputs!$E$5:$E$140=$B55)*ISNUMBER(INDEX(Inputs!$K$5:$AJ$140,0,MATCH(D$2,Inputs!$K$4:$AJ$4,0))))=0,NA(),SUMPRODUCT((Inputs!$A$5:$A$140=$B55)*Inputs!$B$5:$B$140*(((Inputs!$G$5:$G$140="moeda")+(Inputs!$G$5:$G$140="acoes"))*Inputs!$B$1+((Inputs!$G$5:$G$140&lt;&gt;"moeda")*(Inputs!$G$5:$G$140&lt;&gt;"acoes")))*INDEX(Inputs!$K$5:$AJ$140,0,MATCH(D$2,Inputs!$K$4:$AJ$4,0)))+SUMPRODUCT((Inputs!$C$5:$C$140=$B55)*Inputs!$D$5:$D$140*(((Inputs!$G$5:$G$140="moeda")+(Inputs!$G$5:$G$140="acoes"))*Inputs!$B$1+((Inputs!$G$5:$G$140&lt;&gt;"moeda")*(Inputs!$G$5:$G$140&lt;&gt;"acoes")))*INDEX(Inputs!$K$5:$AJ$140,0,MATCH(D$2,Inputs!$K$4:$AJ$4,0)))+SUMPRODUCT((Inputs!$E$5:$E$140=$B55)*Inputs!$F$5:$F$140*(((Inputs!$G$5:$G$140="moeda")+(Inputs!$G$5:$G$140="acoes"))*Inputs!$B$1+((Inputs!$G$5:$G$140&lt;&gt;"moeda")*(Inputs!$G$5:$G$140&lt;&gt;"acoes")))*INDEX(Inputs!$K$5:$AJ$140,0,MATCH(D$2,Inputs!$K$4:$AJ$4,0)))))</f>
        <v>#N/A</v>
      </c>
      <c r="E55" s="263" t="e">
        <f>IF(ISNA(MATCH(E$2,Inputs!$K$4:$AJ$4,0)),NA(),IF(SUMPRODUCT((Inputs!$A$5:$A$140=$B55)*ISNUMBER(INDEX(Inputs!$K$5:$AJ$140,0,MATCH(E$2,Inputs!$K$4:$AJ$4,0))))+SUMPRODUCT((Inputs!$C$5:$C$140=$B55)*ISNUMBER(INDEX(Inputs!$K$5:$AJ$140,0,MATCH(E$2,Inputs!$K$4:$AJ$4,0))))+SUMPRODUCT((Inputs!$E$5:$E$140=$B55)*ISNUMBER(INDEX(Inputs!$K$5:$AJ$140,0,MATCH(E$2,Inputs!$K$4:$AJ$4,0))))=0,NA(),SUMPRODUCT((Inputs!$A$5:$A$140=$B55)*Inputs!$B$5:$B$140*(((Inputs!$G$5:$G$140="moeda")+(Inputs!$G$5:$G$140="acoes"))*Inputs!$B$1+((Inputs!$G$5:$G$140&lt;&gt;"moeda")*(Inputs!$G$5:$G$140&lt;&gt;"acoes")))*INDEX(Inputs!$K$5:$AJ$140,0,MATCH(E$2,Inputs!$K$4:$AJ$4,0)))+SUMPRODUCT((Inputs!$C$5:$C$140=$B55)*Inputs!$D$5:$D$140*(((Inputs!$G$5:$G$140="moeda")+(Inputs!$G$5:$G$140="acoes"))*Inputs!$B$1+((Inputs!$G$5:$G$140&lt;&gt;"moeda")*(Inputs!$G$5:$G$140&lt;&gt;"acoes")))*INDEX(Inputs!$K$5:$AJ$140,0,MATCH(E$2,Inputs!$K$4:$AJ$4,0)))+SUMPRODUCT((Inputs!$E$5:$E$140=$B55)*Inputs!$F$5:$F$140*(((Inputs!$G$5:$G$140="moeda")+(Inputs!$G$5:$G$140="acoes"))*Inputs!$B$1+((Inputs!$G$5:$G$140&lt;&gt;"moeda")*(Inputs!$G$5:$G$140&lt;&gt;"acoes")))*INDEX(Inputs!$K$5:$AJ$140,0,MATCH(E$2,Inputs!$K$4:$AJ$4,0)))))</f>
        <v>#N/A</v>
      </c>
      <c r="F55" s="263" t="e">
        <f>IF(ISNA(MATCH(F$2,Inputs!$K$4:$AJ$4,0)),NA(),IF(SUMPRODUCT((Inputs!$A$5:$A$140=$B55)*ISNUMBER(INDEX(Inputs!$K$5:$AJ$140,0,MATCH(F$2,Inputs!$K$4:$AJ$4,0))))+SUMPRODUCT((Inputs!$C$5:$C$140=$B55)*ISNUMBER(INDEX(Inputs!$K$5:$AJ$140,0,MATCH(F$2,Inputs!$K$4:$AJ$4,0))))+SUMPRODUCT((Inputs!$E$5:$E$140=$B55)*ISNUMBER(INDEX(Inputs!$K$5:$AJ$140,0,MATCH(F$2,Inputs!$K$4:$AJ$4,0))))=0,NA(),SUMPRODUCT((Inputs!$A$5:$A$140=$B55)*Inputs!$B$5:$B$140*(((Inputs!$G$5:$G$140="moeda")+(Inputs!$G$5:$G$140="acoes"))*Inputs!$B$1+((Inputs!$G$5:$G$140&lt;&gt;"moeda")*(Inputs!$G$5:$G$140&lt;&gt;"acoes")))*INDEX(Inputs!$K$5:$AJ$140,0,MATCH(F$2,Inputs!$K$4:$AJ$4,0)))+SUMPRODUCT((Inputs!$C$5:$C$140=$B55)*Inputs!$D$5:$D$140*(((Inputs!$G$5:$G$140="moeda")+(Inputs!$G$5:$G$140="acoes"))*Inputs!$B$1+((Inputs!$G$5:$G$140&lt;&gt;"moeda")*(Inputs!$G$5:$G$140&lt;&gt;"acoes")))*INDEX(Inputs!$K$5:$AJ$140,0,MATCH(F$2,Inputs!$K$4:$AJ$4,0)))+SUMPRODUCT((Inputs!$E$5:$E$140=$B55)*Inputs!$F$5:$F$140*(((Inputs!$G$5:$G$140="moeda")+(Inputs!$G$5:$G$140="acoes"))*Inputs!$B$1+((Inputs!$G$5:$G$140&lt;&gt;"moeda")*(Inputs!$G$5:$G$140&lt;&gt;"acoes")))*INDEX(Inputs!$K$5:$AJ$140,0,MATCH(F$2,Inputs!$K$4:$AJ$4,0)))))</f>
        <v>#N/A</v>
      </c>
      <c r="G55" s="263" t="e">
        <f>IF(ISNA(MATCH(G$2,Inputs!$K$4:$AJ$4,0)),NA(),IF(SUMPRODUCT((Inputs!$A$5:$A$140=$B55)*ISNUMBER(INDEX(Inputs!$K$5:$AJ$140,0,MATCH(G$2,Inputs!$K$4:$AJ$4,0))))+SUMPRODUCT((Inputs!$C$5:$C$140=$B55)*ISNUMBER(INDEX(Inputs!$K$5:$AJ$140,0,MATCH(G$2,Inputs!$K$4:$AJ$4,0))))+SUMPRODUCT((Inputs!$E$5:$E$140=$B55)*ISNUMBER(INDEX(Inputs!$K$5:$AJ$140,0,MATCH(G$2,Inputs!$K$4:$AJ$4,0))))=0,NA(),SUMPRODUCT((Inputs!$A$5:$A$140=$B55)*Inputs!$B$5:$B$140*(((Inputs!$G$5:$G$140="moeda")+(Inputs!$G$5:$G$140="acoes"))*Inputs!$B$1+((Inputs!$G$5:$G$140&lt;&gt;"moeda")*(Inputs!$G$5:$G$140&lt;&gt;"acoes")))*INDEX(Inputs!$K$5:$AJ$140,0,MATCH(G$2,Inputs!$K$4:$AJ$4,0)))+SUMPRODUCT((Inputs!$C$5:$C$140=$B55)*Inputs!$D$5:$D$140*(((Inputs!$G$5:$G$140="moeda")+(Inputs!$G$5:$G$140="acoes"))*Inputs!$B$1+((Inputs!$G$5:$G$140&lt;&gt;"moeda")*(Inputs!$G$5:$G$140&lt;&gt;"acoes")))*INDEX(Inputs!$K$5:$AJ$140,0,MATCH(G$2,Inputs!$K$4:$AJ$4,0)))+SUMPRODUCT((Inputs!$E$5:$E$140=$B55)*Inputs!$F$5:$F$140*(((Inputs!$G$5:$G$140="moeda")+(Inputs!$G$5:$G$140="acoes"))*Inputs!$B$1+((Inputs!$G$5:$G$140&lt;&gt;"moeda")*(Inputs!$G$5:$G$140&lt;&gt;"acoes")))*INDEX(Inputs!$K$5:$AJ$140,0,MATCH(G$2,Inputs!$K$4:$AJ$4,0)))))</f>
        <v>#N/A</v>
      </c>
      <c r="H55" s="264" t="e">
        <f>SUM(D55:G55)</f>
        <v>#N/A</v>
      </c>
      <c r="I55" s="263" t="e">
        <f>IF(ISNA(MATCH(I$2,Inputs!$K$4:$AJ$4,0)),NA(),IF(SUMPRODUCT((Inputs!$A$5:$A$140=$B55)*ISNUMBER(INDEX(Inputs!$K$5:$AJ$140,0,MATCH(I$2,Inputs!$K$4:$AJ$4,0))))+SUMPRODUCT((Inputs!$C$5:$C$140=$B55)*ISNUMBER(INDEX(Inputs!$K$5:$AJ$140,0,MATCH(I$2,Inputs!$K$4:$AJ$4,0))))+SUMPRODUCT((Inputs!$E$5:$E$140=$B55)*ISNUMBER(INDEX(Inputs!$K$5:$AJ$140,0,MATCH(I$2,Inputs!$K$4:$AJ$4,0))))=0,NA(),SUMPRODUCT((Inputs!$A$5:$A$140=$B55)*Inputs!$B$5:$B$140*(((Inputs!$G$5:$G$140="moeda")+(Inputs!$G$5:$G$140="acoes"))*Inputs!$B$1+((Inputs!$G$5:$G$140&lt;&gt;"moeda")*(Inputs!$G$5:$G$140&lt;&gt;"acoes")))*INDEX(Inputs!$K$5:$AJ$140,0,MATCH(I$2,Inputs!$K$4:$AJ$4,0)))+SUMPRODUCT((Inputs!$C$5:$C$140=$B55)*Inputs!$D$5:$D$140*(((Inputs!$G$5:$G$140="moeda")+(Inputs!$G$5:$G$140="acoes"))*Inputs!$B$1+((Inputs!$G$5:$G$140&lt;&gt;"moeda")*(Inputs!$G$5:$G$140&lt;&gt;"acoes")))*INDEX(Inputs!$K$5:$AJ$140,0,MATCH(I$2,Inputs!$K$4:$AJ$4,0)))+SUMPRODUCT((Inputs!$E$5:$E$140=$B55)*Inputs!$F$5:$F$140*(((Inputs!$G$5:$G$140="moeda")+(Inputs!$G$5:$G$140="acoes"))*Inputs!$B$1+((Inputs!$G$5:$G$140&lt;&gt;"moeda")*(Inputs!$G$5:$G$140&lt;&gt;"acoes")))*INDEX(Inputs!$K$5:$AJ$140,0,MATCH(I$2,Inputs!$K$4:$AJ$4,0)))))</f>
        <v>#N/A</v>
      </c>
      <c r="J55" s="263" t="e">
        <f>IF(ISNA(MATCH(J$2,Inputs!$K$4:$AJ$4,0)),NA(),IF(SUMPRODUCT((Inputs!$A$5:$A$140=$B55)*ISNUMBER(INDEX(Inputs!$K$5:$AJ$140,0,MATCH(J$2,Inputs!$K$4:$AJ$4,0))))+SUMPRODUCT((Inputs!$C$5:$C$140=$B55)*ISNUMBER(INDEX(Inputs!$K$5:$AJ$140,0,MATCH(J$2,Inputs!$K$4:$AJ$4,0))))+SUMPRODUCT((Inputs!$E$5:$E$140=$B55)*ISNUMBER(INDEX(Inputs!$K$5:$AJ$140,0,MATCH(J$2,Inputs!$K$4:$AJ$4,0))))=0,NA(),SUMPRODUCT((Inputs!$A$5:$A$140=$B55)*Inputs!$B$5:$B$140*(((Inputs!$G$5:$G$140="moeda")+(Inputs!$G$5:$G$140="acoes"))*Inputs!$B$1+((Inputs!$G$5:$G$140&lt;&gt;"moeda")*(Inputs!$G$5:$G$140&lt;&gt;"acoes")))*INDEX(Inputs!$K$5:$AJ$140,0,MATCH(J$2,Inputs!$K$4:$AJ$4,0)))+SUMPRODUCT((Inputs!$C$5:$C$140=$B55)*Inputs!$D$5:$D$140*(((Inputs!$G$5:$G$140="moeda")+(Inputs!$G$5:$G$140="acoes"))*Inputs!$B$1+((Inputs!$G$5:$G$140&lt;&gt;"moeda")*(Inputs!$G$5:$G$140&lt;&gt;"acoes")))*INDEX(Inputs!$K$5:$AJ$140,0,MATCH(J$2,Inputs!$K$4:$AJ$4,0)))+SUMPRODUCT((Inputs!$E$5:$E$140=$B55)*Inputs!$F$5:$F$140*(((Inputs!$G$5:$G$140="moeda")+(Inputs!$G$5:$G$140="acoes"))*Inputs!$B$1+((Inputs!$G$5:$G$140&lt;&gt;"moeda")*(Inputs!$G$5:$G$140&lt;&gt;"acoes")))*INDEX(Inputs!$K$5:$AJ$140,0,MATCH(J$2,Inputs!$K$4:$AJ$4,0)))))</f>
        <v>#N/A</v>
      </c>
      <c r="K55" s="263" t="e">
        <f>IF(ISNA(MATCH(K$2,Inputs!$K$4:$AJ$4,0)),NA(),IF(SUMPRODUCT((Inputs!$A$5:$A$140=$B55)*ISNUMBER(INDEX(Inputs!$K$5:$AJ$140,0,MATCH(K$2,Inputs!$K$4:$AJ$4,0))))+SUMPRODUCT((Inputs!$C$5:$C$140=$B55)*ISNUMBER(INDEX(Inputs!$K$5:$AJ$140,0,MATCH(K$2,Inputs!$K$4:$AJ$4,0))))+SUMPRODUCT((Inputs!$E$5:$E$140=$B55)*ISNUMBER(INDEX(Inputs!$K$5:$AJ$140,0,MATCH(K$2,Inputs!$K$4:$AJ$4,0))))=0,NA(),SUMPRODUCT((Inputs!$A$5:$A$140=$B55)*Inputs!$B$5:$B$140*(((Inputs!$G$5:$G$140="moeda")+(Inputs!$G$5:$G$140="acoes"))*Inputs!$B$1+((Inputs!$G$5:$G$140&lt;&gt;"moeda")*(Inputs!$G$5:$G$140&lt;&gt;"acoes")))*INDEX(Inputs!$K$5:$AJ$140,0,MATCH(K$2,Inputs!$K$4:$AJ$4,0)))+SUMPRODUCT((Inputs!$C$5:$C$140=$B55)*Inputs!$D$5:$D$140*(((Inputs!$G$5:$G$140="moeda")+(Inputs!$G$5:$G$140="acoes"))*Inputs!$B$1+((Inputs!$G$5:$G$140&lt;&gt;"moeda")*(Inputs!$G$5:$G$140&lt;&gt;"acoes")))*INDEX(Inputs!$K$5:$AJ$140,0,MATCH(K$2,Inputs!$K$4:$AJ$4,0)))+SUMPRODUCT((Inputs!$E$5:$E$140=$B55)*Inputs!$F$5:$F$140*(((Inputs!$G$5:$G$140="moeda")+(Inputs!$G$5:$G$140="acoes"))*Inputs!$B$1+((Inputs!$G$5:$G$140&lt;&gt;"moeda")*(Inputs!$G$5:$G$140&lt;&gt;"acoes")))*INDEX(Inputs!$K$5:$AJ$140,0,MATCH(K$2,Inputs!$K$4:$AJ$4,0)))))</f>
        <v>#N/A</v>
      </c>
      <c r="L55" s="263" t="e">
        <f>IF(ISNA(MATCH(L$2,Inputs!$K$4:$AJ$4,0)),NA(),IF(SUMPRODUCT((Inputs!$A$5:$A$140=$B55)*ISNUMBER(INDEX(Inputs!$K$5:$AJ$140,0,MATCH(L$2,Inputs!$K$4:$AJ$4,0))))+SUMPRODUCT((Inputs!$C$5:$C$140=$B55)*ISNUMBER(INDEX(Inputs!$K$5:$AJ$140,0,MATCH(L$2,Inputs!$K$4:$AJ$4,0))))+SUMPRODUCT((Inputs!$E$5:$E$140=$B55)*ISNUMBER(INDEX(Inputs!$K$5:$AJ$140,0,MATCH(L$2,Inputs!$K$4:$AJ$4,0))))=0,NA(),SUMPRODUCT((Inputs!$A$5:$A$140=$B55)*Inputs!$B$5:$B$140*(((Inputs!$G$5:$G$140="moeda")+(Inputs!$G$5:$G$140="acoes"))*Inputs!$B$1+((Inputs!$G$5:$G$140&lt;&gt;"moeda")*(Inputs!$G$5:$G$140&lt;&gt;"acoes")))*INDEX(Inputs!$K$5:$AJ$140,0,MATCH(L$2,Inputs!$K$4:$AJ$4,0)))+SUMPRODUCT((Inputs!$C$5:$C$140=$B55)*Inputs!$D$5:$D$140*(((Inputs!$G$5:$G$140="moeda")+(Inputs!$G$5:$G$140="acoes"))*Inputs!$B$1+((Inputs!$G$5:$G$140&lt;&gt;"moeda")*(Inputs!$G$5:$G$140&lt;&gt;"acoes")))*INDEX(Inputs!$K$5:$AJ$140,0,MATCH(L$2,Inputs!$K$4:$AJ$4,0)))+SUMPRODUCT((Inputs!$E$5:$E$140=$B55)*Inputs!$F$5:$F$140*(((Inputs!$G$5:$G$140="moeda")+(Inputs!$G$5:$G$140="acoes"))*Inputs!$B$1+((Inputs!$G$5:$G$140&lt;&gt;"moeda")*(Inputs!$G$5:$G$140&lt;&gt;"acoes")))*INDEX(Inputs!$K$5:$AJ$140,0,MATCH(L$2,Inputs!$K$4:$AJ$4,0)))))</f>
        <v>#N/A</v>
      </c>
      <c r="M55" s="264" t="e">
        <f>SUM(I55:L55)</f>
        <v>#N/A</v>
      </c>
      <c r="N55" s="263">
        <f>IF(ISNA(MATCH(N$2,Inputs!$K$4:$AJ$4,0)),NA(),IF(SUMPRODUCT((Inputs!$A$5:$A$140=$B55)*ISNUMBER(INDEX(Inputs!$K$5:$AJ$140,0,MATCH(N$2,Inputs!$K$4:$AJ$4,0))))+SUMPRODUCT((Inputs!$C$5:$C$140=$B55)*ISNUMBER(INDEX(Inputs!$K$5:$AJ$140,0,MATCH(N$2,Inputs!$K$4:$AJ$4,0))))+SUMPRODUCT((Inputs!$E$5:$E$140=$B55)*ISNUMBER(INDEX(Inputs!$K$5:$AJ$140,0,MATCH(N$2,Inputs!$K$4:$AJ$4,0))))=0,NA(),SUMPRODUCT((Inputs!$A$5:$A$140=$B55)*Inputs!$B$5:$B$140*(((Inputs!$G$5:$G$140="moeda")+(Inputs!$G$5:$G$140="acoes"))*Inputs!$B$1+((Inputs!$G$5:$G$140&lt;&gt;"moeda")*(Inputs!$G$5:$G$140&lt;&gt;"acoes")))*INDEX(Inputs!$K$5:$AJ$140,0,MATCH(N$2,Inputs!$K$4:$AJ$4,0)))+SUMPRODUCT((Inputs!$C$5:$C$140=$B55)*Inputs!$D$5:$D$140*(((Inputs!$G$5:$G$140="moeda")+(Inputs!$G$5:$G$140="acoes"))*Inputs!$B$1+((Inputs!$G$5:$G$140&lt;&gt;"moeda")*(Inputs!$G$5:$G$140&lt;&gt;"acoes")))*INDEX(Inputs!$K$5:$AJ$140,0,MATCH(N$2,Inputs!$K$4:$AJ$4,0)))+SUMPRODUCT((Inputs!$E$5:$E$140=$B55)*Inputs!$F$5:$F$140*(((Inputs!$G$5:$G$140="moeda")+(Inputs!$G$5:$G$140="acoes"))*Inputs!$B$1+((Inputs!$G$5:$G$140&lt;&gt;"moeda")*(Inputs!$G$5:$G$140&lt;&gt;"acoes")))*INDEX(Inputs!$K$5:$AJ$140,0,MATCH(N$2,Inputs!$K$4:$AJ$4,0)))))</f>
        <v>927</v>
      </c>
      <c r="O55" s="263">
        <f>IF(ISNA(MATCH(O$2,Inputs!$K$4:$AJ$4,0)),NA(),IF(SUMPRODUCT((Inputs!$A$5:$A$140=$B55)*ISNUMBER(INDEX(Inputs!$K$5:$AJ$140,0,MATCH(O$2,Inputs!$K$4:$AJ$4,0))))+SUMPRODUCT((Inputs!$C$5:$C$140=$B55)*ISNUMBER(INDEX(Inputs!$K$5:$AJ$140,0,MATCH(O$2,Inputs!$K$4:$AJ$4,0))))+SUMPRODUCT((Inputs!$E$5:$E$140=$B55)*ISNUMBER(INDEX(Inputs!$K$5:$AJ$140,0,MATCH(O$2,Inputs!$K$4:$AJ$4,0))))=0,NA(),SUMPRODUCT((Inputs!$A$5:$A$140=$B55)*Inputs!$B$5:$B$140*(((Inputs!$G$5:$G$140="moeda")+(Inputs!$G$5:$G$140="acoes"))*Inputs!$B$1+((Inputs!$G$5:$G$140&lt;&gt;"moeda")*(Inputs!$G$5:$G$140&lt;&gt;"acoes")))*INDEX(Inputs!$K$5:$AJ$140,0,MATCH(O$2,Inputs!$K$4:$AJ$4,0)))+SUMPRODUCT((Inputs!$C$5:$C$140=$B55)*Inputs!$D$5:$D$140*(((Inputs!$G$5:$G$140="moeda")+(Inputs!$G$5:$G$140="acoes"))*Inputs!$B$1+((Inputs!$G$5:$G$140&lt;&gt;"moeda")*(Inputs!$G$5:$G$140&lt;&gt;"acoes")))*INDEX(Inputs!$K$5:$AJ$140,0,MATCH(O$2,Inputs!$K$4:$AJ$4,0)))+SUMPRODUCT((Inputs!$E$5:$E$140=$B55)*Inputs!$F$5:$F$140*(((Inputs!$G$5:$G$140="moeda")+(Inputs!$G$5:$G$140="acoes"))*Inputs!$B$1+((Inputs!$G$5:$G$140&lt;&gt;"moeda")*(Inputs!$G$5:$G$140&lt;&gt;"acoes")))*INDEX(Inputs!$K$5:$AJ$140,0,MATCH(O$2,Inputs!$K$4:$AJ$4,0)))))</f>
        <v>1711</v>
      </c>
      <c r="P55" s="263">
        <f>IF(ISNA(MATCH(P$2,Inputs!$K$4:$AJ$4,0)),NA(),IF(SUMPRODUCT((Inputs!$A$5:$A$140=$B55)*ISNUMBER(INDEX(Inputs!$K$5:$AJ$140,0,MATCH(P$2,Inputs!$K$4:$AJ$4,0))))+SUMPRODUCT((Inputs!$C$5:$C$140=$B55)*ISNUMBER(INDEX(Inputs!$K$5:$AJ$140,0,MATCH(P$2,Inputs!$K$4:$AJ$4,0))))+SUMPRODUCT((Inputs!$E$5:$E$140=$B55)*ISNUMBER(INDEX(Inputs!$K$5:$AJ$140,0,MATCH(P$2,Inputs!$K$4:$AJ$4,0))))=0,NA(),SUMPRODUCT((Inputs!$A$5:$A$140=$B55)*Inputs!$B$5:$B$140*(((Inputs!$G$5:$G$140="moeda")+(Inputs!$G$5:$G$140="acoes"))*Inputs!$B$1+((Inputs!$G$5:$G$140&lt;&gt;"moeda")*(Inputs!$G$5:$G$140&lt;&gt;"acoes")))*INDEX(Inputs!$K$5:$AJ$140,0,MATCH(P$2,Inputs!$K$4:$AJ$4,0)))+SUMPRODUCT((Inputs!$C$5:$C$140=$B55)*Inputs!$D$5:$D$140*(((Inputs!$G$5:$G$140="moeda")+(Inputs!$G$5:$G$140="acoes"))*Inputs!$B$1+((Inputs!$G$5:$G$140&lt;&gt;"moeda")*(Inputs!$G$5:$G$140&lt;&gt;"acoes")))*INDEX(Inputs!$K$5:$AJ$140,0,MATCH(P$2,Inputs!$K$4:$AJ$4,0)))+SUMPRODUCT((Inputs!$E$5:$E$140=$B55)*Inputs!$F$5:$F$140*(((Inputs!$G$5:$G$140="moeda")+(Inputs!$G$5:$G$140="acoes"))*Inputs!$B$1+((Inputs!$G$5:$G$140&lt;&gt;"moeda")*(Inputs!$G$5:$G$140&lt;&gt;"acoes")))*INDEX(Inputs!$K$5:$AJ$140,0,MATCH(P$2,Inputs!$K$4:$AJ$4,0)))))</f>
        <v>2606</v>
      </c>
      <c r="Q55" s="263">
        <f>IF(ISNA(MATCH(Q$2,Inputs!$K$4:$AJ$4,0)),NA(),IF(SUMPRODUCT((Inputs!$A$5:$A$140=$B55)*ISNUMBER(INDEX(Inputs!$K$5:$AJ$140,0,MATCH(Q$2,Inputs!$K$4:$AJ$4,0))))+SUMPRODUCT((Inputs!$C$5:$C$140=$B55)*ISNUMBER(INDEX(Inputs!$K$5:$AJ$140,0,MATCH(Q$2,Inputs!$K$4:$AJ$4,0))))+SUMPRODUCT((Inputs!$E$5:$E$140=$B55)*ISNUMBER(INDEX(Inputs!$K$5:$AJ$140,0,MATCH(Q$2,Inputs!$K$4:$AJ$4,0))))=0,NA(),SUMPRODUCT((Inputs!$A$5:$A$140=$B55)*Inputs!$B$5:$B$140*(((Inputs!$G$5:$G$140="moeda")+(Inputs!$G$5:$G$140="acoes"))*Inputs!$B$1+((Inputs!$G$5:$G$140&lt;&gt;"moeda")*(Inputs!$G$5:$G$140&lt;&gt;"acoes")))*INDEX(Inputs!$K$5:$AJ$140,0,MATCH(Q$2,Inputs!$K$4:$AJ$4,0)))+SUMPRODUCT((Inputs!$C$5:$C$140=$B55)*Inputs!$D$5:$D$140*(((Inputs!$G$5:$G$140="moeda")+(Inputs!$G$5:$G$140="acoes"))*Inputs!$B$1+((Inputs!$G$5:$G$140&lt;&gt;"moeda")*(Inputs!$G$5:$G$140&lt;&gt;"acoes")))*INDEX(Inputs!$K$5:$AJ$140,0,MATCH(Q$2,Inputs!$K$4:$AJ$4,0)))+SUMPRODUCT((Inputs!$E$5:$E$140=$B55)*Inputs!$F$5:$F$140*(((Inputs!$G$5:$G$140="moeda")+(Inputs!$G$5:$G$140="acoes"))*Inputs!$B$1+((Inputs!$G$5:$G$140&lt;&gt;"moeda")*(Inputs!$G$5:$G$140&lt;&gt;"acoes")))*INDEX(Inputs!$K$5:$AJ$140,0,MATCH(Q$2,Inputs!$K$4:$AJ$4,0)))))</f>
        <v>3331</v>
      </c>
      <c r="R55" s="264">
        <f>SUM(N55:Q55)</f>
        <v>8575</v>
      </c>
      <c r="S55" s="263">
        <f>IF(ISNA(MATCH(S$2,Inputs!$K$4:$AJ$4,0)),NA(),IF(SUMPRODUCT((Inputs!$A$5:$A$140=$B55)*ISNUMBER(INDEX(Inputs!$K$5:$AJ$140,0,MATCH(S$2,Inputs!$K$4:$AJ$4,0))))+SUMPRODUCT((Inputs!$C$5:$C$140=$B55)*ISNUMBER(INDEX(Inputs!$K$5:$AJ$140,0,MATCH(S$2,Inputs!$K$4:$AJ$4,0))))+SUMPRODUCT((Inputs!$E$5:$E$140=$B55)*ISNUMBER(INDEX(Inputs!$K$5:$AJ$140,0,MATCH(S$2,Inputs!$K$4:$AJ$4,0))))=0,NA(),SUMPRODUCT((Inputs!$A$5:$A$140=$B55)*Inputs!$B$5:$B$140*(((Inputs!$G$5:$G$140="moeda")+(Inputs!$G$5:$G$140="acoes"))*Inputs!$B$1+((Inputs!$G$5:$G$140&lt;&gt;"moeda")*(Inputs!$G$5:$G$140&lt;&gt;"acoes")))*INDEX(Inputs!$K$5:$AJ$140,0,MATCH(S$2,Inputs!$K$4:$AJ$4,0)))+SUMPRODUCT((Inputs!$C$5:$C$140=$B55)*Inputs!$D$5:$D$140*(((Inputs!$G$5:$G$140="moeda")+(Inputs!$G$5:$G$140="acoes"))*Inputs!$B$1+((Inputs!$G$5:$G$140&lt;&gt;"moeda")*(Inputs!$G$5:$G$140&lt;&gt;"acoes")))*INDEX(Inputs!$K$5:$AJ$140,0,MATCH(S$2,Inputs!$K$4:$AJ$4,0)))+SUMPRODUCT((Inputs!$E$5:$E$140=$B55)*Inputs!$F$5:$F$140*(((Inputs!$G$5:$G$140="moeda")+(Inputs!$G$5:$G$140="acoes"))*Inputs!$B$1+((Inputs!$G$5:$G$140&lt;&gt;"moeda")*(Inputs!$G$5:$G$140&lt;&gt;"acoes")))*INDEX(Inputs!$K$5:$AJ$140,0,MATCH(S$2,Inputs!$K$4:$AJ$4,0)))))</f>
        <v>3171</v>
      </c>
      <c r="T55" s="263">
        <f>IF(ISNA(MATCH(T$2,Inputs!$K$4:$AJ$4,0)),NA(),IF(SUMPRODUCT((Inputs!$A$5:$A$140=$B55)*ISNUMBER(INDEX(Inputs!$K$5:$AJ$140,0,MATCH(T$2,Inputs!$K$4:$AJ$4,0))))+SUMPRODUCT((Inputs!$C$5:$C$140=$B55)*ISNUMBER(INDEX(Inputs!$K$5:$AJ$140,0,MATCH(T$2,Inputs!$K$4:$AJ$4,0))))+SUMPRODUCT((Inputs!$E$5:$E$140=$B55)*ISNUMBER(INDEX(Inputs!$K$5:$AJ$140,0,MATCH(T$2,Inputs!$K$4:$AJ$4,0))))=0,NA(),SUMPRODUCT((Inputs!$A$5:$A$140=$B55)*Inputs!$B$5:$B$140*(((Inputs!$G$5:$G$140="moeda")+(Inputs!$G$5:$G$140="acoes"))*Inputs!$B$1+((Inputs!$G$5:$G$140&lt;&gt;"moeda")*(Inputs!$G$5:$G$140&lt;&gt;"acoes")))*INDEX(Inputs!$K$5:$AJ$140,0,MATCH(T$2,Inputs!$K$4:$AJ$4,0)))+SUMPRODUCT((Inputs!$C$5:$C$140=$B55)*Inputs!$D$5:$D$140*(((Inputs!$G$5:$G$140="moeda")+(Inputs!$G$5:$G$140="acoes"))*Inputs!$B$1+((Inputs!$G$5:$G$140&lt;&gt;"moeda")*(Inputs!$G$5:$G$140&lt;&gt;"acoes")))*INDEX(Inputs!$K$5:$AJ$140,0,MATCH(T$2,Inputs!$K$4:$AJ$4,0)))+SUMPRODUCT((Inputs!$E$5:$E$140=$B55)*Inputs!$F$5:$F$140*(((Inputs!$G$5:$G$140="moeda")+(Inputs!$G$5:$G$140="acoes"))*Inputs!$B$1+((Inputs!$G$5:$G$140&lt;&gt;"moeda")*(Inputs!$G$5:$G$140&lt;&gt;"acoes")))*INDEX(Inputs!$K$5:$AJ$140,0,MATCH(T$2,Inputs!$K$4:$AJ$4,0)))))</f>
        <v>3668</v>
      </c>
      <c r="U55" s="263">
        <f>IF(ISNA(MATCH(U$2,Inputs!$K$4:$AJ$4,0)),NA(),IF(SUMPRODUCT((Inputs!$A$5:$A$140=$B55)*ISNUMBER(INDEX(Inputs!$K$5:$AJ$140,0,MATCH(U$2,Inputs!$K$4:$AJ$4,0))))+SUMPRODUCT((Inputs!$C$5:$C$140=$B55)*ISNUMBER(INDEX(Inputs!$K$5:$AJ$140,0,MATCH(U$2,Inputs!$K$4:$AJ$4,0))))+SUMPRODUCT((Inputs!$E$5:$E$140=$B55)*ISNUMBER(INDEX(Inputs!$K$5:$AJ$140,0,MATCH(U$2,Inputs!$K$4:$AJ$4,0))))=0,NA(),SUMPRODUCT((Inputs!$A$5:$A$140=$B55)*Inputs!$B$5:$B$140*(((Inputs!$G$5:$G$140="moeda")+(Inputs!$G$5:$G$140="acoes"))*Inputs!$B$1+((Inputs!$G$5:$G$140&lt;&gt;"moeda")*(Inputs!$G$5:$G$140&lt;&gt;"acoes")))*INDEX(Inputs!$K$5:$AJ$140,0,MATCH(U$2,Inputs!$K$4:$AJ$4,0)))+SUMPRODUCT((Inputs!$C$5:$C$140=$B55)*Inputs!$D$5:$D$140*(((Inputs!$G$5:$G$140="moeda")+(Inputs!$G$5:$G$140="acoes"))*Inputs!$B$1+((Inputs!$G$5:$G$140&lt;&gt;"moeda")*(Inputs!$G$5:$G$140&lt;&gt;"acoes")))*INDEX(Inputs!$K$5:$AJ$140,0,MATCH(U$2,Inputs!$K$4:$AJ$4,0)))+SUMPRODUCT((Inputs!$E$5:$E$140=$B55)*Inputs!$F$5:$F$140*(((Inputs!$G$5:$G$140="moeda")+(Inputs!$G$5:$G$140="acoes"))*Inputs!$B$1+((Inputs!$G$5:$G$140&lt;&gt;"moeda")*(Inputs!$G$5:$G$140&lt;&gt;"acoes")))*INDEX(Inputs!$K$5:$AJ$140,0,MATCH(U$2,Inputs!$K$4:$AJ$4,0)))))</f>
        <v>3127</v>
      </c>
      <c r="V55" s="263">
        <f>IF(ISNA(MATCH(V$2,Inputs!$K$4:$AJ$4,0)),NA(),IF(SUMPRODUCT((Inputs!$A$5:$A$140=$B55)*ISNUMBER(INDEX(Inputs!$K$5:$AJ$140,0,MATCH(V$2,Inputs!$K$4:$AJ$4,0))))+SUMPRODUCT((Inputs!$C$5:$C$140=$B55)*ISNUMBER(INDEX(Inputs!$K$5:$AJ$140,0,MATCH(V$2,Inputs!$K$4:$AJ$4,0))))+SUMPRODUCT((Inputs!$E$5:$E$140=$B55)*ISNUMBER(INDEX(Inputs!$K$5:$AJ$140,0,MATCH(V$2,Inputs!$K$4:$AJ$4,0))))=0,NA(),SUMPRODUCT((Inputs!$A$5:$A$140=$B55)*Inputs!$B$5:$B$140*(((Inputs!$G$5:$G$140="moeda")+(Inputs!$G$5:$G$140="acoes"))*Inputs!$B$1+((Inputs!$G$5:$G$140&lt;&gt;"moeda")*(Inputs!$G$5:$G$140&lt;&gt;"acoes")))*INDEX(Inputs!$K$5:$AJ$140,0,MATCH(V$2,Inputs!$K$4:$AJ$4,0)))+SUMPRODUCT((Inputs!$C$5:$C$140=$B55)*Inputs!$D$5:$D$140*(((Inputs!$G$5:$G$140="moeda")+(Inputs!$G$5:$G$140="acoes"))*Inputs!$B$1+((Inputs!$G$5:$G$140&lt;&gt;"moeda")*(Inputs!$G$5:$G$140&lt;&gt;"acoes")))*INDEX(Inputs!$K$5:$AJ$140,0,MATCH(V$2,Inputs!$K$4:$AJ$4,0)))+SUMPRODUCT((Inputs!$E$5:$E$140=$B55)*Inputs!$F$5:$F$140*(((Inputs!$G$5:$G$140="moeda")+(Inputs!$G$5:$G$140="acoes"))*Inputs!$B$1+((Inputs!$G$5:$G$140&lt;&gt;"moeda")*(Inputs!$G$5:$G$140&lt;&gt;"acoes")))*INDEX(Inputs!$K$5:$AJ$140,0,MATCH(V$2,Inputs!$K$4:$AJ$4,0)))))</f>
        <v>3024</v>
      </c>
      <c r="W55" s="264">
        <f>SUM(S55:V55)</f>
        <v>12990</v>
      </c>
      <c r="X55" s="263">
        <f>IF(ISNA(MATCH(X$2,Inputs!$K$4:$AJ$4,0)),NA(),IF(SUMPRODUCT((Inputs!$A$5:$A$140=$B55)*ISNUMBER(INDEX(Inputs!$K$5:$AJ$140,0,MATCH(X$2,Inputs!$K$4:$AJ$4,0))))+SUMPRODUCT((Inputs!$C$5:$C$140=$B55)*ISNUMBER(INDEX(Inputs!$K$5:$AJ$140,0,MATCH(X$2,Inputs!$K$4:$AJ$4,0))))+SUMPRODUCT((Inputs!$E$5:$E$140=$B55)*ISNUMBER(INDEX(Inputs!$K$5:$AJ$140,0,MATCH(X$2,Inputs!$K$4:$AJ$4,0))))=0,NA(),SUMPRODUCT((Inputs!$A$5:$A$140=$B55)*Inputs!$B$5:$B$140*(((Inputs!$G$5:$G$140="moeda")+(Inputs!$G$5:$G$140="acoes"))*Inputs!$B$1+((Inputs!$G$5:$G$140&lt;&gt;"moeda")*(Inputs!$G$5:$G$140&lt;&gt;"acoes")))*INDEX(Inputs!$K$5:$AJ$140,0,MATCH(X$2,Inputs!$K$4:$AJ$4,0)))+SUMPRODUCT((Inputs!$C$5:$C$140=$B55)*Inputs!$D$5:$D$140*(((Inputs!$G$5:$G$140="moeda")+(Inputs!$G$5:$G$140="acoes"))*Inputs!$B$1+((Inputs!$G$5:$G$140&lt;&gt;"moeda")*(Inputs!$G$5:$G$140&lt;&gt;"acoes")))*INDEX(Inputs!$K$5:$AJ$140,0,MATCH(X$2,Inputs!$K$4:$AJ$4,0)))+SUMPRODUCT((Inputs!$E$5:$E$140=$B55)*Inputs!$F$5:$F$140*(((Inputs!$G$5:$G$140="moeda")+(Inputs!$G$5:$G$140="acoes"))*Inputs!$B$1+((Inputs!$G$5:$G$140&lt;&gt;"moeda")*(Inputs!$G$5:$G$140&lt;&gt;"acoes")))*INDEX(Inputs!$K$5:$AJ$140,0,MATCH(X$2,Inputs!$K$4:$AJ$4,0)))))</f>
        <v>4957</v>
      </c>
      <c r="Y55" s="263">
        <f>IF(ISNA(MATCH(Y$2,Inputs!$K$4:$AJ$4,0)),NA(),IF(SUMPRODUCT((Inputs!$A$5:$A$140=$B55)*ISNUMBER(INDEX(Inputs!$K$5:$AJ$140,0,MATCH(Y$2,Inputs!$K$4:$AJ$4,0))))+SUMPRODUCT((Inputs!$C$5:$C$140=$B55)*ISNUMBER(INDEX(Inputs!$K$5:$AJ$140,0,MATCH(Y$2,Inputs!$K$4:$AJ$4,0))))+SUMPRODUCT((Inputs!$E$5:$E$140=$B55)*ISNUMBER(INDEX(Inputs!$K$5:$AJ$140,0,MATCH(Y$2,Inputs!$K$4:$AJ$4,0))))=0,NA(),SUMPRODUCT((Inputs!$A$5:$A$140=$B55)*Inputs!$B$5:$B$140*(((Inputs!$G$5:$G$140="moeda")+(Inputs!$G$5:$G$140="acoes"))*Inputs!$B$1+((Inputs!$G$5:$G$140&lt;&gt;"moeda")*(Inputs!$G$5:$G$140&lt;&gt;"acoes")))*INDEX(Inputs!$K$5:$AJ$140,0,MATCH(Y$2,Inputs!$K$4:$AJ$4,0)))+SUMPRODUCT((Inputs!$C$5:$C$140=$B55)*Inputs!$D$5:$D$140*(((Inputs!$G$5:$G$140="moeda")+(Inputs!$G$5:$G$140="acoes"))*Inputs!$B$1+((Inputs!$G$5:$G$140&lt;&gt;"moeda")*(Inputs!$G$5:$G$140&lt;&gt;"acoes")))*INDEX(Inputs!$K$5:$AJ$140,0,MATCH(Y$2,Inputs!$K$4:$AJ$4,0)))+SUMPRODUCT((Inputs!$E$5:$E$140=$B55)*Inputs!$F$5:$F$140*(((Inputs!$G$5:$G$140="moeda")+(Inputs!$G$5:$G$140="acoes"))*Inputs!$B$1+((Inputs!$G$5:$G$140&lt;&gt;"moeda")*(Inputs!$G$5:$G$140&lt;&gt;"acoes")))*INDEX(Inputs!$K$5:$AJ$140,0,MATCH(Y$2,Inputs!$K$4:$AJ$4,0)))))</f>
        <v>7252</v>
      </c>
      <c r="Z55" s="263">
        <f>IF(ISNA(MATCH(Z$2,Inputs!$K$4:$AJ$4,0)),NA(),IF(SUMPRODUCT((Inputs!$A$5:$A$140=$B55)*ISNUMBER(INDEX(Inputs!$K$5:$AJ$140,0,MATCH(Z$2,Inputs!$K$4:$AJ$4,0))))+SUMPRODUCT((Inputs!$C$5:$C$140=$B55)*ISNUMBER(INDEX(Inputs!$K$5:$AJ$140,0,MATCH(Z$2,Inputs!$K$4:$AJ$4,0))))+SUMPRODUCT((Inputs!$E$5:$E$140=$B55)*ISNUMBER(INDEX(Inputs!$K$5:$AJ$140,0,MATCH(Z$2,Inputs!$K$4:$AJ$4,0))))=0,NA(),SUMPRODUCT((Inputs!$A$5:$A$140=$B55)*Inputs!$B$5:$B$140*(((Inputs!$G$5:$G$140="moeda")+(Inputs!$G$5:$G$140="acoes"))*Inputs!$B$1+((Inputs!$G$5:$G$140&lt;&gt;"moeda")*(Inputs!$G$5:$G$140&lt;&gt;"acoes")))*INDEX(Inputs!$K$5:$AJ$140,0,MATCH(Z$2,Inputs!$K$4:$AJ$4,0)))+SUMPRODUCT((Inputs!$C$5:$C$140=$B55)*Inputs!$D$5:$D$140*(((Inputs!$G$5:$G$140="moeda")+(Inputs!$G$5:$G$140="acoes"))*Inputs!$B$1+((Inputs!$G$5:$G$140&lt;&gt;"moeda")*(Inputs!$G$5:$G$140&lt;&gt;"acoes")))*INDEX(Inputs!$K$5:$AJ$140,0,MATCH(Z$2,Inputs!$K$4:$AJ$4,0)))+SUMPRODUCT((Inputs!$E$5:$E$140=$B55)*Inputs!$F$5:$F$140*(((Inputs!$G$5:$G$140="moeda")+(Inputs!$G$5:$G$140="acoes"))*Inputs!$B$1+((Inputs!$G$5:$G$140&lt;&gt;"moeda")*(Inputs!$G$5:$G$140&lt;&gt;"acoes")))*INDEX(Inputs!$K$5:$AJ$140,0,MATCH(Z$2,Inputs!$K$4:$AJ$4,0)))))</f>
        <v>8187</v>
      </c>
      <c r="AA55" s="263">
        <f>IF(ISNA(MATCH(AA$2,Inputs!$K$4:$AJ$4,0)),NA(),IF(SUMPRODUCT((Inputs!$A$5:$A$140=$B55)*ISNUMBER(INDEX(Inputs!$K$5:$AJ$140,0,MATCH(AA$2,Inputs!$K$4:$AJ$4,0))))+SUMPRODUCT((Inputs!$C$5:$C$140=$B55)*ISNUMBER(INDEX(Inputs!$K$5:$AJ$140,0,MATCH(AA$2,Inputs!$K$4:$AJ$4,0))))+SUMPRODUCT((Inputs!$E$5:$E$140=$B55)*ISNUMBER(INDEX(Inputs!$K$5:$AJ$140,0,MATCH(AA$2,Inputs!$K$4:$AJ$4,0))))=0,NA(),SUMPRODUCT((Inputs!$A$5:$A$140=$B55)*Inputs!$B$5:$B$140*(((Inputs!$G$5:$G$140="moeda")+(Inputs!$G$5:$G$140="acoes"))*Inputs!$B$1+((Inputs!$G$5:$G$140&lt;&gt;"moeda")*(Inputs!$G$5:$G$140&lt;&gt;"acoes")))*INDEX(Inputs!$K$5:$AJ$140,0,MATCH(AA$2,Inputs!$K$4:$AJ$4,0)))+SUMPRODUCT((Inputs!$C$5:$C$140=$B55)*Inputs!$D$5:$D$140*(((Inputs!$G$5:$G$140="moeda")+(Inputs!$G$5:$G$140="acoes"))*Inputs!$B$1+((Inputs!$G$5:$G$140&lt;&gt;"moeda")*(Inputs!$G$5:$G$140&lt;&gt;"acoes")))*INDEX(Inputs!$K$5:$AJ$140,0,MATCH(AA$2,Inputs!$K$4:$AJ$4,0)))+SUMPRODUCT((Inputs!$E$5:$E$140=$B55)*Inputs!$F$5:$F$140*(((Inputs!$G$5:$G$140="moeda")+(Inputs!$G$5:$G$140="acoes"))*Inputs!$B$1+((Inputs!$G$5:$G$140&lt;&gt;"moeda")*(Inputs!$G$5:$G$140&lt;&gt;"acoes")))*INDEX(Inputs!$K$5:$AJ$140,0,MATCH(AA$2,Inputs!$K$4:$AJ$4,0)))))</f>
        <v>10980</v>
      </c>
      <c r="AB55" s="264">
        <f>SUM(X55:AA55)</f>
        <v>31376</v>
      </c>
      <c r="AC55" s="263" t="e">
        <f>IF(ISNA(MATCH(AC$2,Inputs!$K$4:$AJ$4,0)),NA(),IF(SUMPRODUCT((Inputs!$A$5:$A$140=$B55)*ISNUMBER(INDEX(Inputs!$K$5:$AJ$140,0,MATCH(AC$2,Inputs!$K$4:$AJ$4,0))))+SUMPRODUCT((Inputs!$C$5:$C$140=$B55)*ISNUMBER(INDEX(Inputs!$K$5:$AJ$140,0,MATCH(AC$2,Inputs!$K$4:$AJ$4,0))))+SUMPRODUCT((Inputs!$E$5:$E$140=$B55)*ISNUMBER(INDEX(Inputs!$K$5:$AJ$140,0,MATCH(AC$2,Inputs!$K$4:$AJ$4,0))))=0,NA(),SUMPRODUCT((Inputs!$A$5:$A$140=$B55)*Inputs!$B$5:$B$140*(((Inputs!$G$5:$G$140="moeda")+(Inputs!$G$5:$G$140="acoes"))*Inputs!$B$1+((Inputs!$G$5:$G$140&lt;&gt;"moeda")*(Inputs!$G$5:$G$140&lt;&gt;"acoes")))*INDEX(Inputs!$K$5:$AJ$140,0,MATCH(AC$2,Inputs!$K$4:$AJ$4,0)))+SUMPRODUCT((Inputs!$C$5:$C$140=$B55)*Inputs!$D$5:$D$140*(((Inputs!$G$5:$G$140="moeda")+(Inputs!$G$5:$G$140="acoes"))*Inputs!$B$1+((Inputs!$G$5:$G$140&lt;&gt;"moeda")*(Inputs!$G$5:$G$140&lt;&gt;"acoes")))*INDEX(Inputs!$K$5:$AJ$140,0,MATCH(AC$2,Inputs!$K$4:$AJ$4,0)))+SUMPRODUCT((Inputs!$E$5:$E$140=$B55)*Inputs!$F$5:$F$140*(((Inputs!$G$5:$G$140="moeda")+(Inputs!$G$5:$G$140="acoes"))*Inputs!$B$1+((Inputs!$G$5:$G$140&lt;&gt;"moeda")*(Inputs!$G$5:$G$140&lt;&gt;"acoes")))*INDEX(Inputs!$K$5:$AJ$140,0,MATCH(AC$2,Inputs!$K$4:$AJ$4,0)))))</f>
        <v>#N/A</v>
      </c>
      <c r="AD55" s="263" t="e">
        <f>IF(ISNA(MATCH(AD$2,Inputs!$K$4:$AJ$4,0)),NA(),IF(SUMPRODUCT((Inputs!$A$5:$A$140=$B55)*ISNUMBER(INDEX(Inputs!$K$5:$AJ$140,0,MATCH(AD$2,Inputs!$K$4:$AJ$4,0))))+SUMPRODUCT((Inputs!$C$5:$C$140=$B55)*ISNUMBER(INDEX(Inputs!$K$5:$AJ$140,0,MATCH(AD$2,Inputs!$K$4:$AJ$4,0))))+SUMPRODUCT((Inputs!$E$5:$E$140=$B55)*ISNUMBER(INDEX(Inputs!$K$5:$AJ$140,0,MATCH(AD$2,Inputs!$K$4:$AJ$4,0))))=0,NA(),SUMPRODUCT((Inputs!$A$5:$A$140=$B55)*Inputs!$B$5:$B$140*(((Inputs!$G$5:$G$140="moeda")+(Inputs!$G$5:$G$140="acoes"))*Inputs!$B$1+((Inputs!$G$5:$G$140&lt;&gt;"moeda")*(Inputs!$G$5:$G$140&lt;&gt;"acoes")))*INDEX(Inputs!$K$5:$AJ$140,0,MATCH(AD$2,Inputs!$K$4:$AJ$4,0)))+SUMPRODUCT((Inputs!$C$5:$C$140=$B55)*Inputs!$D$5:$D$140*(((Inputs!$G$5:$G$140="moeda")+(Inputs!$G$5:$G$140="acoes"))*Inputs!$B$1+((Inputs!$G$5:$G$140&lt;&gt;"moeda")*(Inputs!$G$5:$G$140&lt;&gt;"acoes")))*INDEX(Inputs!$K$5:$AJ$140,0,MATCH(AD$2,Inputs!$K$4:$AJ$4,0)))+SUMPRODUCT((Inputs!$E$5:$E$140=$B55)*Inputs!$F$5:$F$140*(((Inputs!$G$5:$G$140="moeda")+(Inputs!$G$5:$G$140="acoes"))*Inputs!$B$1+((Inputs!$G$5:$G$140&lt;&gt;"moeda")*(Inputs!$G$5:$G$140&lt;&gt;"acoes")))*INDEX(Inputs!$K$5:$AJ$140,0,MATCH(AD$2,Inputs!$K$4:$AJ$4,0)))))</f>
        <v>#N/A</v>
      </c>
      <c r="AE55" s="263" t="e">
        <f>IF(ISNA(MATCH(AE$2,Inputs!$K$4:$AJ$4,0)),NA(),IF(SUMPRODUCT((Inputs!$A$5:$A$140=$B55)*ISNUMBER(INDEX(Inputs!$K$5:$AJ$140,0,MATCH(AE$2,Inputs!$K$4:$AJ$4,0))))+SUMPRODUCT((Inputs!$C$5:$C$140=$B55)*ISNUMBER(INDEX(Inputs!$K$5:$AJ$140,0,MATCH(AE$2,Inputs!$K$4:$AJ$4,0))))+SUMPRODUCT((Inputs!$E$5:$E$140=$B55)*ISNUMBER(INDEX(Inputs!$K$5:$AJ$140,0,MATCH(AE$2,Inputs!$K$4:$AJ$4,0))))=0,NA(),SUMPRODUCT((Inputs!$A$5:$A$140=$B55)*Inputs!$B$5:$B$140*(((Inputs!$G$5:$G$140="moeda")+(Inputs!$G$5:$G$140="acoes"))*Inputs!$B$1+((Inputs!$G$5:$G$140&lt;&gt;"moeda")*(Inputs!$G$5:$G$140&lt;&gt;"acoes")))*INDEX(Inputs!$K$5:$AJ$140,0,MATCH(AE$2,Inputs!$K$4:$AJ$4,0)))+SUMPRODUCT((Inputs!$C$5:$C$140=$B55)*Inputs!$D$5:$D$140*(((Inputs!$G$5:$G$140="moeda")+(Inputs!$G$5:$G$140="acoes"))*Inputs!$B$1+((Inputs!$G$5:$G$140&lt;&gt;"moeda")*(Inputs!$G$5:$G$140&lt;&gt;"acoes")))*INDEX(Inputs!$K$5:$AJ$140,0,MATCH(AE$2,Inputs!$K$4:$AJ$4,0)))+SUMPRODUCT((Inputs!$E$5:$E$140=$B55)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55" s="263" t="e">
        <f>IF(ISNA(MATCH(AF$2,Inputs!$K$4:$AJ$4,0)),NA(),IF(SUMPRODUCT((Inputs!$A$5:$A$140=$B55)*ISNUMBER(INDEX(Inputs!$K$5:$AJ$140,0,MATCH(AF$2,Inputs!$K$4:$AJ$4,0))))+SUMPRODUCT((Inputs!$C$5:$C$140=$B55)*ISNUMBER(INDEX(Inputs!$K$5:$AJ$140,0,MATCH(AF$2,Inputs!$K$4:$AJ$4,0))))+SUMPRODUCT((Inputs!$E$5:$E$140=$B55)*ISNUMBER(INDEX(Inputs!$K$5:$AJ$140,0,MATCH(AF$2,Inputs!$K$4:$AJ$4,0))))=0,NA(),SUMPRODUCT((Inputs!$A$5:$A$140=$B55)*Inputs!$B$5:$B$140*(((Inputs!$G$5:$G$140="moeda")+(Inputs!$G$5:$G$140="acoes"))*Inputs!$B$1+((Inputs!$G$5:$G$140&lt;&gt;"moeda")*(Inputs!$G$5:$G$140&lt;&gt;"acoes")))*INDEX(Inputs!$K$5:$AJ$140,0,MATCH(AF$2,Inputs!$K$4:$AJ$4,0)))+SUMPRODUCT((Inputs!$C$5:$C$140=$B55)*Inputs!$D$5:$D$140*(((Inputs!$G$5:$G$140="moeda")+(Inputs!$G$5:$G$140="acoes"))*Inputs!$B$1+((Inputs!$G$5:$G$140&lt;&gt;"moeda")*(Inputs!$G$5:$G$140&lt;&gt;"acoes")))*INDEX(Inputs!$K$5:$AJ$140,0,MATCH(AF$2,Inputs!$K$4:$AJ$4,0)))+SUMPRODUCT((Inputs!$E$5:$E$140=$B55)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55" s="264" t="e">
        <f>SUM(AC55:AF55)</f>
        <v>#N/A</v>
      </c>
      <c r="AH55" s="263" t="e">
        <f>IF(ISNA(MATCH(AH$2,Inputs!$K$4:$AJ$4,0)),NA(),IF(SUMPRODUCT((Inputs!$A$5:$A$140=$B55)*ISNUMBER(INDEX(Inputs!$K$5:$AJ$140,0,MATCH(AH$2,Inputs!$K$4:$AJ$4,0))))+SUMPRODUCT((Inputs!$C$5:$C$140=$B55)*ISNUMBER(INDEX(Inputs!$K$5:$AJ$140,0,MATCH(AH$2,Inputs!$K$4:$AJ$4,0))))+SUMPRODUCT((Inputs!$E$5:$E$140=$B55)*ISNUMBER(INDEX(Inputs!$K$5:$AJ$140,0,MATCH(AH$2,Inputs!$K$4:$AJ$4,0))))=0,NA(),SUMPRODUCT((Inputs!$A$5:$A$140=$B55)*Inputs!$B$5:$B$140*(((Inputs!$G$5:$G$140="moeda")+(Inputs!$G$5:$G$140="acoes"))*Inputs!$B$1+((Inputs!$G$5:$G$140&lt;&gt;"moeda")*(Inputs!$G$5:$G$140&lt;&gt;"acoes")))*INDEX(Inputs!$K$5:$AJ$140,0,MATCH(AH$2,Inputs!$K$4:$AJ$4,0)))+SUMPRODUCT((Inputs!$C$5:$C$140=$B55)*Inputs!$D$5:$D$140*(((Inputs!$G$5:$G$140="moeda")+(Inputs!$G$5:$G$140="acoes"))*Inputs!$B$1+((Inputs!$G$5:$G$140&lt;&gt;"moeda")*(Inputs!$G$5:$G$140&lt;&gt;"acoes")))*INDEX(Inputs!$K$5:$AJ$140,0,MATCH(AH$2,Inputs!$K$4:$AJ$4,0)))+SUMPRODUCT((Inputs!$E$5:$E$140=$B55)*Inputs!$F$5:$F$140*(((Inputs!$G$5:$G$140="moeda")+(Inputs!$G$5:$G$140="acoes"))*Inputs!$B$1+((Inputs!$G$5:$G$140&lt;&gt;"moeda")*(Inputs!$G$5:$G$140&lt;&gt;"acoes")))*INDEX(Inputs!$K$5:$AJ$140,0,MATCH(AH$2,Inputs!$K$4:$AJ$4,0)))))</f>
        <v>#N/A</v>
      </c>
      <c r="AI55" s="263" t="e">
        <f>IF(ISNA(MATCH(AI$2,Inputs!$K$4:$AJ$4,0)),NA(),IF(SUMPRODUCT((Inputs!$A$5:$A$140=$B55)*ISNUMBER(INDEX(Inputs!$K$5:$AJ$140,0,MATCH(AI$2,Inputs!$K$4:$AJ$4,0))))+SUMPRODUCT((Inputs!$C$5:$C$140=$B55)*ISNUMBER(INDEX(Inputs!$K$5:$AJ$140,0,MATCH(AI$2,Inputs!$K$4:$AJ$4,0))))+SUMPRODUCT((Inputs!$E$5:$E$140=$B55)*ISNUMBER(INDEX(Inputs!$K$5:$AJ$140,0,MATCH(AI$2,Inputs!$K$4:$AJ$4,0))))=0,NA(),SUMPRODUCT((Inputs!$A$5:$A$140=$B55)*Inputs!$B$5:$B$140*(((Inputs!$G$5:$G$140="moeda")+(Inputs!$G$5:$G$140="acoes"))*Inputs!$B$1+((Inputs!$G$5:$G$140&lt;&gt;"moeda")*(Inputs!$G$5:$G$140&lt;&gt;"acoes")))*INDEX(Inputs!$K$5:$AJ$140,0,MATCH(AI$2,Inputs!$K$4:$AJ$4,0)))+SUMPRODUCT((Inputs!$C$5:$C$140=$B55)*Inputs!$D$5:$D$140*(((Inputs!$G$5:$G$140="moeda")+(Inputs!$G$5:$G$140="acoes"))*Inputs!$B$1+((Inputs!$G$5:$G$140&lt;&gt;"moeda")*(Inputs!$G$5:$G$140&lt;&gt;"acoes")))*INDEX(Inputs!$K$5:$AJ$140,0,MATCH(AI$2,Inputs!$K$4:$AJ$4,0)))+SUMPRODUCT((Inputs!$E$5:$E$140=$B55)*Inputs!$F$5:$F$140*(((Inputs!$G$5:$G$140="moeda")+(Inputs!$G$5:$G$140="acoes"))*Inputs!$B$1+((Inputs!$G$5:$G$140&lt;&gt;"moeda")*(Inputs!$G$5:$G$140&lt;&gt;"acoes")))*INDEX(Inputs!$K$5:$AJ$140,0,MATCH(AI$2,Inputs!$K$4:$AJ$4,0)))))</f>
        <v>#N/A</v>
      </c>
      <c r="AJ55" s="263" t="e">
        <f>IF(ISNA(MATCH(AJ$2,Inputs!$K$4:$AJ$4,0)),NA(),IF(SUMPRODUCT((Inputs!$A$5:$A$140=$B55)*ISNUMBER(INDEX(Inputs!$K$5:$AJ$140,0,MATCH(AJ$2,Inputs!$K$4:$AJ$4,0))))+SUMPRODUCT((Inputs!$C$5:$C$140=$B55)*ISNUMBER(INDEX(Inputs!$K$5:$AJ$140,0,MATCH(AJ$2,Inputs!$K$4:$AJ$4,0))))+SUMPRODUCT((Inputs!$E$5:$E$140=$B55)*ISNUMBER(INDEX(Inputs!$K$5:$AJ$140,0,MATCH(AJ$2,Inputs!$K$4:$AJ$4,0))))=0,NA(),SUMPRODUCT((Inputs!$A$5:$A$140=$B55)*Inputs!$B$5:$B$140*(((Inputs!$G$5:$G$140="moeda")+(Inputs!$G$5:$G$140="acoes"))*Inputs!$B$1+((Inputs!$G$5:$G$140&lt;&gt;"moeda")*(Inputs!$G$5:$G$140&lt;&gt;"acoes")))*INDEX(Inputs!$K$5:$AJ$140,0,MATCH(AJ$2,Inputs!$K$4:$AJ$4,0)))+SUMPRODUCT((Inputs!$C$5:$C$140=$B55)*Inputs!$D$5:$D$140*(((Inputs!$G$5:$G$140="moeda")+(Inputs!$G$5:$G$140="acoes"))*Inputs!$B$1+((Inputs!$G$5:$G$140&lt;&gt;"moeda")*(Inputs!$G$5:$G$140&lt;&gt;"acoes")))*INDEX(Inputs!$K$5:$AJ$140,0,MATCH(AJ$2,Inputs!$K$4:$AJ$4,0)))+SUMPRODUCT((Inputs!$E$5:$E$140=$B55)*Inputs!$F$5:$F$140*(((Inputs!$G$5:$G$140="moeda")+(Inputs!$G$5:$G$140="acoes"))*Inputs!$B$1+((Inputs!$G$5:$G$140&lt;&gt;"moeda")*(Inputs!$G$5:$G$140&lt;&gt;"acoes")))*INDEX(Inputs!$K$5:$AJ$140,0,MATCH(AJ$2,Inputs!$K$4:$AJ$4,0)))))</f>
        <v>#N/A</v>
      </c>
      <c r="AK55" s="263" t="e">
        <f>IF(ISNA(MATCH(AK$2,Inputs!$K$4:$AJ$4,0)),NA(),IF(SUMPRODUCT((Inputs!$A$5:$A$140=$B55)*ISNUMBER(INDEX(Inputs!$K$5:$AJ$140,0,MATCH(AK$2,Inputs!$K$4:$AJ$4,0))))+SUMPRODUCT((Inputs!$C$5:$C$140=$B55)*ISNUMBER(INDEX(Inputs!$K$5:$AJ$140,0,MATCH(AK$2,Inputs!$K$4:$AJ$4,0))))+SUMPRODUCT((Inputs!$E$5:$E$140=$B55)*ISNUMBER(INDEX(Inputs!$K$5:$AJ$140,0,MATCH(AK$2,Inputs!$K$4:$AJ$4,0))))=0,NA(),SUMPRODUCT((Inputs!$A$5:$A$140=$B55)*Inputs!$B$5:$B$140*(((Inputs!$G$5:$G$140="moeda")+(Inputs!$G$5:$G$140="acoes"))*Inputs!$B$1+((Inputs!$G$5:$G$140&lt;&gt;"moeda")*(Inputs!$G$5:$G$140&lt;&gt;"acoes")))*INDEX(Inputs!$K$5:$AJ$140,0,MATCH(AK$2,Inputs!$K$4:$AJ$4,0)))+SUMPRODUCT((Inputs!$C$5:$C$140=$B55)*Inputs!$D$5:$D$140*(((Inputs!$G$5:$G$140="moeda")+(Inputs!$G$5:$G$140="acoes"))*Inputs!$B$1+((Inputs!$G$5:$G$140&lt;&gt;"moeda")*(Inputs!$G$5:$G$140&lt;&gt;"acoes")))*INDEX(Inputs!$K$5:$AJ$140,0,MATCH(AK$2,Inputs!$K$4:$AJ$4,0)))+SUMPRODUCT((Inputs!$E$5:$E$140=$B55)*Inputs!$F$5:$F$140*(((Inputs!$G$5:$G$140="moeda")+(Inputs!$G$5:$G$140="acoes"))*Inputs!$B$1+((Inputs!$G$5:$G$140&lt;&gt;"moeda")*(Inputs!$G$5:$G$140&lt;&gt;"acoes")))*INDEX(Inputs!$K$5:$AJ$140,0,MATCH(AK$2,Inputs!$K$4:$AJ$4,0)))))</f>
        <v>#N/A</v>
      </c>
      <c r="AL55" s="264" t="e">
        <f>SUM(AH55:AK55)</f>
        <v>#N/A</v>
      </c>
    </row>
    <row r="56">
      <c r="B56" s="46" t="n">
        <v>48</v>
      </c>
      <c r="C56" s="29" t="inlineStr">
        <is>
          <t>Data Center - Hyperscale (USD; nova abertura do FY27, com 1T25 e 2T25 reapresentados)</t>
        </is>
      </c>
      <c r="D56" s="263" t="e">
        <f>IF(ISNA(MATCH(D$2,Inputs!$K$4:$AJ$4,0)),NA(),IF(SUMPRODUCT((Inputs!$A$5:$A$140=$B56)*ISNUMBER(INDEX(Inputs!$K$5:$AJ$140,0,MATCH(D$2,Inputs!$K$4:$AJ$4,0))))+SUMPRODUCT((Inputs!$C$5:$C$140=$B56)*ISNUMBER(INDEX(Inputs!$K$5:$AJ$140,0,MATCH(D$2,Inputs!$K$4:$AJ$4,0))))+SUMPRODUCT((Inputs!$E$5:$E$140=$B56)*ISNUMBER(INDEX(Inputs!$K$5:$AJ$140,0,MATCH(D$2,Inputs!$K$4:$AJ$4,0))))=0,NA(),SUMPRODUCT((Inputs!$A$5:$A$140=$B56)*Inputs!$B$5:$B$140*(((Inputs!$G$5:$G$140="moeda")+(Inputs!$G$5:$G$140="acoes"))*Inputs!$B$1+((Inputs!$G$5:$G$140&lt;&gt;"moeda")*(Inputs!$G$5:$G$140&lt;&gt;"acoes")))*INDEX(Inputs!$K$5:$AJ$140,0,MATCH(D$2,Inputs!$K$4:$AJ$4,0)))+SUMPRODUCT((Inputs!$C$5:$C$140=$B56)*Inputs!$D$5:$D$140*(((Inputs!$G$5:$G$140="moeda")+(Inputs!$G$5:$G$140="acoes"))*Inputs!$B$1+((Inputs!$G$5:$G$140&lt;&gt;"moeda")*(Inputs!$G$5:$G$140&lt;&gt;"acoes")))*INDEX(Inputs!$K$5:$AJ$140,0,MATCH(D$2,Inputs!$K$4:$AJ$4,0)))+SUMPRODUCT((Inputs!$E$5:$E$140=$B56)*Inputs!$F$5:$F$140*(((Inputs!$G$5:$G$140="moeda")+(Inputs!$G$5:$G$140="acoes"))*Inputs!$B$1+((Inputs!$G$5:$G$140&lt;&gt;"moeda")*(Inputs!$G$5:$G$140&lt;&gt;"acoes")))*INDEX(Inputs!$K$5:$AJ$140,0,MATCH(D$2,Inputs!$K$4:$AJ$4,0)))))</f>
        <v>#N/A</v>
      </c>
      <c r="E56" s="263" t="e">
        <f>IF(ISNA(MATCH(E$2,Inputs!$K$4:$AJ$4,0)),NA(),IF(SUMPRODUCT((Inputs!$A$5:$A$140=$B56)*ISNUMBER(INDEX(Inputs!$K$5:$AJ$140,0,MATCH(E$2,Inputs!$K$4:$AJ$4,0))))+SUMPRODUCT((Inputs!$C$5:$C$140=$B56)*ISNUMBER(INDEX(Inputs!$K$5:$AJ$140,0,MATCH(E$2,Inputs!$K$4:$AJ$4,0))))+SUMPRODUCT((Inputs!$E$5:$E$140=$B56)*ISNUMBER(INDEX(Inputs!$K$5:$AJ$140,0,MATCH(E$2,Inputs!$K$4:$AJ$4,0))))=0,NA(),SUMPRODUCT((Inputs!$A$5:$A$140=$B56)*Inputs!$B$5:$B$140*(((Inputs!$G$5:$G$140="moeda")+(Inputs!$G$5:$G$140="acoes"))*Inputs!$B$1+((Inputs!$G$5:$G$140&lt;&gt;"moeda")*(Inputs!$G$5:$G$140&lt;&gt;"acoes")))*INDEX(Inputs!$K$5:$AJ$140,0,MATCH(E$2,Inputs!$K$4:$AJ$4,0)))+SUMPRODUCT((Inputs!$C$5:$C$140=$B56)*Inputs!$D$5:$D$140*(((Inputs!$G$5:$G$140="moeda")+(Inputs!$G$5:$G$140="acoes"))*Inputs!$B$1+((Inputs!$G$5:$G$140&lt;&gt;"moeda")*(Inputs!$G$5:$G$140&lt;&gt;"acoes")))*INDEX(Inputs!$K$5:$AJ$140,0,MATCH(E$2,Inputs!$K$4:$AJ$4,0)))+SUMPRODUCT((Inputs!$E$5:$E$140=$B56)*Inputs!$F$5:$F$140*(((Inputs!$G$5:$G$140="moeda")+(Inputs!$G$5:$G$140="acoes"))*Inputs!$B$1+((Inputs!$G$5:$G$140&lt;&gt;"moeda")*(Inputs!$G$5:$G$140&lt;&gt;"acoes")))*INDEX(Inputs!$K$5:$AJ$140,0,MATCH(E$2,Inputs!$K$4:$AJ$4,0)))))</f>
        <v>#N/A</v>
      </c>
      <c r="F56" s="263" t="e">
        <f>IF(ISNA(MATCH(F$2,Inputs!$K$4:$AJ$4,0)),NA(),IF(SUMPRODUCT((Inputs!$A$5:$A$140=$B56)*ISNUMBER(INDEX(Inputs!$K$5:$AJ$140,0,MATCH(F$2,Inputs!$K$4:$AJ$4,0))))+SUMPRODUCT((Inputs!$C$5:$C$140=$B56)*ISNUMBER(INDEX(Inputs!$K$5:$AJ$140,0,MATCH(F$2,Inputs!$K$4:$AJ$4,0))))+SUMPRODUCT((Inputs!$E$5:$E$140=$B56)*ISNUMBER(INDEX(Inputs!$K$5:$AJ$140,0,MATCH(F$2,Inputs!$K$4:$AJ$4,0))))=0,NA(),SUMPRODUCT((Inputs!$A$5:$A$140=$B56)*Inputs!$B$5:$B$140*(((Inputs!$G$5:$G$140="moeda")+(Inputs!$G$5:$G$140="acoes"))*Inputs!$B$1+((Inputs!$G$5:$G$140&lt;&gt;"moeda")*(Inputs!$G$5:$G$140&lt;&gt;"acoes")))*INDEX(Inputs!$K$5:$AJ$140,0,MATCH(F$2,Inputs!$K$4:$AJ$4,0)))+SUMPRODUCT((Inputs!$C$5:$C$140=$B56)*Inputs!$D$5:$D$140*(((Inputs!$G$5:$G$140="moeda")+(Inputs!$G$5:$G$140="acoes"))*Inputs!$B$1+((Inputs!$G$5:$G$140&lt;&gt;"moeda")*(Inputs!$G$5:$G$140&lt;&gt;"acoes")))*INDEX(Inputs!$K$5:$AJ$140,0,MATCH(F$2,Inputs!$K$4:$AJ$4,0)))+SUMPRODUCT((Inputs!$E$5:$E$140=$B56)*Inputs!$F$5:$F$140*(((Inputs!$G$5:$G$140="moeda")+(Inputs!$G$5:$G$140="acoes"))*Inputs!$B$1+((Inputs!$G$5:$G$140&lt;&gt;"moeda")*(Inputs!$G$5:$G$140&lt;&gt;"acoes")))*INDEX(Inputs!$K$5:$AJ$140,0,MATCH(F$2,Inputs!$K$4:$AJ$4,0)))))</f>
        <v>#N/A</v>
      </c>
      <c r="G56" s="263" t="e">
        <f>IF(ISNA(MATCH(G$2,Inputs!$K$4:$AJ$4,0)),NA(),IF(SUMPRODUCT((Inputs!$A$5:$A$140=$B56)*ISNUMBER(INDEX(Inputs!$K$5:$AJ$140,0,MATCH(G$2,Inputs!$K$4:$AJ$4,0))))+SUMPRODUCT((Inputs!$C$5:$C$140=$B56)*ISNUMBER(INDEX(Inputs!$K$5:$AJ$140,0,MATCH(G$2,Inputs!$K$4:$AJ$4,0))))+SUMPRODUCT((Inputs!$E$5:$E$140=$B56)*ISNUMBER(INDEX(Inputs!$K$5:$AJ$140,0,MATCH(G$2,Inputs!$K$4:$AJ$4,0))))=0,NA(),SUMPRODUCT((Inputs!$A$5:$A$140=$B56)*Inputs!$B$5:$B$140*(((Inputs!$G$5:$G$140="moeda")+(Inputs!$G$5:$G$140="acoes"))*Inputs!$B$1+((Inputs!$G$5:$G$140&lt;&gt;"moeda")*(Inputs!$G$5:$G$140&lt;&gt;"acoes")))*INDEX(Inputs!$K$5:$AJ$140,0,MATCH(G$2,Inputs!$K$4:$AJ$4,0)))+SUMPRODUCT((Inputs!$C$5:$C$140=$B56)*Inputs!$D$5:$D$140*(((Inputs!$G$5:$G$140="moeda")+(Inputs!$G$5:$G$140="acoes"))*Inputs!$B$1+((Inputs!$G$5:$G$140&lt;&gt;"moeda")*(Inputs!$G$5:$G$140&lt;&gt;"acoes")))*INDEX(Inputs!$K$5:$AJ$140,0,MATCH(G$2,Inputs!$K$4:$AJ$4,0)))+SUMPRODUCT((Inputs!$E$5:$E$140=$B56)*Inputs!$F$5:$F$140*(((Inputs!$G$5:$G$140="moeda")+(Inputs!$G$5:$G$140="acoes"))*Inputs!$B$1+((Inputs!$G$5:$G$140&lt;&gt;"moeda")*(Inputs!$G$5:$G$140&lt;&gt;"acoes")))*INDEX(Inputs!$K$5:$AJ$140,0,MATCH(G$2,Inputs!$K$4:$AJ$4,0)))))</f>
        <v>#N/A</v>
      </c>
      <c r="H56" s="264" t="e">
        <f>SUM(D56:G56)</f>
        <v>#N/A</v>
      </c>
      <c r="I56" s="263" t="e">
        <f>IF(ISNA(MATCH(I$2,Inputs!$K$4:$AJ$4,0)),NA(),IF(SUMPRODUCT((Inputs!$A$5:$A$140=$B56)*ISNUMBER(INDEX(Inputs!$K$5:$AJ$140,0,MATCH(I$2,Inputs!$K$4:$AJ$4,0))))+SUMPRODUCT((Inputs!$C$5:$C$140=$B56)*ISNUMBER(INDEX(Inputs!$K$5:$AJ$140,0,MATCH(I$2,Inputs!$K$4:$AJ$4,0))))+SUMPRODUCT((Inputs!$E$5:$E$140=$B56)*ISNUMBER(INDEX(Inputs!$K$5:$AJ$140,0,MATCH(I$2,Inputs!$K$4:$AJ$4,0))))=0,NA(),SUMPRODUCT((Inputs!$A$5:$A$140=$B56)*Inputs!$B$5:$B$140*(((Inputs!$G$5:$G$140="moeda")+(Inputs!$G$5:$G$140="acoes"))*Inputs!$B$1+((Inputs!$G$5:$G$140&lt;&gt;"moeda")*(Inputs!$G$5:$G$140&lt;&gt;"acoes")))*INDEX(Inputs!$K$5:$AJ$140,0,MATCH(I$2,Inputs!$K$4:$AJ$4,0)))+SUMPRODUCT((Inputs!$C$5:$C$140=$B56)*Inputs!$D$5:$D$140*(((Inputs!$G$5:$G$140="moeda")+(Inputs!$G$5:$G$140="acoes"))*Inputs!$B$1+((Inputs!$G$5:$G$140&lt;&gt;"moeda")*(Inputs!$G$5:$G$140&lt;&gt;"acoes")))*INDEX(Inputs!$K$5:$AJ$140,0,MATCH(I$2,Inputs!$K$4:$AJ$4,0)))+SUMPRODUCT((Inputs!$E$5:$E$140=$B56)*Inputs!$F$5:$F$140*(((Inputs!$G$5:$G$140="moeda")+(Inputs!$G$5:$G$140="acoes"))*Inputs!$B$1+((Inputs!$G$5:$G$140&lt;&gt;"moeda")*(Inputs!$G$5:$G$140&lt;&gt;"acoes")))*INDEX(Inputs!$K$5:$AJ$140,0,MATCH(I$2,Inputs!$K$4:$AJ$4,0)))))</f>
        <v>#N/A</v>
      </c>
      <c r="J56" s="263" t="e">
        <f>IF(ISNA(MATCH(J$2,Inputs!$K$4:$AJ$4,0)),NA(),IF(SUMPRODUCT((Inputs!$A$5:$A$140=$B56)*ISNUMBER(INDEX(Inputs!$K$5:$AJ$140,0,MATCH(J$2,Inputs!$K$4:$AJ$4,0))))+SUMPRODUCT((Inputs!$C$5:$C$140=$B56)*ISNUMBER(INDEX(Inputs!$K$5:$AJ$140,0,MATCH(J$2,Inputs!$K$4:$AJ$4,0))))+SUMPRODUCT((Inputs!$E$5:$E$140=$B56)*ISNUMBER(INDEX(Inputs!$K$5:$AJ$140,0,MATCH(J$2,Inputs!$K$4:$AJ$4,0))))=0,NA(),SUMPRODUCT((Inputs!$A$5:$A$140=$B56)*Inputs!$B$5:$B$140*(((Inputs!$G$5:$G$140="moeda")+(Inputs!$G$5:$G$140="acoes"))*Inputs!$B$1+((Inputs!$G$5:$G$140&lt;&gt;"moeda")*(Inputs!$G$5:$G$140&lt;&gt;"acoes")))*INDEX(Inputs!$K$5:$AJ$140,0,MATCH(J$2,Inputs!$K$4:$AJ$4,0)))+SUMPRODUCT((Inputs!$C$5:$C$140=$B56)*Inputs!$D$5:$D$140*(((Inputs!$G$5:$G$140="moeda")+(Inputs!$G$5:$G$140="acoes"))*Inputs!$B$1+((Inputs!$G$5:$G$140&lt;&gt;"moeda")*(Inputs!$G$5:$G$140&lt;&gt;"acoes")))*INDEX(Inputs!$K$5:$AJ$140,0,MATCH(J$2,Inputs!$K$4:$AJ$4,0)))+SUMPRODUCT((Inputs!$E$5:$E$140=$B56)*Inputs!$F$5:$F$140*(((Inputs!$G$5:$G$140="moeda")+(Inputs!$G$5:$G$140="acoes"))*Inputs!$B$1+((Inputs!$G$5:$G$140&lt;&gt;"moeda")*(Inputs!$G$5:$G$140&lt;&gt;"acoes")))*INDEX(Inputs!$K$5:$AJ$140,0,MATCH(J$2,Inputs!$K$4:$AJ$4,0)))))</f>
        <v>#N/A</v>
      </c>
      <c r="K56" s="263" t="e">
        <f>IF(ISNA(MATCH(K$2,Inputs!$K$4:$AJ$4,0)),NA(),IF(SUMPRODUCT((Inputs!$A$5:$A$140=$B56)*ISNUMBER(INDEX(Inputs!$K$5:$AJ$140,0,MATCH(K$2,Inputs!$K$4:$AJ$4,0))))+SUMPRODUCT((Inputs!$C$5:$C$140=$B56)*ISNUMBER(INDEX(Inputs!$K$5:$AJ$140,0,MATCH(K$2,Inputs!$K$4:$AJ$4,0))))+SUMPRODUCT((Inputs!$E$5:$E$140=$B56)*ISNUMBER(INDEX(Inputs!$K$5:$AJ$140,0,MATCH(K$2,Inputs!$K$4:$AJ$4,0))))=0,NA(),SUMPRODUCT((Inputs!$A$5:$A$140=$B56)*Inputs!$B$5:$B$140*(((Inputs!$G$5:$G$140="moeda")+(Inputs!$G$5:$G$140="acoes"))*Inputs!$B$1+((Inputs!$G$5:$G$140&lt;&gt;"moeda")*(Inputs!$G$5:$G$140&lt;&gt;"acoes")))*INDEX(Inputs!$K$5:$AJ$140,0,MATCH(K$2,Inputs!$K$4:$AJ$4,0)))+SUMPRODUCT((Inputs!$C$5:$C$140=$B56)*Inputs!$D$5:$D$140*(((Inputs!$G$5:$G$140="moeda")+(Inputs!$G$5:$G$140="acoes"))*Inputs!$B$1+((Inputs!$G$5:$G$140&lt;&gt;"moeda")*(Inputs!$G$5:$G$140&lt;&gt;"acoes")))*INDEX(Inputs!$K$5:$AJ$140,0,MATCH(K$2,Inputs!$K$4:$AJ$4,0)))+SUMPRODUCT((Inputs!$E$5:$E$140=$B56)*Inputs!$F$5:$F$140*(((Inputs!$G$5:$G$140="moeda")+(Inputs!$G$5:$G$140="acoes"))*Inputs!$B$1+((Inputs!$G$5:$G$140&lt;&gt;"moeda")*(Inputs!$G$5:$G$140&lt;&gt;"acoes")))*INDEX(Inputs!$K$5:$AJ$140,0,MATCH(K$2,Inputs!$K$4:$AJ$4,0)))))</f>
        <v>#N/A</v>
      </c>
      <c r="L56" s="263" t="e">
        <f>IF(ISNA(MATCH(L$2,Inputs!$K$4:$AJ$4,0)),NA(),IF(SUMPRODUCT((Inputs!$A$5:$A$140=$B56)*ISNUMBER(INDEX(Inputs!$K$5:$AJ$140,0,MATCH(L$2,Inputs!$K$4:$AJ$4,0))))+SUMPRODUCT((Inputs!$C$5:$C$140=$B56)*ISNUMBER(INDEX(Inputs!$K$5:$AJ$140,0,MATCH(L$2,Inputs!$K$4:$AJ$4,0))))+SUMPRODUCT((Inputs!$E$5:$E$140=$B56)*ISNUMBER(INDEX(Inputs!$K$5:$AJ$140,0,MATCH(L$2,Inputs!$K$4:$AJ$4,0))))=0,NA(),SUMPRODUCT((Inputs!$A$5:$A$140=$B56)*Inputs!$B$5:$B$140*(((Inputs!$G$5:$G$140="moeda")+(Inputs!$G$5:$G$140="acoes"))*Inputs!$B$1+((Inputs!$G$5:$G$140&lt;&gt;"moeda")*(Inputs!$G$5:$G$140&lt;&gt;"acoes")))*INDEX(Inputs!$K$5:$AJ$140,0,MATCH(L$2,Inputs!$K$4:$AJ$4,0)))+SUMPRODUCT((Inputs!$C$5:$C$140=$B56)*Inputs!$D$5:$D$140*(((Inputs!$G$5:$G$140="moeda")+(Inputs!$G$5:$G$140="acoes"))*Inputs!$B$1+((Inputs!$G$5:$G$140&lt;&gt;"moeda")*(Inputs!$G$5:$G$140&lt;&gt;"acoes")))*INDEX(Inputs!$K$5:$AJ$140,0,MATCH(L$2,Inputs!$K$4:$AJ$4,0)))+SUMPRODUCT((Inputs!$E$5:$E$140=$B56)*Inputs!$F$5:$F$140*(((Inputs!$G$5:$G$140="moeda")+(Inputs!$G$5:$G$140="acoes"))*Inputs!$B$1+((Inputs!$G$5:$G$140&lt;&gt;"moeda")*(Inputs!$G$5:$G$140&lt;&gt;"acoes")))*INDEX(Inputs!$K$5:$AJ$140,0,MATCH(L$2,Inputs!$K$4:$AJ$4,0)))))</f>
        <v>#N/A</v>
      </c>
      <c r="M56" s="264" t="e">
        <f>SUM(I56:L56)</f>
        <v>#N/A</v>
      </c>
      <c r="N56" s="263" t="e">
        <f>IF(ISNA(MATCH(N$2,Inputs!$K$4:$AJ$4,0)),NA(),IF(SUMPRODUCT((Inputs!$A$5:$A$140=$B56)*ISNUMBER(INDEX(Inputs!$K$5:$AJ$140,0,MATCH(N$2,Inputs!$K$4:$AJ$4,0))))+SUMPRODUCT((Inputs!$C$5:$C$140=$B56)*ISNUMBER(INDEX(Inputs!$K$5:$AJ$140,0,MATCH(N$2,Inputs!$K$4:$AJ$4,0))))+SUMPRODUCT((Inputs!$E$5:$E$140=$B56)*ISNUMBER(INDEX(Inputs!$K$5:$AJ$140,0,MATCH(N$2,Inputs!$K$4:$AJ$4,0))))=0,NA(),SUMPRODUCT((Inputs!$A$5:$A$140=$B56)*Inputs!$B$5:$B$140*(((Inputs!$G$5:$G$140="moeda")+(Inputs!$G$5:$G$140="acoes"))*Inputs!$B$1+((Inputs!$G$5:$G$140&lt;&gt;"moeda")*(Inputs!$G$5:$G$140&lt;&gt;"acoes")))*INDEX(Inputs!$K$5:$AJ$140,0,MATCH(N$2,Inputs!$K$4:$AJ$4,0)))+SUMPRODUCT((Inputs!$C$5:$C$140=$B56)*Inputs!$D$5:$D$140*(((Inputs!$G$5:$G$140="moeda")+(Inputs!$G$5:$G$140="acoes"))*Inputs!$B$1+((Inputs!$G$5:$G$140&lt;&gt;"moeda")*(Inputs!$G$5:$G$140&lt;&gt;"acoes")))*INDEX(Inputs!$K$5:$AJ$140,0,MATCH(N$2,Inputs!$K$4:$AJ$4,0)))+SUMPRODUCT((Inputs!$E$5:$E$140=$B56)*Inputs!$F$5:$F$140*(((Inputs!$G$5:$G$140="moeda")+(Inputs!$G$5:$G$140="acoes"))*Inputs!$B$1+((Inputs!$G$5:$G$140&lt;&gt;"moeda")*(Inputs!$G$5:$G$140&lt;&gt;"acoes")))*INDEX(Inputs!$K$5:$AJ$140,0,MATCH(N$2,Inputs!$K$4:$AJ$4,0)))))</f>
        <v>#N/A</v>
      </c>
      <c r="O56" s="263" t="e">
        <f>IF(ISNA(MATCH(O$2,Inputs!$K$4:$AJ$4,0)),NA(),IF(SUMPRODUCT((Inputs!$A$5:$A$140=$B56)*ISNUMBER(INDEX(Inputs!$K$5:$AJ$140,0,MATCH(O$2,Inputs!$K$4:$AJ$4,0))))+SUMPRODUCT((Inputs!$C$5:$C$140=$B56)*ISNUMBER(INDEX(Inputs!$K$5:$AJ$140,0,MATCH(O$2,Inputs!$K$4:$AJ$4,0))))+SUMPRODUCT((Inputs!$E$5:$E$140=$B56)*ISNUMBER(INDEX(Inputs!$K$5:$AJ$140,0,MATCH(O$2,Inputs!$K$4:$AJ$4,0))))=0,NA(),SUMPRODUCT((Inputs!$A$5:$A$140=$B56)*Inputs!$B$5:$B$140*(((Inputs!$G$5:$G$140="moeda")+(Inputs!$G$5:$G$140="acoes"))*Inputs!$B$1+((Inputs!$G$5:$G$140&lt;&gt;"moeda")*(Inputs!$G$5:$G$140&lt;&gt;"acoes")))*INDEX(Inputs!$K$5:$AJ$140,0,MATCH(O$2,Inputs!$K$4:$AJ$4,0)))+SUMPRODUCT((Inputs!$C$5:$C$140=$B56)*Inputs!$D$5:$D$140*(((Inputs!$G$5:$G$140="moeda")+(Inputs!$G$5:$G$140="acoes"))*Inputs!$B$1+((Inputs!$G$5:$G$140&lt;&gt;"moeda")*(Inputs!$G$5:$G$140&lt;&gt;"acoes")))*INDEX(Inputs!$K$5:$AJ$140,0,MATCH(O$2,Inputs!$K$4:$AJ$4,0)))+SUMPRODUCT((Inputs!$E$5:$E$140=$B56)*Inputs!$F$5:$F$140*(((Inputs!$G$5:$G$140="moeda")+(Inputs!$G$5:$G$140="acoes"))*Inputs!$B$1+((Inputs!$G$5:$G$140&lt;&gt;"moeda")*(Inputs!$G$5:$G$140&lt;&gt;"acoes")))*INDEX(Inputs!$K$5:$AJ$140,0,MATCH(O$2,Inputs!$K$4:$AJ$4,0)))))</f>
        <v>#N/A</v>
      </c>
      <c r="P56" s="263" t="e">
        <f>IF(ISNA(MATCH(P$2,Inputs!$K$4:$AJ$4,0)),NA(),IF(SUMPRODUCT((Inputs!$A$5:$A$140=$B56)*ISNUMBER(INDEX(Inputs!$K$5:$AJ$140,0,MATCH(P$2,Inputs!$K$4:$AJ$4,0))))+SUMPRODUCT((Inputs!$C$5:$C$140=$B56)*ISNUMBER(INDEX(Inputs!$K$5:$AJ$140,0,MATCH(P$2,Inputs!$K$4:$AJ$4,0))))+SUMPRODUCT((Inputs!$E$5:$E$140=$B56)*ISNUMBER(INDEX(Inputs!$K$5:$AJ$140,0,MATCH(P$2,Inputs!$K$4:$AJ$4,0))))=0,NA(),SUMPRODUCT((Inputs!$A$5:$A$140=$B56)*Inputs!$B$5:$B$140*(((Inputs!$G$5:$G$140="moeda")+(Inputs!$G$5:$G$140="acoes"))*Inputs!$B$1+((Inputs!$G$5:$G$140&lt;&gt;"moeda")*(Inputs!$G$5:$G$140&lt;&gt;"acoes")))*INDEX(Inputs!$K$5:$AJ$140,0,MATCH(P$2,Inputs!$K$4:$AJ$4,0)))+SUMPRODUCT((Inputs!$C$5:$C$140=$B56)*Inputs!$D$5:$D$140*(((Inputs!$G$5:$G$140="moeda")+(Inputs!$G$5:$G$140="acoes"))*Inputs!$B$1+((Inputs!$G$5:$G$140&lt;&gt;"moeda")*(Inputs!$G$5:$G$140&lt;&gt;"acoes")))*INDEX(Inputs!$K$5:$AJ$140,0,MATCH(P$2,Inputs!$K$4:$AJ$4,0)))+SUMPRODUCT((Inputs!$E$5:$E$140=$B56)*Inputs!$F$5:$F$140*(((Inputs!$G$5:$G$140="moeda")+(Inputs!$G$5:$G$140="acoes"))*Inputs!$B$1+((Inputs!$G$5:$G$140&lt;&gt;"moeda")*(Inputs!$G$5:$G$140&lt;&gt;"acoes")))*INDEX(Inputs!$K$5:$AJ$140,0,MATCH(P$2,Inputs!$K$4:$AJ$4,0)))))</f>
        <v>#N/A</v>
      </c>
      <c r="Q56" s="263" t="e">
        <f>IF(ISNA(MATCH(Q$2,Inputs!$K$4:$AJ$4,0)),NA(),IF(SUMPRODUCT((Inputs!$A$5:$A$140=$B56)*ISNUMBER(INDEX(Inputs!$K$5:$AJ$140,0,MATCH(Q$2,Inputs!$K$4:$AJ$4,0))))+SUMPRODUCT((Inputs!$C$5:$C$140=$B56)*ISNUMBER(INDEX(Inputs!$K$5:$AJ$140,0,MATCH(Q$2,Inputs!$K$4:$AJ$4,0))))+SUMPRODUCT((Inputs!$E$5:$E$140=$B56)*ISNUMBER(INDEX(Inputs!$K$5:$AJ$140,0,MATCH(Q$2,Inputs!$K$4:$AJ$4,0))))=0,NA(),SUMPRODUCT((Inputs!$A$5:$A$140=$B56)*Inputs!$B$5:$B$140*(((Inputs!$G$5:$G$140="moeda")+(Inputs!$G$5:$G$140="acoes"))*Inputs!$B$1+((Inputs!$G$5:$G$140&lt;&gt;"moeda")*(Inputs!$G$5:$G$140&lt;&gt;"acoes")))*INDEX(Inputs!$K$5:$AJ$140,0,MATCH(Q$2,Inputs!$K$4:$AJ$4,0)))+SUMPRODUCT((Inputs!$C$5:$C$140=$B56)*Inputs!$D$5:$D$140*(((Inputs!$G$5:$G$140="moeda")+(Inputs!$G$5:$G$140="acoes"))*Inputs!$B$1+((Inputs!$G$5:$G$140&lt;&gt;"moeda")*(Inputs!$G$5:$G$140&lt;&gt;"acoes")))*INDEX(Inputs!$K$5:$AJ$140,0,MATCH(Q$2,Inputs!$K$4:$AJ$4,0)))+SUMPRODUCT((Inputs!$E$5:$E$140=$B56)*Inputs!$F$5:$F$140*(((Inputs!$G$5:$G$140="moeda")+(Inputs!$G$5:$G$140="acoes"))*Inputs!$B$1+((Inputs!$G$5:$G$140&lt;&gt;"moeda")*(Inputs!$G$5:$G$140&lt;&gt;"acoes")))*INDEX(Inputs!$K$5:$AJ$140,0,MATCH(Q$2,Inputs!$K$4:$AJ$4,0)))))</f>
        <v>#N/A</v>
      </c>
      <c r="R56" s="264" t="e">
        <f>SUM(N56:Q56)</f>
        <v>#N/A</v>
      </c>
      <c r="S56" s="263" t="e">
        <f>IF(ISNA(MATCH(S$2,Inputs!$K$4:$AJ$4,0)),NA(),IF(SUMPRODUCT((Inputs!$A$5:$A$140=$B56)*ISNUMBER(INDEX(Inputs!$K$5:$AJ$140,0,MATCH(S$2,Inputs!$K$4:$AJ$4,0))))+SUMPRODUCT((Inputs!$C$5:$C$140=$B56)*ISNUMBER(INDEX(Inputs!$K$5:$AJ$140,0,MATCH(S$2,Inputs!$K$4:$AJ$4,0))))+SUMPRODUCT((Inputs!$E$5:$E$140=$B56)*ISNUMBER(INDEX(Inputs!$K$5:$AJ$140,0,MATCH(S$2,Inputs!$K$4:$AJ$4,0))))=0,NA(),SUMPRODUCT((Inputs!$A$5:$A$140=$B56)*Inputs!$B$5:$B$140*(((Inputs!$G$5:$G$140="moeda")+(Inputs!$G$5:$G$140="acoes"))*Inputs!$B$1+((Inputs!$G$5:$G$140&lt;&gt;"moeda")*(Inputs!$G$5:$G$140&lt;&gt;"acoes")))*INDEX(Inputs!$K$5:$AJ$140,0,MATCH(S$2,Inputs!$K$4:$AJ$4,0)))+SUMPRODUCT((Inputs!$C$5:$C$140=$B56)*Inputs!$D$5:$D$140*(((Inputs!$G$5:$G$140="moeda")+(Inputs!$G$5:$G$140="acoes"))*Inputs!$B$1+((Inputs!$G$5:$G$140&lt;&gt;"moeda")*(Inputs!$G$5:$G$140&lt;&gt;"acoes")))*INDEX(Inputs!$K$5:$AJ$140,0,MATCH(S$2,Inputs!$K$4:$AJ$4,0)))+SUMPRODUCT((Inputs!$E$5:$E$140=$B56)*Inputs!$F$5:$F$140*(((Inputs!$G$5:$G$140="moeda")+(Inputs!$G$5:$G$140="acoes"))*Inputs!$B$1+((Inputs!$G$5:$G$140&lt;&gt;"moeda")*(Inputs!$G$5:$G$140&lt;&gt;"acoes")))*INDEX(Inputs!$K$5:$AJ$140,0,MATCH(S$2,Inputs!$K$4:$AJ$4,0)))))</f>
        <v>#N/A</v>
      </c>
      <c r="T56" s="263" t="e">
        <f>IF(ISNA(MATCH(T$2,Inputs!$K$4:$AJ$4,0)),NA(),IF(SUMPRODUCT((Inputs!$A$5:$A$140=$B56)*ISNUMBER(INDEX(Inputs!$K$5:$AJ$140,0,MATCH(T$2,Inputs!$K$4:$AJ$4,0))))+SUMPRODUCT((Inputs!$C$5:$C$140=$B56)*ISNUMBER(INDEX(Inputs!$K$5:$AJ$140,0,MATCH(T$2,Inputs!$K$4:$AJ$4,0))))+SUMPRODUCT((Inputs!$E$5:$E$140=$B56)*ISNUMBER(INDEX(Inputs!$K$5:$AJ$140,0,MATCH(T$2,Inputs!$K$4:$AJ$4,0))))=0,NA(),SUMPRODUCT((Inputs!$A$5:$A$140=$B56)*Inputs!$B$5:$B$140*(((Inputs!$G$5:$G$140="moeda")+(Inputs!$G$5:$G$140="acoes"))*Inputs!$B$1+((Inputs!$G$5:$G$140&lt;&gt;"moeda")*(Inputs!$G$5:$G$140&lt;&gt;"acoes")))*INDEX(Inputs!$K$5:$AJ$140,0,MATCH(T$2,Inputs!$K$4:$AJ$4,0)))+SUMPRODUCT((Inputs!$C$5:$C$140=$B56)*Inputs!$D$5:$D$140*(((Inputs!$G$5:$G$140="moeda")+(Inputs!$G$5:$G$140="acoes"))*Inputs!$B$1+((Inputs!$G$5:$G$140&lt;&gt;"moeda")*(Inputs!$G$5:$G$140&lt;&gt;"acoes")))*INDEX(Inputs!$K$5:$AJ$140,0,MATCH(T$2,Inputs!$K$4:$AJ$4,0)))+SUMPRODUCT((Inputs!$E$5:$E$140=$B56)*Inputs!$F$5:$F$140*(((Inputs!$G$5:$G$140="moeda")+(Inputs!$G$5:$G$140="acoes"))*Inputs!$B$1+((Inputs!$G$5:$G$140&lt;&gt;"moeda")*(Inputs!$G$5:$G$140&lt;&gt;"acoes")))*INDEX(Inputs!$K$5:$AJ$140,0,MATCH(T$2,Inputs!$K$4:$AJ$4,0)))))</f>
        <v>#N/A</v>
      </c>
      <c r="U56" s="263" t="e">
        <f>IF(ISNA(MATCH(U$2,Inputs!$K$4:$AJ$4,0)),NA(),IF(SUMPRODUCT((Inputs!$A$5:$A$140=$B56)*ISNUMBER(INDEX(Inputs!$K$5:$AJ$140,0,MATCH(U$2,Inputs!$K$4:$AJ$4,0))))+SUMPRODUCT((Inputs!$C$5:$C$140=$B56)*ISNUMBER(INDEX(Inputs!$K$5:$AJ$140,0,MATCH(U$2,Inputs!$K$4:$AJ$4,0))))+SUMPRODUCT((Inputs!$E$5:$E$140=$B56)*ISNUMBER(INDEX(Inputs!$K$5:$AJ$140,0,MATCH(U$2,Inputs!$K$4:$AJ$4,0))))=0,NA(),SUMPRODUCT((Inputs!$A$5:$A$140=$B56)*Inputs!$B$5:$B$140*(((Inputs!$G$5:$G$140="moeda")+(Inputs!$G$5:$G$140="acoes"))*Inputs!$B$1+((Inputs!$G$5:$G$140&lt;&gt;"moeda")*(Inputs!$G$5:$G$140&lt;&gt;"acoes")))*INDEX(Inputs!$K$5:$AJ$140,0,MATCH(U$2,Inputs!$K$4:$AJ$4,0)))+SUMPRODUCT((Inputs!$C$5:$C$140=$B56)*Inputs!$D$5:$D$140*(((Inputs!$G$5:$G$140="moeda")+(Inputs!$G$5:$G$140="acoes"))*Inputs!$B$1+((Inputs!$G$5:$G$140&lt;&gt;"moeda")*(Inputs!$G$5:$G$140&lt;&gt;"acoes")))*INDEX(Inputs!$K$5:$AJ$140,0,MATCH(U$2,Inputs!$K$4:$AJ$4,0)))+SUMPRODUCT((Inputs!$E$5:$E$140=$B56)*Inputs!$F$5:$F$140*(((Inputs!$G$5:$G$140="moeda")+(Inputs!$G$5:$G$140="acoes"))*Inputs!$B$1+((Inputs!$G$5:$G$140&lt;&gt;"moeda")*(Inputs!$G$5:$G$140&lt;&gt;"acoes")))*INDEX(Inputs!$K$5:$AJ$140,0,MATCH(U$2,Inputs!$K$4:$AJ$4,0)))))</f>
        <v>#N/A</v>
      </c>
      <c r="V56" s="263" t="e">
        <f>IF(ISNA(MATCH(V$2,Inputs!$K$4:$AJ$4,0)),NA(),IF(SUMPRODUCT((Inputs!$A$5:$A$140=$B56)*ISNUMBER(INDEX(Inputs!$K$5:$AJ$140,0,MATCH(V$2,Inputs!$K$4:$AJ$4,0))))+SUMPRODUCT((Inputs!$C$5:$C$140=$B56)*ISNUMBER(INDEX(Inputs!$K$5:$AJ$140,0,MATCH(V$2,Inputs!$K$4:$AJ$4,0))))+SUMPRODUCT((Inputs!$E$5:$E$140=$B56)*ISNUMBER(INDEX(Inputs!$K$5:$AJ$140,0,MATCH(V$2,Inputs!$K$4:$AJ$4,0))))=0,NA(),SUMPRODUCT((Inputs!$A$5:$A$140=$B56)*Inputs!$B$5:$B$140*(((Inputs!$G$5:$G$140="moeda")+(Inputs!$G$5:$G$140="acoes"))*Inputs!$B$1+((Inputs!$G$5:$G$140&lt;&gt;"moeda")*(Inputs!$G$5:$G$140&lt;&gt;"acoes")))*INDEX(Inputs!$K$5:$AJ$140,0,MATCH(V$2,Inputs!$K$4:$AJ$4,0)))+SUMPRODUCT((Inputs!$C$5:$C$140=$B56)*Inputs!$D$5:$D$140*(((Inputs!$G$5:$G$140="moeda")+(Inputs!$G$5:$G$140="acoes"))*Inputs!$B$1+((Inputs!$G$5:$G$140&lt;&gt;"moeda")*(Inputs!$G$5:$G$140&lt;&gt;"acoes")))*INDEX(Inputs!$K$5:$AJ$140,0,MATCH(V$2,Inputs!$K$4:$AJ$4,0)))+SUMPRODUCT((Inputs!$E$5:$E$140=$B56)*Inputs!$F$5:$F$140*(((Inputs!$G$5:$G$140="moeda")+(Inputs!$G$5:$G$140="acoes"))*Inputs!$B$1+((Inputs!$G$5:$G$140&lt;&gt;"moeda")*(Inputs!$G$5:$G$140&lt;&gt;"acoes")))*INDEX(Inputs!$K$5:$AJ$140,0,MATCH(V$2,Inputs!$K$4:$AJ$4,0)))))</f>
        <v>#N/A</v>
      </c>
      <c r="W56" s="264" t="e">
        <f>SUM(S56:V56)</f>
        <v>#N/A</v>
      </c>
      <c r="X56" s="263">
        <f>IF(ISNA(MATCH(X$2,Inputs!$K$4:$AJ$4,0)),NA(),IF(SUMPRODUCT((Inputs!$A$5:$A$140=$B56)*ISNUMBER(INDEX(Inputs!$K$5:$AJ$140,0,MATCH(X$2,Inputs!$K$4:$AJ$4,0))))+SUMPRODUCT((Inputs!$C$5:$C$140=$B56)*ISNUMBER(INDEX(Inputs!$K$5:$AJ$140,0,MATCH(X$2,Inputs!$K$4:$AJ$4,0))))+SUMPRODUCT((Inputs!$E$5:$E$140=$B56)*ISNUMBER(INDEX(Inputs!$K$5:$AJ$140,0,MATCH(X$2,Inputs!$K$4:$AJ$4,0))))=0,NA(),SUMPRODUCT((Inputs!$A$5:$A$140=$B56)*Inputs!$B$5:$B$140*(((Inputs!$G$5:$G$140="moeda")+(Inputs!$G$5:$G$140="acoes"))*Inputs!$B$1+((Inputs!$G$5:$G$140&lt;&gt;"moeda")*(Inputs!$G$5:$G$140&lt;&gt;"acoes")))*INDEX(Inputs!$K$5:$AJ$140,0,MATCH(X$2,Inputs!$K$4:$AJ$4,0)))+SUMPRODUCT((Inputs!$C$5:$C$140=$B56)*Inputs!$D$5:$D$140*(((Inputs!$G$5:$G$140="moeda")+(Inputs!$G$5:$G$140="acoes"))*Inputs!$B$1+((Inputs!$G$5:$G$140&lt;&gt;"moeda")*(Inputs!$G$5:$G$140&lt;&gt;"acoes")))*INDEX(Inputs!$K$5:$AJ$140,0,MATCH(X$2,Inputs!$K$4:$AJ$4,0)))+SUMPRODUCT((Inputs!$E$5:$E$140=$B56)*Inputs!$F$5:$F$140*(((Inputs!$G$5:$G$140="moeda")+(Inputs!$G$5:$G$140="acoes"))*Inputs!$B$1+((Inputs!$G$5:$G$140&lt;&gt;"moeda")*(Inputs!$G$5:$G$140&lt;&gt;"acoes")))*INDEX(Inputs!$K$5:$AJ$140,0,MATCH(X$2,Inputs!$K$4:$AJ$4,0)))))</f>
        <v>17599</v>
      </c>
      <c r="Y56" s="263">
        <f>IF(ISNA(MATCH(Y$2,Inputs!$K$4:$AJ$4,0)),NA(),IF(SUMPRODUCT((Inputs!$A$5:$A$140=$B56)*ISNUMBER(INDEX(Inputs!$K$5:$AJ$140,0,MATCH(Y$2,Inputs!$K$4:$AJ$4,0))))+SUMPRODUCT((Inputs!$C$5:$C$140=$B56)*ISNUMBER(INDEX(Inputs!$K$5:$AJ$140,0,MATCH(Y$2,Inputs!$K$4:$AJ$4,0))))+SUMPRODUCT((Inputs!$E$5:$E$140=$B56)*ISNUMBER(INDEX(Inputs!$K$5:$AJ$140,0,MATCH(Y$2,Inputs!$K$4:$AJ$4,0))))=0,NA(),SUMPRODUCT((Inputs!$A$5:$A$140=$B56)*Inputs!$B$5:$B$140*(((Inputs!$G$5:$G$140="moeda")+(Inputs!$G$5:$G$140="acoes"))*Inputs!$B$1+((Inputs!$G$5:$G$140&lt;&gt;"moeda")*(Inputs!$G$5:$G$140&lt;&gt;"acoes")))*INDEX(Inputs!$K$5:$AJ$140,0,MATCH(Y$2,Inputs!$K$4:$AJ$4,0)))+SUMPRODUCT((Inputs!$C$5:$C$140=$B56)*Inputs!$D$5:$D$140*(((Inputs!$G$5:$G$140="moeda")+(Inputs!$G$5:$G$140="acoes"))*Inputs!$B$1+((Inputs!$G$5:$G$140&lt;&gt;"moeda")*(Inputs!$G$5:$G$140&lt;&gt;"acoes")))*INDEX(Inputs!$K$5:$AJ$140,0,MATCH(Y$2,Inputs!$K$4:$AJ$4,0)))+SUMPRODUCT((Inputs!$E$5:$E$140=$B56)*Inputs!$F$5:$F$140*(((Inputs!$G$5:$G$140="moeda")+(Inputs!$G$5:$G$140="acoes"))*Inputs!$B$1+((Inputs!$G$5:$G$140&lt;&gt;"moeda")*(Inputs!$G$5:$G$140&lt;&gt;"acoes")))*INDEX(Inputs!$K$5:$AJ$140,0,MATCH(Y$2,Inputs!$K$4:$AJ$4,0)))))</f>
        <v>24168</v>
      </c>
      <c r="Z56" s="263" t="e">
        <f>IF(ISNA(MATCH(Z$2,Inputs!$K$4:$AJ$4,0)),NA(),IF(SUMPRODUCT((Inputs!$A$5:$A$140=$B56)*ISNUMBER(INDEX(Inputs!$K$5:$AJ$140,0,MATCH(Z$2,Inputs!$K$4:$AJ$4,0))))+SUMPRODUCT((Inputs!$C$5:$C$140=$B56)*ISNUMBER(INDEX(Inputs!$K$5:$AJ$140,0,MATCH(Z$2,Inputs!$K$4:$AJ$4,0))))+SUMPRODUCT((Inputs!$E$5:$E$140=$B56)*ISNUMBER(INDEX(Inputs!$K$5:$AJ$140,0,MATCH(Z$2,Inputs!$K$4:$AJ$4,0))))=0,NA(),SUMPRODUCT((Inputs!$A$5:$A$140=$B56)*Inputs!$B$5:$B$140*(((Inputs!$G$5:$G$140="moeda")+(Inputs!$G$5:$G$140="acoes"))*Inputs!$B$1+((Inputs!$G$5:$G$140&lt;&gt;"moeda")*(Inputs!$G$5:$G$140&lt;&gt;"acoes")))*INDEX(Inputs!$K$5:$AJ$140,0,MATCH(Z$2,Inputs!$K$4:$AJ$4,0)))+SUMPRODUCT((Inputs!$C$5:$C$140=$B56)*Inputs!$D$5:$D$140*(((Inputs!$G$5:$G$140="moeda")+(Inputs!$G$5:$G$140="acoes"))*Inputs!$B$1+((Inputs!$G$5:$G$140&lt;&gt;"moeda")*(Inputs!$G$5:$G$140&lt;&gt;"acoes")))*INDEX(Inputs!$K$5:$AJ$140,0,MATCH(Z$2,Inputs!$K$4:$AJ$4,0)))+SUMPRODUCT((Inputs!$E$5:$E$140=$B56)*Inputs!$F$5:$F$140*(((Inputs!$G$5:$G$140="moeda")+(Inputs!$G$5:$G$140="acoes"))*Inputs!$B$1+((Inputs!$G$5:$G$140&lt;&gt;"moeda")*(Inputs!$G$5:$G$140&lt;&gt;"acoes")))*INDEX(Inputs!$K$5:$AJ$140,0,MATCH(Z$2,Inputs!$K$4:$AJ$4,0)))))</f>
        <v>#N/A</v>
      </c>
      <c r="AA56" s="263" t="e">
        <f>IF(ISNA(MATCH(AA$2,Inputs!$K$4:$AJ$4,0)),NA(),IF(SUMPRODUCT((Inputs!$A$5:$A$140=$B56)*ISNUMBER(INDEX(Inputs!$K$5:$AJ$140,0,MATCH(AA$2,Inputs!$K$4:$AJ$4,0))))+SUMPRODUCT((Inputs!$C$5:$C$140=$B56)*ISNUMBER(INDEX(Inputs!$K$5:$AJ$140,0,MATCH(AA$2,Inputs!$K$4:$AJ$4,0))))+SUMPRODUCT((Inputs!$E$5:$E$140=$B56)*ISNUMBER(INDEX(Inputs!$K$5:$AJ$140,0,MATCH(AA$2,Inputs!$K$4:$AJ$4,0))))=0,NA(),SUMPRODUCT((Inputs!$A$5:$A$140=$B56)*Inputs!$B$5:$B$140*(((Inputs!$G$5:$G$140="moeda")+(Inputs!$G$5:$G$140="acoes"))*Inputs!$B$1+((Inputs!$G$5:$G$140&lt;&gt;"moeda")*(Inputs!$G$5:$G$140&lt;&gt;"acoes")))*INDEX(Inputs!$K$5:$AJ$140,0,MATCH(AA$2,Inputs!$K$4:$AJ$4,0)))+SUMPRODUCT((Inputs!$C$5:$C$140=$B56)*Inputs!$D$5:$D$140*(((Inputs!$G$5:$G$140="moeda")+(Inputs!$G$5:$G$140="acoes"))*Inputs!$B$1+((Inputs!$G$5:$G$140&lt;&gt;"moeda")*(Inputs!$G$5:$G$140&lt;&gt;"acoes")))*INDEX(Inputs!$K$5:$AJ$140,0,MATCH(AA$2,Inputs!$K$4:$AJ$4,0)))+SUMPRODUCT((Inputs!$E$5:$E$140=$B56)*Inputs!$F$5:$F$140*(((Inputs!$G$5:$G$140="moeda")+(Inputs!$G$5:$G$140="acoes"))*Inputs!$B$1+((Inputs!$G$5:$G$140&lt;&gt;"moeda")*(Inputs!$G$5:$G$140&lt;&gt;"acoes")))*INDEX(Inputs!$K$5:$AJ$140,0,MATCH(AA$2,Inputs!$K$4:$AJ$4,0)))))</f>
        <v>#N/A</v>
      </c>
      <c r="AB56" s="264" t="e">
        <f>SUM(X56:AA56)</f>
        <v>#N/A</v>
      </c>
      <c r="AC56" s="263">
        <f>IF(ISNA(MATCH(AC$2,Inputs!$K$4:$AJ$4,0)),NA(),IF(SUMPRODUCT((Inputs!$A$5:$A$140=$B56)*ISNUMBER(INDEX(Inputs!$K$5:$AJ$140,0,MATCH(AC$2,Inputs!$K$4:$AJ$4,0))))+SUMPRODUCT((Inputs!$C$5:$C$140=$B56)*ISNUMBER(INDEX(Inputs!$K$5:$AJ$140,0,MATCH(AC$2,Inputs!$K$4:$AJ$4,0))))+SUMPRODUCT((Inputs!$E$5:$E$140=$B56)*ISNUMBER(INDEX(Inputs!$K$5:$AJ$140,0,MATCH(AC$2,Inputs!$K$4:$AJ$4,0))))=0,NA(),SUMPRODUCT((Inputs!$A$5:$A$140=$B56)*Inputs!$B$5:$B$140*(((Inputs!$G$5:$G$140="moeda")+(Inputs!$G$5:$G$140="acoes"))*Inputs!$B$1+((Inputs!$G$5:$G$140&lt;&gt;"moeda")*(Inputs!$G$5:$G$140&lt;&gt;"acoes")))*INDEX(Inputs!$K$5:$AJ$140,0,MATCH(AC$2,Inputs!$K$4:$AJ$4,0)))+SUMPRODUCT((Inputs!$C$5:$C$140=$B56)*Inputs!$D$5:$D$140*(((Inputs!$G$5:$G$140="moeda")+(Inputs!$G$5:$G$140="acoes"))*Inputs!$B$1+((Inputs!$G$5:$G$140&lt;&gt;"moeda")*(Inputs!$G$5:$G$140&lt;&gt;"acoes")))*INDEX(Inputs!$K$5:$AJ$140,0,MATCH(AC$2,Inputs!$K$4:$AJ$4,0)))+SUMPRODUCT((Inputs!$E$5:$E$140=$B56)*Inputs!$F$5:$F$140*(((Inputs!$G$5:$G$140="moeda")+(Inputs!$G$5:$G$140="acoes"))*Inputs!$B$1+((Inputs!$G$5:$G$140&lt;&gt;"moeda")*(Inputs!$G$5:$G$140&lt;&gt;"acoes")))*INDEX(Inputs!$K$5:$AJ$140,0,MATCH(AC$2,Inputs!$K$4:$AJ$4,0)))))</f>
        <v>37869</v>
      </c>
      <c r="AD56" s="263">
        <f>IF(ISNA(MATCH(AD$2,Inputs!$K$4:$AJ$4,0)),NA(),IF(SUMPRODUCT((Inputs!$A$5:$A$140=$B56)*ISNUMBER(INDEX(Inputs!$K$5:$AJ$140,0,MATCH(AD$2,Inputs!$K$4:$AJ$4,0))))+SUMPRODUCT((Inputs!$C$5:$C$140=$B56)*ISNUMBER(INDEX(Inputs!$K$5:$AJ$140,0,MATCH(AD$2,Inputs!$K$4:$AJ$4,0))))+SUMPRODUCT((Inputs!$E$5:$E$140=$B56)*ISNUMBER(INDEX(Inputs!$K$5:$AJ$140,0,MATCH(AD$2,Inputs!$K$4:$AJ$4,0))))=0,NA(),SUMPRODUCT((Inputs!$A$5:$A$140=$B56)*Inputs!$B$5:$B$140*(((Inputs!$G$5:$G$140="moeda")+(Inputs!$G$5:$G$140="acoes"))*Inputs!$B$1+((Inputs!$G$5:$G$140&lt;&gt;"moeda")*(Inputs!$G$5:$G$140&lt;&gt;"acoes")))*INDEX(Inputs!$K$5:$AJ$140,0,MATCH(AD$2,Inputs!$K$4:$AJ$4,0)))+SUMPRODUCT((Inputs!$C$5:$C$140=$B56)*Inputs!$D$5:$D$140*(((Inputs!$G$5:$G$140="moeda")+(Inputs!$G$5:$G$140="acoes"))*Inputs!$B$1+((Inputs!$G$5:$G$140&lt;&gt;"moeda")*(Inputs!$G$5:$G$140&lt;&gt;"acoes")))*INDEX(Inputs!$K$5:$AJ$140,0,MATCH(AD$2,Inputs!$K$4:$AJ$4,0)))+SUMPRODUCT((Inputs!$E$5:$E$140=$B56)*Inputs!$F$5:$F$140*(((Inputs!$G$5:$G$140="moeda")+(Inputs!$G$5:$G$140="acoes"))*Inputs!$B$1+((Inputs!$G$5:$G$140&lt;&gt;"moeda")*(Inputs!$G$5:$G$140&lt;&gt;"acoes")))*INDEX(Inputs!$K$5:$AJ$140,0,MATCH(AD$2,Inputs!$K$4:$AJ$4,0)))))</f>
        <v>48710</v>
      </c>
      <c r="AE56" s="263" t="e">
        <f>IF(ISNA(MATCH(AE$2,Inputs!$K$4:$AJ$4,0)),NA(),IF(SUMPRODUCT((Inputs!$A$5:$A$140=$B56)*ISNUMBER(INDEX(Inputs!$K$5:$AJ$140,0,MATCH(AE$2,Inputs!$K$4:$AJ$4,0))))+SUMPRODUCT((Inputs!$C$5:$C$140=$B56)*ISNUMBER(INDEX(Inputs!$K$5:$AJ$140,0,MATCH(AE$2,Inputs!$K$4:$AJ$4,0))))+SUMPRODUCT((Inputs!$E$5:$E$140=$B56)*ISNUMBER(INDEX(Inputs!$K$5:$AJ$140,0,MATCH(AE$2,Inputs!$K$4:$AJ$4,0))))=0,NA(),SUMPRODUCT((Inputs!$A$5:$A$140=$B56)*Inputs!$B$5:$B$140*(((Inputs!$G$5:$G$140="moeda")+(Inputs!$G$5:$G$140="acoes"))*Inputs!$B$1+((Inputs!$G$5:$G$140&lt;&gt;"moeda")*(Inputs!$G$5:$G$140&lt;&gt;"acoes")))*INDEX(Inputs!$K$5:$AJ$140,0,MATCH(AE$2,Inputs!$K$4:$AJ$4,0)))+SUMPRODUCT((Inputs!$C$5:$C$140=$B56)*Inputs!$D$5:$D$140*(((Inputs!$G$5:$G$140="moeda")+(Inputs!$G$5:$G$140="acoes"))*Inputs!$B$1+((Inputs!$G$5:$G$140&lt;&gt;"moeda")*(Inputs!$G$5:$G$140&lt;&gt;"acoes")))*INDEX(Inputs!$K$5:$AJ$140,0,MATCH(AE$2,Inputs!$K$4:$AJ$4,0)))+SUMPRODUCT((Inputs!$E$5:$E$140=$B56)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56" s="263" t="e">
        <f>IF(ISNA(MATCH(AF$2,Inputs!$K$4:$AJ$4,0)),NA(),IF(SUMPRODUCT((Inputs!$A$5:$A$140=$B56)*ISNUMBER(INDEX(Inputs!$K$5:$AJ$140,0,MATCH(AF$2,Inputs!$K$4:$AJ$4,0))))+SUMPRODUCT((Inputs!$C$5:$C$140=$B56)*ISNUMBER(INDEX(Inputs!$K$5:$AJ$140,0,MATCH(AF$2,Inputs!$K$4:$AJ$4,0))))+SUMPRODUCT((Inputs!$E$5:$E$140=$B56)*ISNUMBER(INDEX(Inputs!$K$5:$AJ$140,0,MATCH(AF$2,Inputs!$K$4:$AJ$4,0))))=0,NA(),SUMPRODUCT((Inputs!$A$5:$A$140=$B56)*Inputs!$B$5:$B$140*(((Inputs!$G$5:$G$140="moeda")+(Inputs!$G$5:$G$140="acoes"))*Inputs!$B$1+((Inputs!$G$5:$G$140&lt;&gt;"moeda")*(Inputs!$G$5:$G$140&lt;&gt;"acoes")))*INDEX(Inputs!$K$5:$AJ$140,0,MATCH(AF$2,Inputs!$K$4:$AJ$4,0)))+SUMPRODUCT((Inputs!$C$5:$C$140=$B56)*Inputs!$D$5:$D$140*(((Inputs!$G$5:$G$140="moeda")+(Inputs!$G$5:$G$140="acoes"))*Inputs!$B$1+((Inputs!$G$5:$G$140&lt;&gt;"moeda")*(Inputs!$G$5:$G$140&lt;&gt;"acoes")))*INDEX(Inputs!$K$5:$AJ$140,0,MATCH(AF$2,Inputs!$K$4:$AJ$4,0)))+SUMPRODUCT((Inputs!$E$5:$E$140=$B56)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56" s="264" t="e">
        <f>SUM(AC56:AF56)</f>
        <v>#N/A</v>
      </c>
      <c r="AH56" s="263" t="e">
        <f>IF(ISNA(MATCH(AH$2,Inputs!$K$4:$AJ$4,0)),NA(),IF(SUMPRODUCT((Inputs!$A$5:$A$140=$B56)*ISNUMBER(INDEX(Inputs!$K$5:$AJ$140,0,MATCH(AH$2,Inputs!$K$4:$AJ$4,0))))+SUMPRODUCT((Inputs!$C$5:$C$140=$B56)*ISNUMBER(INDEX(Inputs!$K$5:$AJ$140,0,MATCH(AH$2,Inputs!$K$4:$AJ$4,0))))+SUMPRODUCT((Inputs!$E$5:$E$140=$B56)*ISNUMBER(INDEX(Inputs!$K$5:$AJ$140,0,MATCH(AH$2,Inputs!$K$4:$AJ$4,0))))=0,NA(),SUMPRODUCT((Inputs!$A$5:$A$140=$B56)*Inputs!$B$5:$B$140*(((Inputs!$G$5:$G$140="moeda")+(Inputs!$G$5:$G$140="acoes"))*Inputs!$B$1+((Inputs!$G$5:$G$140&lt;&gt;"moeda")*(Inputs!$G$5:$G$140&lt;&gt;"acoes")))*INDEX(Inputs!$K$5:$AJ$140,0,MATCH(AH$2,Inputs!$K$4:$AJ$4,0)))+SUMPRODUCT((Inputs!$C$5:$C$140=$B56)*Inputs!$D$5:$D$140*(((Inputs!$G$5:$G$140="moeda")+(Inputs!$G$5:$G$140="acoes"))*Inputs!$B$1+((Inputs!$G$5:$G$140&lt;&gt;"moeda")*(Inputs!$G$5:$G$140&lt;&gt;"acoes")))*INDEX(Inputs!$K$5:$AJ$140,0,MATCH(AH$2,Inputs!$K$4:$AJ$4,0)))+SUMPRODUCT((Inputs!$E$5:$E$140=$B56)*Inputs!$F$5:$F$140*(((Inputs!$G$5:$G$140="moeda")+(Inputs!$G$5:$G$140="acoes"))*Inputs!$B$1+((Inputs!$G$5:$G$140&lt;&gt;"moeda")*(Inputs!$G$5:$G$140&lt;&gt;"acoes")))*INDEX(Inputs!$K$5:$AJ$140,0,MATCH(AH$2,Inputs!$K$4:$AJ$4,0)))))</f>
        <v>#N/A</v>
      </c>
      <c r="AI56" s="263" t="e">
        <f>IF(ISNA(MATCH(AI$2,Inputs!$K$4:$AJ$4,0)),NA(),IF(SUMPRODUCT((Inputs!$A$5:$A$140=$B56)*ISNUMBER(INDEX(Inputs!$K$5:$AJ$140,0,MATCH(AI$2,Inputs!$K$4:$AJ$4,0))))+SUMPRODUCT((Inputs!$C$5:$C$140=$B56)*ISNUMBER(INDEX(Inputs!$K$5:$AJ$140,0,MATCH(AI$2,Inputs!$K$4:$AJ$4,0))))+SUMPRODUCT((Inputs!$E$5:$E$140=$B56)*ISNUMBER(INDEX(Inputs!$K$5:$AJ$140,0,MATCH(AI$2,Inputs!$K$4:$AJ$4,0))))=0,NA(),SUMPRODUCT((Inputs!$A$5:$A$140=$B56)*Inputs!$B$5:$B$140*(((Inputs!$G$5:$G$140="moeda")+(Inputs!$G$5:$G$140="acoes"))*Inputs!$B$1+((Inputs!$G$5:$G$140&lt;&gt;"moeda")*(Inputs!$G$5:$G$140&lt;&gt;"acoes")))*INDEX(Inputs!$K$5:$AJ$140,0,MATCH(AI$2,Inputs!$K$4:$AJ$4,0)))+SUMPRODUCT((Inputs!$C$5:$C$140=$B56)*Inputs!$D$5:$D$140*(((Inputs!$G$5:$G$140="moeda")+(Inputs!$G$5:$G$140="acoes"))*Inputs!$B$1+((Inputs!$G$5:$G$140&lt;&gt;"moeda")*(Inputs!$G$5:$G$140&lt;&gt;"acoes")))*INDEX(Inputs!$K$5:$AJ$140,0,MATCH(AI$2,Inputs!$K$4:$AJ$4,0)))+SUMPRODUCT((Inputs!$E$5:$E$140=$B56)*Inputs!$F$5:$F$140*(((Inputs!$G$5:$G$140="moeda")+(Inputs!$G$5:$G$140="acoes"))*Inputs!$B$1+((Inputs!$G$5:$G$140&lt;&gt;"moeda")*(Inputs!$G$5:$G$140&lt;&gt;"acoes")))*INDEX(Inputs!$K$5:$AJ$140,0,MATCH(AI$2,Inputs!$K$4:$AJ$4,0)))))</f>
        <v>#N/A</v>
      </c>
      <c r="AJ56" s="263" t="e">
        <f>IF(ISNA(MATCH(AJ$2,Inputs!$K$4:$AJ$4,0)),NA(),IF(SUMPRODUCT((Inputs!$A$5:$A$140=$B56)*ISNUMBER(INDEX(Inputs!$K$5:$AJ$140,0,MATCH(AJ$2,Inputs!$K$4:$AJ$4,0))))+SUMPRODUCT((Inputs!$C$5:$C$140=$B56)*ISNUMBER(INDEX(Inputs!$K$5:$AJ$140,0,MATCH(AJ$2,Inputs!$K$4:$AJ$4,0))))+SUMPRODUCT((Inputs!$E$5:$E$140=$B56)*ISNUMBER(INDEX(Inputs!$K$5:$AJ$140,0,MATCH(AJ$2,Inputs!$K$4:$AJ$4,0))))=0,NA(),SUMPRODUCT((Inputs!$A$5:$A$140=$B56)*Inputs!$B$5:$B$140*(((Inputs!$G$5:$G$140="moeda")+(Inputs!$G$5:$G$140="acoes"))*Inputs!$B$1+((Inputs!$G$5:$G$140&lt;&gt;"moeda")*(Inputs!$G$5:$G$140&lt;&gt;"acoes")))*INDEX(Inputs!$K$5:$AJ$140,0,MATCH(AJ$2,Inputs!$K$4:$AJ$4,0)))+SUMPRODUCT((Inputs!$C$5:$C$140=$B56)*Inputs!$D$5:$D$140*(((Inputs!$G$5:$G$140="moeda")+(Inputs!$G$5:$G$140="acoes"))*Inputs!$B$1+((Inputs!$G$5:$G$140&lt;&gt;"moeda")*(Inputs!$G$5:$G$140&lt;&gt;"acoes")))*INDEX(Inputs!$K$5:$AJ$140,0,MATCH(AJ$2,Inputs!$K$4:$AJ$4,0)))+SUMPRODUCT((Inputs!$E$5:$E$140=$B56)*Inputs!$F$5:$F$140*(((Inputs!$G$5:$G$140="moeda")+(Inputs!$G$5:$G$140="acoes"))*Inputs!$B$1+((Inputs!$G$5:$G$140&lt;&gt;"moeda")*(Inputs!$G$5:$G$140&lt;&gt;"acoes")))*INDEX(Inputs!$K$5:$AJ$140,0,MATCH(AJ$2,Inputs!$K$4:$AJ$4,0)))))</f>
        <v>#N/A</v>
      </c>
      <c r="AK56" s="263" t="e">
        <f>IF(ISNA(MATCH(AK$2,Inputs!$K$4:$AJ$4,0)),NA(),IF(SUMPRODUCT((Inputs!$A$5:$A$140=$B56)*ISNUMBER(INDEX(Inputs!$K$5:$AJ$140,0,MATCH(AK$2,Inputs!$K$4:$AJ$4,0))))+SUMPRODUCT((Inputs!$C$5:$C$140=$B56)*ISNUMBER(INDEX(Inputs!$K$5:$AJ$140,0,MATCH(AK$2,Inputs!$K$4:$AJ$4,0))))+SUMPRODUCT((Inputs!$E$5:$E$140=$B56)*ISNUMBER(INDEX(Inputs!$K$5:$AJ$140,0,MATCH(AK$2,Inputs!$K$4:$AJ$4,0))))=0,NA(),SUMPRODUCT((Inputs!$A$5:$A$140=$B56)*Inputs!$B$5:$B$140*(((Inputs!$G$5:$G$140="moeda")+(Inputs!$G$5:$G$140="acoes"))*Inputs!$B$1+((Inputs!$G$5:$G$140&lt;&gt;"moeda")*(Inputs!$G$5:$G$140&lt;&gt;"acoes")))*INDEX(Inputs!$K$5:$AJ$140,0,MATCH(AK$2,Inputs!$K$4:$AJ$4,0)))+SUMPRODUCT((Inputs!$C$5:$C$140=$B56)*Inputs!$D$5:$D$140*(((Inputs!$G$5:$G$140="moeda")+(Inputs!$G$5:$G$140="acoes"))*Inputs!$B$1+((Inputs!$G$5:$G$140&lt;&gt;"moeda")*(Inputs!$G$5:$G$140&lt;&gt;"acoes")))*INDEX(Inputs!$K$5:$AJ$140,0,MATCH(AK$2,Inputs!$K$4:$AJ$4,0)))+SUMPRODUCT((Inputs!$E$5:$E$140=$B56)*Inputs!$F$5:$F$140*(((Inputs!$G$5:$G$140="moeda")+(Inputs!$G$5:$G$140="acoes"))*Inputs!$B$1+((Inputs!$G$5:$G$140&lt;&gt;"moeda")*(Inputs!$G$5:$G$140&lt;&gt;"acoes")))*INDEX(Inputs!$K$5:$AJ$140,0,MATCH(AK$2,Inputs!$K$4:$AJ$4,0)))))</f>
        <v>#N/A</v>
      </c>
      <c r="AL56" s="264" t="e">
        <f>SUM(AH56:AK56)</f>
        <v>#N/A</v>
      </c>
    </row>
    <row r="57">
      <c r="B57" s="46" t="n">
        <v>49</v>
      </c>
      <c r="C57" s="29" t="inlineStr">
        <is>
          <t>Data Center - AI Clouds, Industrial &amp; Enterprise (USD; nova abertura do FY27)</t>
        </is>
      </c>
      <c r="D57" s="263" t="e">
        <f>IF(ISNA(MATCH(D$2,Inputs!$K$4:$AJ$4,0)),NA(),IF(SUMPRODUCT((Inputs!$A$5:$A$140=$B57)*ISNUMBER(INDEX(Inputs!$K$5:$AJ$140,0,MATCH(D$2,Inputs!$K$4:$AJ$4,0))))+SUMPRODUCT((Inputs!$C$5:$C$140=$B57)*ISNUMBER(INDEX(Inputs!$K$5:$AJ$140,0,MATCH(D$2,Inputs!$K$4:$AJ$4,0))))+SUMPRODUCT((Inputs!$E$5:$E$140=$B57)*ISNUMBER(INDEX(Inputs!$K$5:$AJ$140,0,MATCH(D$2,Inputs!$K$4:$AJ$4,0))))=0,NA(),SUMPRODUCT((Inputs!$A$5:$A$140=$B57)*Inputs!$B$5:$B$140*(((Inputs!$G$5:$G$140="moeda")+(Inputs!$G$5:$G$140="acoes"))*Inputs!$B$1+((Inputs!$G$5:$G$140&lt;&gt;"moeda")*(Inputs!$G$5:$G$140&lt;&gt;"acoes")))*INDEX(Inputs!$K$5:$AJ$140,0,MATCH(D$2,Inputs!$K$4:$AJ$4,0)))+SUMPRODUCT((Inputs!$C$5:$C$140=$B57)*Inputs!$D$5:$D$140*(((Inputs!$G$5:$G$140="moeda")+(Inputs!$G$5:$G$140="acoes"))*Inputs!$B$1+((Inputs!$G$5:$G$140&lt;&gt;"moeda")*(Inputs!$G$5:$G$140&lt;&gt;"acoes")))*INDEX(Inputs!$K$5:$AJ$140,0,MATCH(D$2,Inputs!$K$4:$AJ$4,0)))+SUMPRODUCT((Inputs!$E$5:$E$140=$B57)*Inputs!$F$5:$F$140*(((Inputs!$G$5:$G$140="moeda")+(Inputs!$G$5:$G$140="acoes"))*Inputs!$B$1+((Inputs!$G$5:$G$140&lt;&gt;"moeda")*(Inputs!$G$5:$G$140&lt;&gt;"acoes")))*INDEX(Inputs!$K$5:$AJ$140,0,MATCH(D$2,Inputs!$K$4:$AJ$4,0)))))</f>
        <v>#N/A</v>
      </c>
      <c r="E57" s="263" t="e">
        <f>IF(ISNA(MATCH(E$2,Inputs!$K$4:$AJ$4,0)),NA(),IF(SUMPRODUCT((Inputs!$A$5:$A$140=$B57)*ISNUMBER(INDEX(Inputs!$K$5:$AJ$140,0,MATCH(E$2,Inputs!$K$4:$AJ$4,0))))+SUMPRODUCT((Inputs!$C$5:$C$140=$B57)*ISNUMBER(INDEX(Inputs!$K$5:$AJ$140,0,MATCH(E$2,Inputs!$K$4:$AJ$4,0))))+SUMPRODUCT((Inputs!$E$5:$E$140=$B57)*ISNUMBER(INDEX(Inputs!$K$5:$AJ$140,0,MATCH(E$2,Inputs!$K$4:$AJ$4,0))))=0,NA(),SUMPRODUCT((Inputs!$A$5:$A$140=$B57)*Inputs!$B$5:$B$140*(((Inputs!$G$5:$G$140="moeda")+(Inputs!$G$5:$G$140="acoes"))*Inputs!$B$1+((Inputs!$G$5:$G$140&lt;&gt;"moeda")*(Inputs!$G$5:$G$140&lt;&gt;"acoes")))*INDEX(Inputs!$K$5:$AJ$140,0,MATCH(E$2,Inputs!$K$4:$AJ$4,0)))+SUMPRODUCT((Inputs!$C$5:$C$140=$B57)*Inputs!$D$5:$D$140*(((Inputs!$G$5:$G$140="moeda")+(Inputs!$G$5:$G$140="acoes"))*Inputs!$B$1+((Inputs!$G$5:$G$140&lt;&gt;"moeda")*(Inputs!$G$5:$G$140&lt;&gt;"acoes")))*INDEX(Inputs!$K$5:$AJ$140,0,MATCH(E$2,Inputs!$K$4:$AJ$4,0)))+SUMPRODUCT((Inputs!$E$5:$E$140=$B57)*Inputs!$F$5:$F$140*(((Inputs!$G$5:$G$140="moeda")+(Inputs!$G$5:$G$140="acoes"))*Inputs!$B$1+((Inputs!$G$5:$G$140&lt;&gt;"moeda")*(Inputs!$G$5:$G$140&lt;&gt;"acoes")))*INDEX(Inputs!$K$5:$AJ$140,0,MATCH(E$2,Inputs!$K$4:$AJ$4,0)))))</f>
        <v>#N/A</v>
      </c>
      <c r="F57" s="263" t="e">
        <f>IF(ISNA(MATCH(F$2,Inputs!$K$4:$AJ$4,0)),NA(),IF(SUMPRODUCT((Inputs!$A$5:$A$140=$B57)*ISNUMBER(INDEX(Inputs!$K$5:$AJ$140,0,MATCH(F$2,Inputs!$K$4:$AJ$4,0))))+SUMPRODUCT((Inputs!$C$5:$C$140=$B57)*ISNUMBER(INDEX(Inputs!$K$5:$AJ$140,0,MATCH(F$2,Inputs!$K$4:$AJ$4,0))))+SUMPRODUCT((Inputs!$E$5:$E$140=$B57)*ISNUMBER(INDEX(Inputs!$K$5:$AJ$140,0,MATCH(F$2,Inputs!$K$4:$AJ$4,0))))=0,NA(),SUMPRODUCT((Inputs!$A$5:$A$140=$B57)*Inputs!$B$5:$B$140*(((Inputs!$G$5:$G$140="moeda")+(Inputs!$G$5:$G$140="acoes"))*Inputs!$B$1+((Inputs!$G$5:$G$140&lt;&gt;"moeda")*(Inputs!$G$5:$G$140&lt;&gt;"acoes")))*INDEX(Inputs!$K$5:$AJ$140,0,MATCH(F$2,Inputs!$K$4:$AJ$4,0)))+SUMPRODUCT((Inputs!$C$5:$C$140=$B57)*Inputs!$D$5:$D$140*(((Inputs!$G$5:$G$140="moeda")+(Inputs!$G$5:$G$140="acoes"))*Inputs!$B$1+((Inputs!$G$5:$G$140&lt;&gt;"moeda")*(Inputs!$G$5:$G$140&lt;&gt;"acoes")))*INDEX(Inputs!$K$5:$AJ$140,0,MATCH(F$2,Inputs!$K$4:$AJ$4,0)))+SUMPRODUCT((Inputs!$E$5:$E$140=$B57)*Inputs!$F$5:$F$140*(((Inputs!$G$5:$G$140="moeda")+(Inputs!$G$5:$G$140="acoes"))*Inputs!$B$1+((Inputs!$G$5:$G$140&lt;&gt;"moeda")*(Inputs!$G$5:$G$140&lt;&gt;"acoes")))*INDEX(Inputs!$K$5:$AJ$140,0,MATCH(F$2,Inputs!$K$4:$AJ$4,0)))))</f>
        <v>#N/A</v>
      </c>
      <c r="G57" s="263" t="e">
        <f>IF(ISNA(MATCH(G$2,Inputs!$K$4:$AJ$4,0)),NA(),IF(SUMPRODUCT((Inputs!$A$5:$A$140=$B57)*ISNUMBER(INDEX(Inputs!$K$5:$AJ$140,0,MATCH(G$2,Inputs!$K$4:$AJ$4,0))))+SUMPRODUCT((Inputs!$C$5:$C$140=$B57)*ISNUMBER(INDEX(Inputs!$K$5:$AJ$140,0,MATCH(G$2,Inputs!$K$4:$AJ$4,0))))+SUMPRODUCT((Inputs!$E$5:$E$140=$B57)*ISNUMBER(INDEX(Inputs!$K$5:$AJ$140,0,MATCH(G$2,Inputs!$K$4:$AJ$4,0))))=0,NA(),SUMPRODUCT((Inputs!$A$5:$A$140=$B57)*Inputs!$B$5:$B$140*(((Inputs!$G$5:$G$140="moeda")+(Inputs!$G$5:$G$140="acoes"))*Inputs!$B$1+((Inputs!$G$5:$G$140&lt;&gt;"moeda")*(Inputs!$G$5:$G$140&lt;&gt;"acoes")))*INDEX(Inputs!$K$5:$AJ$140,0,MATCH(G$2,Inputs!$K$4:$AJ$4,0)))+SUMPRODUCT((Inputs!$C$5:$C$140=$B57)*Inputs!$D$5:$D$140*(((Inputs!$G$5:$G$140="moeda")+(Inputs!$G$5:$G$140="acoes"))*Inputs!$B$1+((Inputs!$G$5:$G$140&lt;&gt;"moeda")*(Inputs!$G$5:$G$140&lt;&gt;"acoes")))*INDEX(Inputs!$K$5:$AJ$140,0,MATCH(G$2,Inputs!$K$4:$AJ$4,0)))+SUMPRODUCT((Inputs!$E$5:$E$140=$B57)*Inputs!$F$5:$F$140*(((Inputs!$G$5:$G$140="moeda")+(Inputs!$G$5:$G$140="acoes"))*Inputs!$B$1+((Inputs!$G$5:$G$140&lt;&gt;"moeda")*(Inputs!$G$5:$G$140&lt;&gt;"acoes")))*INDEX(Inputs!$K$5:$AJ$140,0,MATCH(G$2,Inputs!$K$4:$AJ$4,0)))))</f>
        <v>#N/A</v>
      </c>
      <c r="H57" s="264" t="e">
        <f>SUM(D57:G57)</f>
        <v>#N/A</v>
      </c>
      <c r="I57" s="263" t="e">
        <f>IF(ISNA(MATCH(I$2,Inputs!$K$4:$AJ$4,0)),NA(),IF(SUMPRODUCT((Inputs!$A$5:$A$140=$B57)*ISNUMBER(INDEX(Inputs!$K$5:$AJ$140,0,MATCH(I$2,Inputs!$K$4:$AJ$4,0))))+SUMPRODUCT((Inputs!$C$5:$C$140=$B57)*ISNUMBER(INDEX(Inputs!$K$5:$AJ$140,0,MATCH(I$2,Inputs!$K$4:$AJ$4,0))))+SUMPRODUCT((Inputs!$E$5:$E$140=$B57)*ISNUMBER(INDEX(Inputs!$K$5:$AJ$140,0,MATCH(I$2,Inputs!$K$4:$AJ$4,0))))=0,NA(),SUMPRODUCT((Inputs!$A$5:$A$140=$B57)*Inputs!$B$5:$B$140*(((Inputs!$G$5:$G$140="moeda")+(Inputs!$G$5:$G$140="acoes"))*Inputs!$B$1+((Inputs!$G$5:$G$140&lt;&gt;"moeda")*(Inputs!$G$5:$G$140&lt;&gt;"acoes")))*INDEX(Inputs!$K$5:$AJ$140,0,MATCH(I$2,Inputs!$K$4:$AJ$4,0)))+SUMPRODUCT((Inputs!$C$5:$C$140=$B57)*Inputs!$D$5:$D$140*(((Inputs!$G$5:$G$140="moeda")+(Inputs!$G$5:$G$140="acoes"))*Inputs!$B$1+((Inputs!$G$5:$G$140&lt;&gt;"moeda")*(Inputs!$G$5:$G$140&lt;&gt;"acoes")))*INDEX(Inputs!$K$5:$AJ$140,0,MATCH(I$2,Inputs!$K$4:$AJ$4,0)))+SUMPRODUCT((Inputs!$E$5:$E$140=$B57)*Inputs!$F$5:$F$140*(((Inputs!$G$5:$G$140="moeda")+(Inputs!$G$5:$G$140="acoes"))*Inputs!$B$1+((Inputs!$G$5:$G$140&lt;&gt;"moeda")*(Inputs!$G$5:$G$140&lt;&gt;"acoes")))*INDEX(Inputs!$K$5:$AJ$140,0,MATCH(I$2,Inputs!$K$4:$AJ$4,0)))))</f>
        <v>#N/A</v>
      </c>
      <c r="J57" s="263" t="e">
        <f>IF(ISNA(MATCH(J$2,Inputs!$K$4:$AJ$4,0)),NA(),IF(SUMPRODUCT((Inputs!$A$5:$A$140=$B57)*ISNUMBER(INDEX(Inputs!$K$5:$AJ$140,0,MATCH(J$2,Inputs!$K$4:$AJ$4,0))))+SUMPRODUCT((Inputs!$C$5:$C$140=$B57)*ISNUMBER(INDEX(Inputs!$K$5:$AJ$140,0,MATCH(J$2,Inputs!$K$4:$AJ$4,0))))+SUMPRODUCT((Inputs!$E$5:$E$140=$B57)*ISNUMBER(INDEX(Inputs!$K$5:$AJ$140,0,MATCH(J$2,Inputs!$K$4:$AJ$4,0))))=0,NA(),SUMPRODUCT((Inputs!$A$5:$A$140=$B57)*Inputs!$B$5:$B$140*(((Inputs!$G$5:$G$140="moeda")+(Inputs!$G$5:$G$140="acoes"))*Inputs!$B$1+((Inputs!$G$5:$G$140&lt;&gt;"moeda")*(Inputs!$G$5:$G$140&lt;&gt;"acoes")))*INDEX(Inputs!$K$5:$AJ$140,0,MATCH(J$2,Inputs!$K$4:$AJ$4,0)))+SUMPRODUCT((Inputs!$C$5:$C$140=$B57)*Inputs!$D$5:$D$140*(((Inputs!$G$5:$G$140="moeda")+(Inputs!$G$5:$G$140="acoes"))*Inputs!$B$1+((Inputs!$G$5:$G$140&lt;&gt;"moeda")*(Inputs!$G$5:$G$140&lt;&gt;"acoes")))*INDEX(Inputs!$K$5:$AJ$140,0,MATCH(J$2,Inputs!$K$4:$AJ$4,0)))+SUMPRODUCT((Inputs!$E$5:$E$140=$B57)*Inputs!$F$5:$F$140*(((Inputs!$G$5:$G$140="moeda")+(Inputs!$G$5:$G$140="acoes"))*Inputs!$B$1+((Inputs!$G$5:$G$140&lt;&gt;"moeda")*(Inputs!$G$5:$G$140&lt;&gt;"acoes")))*INDEX(Inputs!$K$5:$AJ$140,0,MATCH(J$2,Inputs!$K$4:$AJ$4,0)))))</f>
        <v>#N/A</v>
      </c>
      <c r="K57" s="263" t="e">
        <f>IF(ISNA(MATCH(K$2,Inputs!$K$4:$AJ$4,0)),NA(),IF(SUMPRODUCT((Inputs!$A$5:$A$140=$B57)*ISNUMBER(INDEX(Inputs!$K$5:$AJ$140,0,MATCH(K$2,Inputs!$K$4:$AJ$4,0))))+SUMPRODUCT((Inputs!$C$5:$C$140=$B57)*ISNUMBER(INDEX(Inputs!$K$5:$AJ$140,0,MATCH(K$2,Inputs!$K$4:$AJ$4,0))))+SUMPRODUCT((Inputs!$E$5:$E$140=$B57)*ISNUMBER(INDEX(Inputs!$K$5:$AJ$140,0,MATCH(K$2,Inputs!$K$4:$AJ$4,0))))=0,NA(),SUMPRODUCT((Inputs!$A$5:$A$140=$B57)*Inputs!$B$5:$B$140*(((Inputs!$G$5:$G$140="moeda")+(Inputs!$G$5:$G$140="acoes"))*Inputs!$B$1+((Inputs!$G$5:$G$140&lt;&gt;"moeda")*(Inputs!$G$5:$G$140&lt;&gt;"acoes")))*INDEX(Inputs!$K$5:$AJ$140,0,MATCH(K$2,Inputs!$K$4:$AJ$4,0)))+SUMPRODUCT((Inputs!$C$5:$C$140=$B57)*Inputs!$D$5:$D$140*(((Inputs!$G$5:$G$140="moeda")+(Inputs!$G$5:$G$140="acoes"))*Inputs!$B$1+((Inputs!$G$5:$G$140&lt;&gt;"moeda")*(Inputs!$G$5:$G$140&lt;&gt;"acoes")))*INDEX(Inputs!$K$5:$AJ$140,0,MATCH(K$2,Inputs!$K$4:$AJ$4,0)))+SUMPRODUCT((Inputs!$E$5:$E$140=$B57)*Inputs!$F$5:$F$140*(((Inputs!$G$5:$G$140="moeda")+(Inputs!$G$5:$G$140="acoes"))*Inputs!$B$1+((Inputs!$G$5:$G$140&lt;&gt;"moeda")*(Inputs!$G$5:$G$140&lt;&gt;"acoes")))*INDEX(Inputs!$K$5:$AJ$140,0,MATCH(K$2,Inputs!$K$4:$AJ$4,0)))))</f>
        <v>#N/A</v>
      </c>
      <c r="L57" s="263" t="e">
        <f>IF(ISNA(MATCH(L$2,Inputs!$K$4:$AJ$4,0)),NA(),IF(SUMPRODUCT((Inputs!$A$5:$A$140=$B57)*ISNUMBER(INDEX(Inputs!$K$5:$AJ$140,0,MATCH(L$2,Inputs!$K$4:$AJ$4,0))))+SUMPRODUCT((Inputs!$C$5:$C$140=$B57)*ISNUMBER(INDEX(Inputs!$K$5:$AJ$140,0,MATCH(L$2,Inputs!$K$4:$AJ$4,0))))+SUMPRODUCT((Inputs!$E$5:$E$140=$B57)*ISNUMBER(INDEX(Inputs!$K$5:$AJ$140,0,MATCH(L$2,Inputs!$K$4:$AJ$4,0))))=0,NA(),SUMPRODUCT((Inputs!$A$5:$A$140=$B57)*Inputs!$B$5:$B$140*(((Inputs!$G$5:$G$140="moeda")+(Inputs!$G$5:$G$140="acoes"))*Inputs!$B$1+((Inputs!$G$5:$G$140&lt;&gt;"moeda")*(Inputs!$G$5:$G$140&lt;&gt;"acoes")))*INDEX(Inputs!$K$5:$AJ$140,0,MATCH(L$2,Inputs!$K$4:$AJ$4,0)))+SUMPRODUCT((Inputs!$C$5:$C$140=$B57)*Inputs!$D$5:$D$140*(((Inputs!$G$5:$G$140="moeda")+(Inputs!$G$5:$G$140="acoes"))*Inputs!$B$1+((Inputs!$G$5:$G$140&lt;&gt;"moeda")*(Inputs!$G$5:$G$140&lt;&gt;"acoes")))*INDEX(Inputs!$K$5:$AJ$140,0,MATCH(L$2,Inputs!$K$4:$AJ$4,0)))+SUMPRODUCT((Inputs!$E$5:$E$140=$B57)*Inputs!$F$5:$F$140*(((Inputs!$G$5:$G$140="moeda")+(Inputs!$G$5:$G$140="acoes"))*Inputs!$B$1+((Inputs!$G$5:$G$140&lt;&gt;"moeda")*(Inputs!$G$5:$G$140&lt;&gt;"acoes")))*INDEX(Inputs!$K$5:$AJ$140,0,MATCH(L$2,Inputs!$K$4:$AJ$4,0)))))</f>
        <v>#N/A</v>
      </c>
      <c r="M57" s="264" t="e">
        <f>SUM(I57:L57)</f>
        <v>#N/A</v>
      </c>
      <c r="N57" s="263" t="e">
        <f>IF(ISNA(MATCH(N$2,Inputs!$K$4:$AJ$4,0)),NA(),IF(SUMPRODUCT((Inputs!$A$5:$A$140=$B57)*ISNUMBER(INDEX(Inputs!$K$5:$AJ$140,0,MATCH(N$2,Inputs!$K$4:$AJ$4,0))))+SUMPRODUCT((Inputs!$C$5:$C$140=$B57)*ISNUMBER(INDEX(Inputs!$K$5:$AJ$140,0,MATCH(N$2,Inputs!$K$4:$AJ$4,0))))+SUMPRODUCT((Inputs!$E$5:$E$140=$B57)*ISNUMBER(INDEX(Inputs!$K$5:$AJ$140,0,MATCH(N$2,Inputs!$K$4:$AJ$4,0))))=0,NA(),SUMPRODUCT((Inputs!$A$5:$A$140=$B57)*Inputs!$B$5:$B$140*(((Inputs!$G$5:$G$140="moeda")+(Inputs!$G$5:$G$140="acoes"))*Inputs!$B$1+((Inputs!$G$5:$G$140&lt;&gt;"moeda")*(Inputs!$G$5:$G$140&lt;&gt;"acoes")))*INDEX(Inputs!$K$5:$AJ$140,0,MATCH(N$2,Inputs!$K$4:$AJ$4,0)))+SUMPRODUCT((Inputs!$C$5:$C$140=$B57)*Inputs!$D$5:$D$140*(((Inputs!$G$5:$G$140="moeda")+(Inputs!$G$5:$G$140="acoes"))*Inputs!$B$1+((Inputs!$G$5:$G$140&lt;&gt;"moeda")*(Inputs!$G$5:$G$140&lt;&gt;"acoes")))*INDEX(Inputs!$K$5:$AJ$140,0,MATCH(N$2,Inputs!$K$4:$AJ$4,0)))+SUMPRODUCT((Inputs!$E$5:$E$140=$B57)*Inputs!$F$5:$F$140*(((Inputs!$G$5:$G$140="moeda")+(Inputs!$G$5:$G$140="acoes"))*Inputs!$B$1+((Inputs!$G$5:$G$140&lt;&gt;"moeda")*(Inputs!$G$5:$G$140&lt;&gt;"acoes")))*INDEX(Inputs!$K$5:$AJ$140,0,MATCH(N$2,Inputs!$K$4:$AJ$4,0)))))</f>
        <v>#N/A</v>
      </c>
      <c r="O57" s="263" t="e">
        <f>IF(ISNA(MATCH(O$2,Inputs!$K$4:$AJ$4,0)),NA(),IF(SUMPRODUCT((Inputs!$A$5:$A$140=$B57)*ISNUMBER(INDEX(Inputs!$K$5:$AJ$140,0,MATCH(O$2,Inputs!$K$4:$AJ$4,0))))+SUMPRODUCT((Inputs!$C$5:$C$140=$B57)*ISNUMBER(INDEX(Inputs!$K$5:$AJ$140,0,MATCH(O$2,Inputs!$K$4:$AJ$4,0))))+SUMPRODUCT((Inputs!$E$5:$E$140=$B57)*ISNUMBER(INDEX(Inputs!$K$5:$AJ$140,0,MATCH(O$2,Inputs!$K$4:$AJ$4,0))))=0,NA(),SUMPRODUCT((Inputs!$A$5:$A$140=$B57)*Inputs!$B$5:$B$140*(((Inputs!$G$5:$G$140="moeda")+(Inputs!$G$5:$G$140="acoes"))*Inputs!$B$1+((Inputs!$G$5:$G$140&lt;&gt;"moeda")*(Inputs!$G$5:$G$140&lt;&gt;"acoes")))*INDEX(Inputs!$K$5:$AJ$140,0,MATCH(O$2,Inputs!$K$4:$AJ$4,0)))+SUMPRODUCT((Inputs!$C$5:$C$140=$B57)*Inputs!$D$5:$D$140*(((Inputs!$G$5:$G$140="moeda")+(Inputs!$G$5:$G$140="acoes"))*Inputs!$B$1+((Inputs!$G$5:$G$140&lt;&gt;"moeda")*(Inputs!$G$5:$G$140&lt;&gt;"acoes")))*INDEX(Inputs!$K$5:$AJ$140,0,MATCH(O$2,Inputs!$K$4:$AJ$4,0)))+SUMPRODUCT((Inputs!$E$5:$E$140=$B57)*Inputs!$F$5:$F$140*(((Inputs!$G$5:$G$140="moeda")+(Inputs!$G$5:$G$140="acoes"))*Inputs!$B$1+((Inputs!$G$5:$G$140&lt;&gt;"moeda")*(Inputs!$G$5:$G$140&lt;&gt;"acoes")))*INDEX(Inputs!$K$5:$AJ$140,0,MATCH(O$2,Inputs!$K$4:$AJ$4,0)))))</f>
        <v>#N/A</v>
      </c>
      <c r="P57" s="263" t="e">
        <f>IF(ISNA(MATCH(P$2,Inputs!$K$4:$AJ$4,0)),NA(),IF(SUMPRODUCT((Inputs!$A$5:$A$140=$B57)*ISNUMBER(INDEX(Inputs!$K$5:$AJ$140,0,MATCH(P$2,Inputs!$K$4:$AJ$4,0))))+SUMPRODUCT((Inputs!$C$5:$C$140=$B57)*ISNUMBER(INDEX(Inputs!$K$5:$AJ$140,0,MATCH(P$2,Inputs!$K$4:$AJ$4,0))))+SUMPRODUCT((Inputs!$E$5:$E$140=$B57)*ISNUMBER(INDEX(Inputs!$K$5:$AJ$140,0,MATCH(P$2,Inputs!$K$4:$AJ$4,0))))=0,NA(),SUMPRODUCT((Inputs!$A$5:$A$140=$B57)*Inputs!$B$5:$B$140*(((Inputs!$G$5:$G$140="moeda")+(Inputs!$G$5:$G$140="acoes"))*Inputs!$B$1+((Inputs!$G$5:$G$140&lt;&gt;"moeda")*(Inputs!$G$5:$G$140&lt;&gt;"acoes")))*INDEX(Inputs!$K$5:$AJ$140,0,MATCH(P$2,Inputs!$K$4:$AJ$4,0)))+SUMPRODUCT((Inputs!$C$5:$C$140=$B57)*Inputs!$D$5:$D$140*(((Inputs!$G$5:$G$140="moeda")+(Inputs!$G$5:$G$140="acoes"))*Inputs!$B$1+((Inputs!$G$5:$G$140&lt;&gt;"moeda")*(Inputs!$G$5:$G$140&lt;&gt;"acoes")))*INDEX(Inputs!$K$5:$AJ$140,0,MATCH(P$2,Inputs!$K$4:$AJ$4,0)))+SUMPRODUCT((Inputs!$E$5:$E$140=$B57)*Inputs!$F$5:$F$140*(((Inputs!$G$5:$G$140="moeda")+(Inputs!$G$5:$G$140="acoes"))*Inputs!$B$1+((Inputs!$G$5:$G$140&lt;&gt;"moeda")*(Inputs!$G$5:$G$140&lt;&gt;"acoes")))*INDEX(Inputs!$K$5:$AJ$140,0,MATCH(P$2,Inputs!$K$4:$AJ$4,0)))))</f>
        <v>#N/A</v>
      </c>
      <c r="Q57" s="263" t="e">
        <f>IF(ISNA(MATCH(Q$2,Inputs!$K$4:$AJ$4,0)),NA(),IF(SUMPRODUCT((Inputs!$A$5:$A$140=$B57)*ISNUMBER(INDEX(Inputs!$K$5:$AJ$140,0,MATCH(Q$2,Inputs!$K$4:$AJ$4,0))))+SUMPRODUCT((Inputs!$C$5:$C$140=$B57)*ISNUMBER(INDEX(Inputs!$K$5:$AJ$140,0,MATCH(Q$2,Inputs!$K$4:$AJ$4,0))))+SUMPRODUCT((Inputs!$E$5:$E$140=$B57)*ISNUMBER(INDEX(Inputs!$K$5:$AJ$140,0,MATCH(Q$2,Inputs!$K$4:$AJ$4,0))))=0,NA(),SUMPRODUCT((Inputs!$A$5:$A$140=$B57)*Inputs!$B$5:$B$140*(((Inputs!$G$5:$G$140="moeda")+(Inputs!$G$5:$G$140="acoes"))*Inputs!$B$1+((Inputs!$G$5:$G$140&lt;&gt;"moeda")*(Inputs!$G$5:$G$140&lt;&gt;"acoes")))*INDEX(Inputs!$K$5:$AJ$140,0,MATCH(Q$2,Inputs!$K$4:$AJ$4,0)))+SUMPRODUCT((Inputs!$C$5:$C$140=$B57)*Inputs!$D$5:$D$140*(((Inputs!$G$5:$G$140="moeda")+(Inputs!$G$5:$G$140="acoes"))*Inputs!$B$1+((Inputs!$G$5:$G$140&lt;&gt;"moeda")*(Inputs!$G$5:$G$140&lt;&gt;"acoes")))*INDEX(Inputs!$K$5:$AJ$140,0,MATCH(Q$2,Inputs!$K$4:$AJ$4,0)))+SUMPRODUCT((Inputs!$E$5:$E$140=$B57)*Inputs!$F$5:$F$140*(((Inputs!$G$5:$G$140="moeda")+(Inputs!$G$5:$G$140="acoes"))*Inputs!$B$1+((Inputs!$G$5:$G$140&lt;&gt;"moeda")*(Inputs!$G$5:$G$140&lt;&gt;"acoes")))*INDEX(Inputs!$K$5:$AJ$140,0,MATCH(Q$2,Inputs!$K$4:$AJ$4,0)))))</f>
        <v>#N/A</v>
      </c>
      <c r="R57" s="264" t="e">
        <f>SUM(N57:Q57)</f>
        <v>#N/A</v>
      </c>
      <c r="S57" s="263" t="e">
        <f>IF(ISNA(MATCH(S$2,Inputs!$K$4:$AJ$4,0)),NA(),IF(SUMPRODUCT((Inputs!$A$5:$A$140=$B57)*ISNUMBER(INDEX(Inputs!$K$5:$AJ$140,0,MATCH(S$2,Inputs!$K$4:$AJ$4,0))))+SUMPRODUCT((Inputs!$C$5:$C$140=$B57)*ISNUMBER(INDEX(Inputs!$K$5:$AJ$140,0,MATCH(S$2,Inputs!$K$4:$AJ$4,0))))+SUMPRODUCT((Inputs!$E$5:$E$140=$B57)*ISNUMBER(INDEX(Inputs!$K$5:$AJ$140,0,MATCH(S$2,Inputs!$K$4:$AJ$4,0))))=0,NA(),SUMPRODUCT((Inputs!$A$5:$A$140=$B57)*Inputs!$B$5:$B$140*(((Inputs!$G$5:$G$140="moeda")+(Inputs!$G$5:$G$140="acoes"))*Inputs!$B$1+((Inputs!$G$5:$G$140&lt;&gt;"moeda")*(Inputs!$G$5:$G$140&lt;&gt;"acoes")))*INDEX(Inputs!$K$5:$AJ$140,0,MATCH(S$2,Inputs!$K$4:$AJ$4,0)))+SUMPRODUCT((Inputs!$C$5:$C$140=$B57)*Inputs!$D$5:$D$140*(((Inputs!$G$5:$G$140="moeda")+(Inputs!$G$5:$G$140="acoes"))*Inputs!$B$1+((Inputs!$G$5:$G$140&lt;&gt;"moeda")*(Inputs!$G$5:$G$140&lt;&gt;"acoes")))*INDEX(Inputs!$K$5:$AJ$140,0,MATCH(S$2,Inputs!$K$4:$AJ$4,0)))+SUMPRODUCT((Inputs!$E$5:$E$140=$B57)*Inputs!$F$5:$F$140*(((Inputs!$G$5:$G$140="moeda")+(Inputs!$G$5:$G$140="acoes"))*Inputs!$B$1+((Inputs!$G$5:$G$140&lt;&gt;"moeda")*(Inputs!$G$5:$G$140&lt;&gt;"acoes")))*INDEX(Inputs!$K$5:$AJ$140,0,MATCH(S$2,Inputs!$K$4:$AJ$4,0)))))</f>
        <v>#N/A</v>
      </c>
      <c r="T57" s="263" t="e">
        <f>IF(ISNA(MATCH(T$2,Inputs!$K$4:$AJ$4,0)),NA(),IF(SUMPRODUCT((Inputs!$A$5:$A$140=$B57)*ISNUMBER(INDEX(Inputs!$K$5:$AJ$140,0,MATCH(T$2,Inputs!$K$4:$AJ$4,0))))+SUMPRODUCT((Inputs!$C$5:$C$140=$B57)*ISNUMBER(INDEX(Inputs!$K$5:$AJ$140,0,MATCH(T$2,Inputs!$K$4:$AJ$4,0))))+SUMPRODUCT((Inputs!$E$5:$E$140=$B57)*ISNUMBER(INDEX(Inputs!$K$5:$AJ$140,0,MATCH(T$2,Inputs!$K$4:$AJ$4,0))))=0,NA(),SUMPRODUCT((Inputs!$A$5:$A$140=$B57)*Inputs!$B$5:$B$140*(((Inputs!$G$5:$G$140="moeda")+(Inputs!$G$5:$G$140="acoes"))*Inputs!$B$1+((Inputs!$G$5:$G$140&lt;&gt;"moeda")*(Inputs!$G$5:$G$140&lt;&gt;"acoes")))*INDEX(Inputs!$K$5:$AJ$140,0,MATCH(T$2,Inputs!$K$4:$AJ$4,0)))+SUMPRODUCT((Inputs!$C$5:$C$140=$B57)*Inputs!$D$5:$D$140*(((Inputs!$G$5:$G$140="moeda")+(Inputs!$G$5:$G$140="acoes"))*Inputs!$B$1+((Inputs!$G$5:$G$140&lt;&gt;"moeda")*(Inputs!$G$5:$G$140&lt;&gt;"acoes")))*INDEX(Inputs!$K$5:$AJ$140,0,MATCH(T$2,Inputs!$K$4:$AJ$4,0)))+SUMPRODUCT((Inputs!$E$5:$E$140=$B57)*Inputs!$F$5:$F$140*(((Inputs!$G$5:$G$140="moeda")+(Inputs!$G$5:$G$140="acoes"))*Inputs!$B$1+((Inputs!$G$5:$G$140&lt;&gt;"moeda")*(Inputs!$G$5:$G$140&lt;&gt;"acoes")))*INDEX(Inputs!$K$5:$AJ$140,0,MATCH(T$2,Inputs!$K$4:$AJ$4,0)))))</f>
        <v>#N/A</v>
      </c>
      <c r="U57" s="263" t="e">
        <f>IF(ISNA(MATCH(U$2,Inputs!$K$4:$AJ$4,0)),NA(),IF(SUMPRODUCT((Inputs!$A$5:$A$140=$B57)*ISNUMBER(INDEX(Inputs!$K$5:$AJ$140,0,MATCH(U$2,Inputs!$K$4:$AJ$4,0))))+SUMPRODUCT((Inputs!$C$5:$C$140=$B57)*ISNUMBER(INDEX(Inputs!$K$5:$AJ$140,0,MATCH(U$2,Inputs!$K$4:$AJ$4,0))))+SUMPRODUCT((Inputs!$E$5:$E$140=$B57)*ISNUMBER(INDEX(Inputs!$K$5:$AJ$140,0,MATCH(U$2,Inputs!$K$4:$AJ$4,0))))=0,NA(),SUMPRODUCT((Inputs!$A$5:$A$140=$B57)*Inputs!$B$5:$B$140*(((Inputs!$G$5:$G$140="moeda")+(Inputs!$G$5:$G$140="acoes"))*Inputs!$B$1+((Inputs!$G$5:$G$140&lt;&gt;"moeda")*(Inputs!$G$5:$G$140&lt;&gt;"acoes")))*INDEX(Inputs!$K$5:$AJ$140,0,MATCH(U$2,Inputs!$K$4:$AJ$4,0)))+SUMPRODUCT((Inputs!$C$5:$C$140=$B57)*Inputs!$D$5:$D$140*(((Inputs!$G$5:$G$140="moeda")+(Inputs!$G$5:$G$140="acoes"))*Inputs!$B$1+((Inputs!$G$5:$G$140&lt;&gt;"moeda")*(Inputs!$G$5:$G$140&lt;&gt;"acoes")))*INDEX(Inputs!$K$5:$AJ$140,0,MATCH(U$2,Inputs!$K$4:$AJ$4,0)))+SUMPRODUCT((Inputs!$E$5:$E$140=$B57)*Inputs!$F$5:$F$140*(((Inputs!$G$5:$G$140="moeda")+(Inputs!$G$5:$G$140="acoes"))*Inputs!$B$1+((Inputs!$G$5:$G$140&lt;&gt;"moeda")*(Inputs!$G$5:$G$140&lt;&gt;"acoes")))*INDEX(Inputs!$K$5:$AJ$140,0,MATCH(U$2,Inputs!$K$4:$AJ$4,0)))))</f>
        <v>#N/A</v>
      </c>
      <c r="V57" s="263" t="e">
        <f>IF(ISNA(MATCH(V$2,Inputs!$K$4:$AJ$4,0)),NA(),IF(SUMPRODUCT((Inputs!$A$5:$A$140=$B57)*ISNUMBER(INDEX(Inputs!$K$5:$AJ$140,0,MATCH(V$2,Inputs!$K$4:$AJ$4,0))))+SUMPRODUCT((Inputs!$C$5:$C$140=$B57)*ISNUMBER(INDEX(Inputs!$K$5:$AJ$140,0,MATCH(V$2,Inputs!$K$4:$AJ$4,0))))+SUMPRODUCT((Inputs!$E$5:$E$140=$B57)*ISNUMBER(INDEX(Inputs!$K$5:$AJ$140,0,MATCH(V$2,Inputs!$K$4:$AJ$4,0))))=0,NA(),SUMPRODUCT((Inputs!$A$5:$A$140=$B57)*Inputs!$B$5:$B$140*(((Inputs!$G$5:$G$140="moeda")+(Inputs!$G$5:$G$140="acoes"))*Inputs!$B$1+((Inputs!$G$5:$G$140&lt;&gt;"moeda")*(Inputs!$G$5:$G$140&lt;&gt;"acoes")))*INDEX(Inputs!$K$5:$AJ$140,0,MATCH(V$2,Inputs!$K$4:$AJ$4,0)))+SUMPRODUCT((Inputs!$C$5:$C$140=$B57)*Inputs!$D$5:$D$140*(((Inputs!$G$5:$G$140="moeda")+(Inputs!$G$5:$G$140="acoes"))*Inputs!$B$1+((Inputs!$G$5:$G$140&lt;&gt;"moeda")*(Inputs!$G$5:$G$140&lt;&gt;"acoes")))*INDEX(Inputs!$K$5:$AJ$140,0,MATCH(V$2,Inputs!$K$4:$AJ$4,0)))+SUMPRODUCT((Inputs!$E$5:$E$140=$B57)*Inputs!$F$5:$F$140*(((Inputs!$G$5:$G$140="moeda")+(Inputs!$G$5:$G$140="acoes"))*Inputs!$B$1+((Inputs!$G$5:$G$140&lt;&gt;"moeda")*(Inputs!$G$5:$G$140&lt;&gt;"acoes")))*INDEX(Inputs!$K$5:$AJ$140,0,MATCH(V$2,Inputs!$K$4:$AJ$4,0)))))</f>
        <v>#N/A</v>
      </c>
      <c r="W57" s="264" t="e">
        <f>SUM(S57:V57)</f>
        <v>#N/A</v>
      </c>
      <c r="X57" s="263">
        <f>IF(ISNA(MATCH(X$2,Inputs!$K$4:$AJ$4,0)),NA(),IF(SUMPRODUCT((Inputs!$A$5:$A$140=$B57)*ISNUMBER(INDEX(Inputs!$K$5:$AJ$140,0,MATCH(X$2,Inputs!$K$4:$AJ$4,0))))+SUMPRODUCT((Inputs!$C$5:$C$140=$B57)*ISNUMBER(INDEX(Inputs!$K$5:$AJ$140,0,MATCH(X$2,Inputs!$K$4:$AJ$4,0))))+SUMPRODUCT((Inputs!$E$5:$E$140=$B57)*ISNUMBER(INDEX(Inputs!$K$5:$AJ$140,0,MATCH(X$2,Inputs!$K$4:$AJ$4,0))))=0,NA(),SUMPRODUCT((Inputs!$A$5:$A$140=$B57)*Inputs!$B$5:$B$140*(((Inputs!$G$5:$G$140="moeda")+(Inputs!$G$5:$G$140="acoes"))*Inputs!$B$1+((Inputs!$G$5:$G$140&lt;&gt;"moeda")*(Inputs!$G$5:$G$140&lt;&gt;"acoes")))*INDEX(Inputs!$K$5:$AJ$140,0,MATCH(X$2,Inputs!$K$4:$AJ$4,0)))+SUMPRODUCT((Inputs!$C$5:$C$140=$B57)*Inputs!$D$5:$D$140*(((Inputs!$G$5:$G$140="moeda")+(Inputs!$G$5:$G$140="acoes"))*Inputs!$B$1+((Inputs!$G$5:$G$140&lt;&gt;"moeda")*(Inputs!$G$5:$G$140&lt;&gt;"acoes")))*INDEX(Inputs!$K$5:$AJ$140,0,MATCH(X$2,Inputs!$K$4:$AJ$4,0)))+SUMPRODUCT((Inputs!$E$5:$E$140=$B57)*Inputs!$F$5:$F$140*(((Inputs!$G$5:$G$140="moeda")+(Inputs!$G$5:$G$140="acoes"))*Inputs!$B$1+((Inputs!$G$5:$G$140&lt;&gt;"moeda")*(Inputs!$G$5:$G$140&lt;&gt;"acoes")))*INDEX(Inputs!$K$5:$AJ$140,0,MATCH(X$2,Inputs!$K$4:$AJ$4,0)))))</f>
        <v>21513</v>
      </c>
      <c r="Y57" s="263">
        <f>IF(ISNA(MATCH(Y$2,Inputs!$K$4:$AJ$4,0)),NA(),IF(SUMPRODUCT((Inputs!$A$5:$A$140=$B57)*ISNUMBER(INDEX(Inputs!$K$5:$AJ$140,0,MATCH(Y$2,Inputs!$K$4:$AJ$4,0))))+SUMPRODUCT((Inputs!$C$5:$C$140=$B57)*ISNUMBER(INDEX(Inputs!$K$5:$AJ$140,0,MATCH(Y$2,Inputs!$K$4:$AJ$4,0))))+SUMPRODUCT((Inputs!$E$5:$E$140=$B57)*ISNUMBER(INDEX(Inputs!$K$5:$AJ$140,0,MATCH(Y$2,Inputs!$K$4:$AJ$4,0))))=0,NA(),SUMPRODUCT((Inputs!$A$5:$A$140=$B57)*Inputs!$B$5:$B$140*(((Inputs!$G$5:$G$140="moeda")+(Inputs!$G$5:$G$140="acoes"))*Inputs!$B$1+((Inputs!$G$5:$G$140&lt;&gt;"moeda")*(Inputs!$G$5:$G$140&lt;&gt;"acoes")))*INDEX(Inputs!$K$5:$AJ$140,0,MATCH(Y$2,Inputs!$K$4:$AJ$4,0)))+SUMPRODUCT((Inputs!$C$5:$C$140=$B57)*Inputs!$D$5:$D$140*(((Inputs!$G$5:$G$140="moeda")+(Inputs!$G$5:$G$140="acoes"))*Inputs!$B$1+((Inputs!$G$5:$G$140&lt;&gt;"moeda")*(Inputs!$G$5:$G$140&lt;&gt;"acoes")))*INDEX(Inputs!$K$5:$AJ$140,0,MATCH(Y$2,Inputs!$K$4:$AJ$4,0)))+SUMPRODUCT((Inputs!$E$5:$E$140=$B57)*Inputs!$F$5:$F$140*(((Inputs!$G$5:$G$140="moeda")+(Inputs!$G$5:$G$140="acoes"))*Inputs!$B$1+((Inputs!$G$5:$G$140&lt;&gt;"moeda")*(Inputs!$G$5:$G$140&lt;&gt;"acoes")))*INDEX(Inputs!$K$5:$AJ$140,0,MATCH(Y$2,Inputs!$K$4:$AJ$4,0)))))</f>
        <v>16928</v>
      </c>
      <c r="Z57" s="263" t="e">
        <f>IF(ISNA(MATCH(Z$2,Inputs!$K$4:$AJ$4,0)),NA(),IF(SUMPRODUCT((Inputs!$A$5:$A$140=$B57)*ISNUMBER(INDEX(Inputs!$K$5:$AJ$140,0,MATCH(Z$2,Inputs!$K$4:$AJ$4,0))))+SUMPRODUCT((Inputs!$C$5:$C$140=$B57)*ISNUMBER(INDEX(Inputs!$K$5:$AJ$140,0,MATCH(Z$2,Inputs!$K$4:$AJ$4,0))))+SUMPRODUCT((Inputs!$E$5:$E$140=$B57)*ISNUMBER(INDEX(Inputs!$K$5:$AJ$140,0,MATCH(Z$2,Inputs!$K$4:$AJ$4,0))))=0,NA(),SUMPRODUCT((Inputs!$A$5:$A$140=$B57)*Inputs!$B$5:$B$140*(((Inputs!$G$5:$G$140="moeda")+(Inputs!$G$5:$G$140="acoes"))*Inputs!$B$1+((Inputs!$G$5:$G$140&lt;&gt;"moeda")*(Inputs!$G$5:$G$140&lt;&gt;"acoes")))*INDEX(Inputs!$K$5:$AJ$140,0,MATCH(Z$2,Inputs!$K$4:$AJ$4,0)))+SUMPRODUCT((Inputs!$C$5:$C$140=$B57)*Inputs!$D$5:$D$140*(((Inputs!$G$5:$G$140="moeda")+(Inputs!$G$5:$G$140="acoes"))*Inputs!$B$1+((Inputs!$G$5:$G$140&lt;&gt;"moeda")*(Inputs!$G$5:$G$140&lt;&gt;"acoes")))*INDEX(Inputs!$K$5:$AJ$140,0,MATCH(Z$2,Inputs!$K$4:$AJ$4,0)))+SUMPRODUCT((Inputs!$E$5:$E$140=$B57)*Inputs!$F$5:$F$140*(((Inputs!$G$5:$G$140="moeda")+(Inputs!$G$5:$G$140="acoes"))*Inputs!$B$1+((Inputs!$G$5:$G$140&lt;&gt;"moeda")*(Inputs!$G$5:$G$140&lt;&gt;"acoes")))*INDEX(Inputs!$K$5:$AJ$140,0,MATCH(Z$2,Inputs!$K$4:$AJ$4,0)))))</f>
        <v>#N/A</v>
      </c>
      <c r="AA57" s="263" t="e">
        <f>IF(ISNA(MATCH(AA$2,Inputs!$K$4:$AJ$4,0)),NA(),IF(SUMPRODUCT((Inputs!$A$5:$A$140=$B57)*ISNUMBER(INDEX(Inputs!$K$5:$AJ$140,0,MATCH(AA$2,Inputs!$K$4:$AJ$4,0))))+SUMPRODUCT((Inputs!$C$5:$C$140=$B57)*ISNUMBER(INDEX(Inputs!$K$5:$AJ$140,0,MATCH(AA$2,Inputs!$K$4:$AJ$4,0))))+SUMPRODUCT((Inputs!$E$5:$E$140=$B57)*ISNUMBER(INDEX(Inputs!$K$5:$AJ$140,0,MATCH(AA$2,Inputs!$K$4:$AJ$4,0))))=0,NA(),SUMPRODUCT((Inputs!$A$5:$A$140=$B57)*Inputs!$B$5:$B$140*(((Inputs!$G$5:$G$140="moeda")+(Inputs!$G$5:$G$140="acoes"))*Inputs!$B$1+((Inputs!$G$5:$G$140&lt;&gt;"moeda")*(Inputs!$G$5:$G$140&lt;&gt;"acoes")))*INDEX(Inputs!$K$5:$AJ$140,0,MATCH(AA$2,Inputs!$K$4:$AJ$4,0)))+SUMPRODUCT((Inputs!$C$5:$C$140=$B57)*Inputs!$D$5:$D$140*(((Inputs!$G$5:$G$140="moeda")+(Inputs!$G$5:$G$140="acoes"))*Inputs!$B$1+((Inputs!$G$5:$G$140&lt;&gt;"moeda")*(Inputs!$G$5:$G$140&lt;&gt;"acoes")))*INDEX(Inputs!$K$5:$AJ$140,0,MATCH(AA$2,Inputs!$K$4:$AJ$4,0)))+SUMPRODUCT((Inputs!$E$5:$E$140=$B57)*Inputs!$F$5:$F$140*(((Inputs!$G$5:$G$140="moeda")+(Inputs!$G$5:$G$140="acoes"))*Inputs!$B$1+((Inputs!$G$5:$G$140&lt;&gt;"moeda")*(Inputs!$G$5:$G$140&lt;&gt;"acoes")))*INDEX(Inputs!$K$5:$AJ$140,0,MATCH(AA$2,Inputs!$K$4:$AJ$4,0)))))</f>
        <v>#N/A</v>
      </c>
      <c r="AB57" s="264" t="e">
        <f>SUM(X57:AA57)</f>
        <v>#N/A</v>
      </c>
      <c r="AC57" s="263">
        <f>IF(ISNA(MATCH(AC$2,Inputs!$K$4:$AJ$4,0)),NA(),IF(SUMPRODUCT((Inputs!$A$5:$A$140=$B57)*ISNUMBER(INDEX(Inputs!$K$5:$AJ$140,0,MATCH(AC$2,Inputs!$K$4:$AJ$4,0))))+SUMPRODUCT((Inputs!$C$5:$C$140=$B57)*ISNUMBER(INDEX(Inputs!$K$5:$AJ$140,0,MATCH(AC$2,Inputs!$K$4:$AJ$4,0))))+SUMPRODUCT((Inputs!$E$5:$E$140=$B57)*ISNUMBER(INDEX(Inputs!$K$5:$AJ$140,0,MATCH(AC$2,Inputs!$K$4:$AJ$4,0))))=0,NA(),SUMPRODUCT((Inputs!$A$5:$A$140=$B57)*Inputs!$B$5:$B$140*(((Inputs!$G$5:$G$140="moeda")+(Inputs!$G$5:$G$140="acoes"))*Inputs!$B$1+((Inputs!$G$5:$G$140&lt;&gt;"moeda")*(Inputs!$G$5:$G$140&lt;&gt;"acoes")))*INDEX(Inputs!$K$5:$AJ$140,0,MATCH(AC$2,Inputs!$K$4:$AJ$4,0)))+SUMPRODUCT((Inputs!$C$5:$C$140=$B57)*Inputs!$D$5:$D$140*(((Inputs!$G$5:$G$140="moeda")+(Inputs!$G$5:$G$140="acoes"))*Inputs!$B$1+((Inputs!$G$5:$G$140&lt;&gt;"moeda")*(Inputs!$G$5:$G$140&lt;&gt;"acoes")))*INDEX(Inputs!$K$5:$AJ$140,0,MATCH(AC$2,Inputs!$K$4:$AJ$4,0)))+SUMPRODUCT((Inputs!$E$5:$E$140=$B57)*Inputs!$F$5:$F$140*(((Inputs!$G$5:$G$140="moeda")+(Inputs!$G$5:$G$140="acoes"))*Inputs!$B$1+((Inputs!$G$5:$G$140&lt;&gt;"moeda")*(Inputs!$G$5:$G$140&lt;&gt;"acoes")))*INDEX(Inputs!$K$5:$AJ$140,0,MATCH(AC$2,Inputs!$K$4:$AJ$4,0)))))</f>
        <v>37377</v>
      </c>
      <c r="AD57" s="263">
        <f>IF(ISNA(MATCH(AD$2,Inputs!$K$4:$AJ$4,0)),NA(),IF(SUMPRODUCT((Inputs!$A$5:$A$140=$B57)*ISNUMBER(INDEX(Inputs!$K$5:$AJ$140,0,MATCH(AD$2,Inputs!$K$4:$AJ$4,0))))+SUMPRODUCT((Inputs!$C$5:$C$140=$B57)*ISNUMBER(INDEX(Inputs!$K$5:$AJ$140,0,MATCH(AD$2,Inputs!$K$4:$AJ$4,0))))+SUMPRODUCT((Inputs!$E$5:$E$140=$B57)*ISNUMBER(INDEX(Inputs!$K$5:$AJ$140,0,MATCH(AD$2,Inputs!$K$4:$AJ$4,0))))=0,NA(),SUMPRODUCT((Inputs!$A$5:$A$140=$B57)*Inputs!$B$5:$B$140*(((Inputs!$G$5:$G$140="moeda")+(Inputs!$G$5:$G$140="acoes"))*Inputs!$B$1+((Inputs!$G$5:$G$140&lt;&gt;"moeda")*(Inputs!$G$5:$G$140&lt;&gt;"acoes")))*INDEX(Inputs!$K$5:$AJ$140,0,MATCH(AD$2,Inputs!$K$4:$AJ$4,0)))+SUMPRODUCT((Inputs!$C$5:$C$140=$B57)*Inputs!$D$5:$D$140*(((Inputs!$G$5:$G$140="moeda")+(Inputs!$G$5:$G$140="acoes"))*Inputs!$B$1+((Inputs!$G$5:$G$140&lt;&gt;"moeda")*(Inputs!$G$5:$G$140&lt;&gt;"acoes")))*INDEX(Inputs!$K$5:$AJ$140,0,MATCH(AD$2,Inputs!$K$4:$AJ$4,0)))+SUMPRODUCT((Inputs!$E$5:$E$140=$B57)*Inputs!$F$5:$F$140*(((Inputs!$G$5:$G$140="moeda")+(Inputs!$G$5:$G$140="acoes"))*Inputs!$B$1+((Inputs!$G$5:$G$140&lt;&gt;"moeda")*(Inputs!$G$5:$G$140&lt;&gt;"acoes")))*INDEX(Inputs!$K$5:$AJ$140,0,MATCH(AD$2,Inputs!$K$4:$AJ$4,0)))))</f>
        <v>40313</v>
      </c>
      <c r="AE57" s="263" t="e">
        <f>IF(ISNA(MATCH(AE$2,Inputs!$K$4:$AJ$4,0)),NA(),IF(SUMPRODUCT((Inputs!$A$5:$A$140=$B57)*ISNUMBER(INDEX(Inputs!$K$5:$AJ$140,0,MATCH(AE$2,Inputs!$K$4:$AJ$4,0))))+SUMPRODUCT((Inputs!$C$5:$C$140=$B57)*ISNUMBER(INDEX(Inputs!$K$5:$AJ$140,0,MATCH(AE$2,Inputs!$K$4:$AJ$4,0))))+SUMPRODUCT((Inputs!$E$5:$E$140=$B57)*ISNUMBER(INDEX(Inputs!$K$5:$AJ$140,0,MATCH(AE$2,Inputs!$K$4:$AJ$4,0))))=0,NA(),SUMPRODUCT((Inputs!$A$5:$A$140=$B57)*Inputs!$B$5:$B$140*(((Inputs!$G$5:$G$140="moeda")+(Inputs!$G$5:$G$140="acoes"))*Inputs!$B$1+((Inputs!$G$5:$G$140&lt;&gt;"moeda")*(Inputs!$G$5:$G$140&lt;&gt;"acoes")))*INDEX(Inputs!$K$5:$AJ$140,0,MATCH(AE$2,Inputs!$K$4:$AJ$4,0)))+SUMPRODUCT((Inputs!$C$5:$C$140=$B57)*Inputs!$D$5:$D$140*(((Inputs!$G$5:$G$140="moeda")+(Inputs!$G$5:$G$140="acoes"))*Inputs!$B$1+((Inputs!$G$5:$G$140&lt;&gt;"moeda")*(Inputs!$G$5:$G$140&lt;&gt;"acoes")))*INDEX(Inputs!$K$5:$AJ$140,0,MATCH(AE$2,Inputs!$K$4:$AJ$4,0)))+SUMPRODUCT((Inputs!$E$5:$E$140=$B57)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57" s="263" t="e">
        <f>IF(ISNA(MATCH(AF$2,Inputs!$K$4:$AJ$4,0)),NA(),IF(SUMPRODUCT((Inputs!$A$5:$A$140=$B57)*ISNUMBER(INDEX(Inputs!$K$5:$AJ$140,0,MATCH(AF$2,Inputs!$K$4:$AJ$4,0))))+SUMPRODUCT((Inputs!$C$5:$C$140=$B57)*ISNUMBER(INDEX(Inputs!$K$5:$AJ$140,0,MATCH(AF$2,Inputs!$K$4:$AJ$4,0))))+SUMPRODUCT((Inputs!$E$5:$E$140=$B57)*ISNUMBER(INDEX(Inputs!$K$5:$AJ$140,0,MATCH(AF$2,Inputs!$K$4:$AJ$4,0))))=0,NA(),SUMPRODUCT((Inputs!$A$5:$A$140=$B57)*Inputs!$B$5:$B$140*(((Inputs!$G$5:$G$140="moeda")+(Inputs!$G$5:$G$140="acoes"))*Inputs!$B$1+((Inputs!$G$5:$G$140&lt;&gt;"moeda")*(Inputs!$G$5:$G$140&lt;&gt;"acoes")))*INDEX(Inputs!$K$5:$AJ$140,0,MATCH(AF$2,Inputs!$K$4:$AJ$4,0)))+SUMPRODUCT((Inputs!$C$5:$C$140=$B57)*Inputs!$D$5:$D$140*(((Inputs!$G$5:$G$140="moeda")+(Inputs!$G$5:$G$140="acoes"))*Inputs!$B$1+((Inputs!$G$5:$G$140&lt;&gt;"moeda")*(Inputs!$G$5:$G$140&lt;&gt;"acoes")))*INDEX(Inputs!$K$5:$AJ$140,0,MATCH(AF$2,Inputs!$K$4:$AJ$4,0)))+SUMPRODUCT((Inputs!$E$5:$E$140=$B57)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57" s="264" t="e">
        <f>SUM(AC57:AF57)</f>
        <v>#N/A</v>
      </c>
      <c r="AH57" s="263" t="e">
        <f>IF(ISNA(MATCH(AH$2,Inputs!$K$4:$AJ$4,0)),NA(),IF(SUMPRODUCT((Inputs!$A$5:$A$140=$B57)*ISNUMBER(INDEX(Inputs!$K$5:$AJ$140,0,MATCH(AH$2,Inputs!$K$4:$AJ$4,0))))+SUMPRODUCT((Inputs!$C$5:$C$140=$B57)*ISNUMBER(INDEX(Inputs!$K$5:$AJ$140,0,MATCH(AH$2,Inputs!$K$4:$AJ$4,0))))+SUMPRODUCT((Inputs!$E$5:$E$140=$B57)*ISNUMBER(INDEX(Inputs!$K$5:$AJ$140,0,MATCH(AH$2,Inputs!$K$4:$AJ$4,0))))=0,NA(),SUMPRODUCT((Inputs!$A$5:$A$140=$B57)*Inputs!$B$5:$B$140*(((Inputs!$G$5:$G$140="moeda")+(Inputs!$G$5:$G$140="acoes"))*Inputs!$B$1+((Inputs!$G$5:$G$140&lt;&gt;"moeda")*(Inputs!$G$5:$G$140&lt;&gt;"acoes")))*INDEX(Inputs!$K$5:$AJ$140,0,MATCH(AH$2,Inputs!$K$4:$AJ$4,0)))+SUMPRODUCT((Inputs!$C$5:$C$140=$B57)*Inputs!$D$5:$D$140*(((Inputs!$G$5:$G$140="moeda")+(Inputs!$G$5:$G$140="acoes"))*Inputs!$B$1+((Inputs!$G$5:$G$140&lt;&gt;"moeda")*(Inputs!$G$5:$G$140&lt;&gt;"acoes")))*INDEX(Inputs!$K$5:$AJ$140,0,MATCH(AH$2,Inputs!$K$4:$AJ$4,0)))+SUMPRODUCT((Inputs!$E$5:$E$140=$B57)*Inputs!$F$5:$F$140*(((Inputs!$G$5:$G$140="moeda")+(Inputs!$G$5:$G$140="acoes"))*Inputs!$B$1+((Inputs!$G$5:$G$140&lt;&gt;"moeda")*(Inputs!$G$5:$G$140&lt;&gt;"acoes")))*INDEX(Inputs!$K$5:$AJ$140,0,MATCH(AH$2,Inputs!$K$4:$AJ$4,0)))))</f>
        <v>#N/A</v>
      </c>
      <c r="AI57" s="263" t="e">
        <f>IF(ISNA(MATCH(AI$2,Inputs!$K$4:$AJ$4,0)),NA(),IF(SUMPRODUCT((Inputs!$A$5:$A$140=$B57)*ISNUMBER(INDEX(Inputs!$K$5:$AJ$140,0,MATCH(AI$2,Inputs!$K$4:$AJ$4,0))))+SUMPRODUCT((Inputs!$C$5:$C$140=$B57)*ISNUMBER(INDEX(Inputs!$K$5:$AJ$140,0,MATCH(AI$2,Inputs!$K$4:$AJ$4,0))))+SUMPRODUCT((Inputs!$E$5:$E$140=$B57)*ISNUMBER(INDEX(Inputs!$K$5:$AJ$140,0,MATCH(AI$2,Inputs!$K$4:$AJ$4,0))))=0,NA(),SUMPRODUCT((Inputs!$A$5:$A$140=$B57)*Inputs!$B$5:$B$140*(((Inputs!$G$5:$G$140="moeda")+(Inputs!$G$5:$G$140="acoes"))*Inputs!$B$1+((Inputs!$G$5:$G$140&lt;&gt;"moeda")*(Inputs!$G$5:$G$140&lt;&gt;"acoes")))*INDEX(Inputs!$K$5:$AJ$140,0,MATCH(AI$2,Inputs!$K$4:$AJ$4,0)))+SUMPRODUCT((Inputs!$C$5:$C$140=$B57)*Inputs!$D$5:$D$140*(((Inputs!$G$5:$G$140="moeda")+(Inputs!$G$5:$G$140="acoes"))*Inputs!$B$1+((Inputs!$G$5:$G$140&lt;&gt;"moeda")*(Inputs!$G$5:$G$140&lt;&gt;"acoes")))*INDEX(Inputs!$K$5:$AJ$140,0,MATCH(AI$2,Inputs!$K$4:$AJ$4,0)))+SUMPRODUCT((Inputs!$E$5:$E$140=$B57)*Inputs!$F$5:$F$140*(((Inputs!$G$5:$G$140="moeda")+(Inputs!$G$5:$G$140="acoes"))*Inputs!$B$1+((Inputs!$G$5:$G$140&lt;&gt;"moeda")*(Inputs!$G$5:$G$140&lt;&gt;"acoes")))*INDEX(Inputs!$K$5:$AJ$140,0,MATCH(AI$2,Inputs!$K$4:$AJ$4,0)))))</f>
        <v>#N/A</v>
      </c>
      <c r="AJ57" s="263" t="e">
        <f>IF(ISNA(MATCH(AJ$2,Inputs!$K$4:$AJ$4,0)),NA(),IF(SUMPRODUCT((Inputs!$A$5:$A$140=$B57)*ISNUMBER(INDEX(Inputs!$K$5:$AJ$140,0,MATCH(AJ$2,Inputs!$K$4:$AJ$4,0))))+SUMPRODUCT((Inputs!$C$5:$C$140=$B57)*ISNUMBER(INDEX(Inputs!$K$5:$AJ$140,0,MATCH(AJ$2,Inputs!$K$4:$AJ$4,0))))+SUMPRODUCT((Inputs!$E$5:$E$140=$B57)*ISNUMBER(INDEX(Inputs!$K$5:$AJ$140,0,MATCH(AJ$2,Inputs!$K$4:$AJ$4,0))))=0,NA(),SUMPRODUCT((Inputs!$A$5:$A$140=$B57)*Inputs!$B$5:$B$140*(((Inputs!$G$5:$G$140="moeda")+(Inputs!$G$5:$G$140="acoes"))*Inputs!$B$1+((Inputs!$G$5:$G$140&lt;&gt;"moeda")*(Inputs!$G$5:$G$140&lt;&gt;"acoes")))*INDEX(Inputs!$K$5:$AJ$140,0,MATCH(AJ$2,Inputs!$K$4:$AJ$4,0)))+SUMPRODUCT((Inputs!$C$5:$C$140=$B57)*Inputs!$D$5:$D$140*(((Inputs!$G$5:$G$140="moeda")+(Inputs!$G$5:$G$140="acoes"))*Inputs!$B$1+((Inputs!$G$5:$G$140&lt;&gt;"moeda")*(Inputs!$G$5:$G$140&lt;&gt;"acoes")))*INDEX(Inputs!$K$5:$AJ$140,0,MATCH(AJ$2,Inputs!$K$4:$AJ$4,0)))+SUMPRODUCT((Inputs!$E$5:$E$140=$B57)*Inputs!$F$5:$F$140*(((Inputs!$G$5:$G$140="moeda")+(Inputs!$G$5:$G$140="acoes"))*Inputs!$B$1+((Inputs!$G$5:$G$140&lt;&gt;"moeda")*(Inputs!$G$5:$G$140&lt;&gt;"acoes")))*INDEX(Inputs!$K$5:$AJ$140,0,MATCH(AJ$2,Inputs!$K$4:$AJ$4,0)))))</f>
        <v>#N/A</v>
      </c>
      <c r="AK57" s="263" t="e">
        <f>IF(ISNA(MATCH(AK$2,Inputs!$K$4:$AJ$4,0)),NA(),IF(SUMPRODUCT((Inputs!$A$5:$A$140=$B57)*ISNUMBER(INDEX(Inputs!$K$5:$AJ$140,0,MATCH(AK$2,Inputs!$K$4:$AJ$4,0))))+SUMPRODUCT((Inputs!$C$5:$C$140=$B57)*ISNUMBER(INDEX(Inputs!$K$5:$AJ$140,0,MATCH(AK$2,Inputs!$K$4:$AJ$4,0))))+SUMPRODUCT((Inputs!$E$5:$E$140=$B57)*ISNUMBER(INDEX(Inputs!$K$5:$AJ$140,0,MATCH(AK$2,Inputs!$K$4:$AJ$4,0))))=0,NA(),SUMPRODUCT((Inputs!$A$5:$A$140=$B57)*Inputs!$B$5:$B$140*(((Inputs!$G$5:$G$140="moeda")+(Inputs!$G$5:$G$140="acoes"))*Inputs!$B$1+((Inputs!$G$5:$G$140&lt;&gt;"moeda")*(Inputs!$G$5:$G$140&lt;&gt;"acoes")))*INDEX(Inputs!$K$5:$AJ$140,0,MATCH(AK$2,Inputs!$K$4:$AJ$4,0)))+SUMPRODUCT((Inputs!$C$5:$C$140=$B57)*Inputs!$D$5:$D$140*(((Inputs!$G$5:$G$140="moeda")+(Inputs!$G$5:$G$140="acoes"))*Inputs!$B$1+((Inputs!$G$5:$G$140&lt;&gt;"moeda")*(Inputs!$G$5:$G$140&lt;&gt;"acoes")))*INDEX(Inputs!$K$5:$AJ$140,0,MATCH(AK$2,Inputs!$K$4:$AJ$4,0)))+SUMPRODUCT((Inputs!$E$5:$E$140=$B57)*Inputs!$F$5:$F$140*(((Inputs!$G$5:$G$140="moeda")+(Inputs!$G$5:$G$140="acoes"))*Inputs!$B$1+((Inputs!$G$5:$G$140&lt;&gt;"moeda")*(Inputs!$G$5:$G$140&lt;&gt;"acoes")))*INDEX(Inputs!$K$5:$AJ$140,0,MATCH(AK$2,Inputs!$K$4:$AJ$4,0)))))</f>
        <v>#N/A</v>
      </c>
      <c r="AL57" s="264" t="e">
        <f>SUM(AH57:AK57)</f>
        <v>#N/A</v>
      </c>
    </row>
    <row r="58">
      <c r="B58" s="46" t="n">
        <v>50</v>
      </c>
      <c r="C58" s="29" t="inlineStr">
        <is>
          <t>Receita Gaming (USD; até 4T25)</t>
        </is>
      </c>
      <c r="D58" s="263">
        <f>IF(ISNA(MATCH(D$2,Inputs!$K$4:$AJ$4,0)),NA(),IF(SUMPRODUCT((Inputs!$A$5:$A$140=$B58)*ISNUMBER(INDEX(Inputs!$K$5:$AJ$140,0,MATCH(D$2,Inputs!$K$4:$AJ$4,0))))+SUMPRODUCT((Inputs!$C$5:$C$140=$B58)*ISNUMBER(INDEX(Inputs!$K$5:$AJ$140,0,MATCH(D$2,Inputs!$K$4:$AJ$4,0))))+SUMPRODUCT((Inputs!$E$5:$E$140=$B58)*ISNUMBER(INDEX(Inputs!$K$5:$AJ$140,0,MATCH(D$2,Inputs!$K$4:$AJ$4,0))))=0,NA(),SUMPRODUCT((Inputs!$A$5:$A$140=$B58)*Inputs!$B$5:$B$140*(((Inputs!$G$5:$G$140="moeda")+(Inputs!$G$5:$G$140="acoes"))*Inputs!$B$1+((Inputs!$G$5:$G$140&lt;&gt;"moeda")*(Inputs!$G$5:$G$140&lt;&gt;"acoes")))*INDEX(Inputs!$K$5:$AJ$140,0,MATCH(D$2,Inputs!$K$4:$AJ$4,0)))+SUMPRODUCT((Inputs!$C$5:$C$140=$B58)*Inputs!$D$5:$D$140*(((Inputs!$G$5:$G$140="moeda")+(Inputs!$G$5:$G$140="acoes"))*Inputs!$B$1+((Inputs!$G$5:$G$140&lt;&gt;"moeda")*(Inputs!$G$5:$G$140&lt;&gt;"acoes")))*INDEX(Inputs!$K$5:$AJ$140,0,MATCH(D$2,Inputs!$K$4:$AJ$4,0)))+SUMPRODUCT((Inputs!$E$5:$E$140=$B58)*Inputs!$F$5:$F$140*(((Inputs!$G$5:$G$140="moeda")+(Inputs!$G$5:$G$140="acoes"))*Inputs!$B$1+((Inputs!$G$5:$G$140&lt;&gt;"moeda")*(Inputs!$G$5:$G$140&lt;&gt;"acoes")))*INDEX(Inputs!$K$5:$AJ$140,0,MATCH(D$2,Inputs!$K$4:$AJ$4,0)))))</f>
        <v>2760</v>
      </c>
      <c r="E58" s="263">
        <f>IF(ISNA(MATCH(E$2,Inputs!$K$4:$AJ$4,0)),NA(),IF(SUMPRODUCT((Inputs!$A$5:$A$140=$B58)*ISNUMBER(INDEX(Inputs!$K$5:$AJ$140,0,MATCH(E$2,Inputs!$K$4:$AJ$4,0))))+SUMPRODUCT((Inputs!$C$5:$C$140=$B58)*ISNUMBER(INDEX(Inputs!$K$5:$AJ$140,0,MATCH(E$2,Inputs!$K$4:$AJ$4,0))))+SUMPRODUCT((Inputs!$E$5:$E$140=$B58)*ISNUMBER(INDEX(Inputs!$K$5:$AJ$140,0,MATCH(E$2,Inputs!$K$4:$AJ$4,0))))=0,NA(),SUMPRODUCT((Inputs!$A$5:$A$140=$B58)*Inputs!$B$5:$B$140*(((Inputs!$G$5:$G$140="moeda")+(Inputs!$G$5:$G$140="acoes"))*Inputs!$B$1+((Inputs!$G$5:$G$140&lt;&gt;"moeda")*(Inputs!$G$5:$G$140&lt;&gt;"acoes")))*INDEX(Inputs!$K$5:$AJ$140,0,MATCH(E$2,Inputs!$K$4:$AJ$4,0)))+SUMPRODUCT((Inputs!$C$5:$C$140=$B58)*Inputs!$D$5:$D$140*(((Inputs!$G$5:$G$140="moeda")+(Inputs!$G$5:$G$140="acoes"))*Inputs!$B$1+((Inputs!$G$5:$G$140&lt;&gt;"moeda")*(Inputs!$G$5:$G$140&lt;&gt;"acoes")))*INDEX(Inputs!$K$5:$AJ$140,0,MATCH(E$2,Inputs!$K$4:$AJ$4,0)))+SUMPRODUCT((Inputs!$E$5:$E$140=$B58)*Inputs!$F$5:$F$140*(((Inputs!$G$5:$G$140="moeda")+(Inputs!$G$5:$G$140="acoes"))*Inputs!$B$1+((Inputs!$G$5:$G$140&lt;&gt;"moeda")*(Inputs!$G$5:$G$140&lt;&gt;"acoes")))*INDEX(Inputs!$K$5:$AJ$140,0,MATCH(E$2,Inputs!$K$4:$AJ$4,0)))))</f>
        <v>3061</v>
      </c>
      <c r="F58" s="263">
        <f>IF(ISNA(MATCH(F$2,Inputs!$K$4:$AJ$4,0)),NA(),IF(SUMPRODUCT((Inputs!$A$5:$A$140=$B58)*ISNUMBER(INDEX(Inputs!$K$5:$AJ$140,0,MATCH(F$2,Inputs!$K$4:$AJ$4,0))))+SUMPRODUCT((Inputs!$C$5:$C$140=$B58)*ISNUMBER(INDEX(Inputs!$K$5:$AJ$140,0,MATCH(F$2,Inputs!$K$4:$AJ$4,0))))+SUMPRODUCT((Inputs!$E$5:$E$140=$B58)*ISNUMBER(INDEX(Inputs!$K$5:$AJ$140,0,MATCH(F$2,Inputs!$K$4:$AJ$4,0))))=0,NA(),SUMPRODUCT((Inputs!$A$5:$A$140=$B58)*Inputs!$B$5:$B$140*(((Inputs!$G$5:$G$140="moeda")+(Inputs!$G$5:$G$140="acoes"))*Inputs!$B$1+((Inputs!$G$5:$G$140&lt;&gt;"moeda")*(Inputs!$G$5:$G$140&lt;&gt;"acoes")))*INDEX(Inputs!$K$5:$AJ$140,0,MATCH(F$2,Inputs!$K$4:$AJ$4,0)))+SUMPRODUCT((Inputs!$C$5:$C$140=$B58)*Inputs!$D$5:$D$140*(((Inputs!$G$5:$G$140="moeda")+(Inputs!$G$5:$G$140="acoes"))*Inputs!$B$1+((Inputs!$G$5:$G$140&lt;&gt;"moeda")*(Inputs!$G$5:$G$140&lt;&gt;"acoes")))*INDEX(Inputs!$K$5:$AJ$140,0,MATCH(F$2,Inputs!$K$4:$AJ$4,0)))+SUMPRODUCT((Inputs!$E$5:$E$140=$B58)*Inputs!$F$5:$F$140*(((Inputs!$G$5:$G$140="moeda")+(Inputs!$G$5:$G$140="acoes"))*Inputs!$B$1+((Inputs!$G$5:$G$140&lt;&gt;"moeda")*(Inputs!$G$5:$G$140&lt;&gt;"acoes")))*INDEX(Inputs!$K$5:$AJ$140,0,MATCH(F$2,Inputs!$K$4:$AJ$4,0)))))</f>
        <v>3221</v>
      </c>
      <c r="G58" s="263">
        <f>IF(ISNA(MATCH(G$2,Inputs!$K$4:$AJ$4,0)),NA(),IF(SUMPRODUCT((Inputs!$A$5:$A$140=$B58)*ISNUMBER(INDEX(Inputs!$K$5:$AJ$140,0,MATCH(G$2,Inputs!$K$4:$AJ$4,0))))+SUMPRODUCT((Inputs!$C$5:$C$140=$B58)*ISNUMBER(INDEX(Inputs!$K$5:$AJ$140,0,MATCH(G$2,Inputs!$K$4:$AJ$4,0))))+SUMPRODUCT((Inputs!$E$5:$E$140=$B58)*ISNUMBER(INDEX(Inputs!$K$5:$AJ$140,0,MATCH(G$2,Inputs!$K$4:$AJ$4,0))))=0,NA(),SUMPRODUCT((Inputs!$A$5:$A$140=$B58)*Inputs!$B$5:$B$140*(((Inputs!$G$5:$G$140="moeda")+(Inputs!$G$5:$G$140="acoes"))*Inputs!$B$1+((Inputs!$G$5:$G$140&lt;&gt;"moeda")*(Inputs!$G$5:$G$140&lt;&gt;"acoes")))*INDEX(Inputs!$K$5:$AJ$140,0,MATCH(G$2,Inputs!$K$4:$AJ$4,0)))+SUMPRODUCT((Inputs!$C$5:$C$140=$B58)*Inputs!$D$5:$D$140*(((Inputs!$G$5:$G$140="moeda")+(Inputs!$G$5:$G$140="acoes"))*Inputs!$B$1+((Inputs!$G$5:$G$140&lt;&gt;"moeda")*(Inputs!$G$5:$G$140&lt;&gt;"acoes")))*INDEX(Inputs!$K$5:$AJ$140,0,MATCH(G$2,Inputs!$K$4:$AJ$4,0)))+SUMPRODUCT((Inputs!$E$5:$E$140=$B58)*Inputs!$F$5:$F$140*(((Inputs!$G$5:$G$140="moeda")+(Inputs!$G$5:$G$140="acoes"))*Inputs!$B$1+((Inputs!$G$5:$G$140&lt;&gt;"moeda")*(Inputs!$G$5:$G$140&lt;&gt;"acoes")))*INDEX(Inputs!$K$5:$AJ$140,0,MATCH(G$2,Inputs!$K$4:$AJ$4,0)))))</f>
        <v>3420</v>
      </c>
      <c r="H58" s="264">
        <f>SUM(D58:G58)</f>
        <v>12462</v>
      </c>
      <c r="I58" s="263">
        <f>IF(ISNA(MATCH(I$2,Inputs!$K$4:$AJ$4,0)),NA(),IF(SUMPRODUCT((Inputs!$A$5:$A$140=$B58)*ISNUMBER(INDEX(Inputs!$K$5:$AJ$140,0,MATCH(I$2,Inputs!$K$4:$AJ$4,0))))+SUMPRODUCT((Inputs!$C$5:$C$140=$B58)*ISNUMBER(INDEX(Inputs!$K$5:$AJ$140,0,MATCH(I$2,Inputs!$K$4:$AJ$4,0))))+SUMPRODUCT((Inputs!$E$5:$E$140=$B58)*ISNUMBER(INDEX(Inputs!$K$5:$AJ$140,0,MATCH(I$2,Inputs!$K$4:$AJ$4,0))))=0,NA(),SUMPRODUCT((Inputs!$A$5:$A$140=$B58)*Inputs!$B$5:$B$140*(((Inputs!$G$5:$G$140="moeda")+(Inputs!$G$5:$G$140="acoes"))*Inputs!$B$1+((Inputs!$G$5:$G$140&lt;&gt;"moeda")*(Inputs!$G$5:$G$140&lt;&gt;"acoes")))*INDEX(Inputs!$K$5:$AJ$140,0,MATCH(I$2,Inputs!$K$4:$AJ$4,0)))+SUMPRODUCT((Inputs!$C$5:$C$140=$B58)*Inputs!$D$5:$D$140*(((Inputs!$G$5:$G$140="moeda")+(Inputs!$G$5:$G$140="acoes"))*Inputs!$B$1+((Inputs!$G$5:$G$140&lt;&gt;"moeda")*(Inputs!$G$5:$G$140&lt;&gt;"acoes")))*INDEX(Inputs!$K$5:$AJ$140,0,MATCH(I$2,Inputs!$K$4:$AJ$4,0)))+SUMPRODUCT((Inputs!$E$5:$E$140=$B58)*Inputs!$F$5:$F$140*(((Inputs!$G$5:$G$140="moeda")+(Inputs!$G$5:$G$140="acoes"))*Inputs!$B$1+((Inputs!$G$5:$G$140&lt;&gt;"moeda")*(Inputs!$G$5:$G$140&lt;&gt;"acoes")))*INDEX(Inputs!$K$5:$AJ$140,0,MATCH(I$2,Inputs!$K$4:$AJ$4,0)))))</f>
        <v>3620</v>
      </c>
      <c r="J58" s="263">
        <f>IF(ISNA(MATCH(J$2,Inputs!$K$4:$AJ$4,0)),NA(),IF(SUMPRODUCT((Inputs!$A$5:$A$140=$B58)*ISNUMBER(INDEX(Inputs!$K$5:$AJ$140,0,MATCH(J$2,Inputs!$K$4:$AJ$4,0))))+SUMPRODUCT((Inputs!$C$5:$C$140=$B58)*ISNUMBER(INDEX(Inputs!$K$5:$AJ$140,0,MATCH(J$2,Inputs!$K$4:$AJ$4,0))))+SUMPRODUCT((Inputs!$E$5:$E$140=$B58)*ISNUMBER(INDEX(Inputs!$K$5:$AJ$140,0,MATCH(J$2,Inputs!$K$4:$AJ$4,0))))=0,NA(),SUMPRODUCT((Inputs!$A$5:$A$140=$B58)*Inputs!$B$5:$B$140*(((Inputs!$G$5:$G$140="moeda")+(Inputs!$G$5:$G$140="acoes"))*Inputs!$B$1+((Inputs!$G$5:$G$140&lt;&gt;"moeda")*(Inputs!$G$5:$G$140&lt;&gt;"acoes")))*INDEX(Inputs!$K$5:$AJ$140,0,MATCH(J$2,Inputs!$K$4:$AJ$4,0)))+SUMPRODUCT((Inputs!$C$5:$C$140=$B58)*Inputs!$D$5:$D$140*(((Inputs!$G$5:$G$140="moeda")+(Inputs!$G$5:$G$140="acoes"))*Inputs!$B$1+((Inputs!$G$5:$G$140&lt;&gt;"moeda")*(Inputs!$G$5:$G$140&lt;&gt;"acoes")))*INDEX(Inputs!$K$5:$AJ$140,0,MATCH(J$2,Inputs!$K$4:$AJ$4,0)))+SUMPRODUCT((Inputs!$E$5:$E$140=$B58)*Inputs!$F$5:$F$140*(((Inputs!$G$5:$G$140="moeda")+(Inputs!$G$5:$G$140="acoes"))*Inputs!$B$1+((Inputs!$G$5:$G$140&lt;&gt;"moeda")*(Inputs!$G$5:$G$140&lt;&gt;"acoes")))*INDEX(Inputs!$K$5:$AJ$140,0,MATCH(J$2,Inputs!$K$4:$AJ$4,0)))))</f>
        <v>2042</v>
      </c>
      <c r="K58" s="263">
        <f>IF(ISNA(MATCH(K$2,Inputs!$K$4:$AJ$4,0)),NA(),IF(SUMPRODUCT((Inputs!$A$5:$A$140=$B58)*ISNUMBER(INDEX(Inputs!$K$5:$AJ$140,0,MATCH(K$2,Inputs!$K$4:$AJ$4,0))))+SUMPRODUCT((Inputs!$C$5:$C$140=$B58)*ISNUMBER(INDEX(Inputs!$K$5:$AJ$140,0,MATCH(K$2,Inputs!$K$4:$AJ$4,0))))+SUMPRODUCT((Inputs!$E$5:$E$140=$B58)*ISNUMBER(INDEX(Inputs!$K$5:$AJ$140,0,MATCH(K$2,Inputs!$K$4:$AJ$4,0))))=0,NA(),SUMPRODUCT((Inputs!$A$5:$A$140=$B58)*Inputs!$B$5:$B$140*(((Inputs!$G$5:$G$140="moeda")+(Inputs!$G$5:$G$140="acoes"))*Inputs!$B$1+((Inputs!$G$5:$G$140&lt;&gt;"moeda")*(Inputs!$G$5:$G$140&lt;&gt;"acoes")))*INDEX(Inputs!$K$5:$AJ$140,0,MATCH(K$2,Inputs!$K$4:$AJ$4,0)))+SUMPRODUCT((Inputs!$C$5:$C$140=$B58)*Inputs!$D$5:$D$140*(((Inputs!$G$5:$G$140="moeda")+(Inputs!$G$5:$G$140="acoes"))*Inputs!$B$1+((Inputs!$G$5:$G$140&lt;&gt;"moeda")*(Inputs!$G$5:$G$140&lt;&gt;"acoes")))*INDEX(Inputs!$K$5:$AJ$140,0,MATCH(K$2,Inputs!$K$4:$AJ$4,0)))+SUMPRODUCT((Inputs!$E$5:$E$140=$B58)*Inputs!$F$5:$F$140*(((Inputs!$G$5:$G$140="moeda")+(Inputs!$G$5:$G$140="acoes"))*Inputs!$B$1+((Inputs!$G$5:$G$140&lt;&gt;"moeda")*(Inputs!$G$5:$G$140&lt;&gt;"acoes")))*INDEX(Inputs!$K$5:$AJ$140,0,MATCH(K$2,Inputs!$K$4:$AJ$4,0)))))</f>
        <v>1574</v>
      </c>
      <c r="L58" s="263">
        <f>IF(ISNA(MATCH(L$2,Inputs!$K$4:$AJ$4,0)),NA(),IF(SUMPRODUCT((Inputs!$A$5:$A$140=$B58)*ISNUMBER(INDEX(Inputs!$K$5:$AJ$140,0,MATCH(L$2,Inputs!$K$4:$AJ$4,0))))+SUMPRODUCT((Inputs!$C$5:$C$140=$B58)*ISNUMBER(INDEX(Inputs!$K$5:$AJ$140,0,MATCH(L$2,Inputs!$K$4:$AJ$4,0))))+SUMPRODUCT((Inputs!$E$5:$E$140=$B58)*ISNUMBER(INDEX(Inputs!$K$5:$AJ$140,0,MATCH(L$2,Inputs!$K$4:$AJ$4,0))))=0,NA(),SUMPRODUCT((Inputs!$A$5:$A$140=$B58)*Inputs!$B$5:$B$140*(((Inputs!$G$5:$G$140="moeda")+(Inputs!$G$5:$G$140="acoes"))*Inputs!$B$1+((Inputs!$G$5:$G$140&lt;&gt;"moeda")*(Inputs!$G$5:$G$140&lt;&gt;"acoes")))*INDEX(Inputs!$K$5:$AJ$140,0,MATCH(L$2,Inputs!$K$4:$AJ$4,0)))+SUMPRODUCT((Inputs!$C$5:$C$140=$B58)*Inputs!$D$5:$D$140*(((Inputs!$G$5:$G$140="moeda")+(Inputs!$G$5:$G$140="acoes"))*Inputs!$B$1+((Inputs!$G$5:$G$140&lt;&gt;"moeda")*(Inputs!$G$5:$G$140&lt;&gt;"acoes")))*INDEX(Inputs!$K$5:$AJ$140,0,MATCH(L$2,Inputs!$K$4:$AJ$4,0)))+SUMPRODUCT((Inputs!$E$5:$E$140=$B58)*Inputs!$F$5:$F$140*(((Inputs!$G$5:$G$140="moeda")+(Inputs!$G$5:$G$140="acoes"))*Inputs!$B$1+((Inputs!$G$5:$G$140&lt;&gt;"moeda")*(Inputs!$G$5:$G$140&lt;&gt;"acoes")))*INDEX(Inputs!$K$5:$AJ$140,0,MATCH(L$2,Inputs!$K$4:$AJ$4,0)))))</f>
        <v>1831</v>
      </c>
      <c r="M58" s="264">
        <f>SUM(I58:L58)</f>
        <v>9067</v>
      </c>
      <c r="N58" s="263">
        <f>IF(ISNA(MATCH(N$2,Inputs!$K$4:$AJ$4,0)),NA(),IF(SUMPRODUCT((Inputs!$A$5:$A$140=$B58)*ISNUMBER(INDEX(Inputs!$K$5:$AJ$140,0,MATCH(N$2,Inputs!$K$4:$AJ$4,0))))+SUMPRODUCT((Inputs!$C$5:$C$140=$B58)*ISNUMBER(INDEX(Inputs!$K$5:$AJ$140,0,MATCH(N$2,Inputs!$K$4:$AJ$4,0))))+SUMPRODUCT((Inputs!$E$5:$E$140=$B58)*ISNUMBER(INDEX(Inputs!$K$5:$AJ$140,0,MATCH(N$2,Inputs!$K$4:$AJ$4,0))))=0,NA(),SUMPRODUCT((Inputs!$A$5:$A$140=$B58)*Inputs!$B$5:$B$140*(((Inputs!$G$5:$G$140="moeda")+(Inputs!$G$5:$G$140="acoes"))*Inputs!$B$1+((Inputs!$G$5:$G$140&lt;&gt;"moeda")*(Inputs!$G$5:$G$140&lt;&gt;"acoes")))*INDEX(Inputs!$K$5:$AJ$140,0,MATCH(N$2,Inputs!$K$4:$AJ$4,0)))+SUMPRODUCT((Inputs!$C$5:$C$140=$B58)*Inputs!$D$5:$D$140*(((Inputs!$G$5:$G$140="moeda")+(Inputs!$G$5:$G$140="acoes"))*Inputs!$B$1+((Inputs!$G$5:$G$140&lt;&gt;"moeda")*(Inputs!$G$5:$G$140&lt;&gt;"acoes")))*INDEX(Inputs!$K$5:$AJ$140,0,MATCH(N$2,Inputs!$K$4:$AJ$4,0)))+SUMPRODUCT((Inputs!$E$5:$E$140=$B58)*Inputs!$F$5:$F$140*(((Inputs!$G$5:$G$140="moeda")+(Inputs!$G$5:$G$140="acoes"))*Inputs!$B$1+((Inputs!$G$5:$G$140&lt;&gt;"moeda")*(Inputs!$G$5:$G$140&lt;&gt;"acoes")))*INDEX(Inputs!$K$5:$AJ$140,0,MATCH(N$2,Inputs!$K$4:$AJ$4,0)))))</f>
        <v>2240</v>
      </c>
      <c r="O58" s="263">
        <f>IF(ISNA(MATCH(O$2,Inputs!$K$4:$AJ$4,0)),NA(),IF(SUMPRODUCT((Inputs!$A$5:$A$140=$B58)*ISNUMBER(INDEX(Inputs!$K$5:$AJ$140,0,MATCH(O$2,Inputs!$K$4:$AJ$4,0))))+SUMPRODUCT((Inputs!$C$5:$C$140=$B58)*ISNUMBER(INDEX(Inputs!$K$5:$AJ$140,0,MATCH(O$2,Inputs!$K$4:$AJ$4,0))))+SUMPRODUCT((Inputs!$E$5:$E$140=$B58)*ISNUMBER(INDEX(Inputs!$K$5:$AJ$140,0,MATCH(O$2,Inputs!$K$4:$AJ$4,0))))=0,NA(),SUMPRODUCT((Inputs!$A$5:$A$140=$B58)*Inputs!$B$5:$B$140*(((Inputs!$G$5:$G$140="moeda")+(Inputs!$G$5:$G$140="acoes"))*Inputs!$B$1+((Inputs!$G$5:$G$140&lt;&gt;"moeda")*(Inputs!$G$5:$G$140&lt;&gt;"acoes")))*INDEX(Inputs!$K$5:$AJ$140,0,MATCH(O$2,Inputs!$K$4:$AJ$4,0)))+SUMPRODUCT((Inputs!$C$5:$C$140=$B58)*Inputs!$D$5:$D$140*(((Inputs!$G$5:$G$140="moeda")+(Inputs!$G$5:$G$140="acoes"))*Inputs!$B$1+((Inputs!$G$5:$G$140&lt;&gt;"moeda")*(Inputs!$G$5:$G$140&lt;&gt;"acoes")))*INDEX(Inputs!$K$5:$AJ$140,0,MATCH(O$2,Inputs!$K$4:$AJ$4,0)))+SUMPRODUCT((Inputs!$E$5:$E$140=$B58)*Inputs!$F$5:$F$140*(((Inputs!$G$5:$G$140="moeda")+(Inputs!$G$5:$G$140="acoes"))*Inputs!$B$1+((Inputs!$G$5:$G$140&lt;&gt;"moeda")*(Inputs!$G$5:$G$140&lt;&gt;"acoes")))*INDEX(Inputs!$K$5:$AJ$140,0,MATCH(O$2,Inputs!$K$4:$AJ$4,0)))))</f>
        <v>2486</v>
      </c>
      <c r="P58" s="263">
        <f>IF(ISNA(MATCH(P$2,Inputs!$K$4:$AJ$4,0)),NA(),IF(SUMPRODUCT((Inputs!$A$5:$A$140=$B58)*ISNUMBER(INDEX(Inputs!$K$5:$AJ$140,0,MATCH(P$2,Inputs!$K$4:$AJ$4,0))))+SUMPRODUCT((Inputs!$C$5:$C$140=$B58)*ISNUMBER(INDEX(Inputs!$K$5:$AJ$140,0,MATCH(P$2,Inputs!$K$4:$AJ$4,0))))+SUMPRODUCT((Inputs!$E$5:$E$140=$B58)*ISNUMBER(INDEX(Inputs!$K$5:$AJ$140,0,MATCH(P$2,Inputs!$K$4:$AJ$4,0))))=0,NA(),SUMPRODUCT((Inputs!$A$5:$A$140=$B58)*Inputs!$B$5:$B$140*(((Inputs!$G$5:$G$140="moeda")+(Inputs!$G$5:$G$140="acoes"))*Inputs!$B$1+((Inputs!$G$5:$G$140&lt;&gt;"moeda")*(Inputs!$G$5:$G$140&lt;&gt;"acoes")))*INDEX(Inputs!$K$5:$AJ$140,0,MATCH(P$2,Inputs!$K$4:$AJ$4,0)))+SUMPRODUCT((Inputs!$C$5:$C$140=$B58)*Inputs!$D$5:$D$140*(((Inputs!$G$5:$G$140="moeda")+(Inputs!$G$5:$G$140="acoes"))*Inputs!$B$1+((Inputs!$G$5:$G$140&lt;&gt;"moeda")*(Inputs!$G$5:$G$140&lt;&gt;"acoes")))*INDEX(Inputs!$K$5:$AJ$140,0,MATCH(P$2,Inputs!$K$4:$AJ$4,0)))+SUMPRODUCT((Inputs!$E$5:$E$140=$B58)*Inputs!$F$5:$F$140*(((Inputs!$G$5:$G$140="moeda")+(Inputs!$G$5:$G$140="acoes"))*Inputs!$B$1+((Inputs!$G$5:$G$140&lt;&gt;"moeda")*(Inputs!$G$5:$G$140&lt;&gt;"acoes")))*INDEX(Inputs!$K$5:$AJ$140,0,MATCH(P$2,Inputs!$K$4:$AJ$4,0)))))</f>
        <v>2856</v>
      </c>
      <c r="Q58" s="263">
        <f>IF(ISNA(MATCH(Q$2,Inputs!$K$4:$AJ$4,0)),NA(),IF(SUMPRODUCT((Inputs!$A$5:$A$140=$B58)*ISNUMBER(INDEX(Inputs!$K$5:$AJ$140,0,MATCH(Q$2,Inputs!$K$4:$AJ$4,0))))+SUMPRODUCT((Inputs!$C$5:$C$140=$B58)*ISNUMBER(INDEX(Inputs!$K$5:$AJ$140,0,MATCH(Q$2,Inputs!$K$4:$AJ$4,0))))+SUMPRODUCT((Inputs!$E$5:$E$140=$B58)*ISNUMBER(INDEX(Inputs!$K$5:$AJ$140,0,MATCH(Q$2,Inputs!$K$4:$AJ$4,0))))=0,NA(),SUMPRODUCT((Inputs!$A$5:$A$140=$B58)*Inputs!$B$5:$B$140*(((Inputs!$G$5:$G$140="moeda")+(Inputs!$G$5:$G$140="acoes"))*Inputs!$B$1+((Inputs!$G$5:$G$140&lt;&gt;"moeda")*(Inputs!$G$5:$G$140&lt;&gt;"acoes")))*INDEX(Inputs!$K$5:$AJ$140,0,MATCH(Q$2,Inputs!$K$4:$AJ$4,0)))+SUMPRODUCT((Inputs!$C$5:$C$140=$B58)*Inputs!$D$5:$D$140*(((Inputs!$G$5:$G$140="moeda")+(Inputs!$G$5:$G$140="acoes"))*Inputs!$B$1+((Inputs!$G$5:$G$140&lt;&gt;"moeda")*(Inputs!$G$5:$G$140&lt;&gt;"acoes")))*INDEX(Inputs!$K$5:$AJ$140,0,MATCH(Q$2,Inputs!$K$4:$AJ$4,0)))+SUMPRODUCT((Inputs!$E$5:$E$140=$B58)*Inputs!$F$5:$F$140*(((Inputs!$G$5:$G$140="moeda")+(Inputs!$G$5:$G$140="acoes"))*Inputs!$B$1+((Inputs!$G$5:$G$140&lt;&gt;"moeda")*(Inputs!$G$5:$G$140&lt;&gt;"acoes")))*INDEX(Inputs!$K$5:$AJ$140,0,MATCH(Q$2,Inputs!$K$4:$AJ$4,0)))))</f>
        <v>2865</v>
      </c>
      <c r="R58" s="264">
        <f>SUM(N58:Q58)</f>
        <v>10447</v>
      </c>
      <c r="S58" s="263">
        <f>IF(ISNA(MATCH(S$2,Inputs!$K$4:$AJ$4,0)),NA(),IF(SUMPRODUCT((Inputs!$A$5:$A$140=$B58)*ISNUMBER(INDEX(Inputs!$K$5:$AJ$140,0,MATCH(S$2,Inputs!$K$4:$AJ$4,0))))+SUMPRODUCT((Inputs!$C$5:$C$140=$B58)*ISNUMBER(INDEX(Inputs!$K$5:$AJ$140,0,MATCH(S$2,Inputs!$K$4:$AJ$4,0))))+SUMPRODUCT((Inputs!$E$5:$E$140=$B58)*ISNUMBER(INDEX(Inputs!$K$5:$AJ$140,0,MATCH(S$2,Inputs!$K$4:$AJ$4,0))))=0,NA(),SUMPRODUCT((Inputs!$A$5:$A$140=$B58)*Inputs!$B$5:$B$140*(((Inputs!$G$5:$G$140="moeda")+(Inputs!$G$5:$G$140="acoes"))*Inputs!$B$1+((Inputs!$G$5:$G$140&lt;&gt;"moeda")*(Inputs!$G$5:$G$140&lt;&gt;"acoes")))*INDEX(Inputs!$K$5:$AJ$140,0,MATCH(S$2,Inputs!$K$4:$AJ$4,0)))+SUMPRODUCT((Inputs!$C$5:$C$140=$B58)*Inputs!$D$5:$D$140*(((Inputs!$G$5:$G$140="moeda")+(Inputs!$G$5:$G$140="acoes"))*Inputs!$B$1+((Inputs!$G$5:$G$140&lt;&gt;"moeda")*(Inputs!$G$5:$G$140&lt;&gt;"acoes")))*INDEX(Inputs!$K$5:$AJ$140,0,MATCH(S$2,Inputs!$K$4:$AJ$4,0)))+SUMPRODUCT((Inputs!$E$5:$E$140=$B58)*Inputs!$F$5:$F$140*(((Inputs!$G$5:$G$140="moeda")+(Inputs!$G$5:$G$140="acoes"))*Inputs!$B$1+((Inputs!$G$5:$G$140&lt;&gt;"moeda")*(Inputs!$G$5:$G$140&lt;&gt;"acoes")))*INDEX(Inputs!$K$5:$AJ$140,0,MATCH(S$2,Inputs!$K$4:$AJ$4,0)))))</f>
        <v>2647</v>
      </c>
      <c r="T58" s="263">
        <f>IF(ISNA(MATCH(T$2,Inputs!$K$4:$AJ$4,0)),NA(),IF(SUMPRODUCT((Inputs!$A$5:$A$140=$B58)*ISNUMBER(INDEX(Inputs!$K$5:$AJ$140,0,MATCH(T$2,Inputs!$K$4:$AJ$4,0))))+SUMPRODUCT((Inputs!$C$5:$C$140=$B58)*ISNUMBER(INDEX(Inputs!$K$5:$AJ$140,0,MATCH(T$2,Inputs!$K$4:$AJ$4,0))))+SUMPRODUCT((Inputs!$E$5:$E$140=$B58)*ISNUMBER(INDEX(Inputs!$K$5:$AJ$140,0,MATCH(T$2,Inputs!$K$4:$AJ$4,0))))=0,NA(),SUMPRODUCT((Inputs!$A$5:$A$140=$B58)*Inputs!$B$5:$B$140*(((Inputs!$G$5:$G$140="moeda")+(Inputs!$G$5:$G$140="acoes"))*Inputs!$B$1+((Inputs!$G$5:$G$140&lt;&gt;"moeda")*(Inputs!$G$5:$G$140&lt;&gt;"acoes")))*INDEX(Inputs!$K$5:$AJ$140,0,MATCH(T$2,Inputs!$K$4:$AJ$4,0)))+SUMPRODUCT((Inputs!$C$5:$C$140=$B58)*Inputs!$D$5:$D$140*(((Inputs!$G$5:$G$140="moeda")+(Inputs!$G$5:$G$140="acoes"))*Inputs!$B$1+((Inputs!$G$5:$G$140&lt;&gt;"moeda")*(Inputs!$G$5:$G$140&lt;&gt;"acoes")))*INDEX(Inputs!$K$5:$AJ$140,0,MATCH(T$2,Inputs!$K$4:$AJ$4,0)))+SUMPRODUCT((Inputs!$E$5:$E$140=$B58)*Inputs!$F$5:$F$140*(((Inputs!$G$5:$G$140="moeda")+(Inputs!$G$5:$G$140="acoes"))*Inputs!$B$1+((Inputs!$G$5:$G$140&lt;&gt;"moeda")*(Inputs!$G$5:$G$140&lt;&gt;"acoes")))*INDEX(Inputs!$K$5:$AJ$140,0,MATCH(T$2,Inputs!$K$4:$AJ$4,0)))))</f>
        <v>2880</v>
      </c>
      <c r="U58" s="263">
        <f>IF(ISNA(MATCH(U$2,Inputs!$K$4:$AJ$4,0)),NA(),IF(SUMPRODUCT((Inputs!$A$5:$A$140=$B58)*ISNUMBER(INDEX(Inputs!$K$5:$AJ$140,0,MATCH(U$2,Inputs!$K$4:$AJ$4,0))))+SUMPRODUCT((Inputs!$C$5:$C$140=$B58)*ISNUMBER(INDEX(Inputs!$K$5:$AJ$140,0,MATCH(U$2,Inputs!$K$4:$AJ$4,0))))+SUMPRODUCT((Inputs!$E$5:$E$140=$B58)*ISNUMBER(INDEX(Inputs!$K$5:$AJ$140,0,MATCH(U$2,Inputs!$K$4:$AJ$4,0))))=0,NA(),SUMPRODUCT((Inputs!$A$5:$A$140=$B58)*Inputs!$B$5:$B$140*(((Inputs!$G$5:$G$140="moeda")+(Inputs!$G$5:$G$140="acoes"))*Inputs!$B$1+((Inputs!$G$5:$G$140&lt;&gt;"moeda")*(Inputs!$G$5:$G$140&lt;&gt;"acoes")))*INDEX(Inputs!$K$5:$AJ$140,0,MATCH(U$2,Inputs!$K$4:$AJ$4,0)))+SUMPRODUCT((Inputs!$C$5:$C$140=$B58)*Inputs!$D$5:$D$140*(((Inputs!$G$5:$G$140="moeda")+(Inputs!$G$5:$G$140="acoes"))*Inputs!$B$1+((Inputs!$G$5:$G$140&lt;&gt;"moeda")*(Inputs!$G$5:$G$140&lt;&gt;"acoes")))*INDEX(Inputs!$K$5:$AJ$140,0,MATCH(U$2,Inputs!$K$4:$AJ$4,0)))+SUMPRODUCT((Inputs!$E$5:$E$140=$B58)*Inputs!$F$5:$F$140*(((Inputs!$G$5:$G$140="moeda")+(Inputs!$G$5:$G$140="acoes"))*Inputs!$B$1+((Inputs!$G$5:$G$140&lt;&gt;"moeda")*(Inputs!$G$5:$G$140&lt;&gt;"acoes")))*INDEX(Inputs!$K$5:$AJ$140,0,MATCH(U$2,Inputs!$K$4:$AJ$4,0)))))</f>
        <v>3279</v>
      </c>
      <c r="V58" s="263">
        <f>IF(ISNA(MATCH(V$2,Inputs!$K$4:$AJ$4,0)),NA(),IF(SUMPRODUCT((Inputs!$A$5:$A$140=$B58)*ISNUMBER(INDEX(Inputs!$K$5:$AJ$140,0,MATCH(V$2,Inputs!$K$4:$AJ$4,0))))+SUMPRODUCT((Inputs!$C$5:$C$140=$B58)*ISNUMBER(INDEX(Inputs!$K$5:$AJ$140,0,MATCH(V$2,Inputs!$K$4:$AJ$4,0))))+SUMPRODUCT((Inputs!$E$5:$E$140=$B58)*ISNUMBER(INDEX(Inputs!$K$5:$AJ$140,0,MATCH(V$2,Inputs!$K$4:$AJ$4,0))))=0,NA(),SUMPRODUCT((Inputs!$A$5:$A$140=$B58)*Inputs!$B$5:$B$140*(((Inputs!$G$5:$G$140="moeda")+(Inputs!$G$5:$G$140="acoes"))*Inputs!$B$1+((Inputs!$G$5:$G$140&lt;&gt;"moeda")*(Inputs!$G$5:$G$140&lt;&gt;"acoes")))*INDEX(Inputs!$K$5:$AJ$140,0,MATCH(V$2,Inputs!$K$4:$AJ$4,0)))+SUMPRODUCT((Inputs!$C$5:$C$140=$B58)*Inputs!$D$5:$D$140*(((Inputs!$G$5:$G$140="moeda")+(Inputs!$G$5:$G$140="acoes"))*Inputs!$B$1+((Inputs!$G$5:$G$140&lt;&gt;"moeda")*(Inputs!$G$5:$G$140&lt;&gt;"acoes")))*INDEX(Inputs!$K$5:$AJ$140,0,MATCH(V$2,Inputs!$K$4:$AJ$4,0)))+SUMPRODUCT((Inputs!$E$5:$E$140=$B58)*Inputs!$F$5:$F$140*(((Inputs!$G$5:$G$140="moeda")+(Inputs!$G$5:$G$140="acoes"))*Inputs!$B$1+((Inputs!$G$5:$G$140&lt;&gt;"moeda")*(Inputs!$G$5:$G$140&lt;&gt;"acoes")))*INDEX(Inputs!$K$5:$AJ$140,0,MATCH(V$2,Inputs!$K$4:$AJ$4,0)))))</f>
        <v>2544</v>
      </c>
      <c r="W58" s="264">
        <f>SUM(S58:V58)</f>
        <v>11350</v>
      </c>
      <c r="X58" s="263">
        <f>IF(ISNA(MATCH(X$2,Inputs!$K$4:$AJ$4,0)),NA(),IF(SUMPRODUCT((Inputs!$A$5:$A$140=$B58)*ISNUMBER(INDEX(Inputs!$K$5:$AJ$140,0,MATCH(X$2,Inputs!$K$4:$AJ$4,0))))+SUMPRODUCT((Inputs!$C$5:$C$140=$B58)*ISNUMBER(INDEX(Inputs!$K$5:$AJ$140,0,MATCH(X$2,Inputs!$K$4:$AJ$4,0))))+SUMPRODUCT((Inputs!$E$5:$E$140=$B58)*ISNUMBER(INDEX(Inputs!$K$5:$AJ$140,0,MATCH(X$2,Inputs!$K$4:$AJ$4,0))))=0,NA(),SUMPRODUCT((Inputs!$A$5:$A$140=$B58)*Inputs!$B$5:$B$140*(((Inputs!$G$5:$G$140="moeda")+(Inputs!$G$5:$G$140="acoes"))*Inputs!$B$1+((Inputs!$G$5:$G$140&lt;&gt;"moeda")*(Inputs!$G$5:$G$140&lt;&gt;"acoes")))*INDEX(Inputs!$K$5:$AJ$140,0,MATCH(X$2,Inputs!$K$4:$AJ$4,0)))+SUMPRODUCT((Inputs!$C$5:$C$140=$B58)*Inputs!$D$5:$D$140*(((Inputs!$G$5:$G$140="moeda")+(Inputs!$G$5:$G$140="acoes"))*Inputs!$B$1+((Inputs!$G$5:$G$140&lt;&gt;"moeda")*(Inputs!$G$5:$G$140&lt;&gt;"acoes")))*INDEX(Inputs!$K$5:$AJ$140,0,MATCH(X$2,Inputs!$K$4:$AJ$4,0)))+SUMPRODUCT((Inputs!$E$5:$E$140=$B58)*Inputs!$F$5:$F$140*(((Inputs!$G$5:$G$140="moeda")+(Inputs!$G$5:$G$140="acoes"))*Inputs!$B$1+((Inputs!$G$5:$G$140&lt;&gt;"moeda")*(Inputs!$G$5:$G$140&lt;&gt;"acoes")))*INDEX(Inputs!$K$5:$AJ$140,0,MATCH(X$2,Inputs!$K$4:$AJ$4,0)))))</f>
        <v>3763</v>
      </c>
      <c r="Y58" s="263">
        <f>IF(ISNA(MATCH(Y$2,Inputs!$K$4:$AJ$4,0)),NA(),IF(SUMPRODUCT((Inputs!$A$5:$A$140=$B58)*ISNUMBER(INDEX(Inputs!$K$5:$AJ$140,0,MATCH(Y$2,Inputs!$K$4:$AJ$4,0))))+SUMPRODUCT((Inputs!$C$5:$C$140=$B58)*ISNUMBER(INDEX(Inputs!$K$5:$AJ$140,0,MATCH(Y$2,Inputs!$K$4:$AJ$4,0))))+SUMPRODUCT((Inputs!$E$5:$E$140=$B58)*ISNUMBER(INDEX(Inputs!$K$5:$AJ$140,0,MATCH(Y$2,Inputs!$K$4:$AJ$4,0))))=0,NA(),SUMPRODUCT((Inputs!$A$5:$A$140=$B58)*Inputs!$B$5:$B$140*(((Inputs!$G$5:$G$140="moeda")+(Inputs!$G$5:$G$140="acoes"))*Inputs!$B$1+((Inputs!$G$5:$G$140&lt;&gt;"moeda")*(Inputs!$G$5:$G$140&lt;&gt;"acoes")))*INDEX(Inputs!$K$5:$AJ$140,0,MATCH(Y$2,Inputs!$K$4:$AJ$4,0)))+SUMPRODUCT((Inputs!$C$5:$C$140=$B58)*Inputs!$D$5:$D$140*(((Inputs!$G$5:$G$140="moeda")+(Inputs!$G$5:$G$140="acoes"))*Inputs!$B$1+((Inputs!$G$5:$G$140&lt;&gt;"moeda")*(Inputs!$G$5:$G$140&lt;&gt;"acoes")))*INDEX(Inputs!$K$5:$AJ$140,0,MATCH(Y$2,Inputs!$K$4:$AJ$4,0)))+SUMPRODUCT((Inputs!$E$5:$E$140=$B58)*Inputs!$F$5:$F$140*(((Inputs!$G$5:$G$140="moeda")+(Inputs!$G$5:$G$140="acoes"))*Inputs!$B$1+((Inputs!$G$5:$G$140&lt;&gt;"moeda")*(Inputs!$G$5:$G$140&lt;&gt;"acoes")))*INDEX(Inputs!$K$5:$AJ$140,0,MATCH(Y$2,Inputs!$K$4:$AJ$4,0)))))</f>
        <v>4287</v>
      </c>
      <c r="Z58" s="263">
        <f>IF(ISNA(MATCH(Z$2,Inputs!$K$4:$AJ$4,0)),NA(),IF(SUMPRODUCT((Inputs!$A$5:$A$140=$B58)*ISNUMBER(INDEX(Inputs!$K$5:$AJ$140,0,MATCH(Z$2,Inputs!$K$4:$AJ$4,0))))+SUMPRODUCT((Inputs!$C$5:$C$140=$B58)*ISNUMBER(INDEX(Inputs!$K$5:$AJ$140,0,MATCH(Z$2,Inputs!$K$4:$AJ$4,0))))+SUMPRODUCT((Inputs!$E$5:$E$140=$B58)*ISNUMBER(INDEX(Inputs!$K$5:$AJ$140,0,MATCH(Z$2,Inputs!$K$4:$AJ$4,0))))=0,NA(),SUMPRODUCT((Inputs!$A$5:$A$140=$B58)*Inputs!$B$5:$B$140*(((Inputs!$G$5:$G$140="moeda")+(Inputs!$G$5:$G$140="acoes"))*Inputs!$B$1+((Inputs!$G$5:$G$140&lt;&gt;"moeda")*(Inputs!$G$5:$G$140&lt;&gt;"acoes")))*INDEX(Inputs!$K$5:$AJ$140,0,MATCH(Z$2,Inputs!$K$4:$AJ$4,0)))+SUMPRODUCT((Inputs!$C$5:$C$140=$B58)*Inputs!$D$5:$D$140*(((Inputs!$G$5:$G$140="moeda")+(Inputs!$G$5:$G$140="acoes"))*Inputs!$B$1+((Inputs!$G$5:$G$140&lt;&gt;"moeda")*(Inputs!$G$5:$G$140&lt;&gt;"acoes")))*INDEX(Inputs!$K$5:$AJ$140,0,MATCH(Z$2,Inputs!$K$4:$AJ$4,0)))+SUMPRODUCT((Inputs!$E$5:$E$140=$B58)*Inputs!$F$5:$F$140*(((Inputs!$G$5:$G$140="moeda")+(Inputs!$G$5:$G$140="acoes"))*Inputs!$B$1+((Inputs!$G$5:$G$140&lt;&gt;"moeda")*(Inputs!$G$5:$G$140&lt;&gt;"acoes")))*INDEX(Inputs!$K$5:$AJ$140,0,MATCH(Z$2,Inputs!$K$4:$AJ$4,0)))))</f>
        <v>4265</v>
      </c>
      <c r="AA58" s="263">
        <f>IF(ISNA(MATCH(AA$2,Inputs!$K$4:$AJ$4,0)),NA(),IF(SUMPRODUCT((Inputs!$A$5:$A$140=$B58)*ISNUMBER(INDEX(Inputs!$K$5:$AJ$140,0,MATCH(AA$2,Inputs!$K$4:$AJ$4,0))))+SUMPRODUCT((Inputs!$C$5:$C$140=$B58)*ISNUMBER(INDEX(Inputs!$K$5:$AJ$140,0,MATCH(AA$2,Inputs!$K$4:$AJ$4,0))))+SUMPRODUCT((Inputs!$E$5:$E$140=$B58)*ISNUMBER(INDEX(Inputs!$K$5:$AJ$140,0,MATCH(AA$2,Inputs!$K$4:$AJ$4,0))))=0,NA(),SUMPRODUCT((Inputs!$A$5:$A$140=$B58)*Inputs!$B$5:$B$140*(((Inputs!$G$5:$G$140="moeda")+(Inputs!$G$5:$G$140="acoes"))*Inputs!$B$1+((Inputs!$G$5:$G$140&lt;&gt;"moeda")*(Inputs!$G$5:$G$140&lt;&gt;"acoes")))*INDEX(Inputs!$K$5:$AJ$140,0,MATCH(AA$2,Inputs!$K$4:$AJ$4,0)))+SUMPRODUCT((Inputs!$C$5:$C$140=$B58)*Inputs!$D$5:$D$140*(((Inputs!$G$5:$G$140="moeda")+(Inputs!$G$5:$G$140="acoes"))*Inputs!$B$1+((Inputs!$G$5:$G$140&lt;&gt;"moeda")*(Inputs!$G$5:$G$140&lt;&gt;"acoes")))*INDEX(Inputs!$K$5:$AJ$140,0,MATCH(AA$2,Inputs!$K$4:$AJ$4,0)))+SUMPRODUCT((Inputs!$E$5:$E$140=$B58)*Inputs!$F$5:$F$140*(((Inputs!$G$5:$G$140="moeda")+(Inputs!$G$5:$G$140="acoes"))*Inputs!$B$1+((Inputs!$G$5:$G$140&lt;&gt;"moeda")*(Inputs!$G$5:$G$140&lt;&gt;"acoes")))*INDEX(Inputs!$K$5:$AJ$140,0,MATCH(AA$2,Inputs!$K$4:$AJ$4,0)))))</f>
        <v>3727</v>
      </c>
      <c r="AB58" s="264">
        <f>SUM(X58:AA58)</f>
        <v>16042</v>
      </c>
      <c r="AC58" s="263" t="e">
        <f>IF(ISNA(MATCH(AC$2,Inputs!$K$4:$AJ$4,0)),NA(),IF(SUMPRODUCT((Inputs!$A$5:$A$140=$B58)*ISNUMBER(INDEX(Inputs!$K$5:$AJ$140,0,MATCH(AC$2,Inputs!$K$4:$AJ$4,0))))+SUMPRODUCT((Inputs!$C$5:$C$140=$B58)*ISNUMBER(INDEX(Inputs!$K$5:$AJ$140,0,MATCH(AC$2,Inputs!$K$4:$AJ$4,0))))+SUMPRODUCT((Inputs!$E$5:$E$140=$B58)*ISNUMBER(INDEX(Inputs!$K$5:$AJ$140,0,MATCH(AC$2,Inputs!$K$4:$AJ$4,0))))=0,NA(),SUMPRODUCT((Inputs!$A$5:$A$140=$B58)*Inputs!$B$5:$B$140*(((Inputs!$G$5:$G$140="moeda")+(Inputs!$G$5:$G$140="acoes"))*Inputs!$B$1+((Inputs!$G$5:$G$140&lt;&gt;"moeda")*(Inputs!$G$5:$G$140&lt;&gt;"acoes")))*INDEX(Inputs!$K$5:$AJ$140,0,MATCH(AC$2,Inputs!$K$4:$AJ$4,0)))+SUMPRODUCT((Inputs!$C$5:$C$140=$B58)*Inputs!$D$5:$D$140*(((Inputs!$G$5:$G$140="moeda")+(Inputs!$G$5:$G$140="acoes"))*Inputs!$B$1+((Inputs!$G$5:$G$140&lt;&gt;"moeda")*(Inputs!$G$5:$G$140&lt;&gt;"acoes")))*INDEX(Inputs!$K$5:$AJ$140,0,MATCH(AC$2,Inputs!$K$4:$AJ$4,0)))+SUMPRODUCT((Inputs!$E$5:$E$140=$B58)*Inputs!$F$5:$F$140*(((Inputs!$G$5:$G$140="moeda")+(Inputs!$G$5:$G$140="acoes"))*Inputs!$B$1+((Inputs!$G$5:$G$140&lt;&gt;"moeda")*(Inputs!$G$5:$G$140&lt;&gt;"acoes")))*INDEX(Inputs!$K$5:$AJ$140,0,MATCH(AC$2,Inputs!$K$4:$AJ$4,0)))))</f>
        <v>#N/A</v>
      </c>
      <c r="AD58" s="263" t="e">
        <f>IF(ISNA(MATCH(AD$2,Inputs!$K$4:$AJ$4,0)),NA(),IF(SUMPRODUCT((Inputs!$A$5:$A$140=$B58)*ISNUMBER(INDEX(Inputs!$K$5:$AJ$140,0,MATCH(AD$2,Inputs!$K$4:$AJ$4,0))))+SUMPRODUCT((Inputs!$C$5:$C$140=$B58)*ISNUMBER(INDEX(Inputs!$K$5:$AJ$140,0,MATCH(AD$2,Inputs!$K$4:$AJ$4,0))))+SUMPRODUCT((Inputs!$E$5:$E$140=$B58)*ISNUMBER(INDEX(Inputs!$K$5:$AJ$140,0,MATCH(AD$2,Inputs!$K$4:$AJ$4,0))))=0,NA(),SUMPRODUCT((Inputs!$A$5:$A$140=$B58)*Inputs!$B$5:$B$140*(((Inputs!$G$5:$G$140="moeda")+(Inputs!$G$5:$G$140="acoes"))*Inputs!$B$1+((Inputs!$G$5:$G$140&lt;&gt;"moeda")*(Inputs!$G$5:$G$140&lt;&gt;"acoes")))*INDEX(Inputs!$K$5:$AJ$140,0,MATCH(AD$2,Inputs!$K$4:$AJ$4,0)))+SUMPRODUCT((Inputs!$C$5:$C$140=$B58)*Inputs!$D$5:$D$140*(((Inputs!$G$5:$G$140="moeda")+(Inputs!$G$5:$G$140="acoes"))*Inputs!$B$1+((Inputs!$G$5:$G$140&lt;&gt;"moeda")*(Inputs!$G$5:$G$140&lt;&gt;"acoes")))*INDEX(Inputs!$K$5:$AJ$140,0,MATCH(AD$2,Inputs!$K$4:$AJ$4,0)))+SUMPRODUCT((Inputs!$E$5:$E$140=$B58)*Inputs!$F$5:$F$140*(((Inputs!$G$5:$G$140="moeda")+(Inputs!$G$5:$G$140="acoes"))*Inputs!$B$1+((Inputs!$G$5:$G$140&lt;&gt;"moeda")*(Inputs!$G$5:$G$140&lt;&gt;"acoes")))*INDEX(Inputs!$K$5:$AJ$140,0,MATCH(AD$2,Inputs!$K$4:$AJ$4,0)))))</f>
        <v>#N/A</v>
      </c>
      <c r="AE58" s="263" t="e">
        <f>IF(ISNA(MATCH(AE$2,Inputs!$K$4:$AJ$4,0)),NA(),IF(SUMPRODUCT((Inputs!$A$5:$A$140=$B58)*ISNUMBER(INDEX(Inputs!$K$5:$AJ$140,0,MATCH(AE$2,Inputs!$K$4:$AJ$4,0))))+SUMPRODUCT((Inputs!$C$5:$C$140=$B58)*ISNUMBER(INDEX(Inputs!$K$5:$AJ$140,0,MATCH(AE$2,Inputs!$K$4:$AJ$4,0))))+SUMPRODUCT((Inputs!$E$5:$E$140=$B58)*ISNUMBER(INDEX(Inputs!$K$5:$AJ$140,0,MATCH(AE$2,Inputs!$K$4:$AJ$4,0))))=0,NA(),SUMPRODUCT((Inputs!$A$5:$A$140=$B58)*Inputs!$B$5:$B$140*(((Inputs!$G$5:$G$140="moeda")+(Inputs!$G$5:$G$140="acoes"))*Inputs!$B$1+((Inputs!$G$5:$G$140&lt;&gt;"moeda")*(Inputs!$G$5:$G$140&lt;&gt;"acoes")))*INDEX(Inputs!$K$5:$AJ$140,0,MATCH(AE$2,Inputs!$K$4:$AJ$4,0)))+SUMPRODUCT((Inputs!$C$5:$C$140=$B58)*Inputs!$D$5:$D$140*(((Inputs!$G$5:$G$140="moeda")+(Inputs!$G$5:$G$140="acoes"))*Inputs!$B$1+((Inputs!$G$5:$G$140&lt;&gt;"moeda")*(Inputs!$G$5:$G$140&lt;&gt;"acoes")))*INDEX(Inputs!$K$5:$AJ$140,0,MATCH(AE$2,Inputs!$K$4:$AJ$4,0)))+SUMPRODUCT((Inputs!$E$5:$E$140=$B58)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58" s="263" t="e">
        <f>IF(ISNA(MATCH(AF$2,Inputs!$K$4:$AJ$4,0)),NA(),IF(SUMPRODUCT((Inputs!$A$5:$A$140=$B58)*ISNUMBER(INDEX(Inputs!$K$5:$AJ$140,0,MATCH(AF$2,Inputs!$K$4:$AJ$4,0))))+SUMPRODUCT((Inputs!$C$5:$C$140=$B58)*ISNUMBER(INDEX(Inputs!$K$5:$AJ$140,0,MATCH(AF$2,Inputs!$K$4:$AJ$4,0))))+SUMPRODUCT((Inputs!$E$5:$E$140=$B58)*ISNUMBER(INDEX(Inputs!$K$5:$AJ$140,0,MATCH(AF$2,Inputs!$K$4:$AJ$4,0))))=0,NA(),SUMPRODUCT((Inputs!$A$5:$A$140=$B58)*Inputs!$B$5:$B$140*(((Inputs!$G$5:$G$140="moeda")+(Inputs!$G$5:$G$140="acoes"))*Inputs!$B$1+((Inputs!$G$5:$G$140&lt;&gt;"moeda")*(Inputs!$G$5:$G$140&lt;&gt;"acoes")))*INDEX(Inputs!$K$5:$AJ$140,0,MATCH(AF$2,Inputs!$K$4:$AJ$4,0)))+SUMPRODUCT((Inputs!$C$5:$C$140=$B58)*Inputs!$D$5:$D$140*(((Inputs!$G$5:$G$140="moeda")+(Inputs!$G$5:$G$140="acoes"))*Inputs!$B$1+((Inputs!$G$5:$G$140&lt;&gt;"moeda")*(Inputs!$G$5:$G$140&lt;&gt;"acoes")))*INDEX(Inputs!$K$5:$AJ$140,0,MATCH(AF$2,Inputs!$K$4:$AJ$4,0)))+SUMPRODUCT((Inputs!$E$5:$E$140=$B58)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58" s="264" t="e">
        <f>SUM(AC58:AF58)</f>
        <v>#N/A</v>
      </c>
      <c r="AH58" s="263">
        <f>IF(ISNA(MATCH(AH$2,Inputs!$K$4:$AJ$4,0)),NA(),IF(SUMPRODUCT((Inputs!$A$5:$A$140=$B58)*ISNUMBER(INDEX(Inputs!$K$5:$AJ$140,0,MATCH(AH$2,Inputs!$K$4:$AJ$4,0))))+SUMPRODUCT((Inputs!$C$5:$C$140=$B58)*ISNUMBER(INDEX(Inputs!$K$5:$AJ$140,0,MATCH(AH$2,Inputs!$K$4:$AJ$4,0))))+SUMPRODUCT((Inputs!$E$5:$E$140=$B58)*ISNUMBER(INDEX(Inputs!$K$5:$AJ$140,0,MATCH(AH$2,Inputs!$K$4:$AJ$4,0))))=0,NA(),SUMPRODUCT((Inputs!$A$5:$A$140=$B58)*Inputs!$B$5:$B$140*(((Inputs!$G$5:$G$140="moeda")+(Inputs!$G$5:$G$140="acoes"))*Inputs!$B$1+((Inputs!$G$5:$G$140&lt;&gt;"moeda")*(Inputs!$G$5:$G$140&lt;&gt;"acoes")))*INDEX(Inputs!$K$5:$AJ$140,0,MATCH(AH$2,Inputs!$K$4:$AJ$4,0)))+SUMPRODUCT((Inputs!$C$5:$C$140=$B58)*Inputs!$D$5:$D$140*(((Inputs!$G$5:$G$140="moeda")+(Inputs!$G$5:$G$140="acoes"))*Inputs!$B$1+((Inputs!$G$5:$G$140&lt;&gt;"moeda")*(Inputs!$G$5:$G$140&lt;&gt;"acoes")))*INDEX(Inputs!$K$5:$AJ$140,0,MATCH(AH$2,Inputs!$K$4:$AJ$4,0)))+SUMPRODUCT((Inputs!$E$5:$E$140=$B58)*Inputs!$F$5:$F$140*(((Inputs!$G$5:$G$140="moeda")+(Inputs!$G$5:$G$140="acoes"))*Inputs!$B$1+((Inputs!$G$5:$G$140&lt;&gt;"moeda")*(Inputs!$G$5:$G$140&lt;&gt;"acoes")))*INDEX(Inputs!$K$5:$AJ$140,0,MATCH(AH$2,Inputs!$K$4:$AJ$4,0)))))</f>
        <v>1339</v>
      </c>
      <c r="AI58" s="263">
        <f>IF(ISNA(MATCH(AI$2,Inputs!$K$4:$AJ$4,0)),NA(),IF(SUMPRODUCT((Inputs!$A$5:$A$140=$B58)*ISNUMBER(INDEX(Inputs!$K$5:$AJ$140,0,MATCH(AI$2,Inputs!$K$4:$AJ$4,0))))+SUMPRODUCT((Inputs!$C$5:$C$140=$B58)*ISNUMBER(INDEX(Inputs!$K$5:$AJ$140,0,MATCH(AI$2,Inputs!$K$4:$AJ$4,0))))+SUMPRODUCT((Inputs!$E$5:$E$140=$B58)*ISNUMBER(INDEX(Inputs!$K$5:$AJ$140,0,MATCH(AI$2,Inputs!$K$4:$AJ$4,0))))=0,NA(),SUMPRODUCT((Inputs!$A$5:$A$140=$B58)*Inputs!$B$5:$B$140*(((Inputs!$G$5:$G$140="moeda")+(Inputs!$G$5:$G$140="acoes"))*Inputs!$B$1+((Inputs!$G$5:$G$140&lt;&gt;"moeda")*(Inputs!$G$5:$G$140&lt;&gt;"acoes")))*INDEX(Inputs!$K$5:$AJ$140,0,MATCH(AI$2,Inputs!$K$4:$AJ$4,0)))+SUMPRODUCT((Inputs!$C$5:$C$140=$B58)*Inputs!$D$5:$D$140*(((Inputs!$G$5:$G$140="moeda")+(Inputs!$G$5:$G$140="acoes"))*Inputs!$B$1+((Inputs!$G$5:$G$140&lt;&gt;"moeda")*(Inputs!$G$5:$G$140&lt;&gt;"acoes")))*INDEX(Inputs!$K$5:$AJ$140,0,MATCH(AI$2,Inputs!$K$4:$AJ$4,0)))+SUMPRODUCT((Inputs!$E$5:$E$140=$B58)*Inputs!$F$5:$F$140*(((Inputs!$G$5:$G$140="moeda")+(Inputs!$G$5:$G$140="acoes"))*Inputs!$B$1+((Inputs!$G$5:$G$140&lt;&gt;"moeda")*(Inputs!$G$5:$G$140&lt;&gt;"acoes")))*INDEX(Inputs!$K$5:$AJ$140,0,MATCH(AI$2,Inputs!$K$4:$AJ$4,0)))))</f>
        <v>1654</v>
      </c>
      <c r="AJ58" s="263">
        <f>IF(ISNA(MATCH(AJ$2,Inputs!$K$4:$AJ$4,0)),NA(),IF(SUMPRODUCT((Inputs!$A$5:$A$140=$B58)*ISNUMBER(INDEX(Inputs!$K$5:$AJ$140,0,MATCH(AJ$2,Inputs!$K$4:$AJ$4,0))))+SUMPRODUCT((Inputs!$C$5:$C$140=$B58)*ISNUMBER(INDEX(Inputs!$K$5:$AJ$140,0,MATCH(AJ$2,Inputs!$K$4:$AJ$4,0))))+SUMPRODUCT((Inputs!$E$5:$E$140=$B58)*ISNUMBER(INDEX(Inputs!$K$5:$AJ$140,0,MATCH(AJ$2,Inputs!$K$4:$AJ$4,0))))=0,NA(),SUMPRODUCT((Inputs!$A$5:$A$140=$B58)*Inputs!$B$5:$B$140*(((Inputs!$G$5:$G$140="moeda")+(Inputs!$G$5:$G$140="acoes"))*Inputs!$B$1+((Inputs!$G$5:$G$140&lt;&gt;"moeda")*(Inputs!$G$5:$G$140&lt;&gt;"acoes")))*INDEX(Inputs!$K$5:$AJ$140,0,MATCH(AJ$2,Inputs!$K$4:$AJ$4,0)))+SUMPRODUCT((Inputs!$C$5:$C$140=$B58)*Inputs!$D$5:$D$140*(((Inputs!$G$5:$G$140="moeda")+(Inputs!$G$5:$G$140="acoes"))*Inputs!$B$1+((Inputs!$G$5:$G$140&lt;&gt;"moeda")*(Inputs!$G$5:$G$140&lt;&gt;"acoes")))*INDEX(Inputs!$K$5:$AJ$140,0,MATCH(AJ$2,Inputs!$K$4:$AJ$4,0)))+SUMPRODUCT((Inputs!$E$5:$E$140=$B58)*Inputs!$F$5:$F$140*(((Inputs!$G$5:$G$140="moeda")+(Inputs!$G$5:$G$140="acoes"))*Inputs!$B$1+((Inputs!$G$5:$G$140&lt;&gt;"moeda")*(Inputs!$G$5:$G$140&lt;&gt;"acoes")))*INDEX(Inputs!$K$5:$AJ$140,0,MATCH(AJ$2,Inputs!$K$4:$AJ$4,0)))))</f>
        <v>2271</v>
      </c>
      <c r="AK58" s="263">
        <f>IF(ISNA(MATCH(AK$2,Inputs!$K$4:$AJ$4,0)),NA(),IF(SUMPRODUCT((Inputs!$A$5:$A$140=$B58)*ISNUMBER(INDEX(Inputs!$K$5:$AJ$140,0,MATCH(AK$2,Inputs!$K$4:$AJ$4,0))))+SUMPRODUCT((Inputs!$C$5:$C$140=$B58)*ISNUMBER(INDEX(Inputs!$K$5:$AJ$140,0,MATCH(AK$2,Inputs!$K$4:$AJ$4,0))))+SUMPRODUCT((Inputs!$E$5:$E$140=$B58)*ISNUMBER(INDEX(Inputs!$K$5:$AJ$140,0,MATCH(AK$2,Inputs!$K$4:$AJ$4,0))))=0,NA(),SUMPRODUCT((Inputs!$A$5:$A$140=$B58)*Inputs!$B$5:$B$140*(((Inputs!$G$5:$G$140="moeda")+(Inputs!$G$5:$G$140="acoes"))*Inputs!$B$1+((Inputs!$G$5:$G$140&lt;&gt;"moeda")*(Inputs!$G$5:$G$140&lt;&gt;"acoes")))*INDEX(Inputs!$K$5:$AJ$140,0,MATCH(AK$2,Inputs!$K$4:$AJ$4,0)))+SUMPRODUCT((Inputs!$C$5:$C$140=$B58)*Inputs!$D$5:$D$140*(((Inputs!$G$5:$G$140="moeda")+(Inputs!$G$5:$G$140="acoes"))*Inputs!$B$1+((Inputs!$G$5:$G$140&lt;&gt;"moeda")*(Inputs!$G$5:$G$140&lt;&gt;"acoes")))*INDEX(Inputs!$K$5:$AJ$140,0,MATCH(AK$2,Inputs!$K$4:$AJ$4,0)))+SUMPRODUCT((Inputs!$E$5:$E$140=$B58)*Inputs!$F$5:$F$140*(((Inputs!$G$5:$G$140="moeda")+(Inputs!$G$5:$G$140="acoes"))*Inputs!$B$1+((Inputs!$G$5:$G$140&lt;&gt;"moeda")*(Inputs!$G$5:$G$140&lt;&gt;"acoes")))*INDEX(Inputs!$K$5:$AJ$140,0,MATCH(AK$2,Inputs!$K$4:$AJ$4,0)))))</f>
        <v>2495</v>
      </c>
      <c r="AL58" s="264">
        <f>SUM(AH58:AK58)</f>
        <v>7759</v>
      </c>
    </row>
    <row r="59">
      <c r="B59" s="46" t="n">
        <v>51</v>
      </c>
      <c r="C59" s="29" t="inlineStr">
        <is>
          <t>Receita Professional Visualization (USD; até 4T25)</t>
        </is>
      </c>
      <c r="D59" s="263">
        <f>IF(ISNA(MATCH(D$2,Inputs!$K$4:$AJ$4,0)),NA(),IF(SUMPRODUCT((Inputs!$A$5:$A$140=$B59)*ISNUMBER(INDEX(Inputs!$K$5:$AJ$140,0,MATCH(D$2,Inputs!$K$4:$AJ$4,0))))+SUMPRODUCT((Inputs!$C$5:$C$140=$B59)*ISNUMBER(INDEX(Inputs!$K$5:$AJ$140,0,MATCH(D$2,Inputs!$K$4:$AJ$4,0))))+SUMPRODUCT((Inputs!$E$5:$E$140=$B59)*ISNUMBER(INDEX(Inputs!$K$5:$AJ$140,0,MATCH(D$2,Inputs!$K$4:$AJ$4,0))))=0,NA(),SUMPRODUCT((Inputs!$A$5:$A$140=$B59)*Inputs!$B$5:$B$140*(((Inputs!$G$5:$G$140="moeda")+(Inputs!$G$5:$G$140="acoes"))*Inputs!$B$1+((Inputs!$G$5:$G$140&lt;&gt;"moeda")*(Inputs!$G$5:$G$140&lt;&gt;"acoes")))*INDEX(Inputs!$K$5:$AJ$140,0,MATCH(D$2,Inputs!$K$4:$AJ$4,0)))+SUMPRODUCT((Inputs!$C$5:$C$140=$B59)*Inputs!$D$5:$D$140*(((Inputs!$G$5:$G$140="moeda")+(Inputs!$G$5:$G$140="acoes"))*Inputs!$B$1+((Inputs!$G$5:$G$140&lt;&gt;"moeda")*(Inputs!$G$5:$G$140&lt;&gt;"acoes")))*INDEX(Inputs!$K$5:$AJ$140,0,MATCH(D$2,Inputs!$K$4:$AJ$4,0)))+SUMPRODUCT((Inputs!$E$5:$E$140=$B59)*Inputs!$F$5:$F$140*(((Inputs!$G$5:$G$140="moeda")+(Inputs!$G$5:$G$140="acoes"))*Inputs!$B$1+((Inputs!$G$5:$G$140&lt;&gt;"moeda")*(Inputs!$G$5:$G$140&lt;&gt;"acoes")))*INDEX(Inputs!$K$5:$AJ$140,0,MATCH(D$2,Inputs!$K$4:$AJ$4,0)))))</f>
        <v>372</v>
      </c>
      <c r="E59" s="263">
        <f>IF(ISNA(MATCH(E$2,Inputs!$K$4:$AJ$4,0)),NA(),IF(SUMPRODUCT((Inputs!$A$5:$A$140=$B59)*ISNUMBER(INDEX(Inputs!$K$5:$AJ$140,0,MATCH(E$2,Inputs!$K$4:$AJ$4,0))))+SUMPRODUCT((Inputs!$C$5:$C$140=$B59)*ISNUMBER(INDEX(Inputs!$K$5:$AJ$140,0,MATCH(E$2,Inputs!$K$4:$AJ$4,0))))+SUMPRODUCT((Inputs!$E$5:$E$140=$B59)*ISNUMBER(INDEX(Inputs!$K$5:$AJ$140,0,MATCH(E$2,Inputs!$K$4:$AJ$4,0))))=0,NA(),SUMPRODUCT((Inputs!$A$5:$A$140=$B59)*Inputs!$B$5:$B$140*(((Inputs!$G$5:$G$140="moeda")+(Inputs!$G$5:$G$140="acoes"))*Inputs!$B$1+((Inputs!$G$5:$G$140&lt;&gt;"moeda")*(Inputs!$G$5:$G$140&lt;&gt;"acoes")))*INDEX(Inputs!$K$5:$AJ$140,0,MATCH(E$2,Inputs!$K$4:$AJ$4,0)))+SUMPRODUCT((Inputs!$C$5:$C$140=$B59)*Inputs!$D$5:$D$140*(((Inputs!$G$5:$G$140="moeda")+(Inputs!$G$5:$G$140="acoes"))*Inputs!$B$1+((Inputs!$G$5:$G$140&lt;&gt;"moeda")*(Inputs!$G$5:$G$140&lt;&gt;"acoes")))*INDEX(Inputs!$K$5:$AJ$140,0,MATCH(E$2,Inputs!$K$4:$AJ$4,0)))+SUMPRODUCT((Inputs!$E$5:$E$140=$B59)*Inputs!$F$5:$F$140*(((Inputs!$G$5:$G$140="moeda")+(Inputs!$G$5:$G$140="acoes"))*Inputs!$B$1+((Inputs!$G$5:$G$140&lt;&gt;"moeda")*(Inputs!$G$5:$G$140&lt;&gt;"acoes")))*INDEX(Inputs!$K$5:$AJ$140,0,MATCH(E$2,Inputs!$K$4:$AJ$4,0)))))</f>
        <v>519</v>
      </c>
      <c r="F59" s="263">
        <f>IF(ISNA(MATCH(F$2,Inputs!$K$4:$AJ$4,0)),NA(),IF(SUMPRODUCT((Inputs!$A$5:$A$140=$B59)*ISNUMBER(INDEX(Inputs!$K$5:$AJ$140,0,MATCH(F$2,Inputs!$K$4:$AJ$4,0))))+SUMPRODUCT((Inputs!$C$5:$C$140=$B59)*ISNUMBER(INDEX(Inputs!$K$5:$AJ$140,0,MATCH(F$2,Inputs!$K$4:$AJ$4,0))))+SUMPRODUCT((Inputs!$E$5:$E$140=$B59)*ISNUMBER(INDEX(Inputs!$K$5:$AJ$140,0,MATCH(F$2,Inputs!$K$4:$AJ$4,0))))=0,NA(),SUMPRODUCT((Inputs!$A$5:$A$140=$B59)*Inputs!$B$5:$B$140*(((Inputs!$G$5:$G$140="moeda")+(Inputs!$G$5:$G$140="acoes"))*Inputs!$B$1+((Inputs!$G$5:$G$140&lt;&gt;"moeda")*(Inputs!$G$5:$G$140&lt;&gt;"acoes")))*INDEX(Inputs!$K$5:$AJ$140,0,MATCH(F$2,Inputs!$K$4:$AJ$4,0)))+SUMPRODUCT((Inputs!$C$5:$C$140=$B59)*Inputs!$D$5:$D$140*(((Inputs!$G$5:$G$140="moeda")+(Inputs!$G$5:$G$140="acoes"))*Inputs!$B$1+((Inputs!$G$5:$G$140&lt;&gt;"moeda")*(Inputs!$G$5:$G$140&lt;&gt;"acoes")))*INDEX(Inputs!$K$5:$AJ$140,0,MATCH(F$2,Inputs!$K$4:$AJ$4,0)))+SUMPRODUCT((Inputs!$E$5:$E$140=$B59)*Inputs!$F$5:$F$140*(((Inputs!$G$5:$G$140="moeda")+(Inputs!$G$5:$G$140="acoes"))*Inputs!$B$1+((Inputs!$G$5:$G$140&lt;&gt;"moeda")*(Inputs!$G$5:$G$140&lt;&gt;"acoes")))*INDEX(Inputs!$K$5:$AJ$140,0,MATCH(F$2,Inputs!$K$4:$AJ$4,0)))))</f>
        <v>577</v>
      </c>
      <c r="G59" s="263">
        <f>IF(ISNA(MATCH(G$2,Inputs!$K$4:$AJ$4,0)),NA(),IF(SUMPRODUCT((Inputs!$A$5:$A$140=$B59)*ISNUMBER(INDEX(Inputs!$K$5:$AJ$140,0,MATCH(G$2,Inputs!$K$4:$AJ$4,0))))+SUMPRODUCT((Inputs!$C$5:$C$140=$B59)*ISNUMBER(INDEX(Inputs!$K$5:$AJ$140,0,MATCH(G$2,Inputs!$K$4:$AJ$4,0))))+SUMPRODUCT((Inputs!$E$5:$E$140=$B59)*ISNUMBER(INDEX(Inputs!$K$5:$AJ$140,0,MATCH(G$2,Inputs!$K$4:$AJ$4,0))))=0,NA(),SUMPRODUCT((Inputs!$A$5:$A$140=$B59)*Inputs!$B$5:$B$140*(((Inputs!$G$5:$G$140="moeda")+(Inputs!$G$5:$G$140="acoes"))*Inputs!$B$1+((Inputs!$G$5:$G$140&lt;&gt;"moeda")*(Inputs!$G$5:$G$140&lt;&gt;"acoes")))*INDEX(Inputs!$K$5:$AJ$140,0,MATCH(G$2,Inputs!$K$4:$AJ$4,0)))+SUMPRODUCT((Inputs!$C$5:$C$140=$B59)*Inputs!$D$5:$D$140*(((Inputs!$G$5:$G$140="moeda")+(Inputs!$G$5:$G$140="acoes"))*Inputs!$B$1+((Inputs!$G$5:$G$140&lt;&gt;"moeda")*(Inputs!$G$5:$G$140&lt;&gt;"acoes")))*INDEX(Inputs!$K$5:$AJ$140,0,MATCH(G$2,Inputs!$K$4:$AJ$4,0)))+SUMPRODUCT((Inputs!$E$5:$E$140=$B59)*Inputs!$F$5:$F$140*(((Inputs!$G$5:$G$140="moeda")+(Inputs!$G$5:$G$140="acoes"))*Inputs!$B$1+((Inputs!$G$5:$G$140&lt;&gt;"moeda")*(Inputs!$G$5:$G$140&lt;&gt;"acoes")))*INDEX(Inputs!$K$5:$AJ$140,0,MATCH(G$2,Inputs!$K$4:$AJ$4,0)))))</f>
        <v>643</v>
      </c>
      <c r="H59" s="264">
        <f>SUM(D59:G59)</f>
        <v>2111</v>
      </c>
      <c r="I59" s="263">
        <f>IF(ISNA(MATCH(I$2,Inputs!$K$4:$AJ$4,0)),NA(),IF(SUMPRODUCT((Inputs!$A$5:$A$140=$B59)*ISNUMBER(INDEX(Inputs!$K$5:$AJ$140,0,MATCH(I$2,Inputs!$K$4:$AJ$4,0))))+SUMPRODUCT((Inputs!$C$5:$C$140=$B59)*ISNUMBER(INDEX(Inputs!$K$5:$AJ$140,0,MATCH(I$2,Inputs!$K$4:$AJ$4,0))))+SUMPRODUCT((Inputs!$E$5:$E$140=$B59)*ISNUMBER(INDEX(Inputs!$K$5:$AJ$140,0,MATCH(I$2,Inputs!$K$4:$AJ$4,0))))=0,NA(),SUMPRODUCT((Inputs!$A$5:$A$140=$B59)*Inputs!$B$5:$B$140*(((Inputs!$G$5:$G$140="moeda")+(Inputs!$G$5:$G$140="acoes"))*Inputs!$B$1+((Inputs!$G$5:$G$140&lt;&gt;"moeda")*(Inputs!$G$5:$G$140&lt;&gt;"acoes")))*INDEX(Inputs!$K$5:$AJ$140,0,MATCH(I$2,Inputs!$K$4:$AJ$4,0)))+SUMPRODUCT((Inputs!$C$5:$C$140=$B59)*Inputs!$D$5:$D$140*(((Inputs!$G$5:$G$140="moeda")+(Inputs!$G$5:$G$140="acoes"))*Inputs!$B$1+((Inputs!$G$5:$G$140&lt;&gt;"moeda")*(Inputs!$G$5:$G$140&lt;&gt;"acoes")))*INDEX(Inputs!$K$5:$AJ$140,0,MATCH(I$2,Inputs!$K$4:$AJ$4,0)))+SUMPRODUCT((Inputs!$E$5:$E$140=$B59)*Inputs!$F$5:$F$140*(((Inputs!$G$5:$G$140="moeda")+(Inputs!$G$5:$G$140="acoes"))*Inputs!$B$1+((Inputs!$G$5:$G$140&lt;&gt;"moeda")*(Inputs!$G$5:$G$140&lt;&gt;"acoes")))*INDEX(Inputs!$K$5:$AJ$140,0,MATCH(I$2,Inputs!$K$4:$AJ$4,0)))))</f>
        <v>622</v>
      </c>
      <c r="J59" s="263">
        <f>IF(ISNA(MATCH(J$2,Inputs!$K$4:$AJ$4,0)),NA(),IF(SUMPRODUCT((Inputs!$A$5:$A$140=$B59)*ISNUMBER(INDEX(Inputs!$K$5:$AJ$140,0,MATCH(J$2,Inputs!$K$4:$AJ$4,0))))+SUMPRODUCT((Inputs!$C$5:$C$140=$B59)*ISNUMBER(INDEX(Inputs!$K$5:$AJ$140,0,MATCH(J$2,Inputs!$K$4:$AJ$4,0))))+SUMPRODUCT((Inputs!$E$5:$E$140=$B59)*ISNUMBER(INDEX(Inputs!$K$5:$AJ$140,0,MATCH(J$2,Inputs!$K$4:$AJ$4,0))))=0,NA(),SUMPRODUCT((Inputs!$A$5:$A$140=$B59)*Inputs!$B$5:$B$140*(((Inputs!$G$5:$G$140="moeda")+(Inputs!$G$5:$G$140="acoes"))*Inputs!$B$1+((Inputs!$G$5:$G$140&lt;&gt;"moeda")*(Inputs!$G$5:$G$140&lt;&gt;"acoes")))*INDEX(Inputs!$K$5:$AJ$140,0,MATCH(J$2,Inputs!$K$4:$AJ$4,0)))+SUMPRODUCT((Inputs!$C$5:$C$140=$B59)*Inputs!$D$5:$D$140*(((Inputs!$G$5:$G$140="moeda")+(Inputs!$G$5:$G$140="acoes"))*Inputs!$B$1+((Inputs!$G$5:$G$140&lt;&gt;"moeda")*(Inputs!$G$5:$G$140&lt;&gt;"acoes")))*INDEX(Inputs!$K$5:$AJ$140,0,MATCH(J$2,Inputs!$K$4:$AJ$4,0)))+SUMPRODUCT((Inputs!$E$5:$E$140=$B59)*Inputs!$F$5:$F$140*(((Inputs!$G$5:$G$140="moeda")+(Inputs!$G$5:$G$140="acoes"))*Inputs!$B$1+((Inputs!$G$5:$G$140&lt;&gt;"moeda")*(Inputs!$G$5:$G$140&lt;&gt;"acoes")))*INDEX(Inputs!$K$5:$AJ$140,0,MATCH(J$2,Inputs!$K$4:$AJ$4,0)))))</f>
        <v>496</v>
      </c>
      <c r="K59" s="263">
        <f>IF(ISNA(MATCH(K$2,Inputs!$K$4:$AJ$4,0)),NA(),IF(SUMPRODUCT((Inputs!$A$5:$A$140=$B59)*ISNUMBER(INDEX(Inputs!$K$5:$AJ$140,0,MATCH(K$2,Inputs!$K$4:$AJ$4,0))))+SUMPRODUCT((Inputs!$C$5:$C$140=$B59)*ISNUMBER(INDEX(Inputs!$K$5:$AJ$140,0,MATCH(K$2,Inputs!$K$4:$AJ$4,0))))+SUMPRODUCT((Inputs!$E$5:$E$140=$B59)*ISNUMBER(INDEX(Inputs!$K$5:$AJ$140,0,MATCH(K$2,Inputs!$K$4:$AJ$4,0))))=0,NA(),SUMPRODUCT((Inputs!$A$5:$A$140=$B59)*Inputs!$B$5:$B$140*(((Inputs!$G$5:$G$140="moeda")+(Inputs!$G$5:$G$140="acoes"))*Inputs!$B$1+((Inputs!$G$5:$G$140&lt;&gt;"moeda")*(Inputs!$G$5:$G$140&lt;&gt;"acoes")))*INDEX(Inputs!$K$5:$AJ$140,0,MATCH(K$2,Inputs!$K$4:$AJ$4,0)))+SUMPRODUCT((Inputs!$C$5:$C$140=$B59)*Inputs!$D$5:$D$140*(((Inputs!$G$5:$G$140="moeda")+(Inputs!$G$5:$G$140="acoes"))*Inputs!$B$1+((Inputs!$G$5:$G$140&lt;&gt;"moeda")*(Inputs!$G$5:$G$140&lt;&gt;"acoes")))*INDEX(Inputs!$K$5:$AJ$140,0,MATCH(K$2,Inputs!$K$4:$AJ$4,0)))+SUMPRODUCT((Inputs!$E$5:$E$140=$B59)*Inputs!$F$5:$F$140*(((Inputs!$G$5:$G$140="moeda")+(Inputs!$G$5:$G$140="acoes"))*Inputs!$B$1+((Inputs!$G$5:$G$140&lt;&gt;"moeda")*(Inputs!$G$5:$G$140&lt;&gt;"acoes")))*INDEX(Inputs!$K$5:$AJ$140,0,MATCH(K$2,Inputs!$K$4:$AJ$4,0)))))</f>
        <v>200</v>
      </c>
      <c r="L59" s="263">
        <f>IF(ISNA(MATCH(L$2,Inputs!$K$4:$AJ$4,0)),NA(),IF(SUMPRODUCT((Inputs!$A$5:$A$140=$B59)*ISNUMBER(INDEX(Inputs!$K$5:$AJ$140,0,MATCH(L$2,Inputs!$K$4:$AJ$4,0))))+SUMPRODUCT((Inputs!$C$5:$C$140=$B59)*ISNUMBER(INDEX(Inputs!$K$5:$AJ$140,0,MATCH(L$2,Inputs!$K$4:$AJ$4,0))))+SUMPRODUCT((Inputs!$E$5:$E$140=$B59)*ISNUMBER(INDEX(Inputs!$K$5:$AJ$140,0,MATCH(L$2,Inputs!$K$4:$AJ$4,0))))=0,NA(),SUMPRODUCT((Inputs!$A$5:$A$140=$B59)*Inputs!$B$5:$B$140*(((Inputs!$G$5:$G$140="moeda")+(Inputs!$G$5:$G$140="acoes"))*Inputs!$B$1+((Inputs!$G$5:$G$140&lt;&gt;"moeda")*(Inputs!$G$5:$G$140&lt;&gt;"acoes")))*INDEX(Inputs!$K$5:$AJ$140,0,MATCH(L$2,Inputs!$K$4:$AJ$4,0)))+SUMPRODUCT((Inputs!$C$5:$C$140=$B59)*Inputs!$D$5:$D$140*(((Inputs!$G$5:$G$140="moeda")+(Inputs!$G$5:$G$140="acoes"))*Inputs!$B$1+((Inputs!$G$5:$G$140&lt;&gt;"moeda")*(Inputs!$G$5:$G$140&lt;&gt;"acoes")))*INDEX(Inputs!$K$5:$AJ$140,0,MATCH(L$2,Inputs!$K$4:$AJ$4,0)))+SUMPRODUCT((Inputs!$E$5:$E$140=$B59)*Inputs!$F$5:$F$140*(((Inputs!$G$5:$G$140="moeda")+(Inputs!$G$5:$G$140="acoes"))*Inputs!$B$1+((Inputs!$G$5:$G$140&lt;&gt;"moeda")*(Inputs!$G$5:$G$140&lt;&gt;"acoes")))*INDEX(Inputs!$K$5:$AJ$140,0,MATCH(L$2,Inputs!$K$4:$AJ$4,0)))))</f>
        <v>226</v>
      </c>
      <c r="M59" s="264">
        <f>SUM(I59:L59)</f>
        <v>1544</v>
      </c>
      <c r="N59" s="263">
        <f>IF(ISNA(MATCH(N$2,Inputs!$K$4:$AJ$4,0)),NA(),IF(SUMPRODUCT((Inputs!$A$5:$A$140=$B59)*ISNUMBER(INDEX(Inputs!$K$5:$AJ$140,0,MATCH(N$2,Inputs!$K$4:$AJ$4,0))))+SUMPRODUCT((Inputs!$C$5:$C$140=$B59)*ISNUMBER(INDEX(Inputs!$K$5:$AJ$140,0,MATCH(N$2,Inputs!$K$4:$AJ$4,0))))+SUMPRODUCT((Inputs!$E$5:$E$140=$B59)*ISNUMBER(INDEX(Inputs!$K$5:$AJ$140,0,MATCH(N$2,Inputs!$K$4:$AJ$4,0))))=0,NA(),SUMPRODUCT((Inputs!$A$5:$A$140=$B59)*Inputs!$B$5:$B$140*(((Inputs!$G$5:$G$140="moeda")+(Inputs!$G$5:$G$140="acoes"))*Inputs!$B$1+((Inputs!$G$5:$G$140&lt;&gt;"moeda")*(Inputs!$G$5:$G$140&lt;&gt;"acoes")))*INDEX(Inputs!$K$5:$AJ$140,0,MATCH(N$2,Inputs!$K$4:$AJ$4,0)))+SUMPRODUCT((Inputs!$C$5:$C$140=$B59)*Inputs!$D$5:$D$140*(((Inputs!$G$5:$G$140="moeda")+(Inputs!$G$5:$G$140="acoes"))*Inputs!$B$1+((Inputs!$G$5:$G$140&lt;&gt;"moeda")*(Inputs!$G$5:$G$140&lt;&gt;"acoes")))*INDEX(Inputs!$K$5:$AJ$140,0,MATCH(N$2,Inputs!$K$4:$AJ$4,0)))+SUMPRODUCT((Inputs!$E$5:$E$140=$B59)*Inputs!$F$5:$F$140*(((Inputs!$G$5:$G$140="moeda")+(Inputs!$G$5:$G$140="acoes"))*Inputs!$B$1+((Inputs!$G$5:$G$140&lt;&gt;"moeda")*(Inputs!$G$5:$G$140&lt;&gt;"acoes")))*INDEX(Inputs!$K$5:$AJ$140,0,MATCH(N$2,Inputs!$K$4:$AJ$4,0)))))</f>
        <v>295</v>
      </c>
      <c r="O59" s="263">
        <f>IF(ISNA(MATCH(O$2,Inputs!$K$4:$AJ$4,0)),NA(),IF(SUMPRODUCT((Inputs!$A$5:$A$140=$B59)*ISNUMBER(INDEX(Inputs!$K$5:$AJ$140,0,MATCH(O$2,Inputs!$K$4:$AJ$4,0))))+SUMPRODUCT((Inputs!$C$5:$C$140=$B59)*ISNUMBER(INDEX(Inputs!$K$5:$AJ$140,0,MATCH(O$2,Inputs!$K$4:$AJ$4,0))))+SUMPRODUCT((Inputs!$E$5:$E$140=$B59)*ISNUMBER(INDEX(Inputs!$K$5:$AJ$140,0,MATCH(O$2,Inputs!$K$4:$AJ$4,0))))=0,NA(),SUMPRODUCT((Inputs!$A$5:$A$140=$B59)*Inputs!$B$5:$B$140*(((Inputs!$G$5:$G$140="moeda")+(Inputs!$G$5:$G$140="acoes"))*Inputs!$B$1+((Inputs!$G$5:$G$140&lt;&gt;"moeda")*(Inputs!$G$5:$G$140&lt;&gt;"acoes")))*INDEX(Inputs!$K$5:$AJ$140,0,MATCH(O$2,Inputs!$K$4:$AJ$4,0)))+SUMPRODUCT((Inputs!$C$5:$C$140=$B59)*Inputs!$D$5:$D$140*(((Inputs!$G$5:$G$140="moeda")+(Inputs!$G$5:$G$140="acoes"))*Inputs!$B$1+((Inputs!$G$5:$G$140&lt;&gt;"moeda")*(Inputs!$G$5:$G$140&lt;&gt;"acoes")))*INDEX(Inputs!$K$5:$AJ$140,0,MATCH(O$2,Inputs!$K$4:$AJ$4,0)))+SUMPRODUCT((Inputs!$E$5:$E$140=$B59)*Inputs!$F$5:$F$140*(((Inputs!$G$5:$G$140="moeda")+(Inputs!$G$5:$G$140="acoes"))*Inputs!$B$1+((Inputs!$G$5:$G$140&lt;&gt;"moeda")*(Inputs!$G$5:$G$140&lt;&gt;"acoes")))*INDEX(Inputs!$K$5:$AJ$140,0,MATCH(O$2,Inputs!$K$4:$AJ$4,0)))))</f>
        <v>379</v>
      </c>
      <c r="P59" s="263">
        <f>IF(ISNA(MATCH(P$2,Inputs!$K$4:$AJ$4,0)),NA(),IF(SUMPRODUCT((Inputs!$A$5:$A$140=$B59)*ISNUMBER(INDEX(Inputs!$K$5:$AJ$140,0,MATCH(P$2,Inputs!$K$4:$AJ$4,0))))+SUMPRODUCT((Inputs!$C$5:$C$140=$B59)*ISNUMBER(INDEX(Inputs!$K$5:$AJ$140,0,MATCH(P$2,Inputs!$K$4:$AJ$4,0))))+SUMPRODUCT((Inputs!$E$5:$E$140=$B59)*ISNUMBER(INDEX(Inputs!$K$5:$AJ$140,0,MATCH(P$2,Inputs!$K$4:$AJ$4,0))))=0,NA(),SUMPRODUCT((Inputs!$A$5:$A$140=$B59)*Inputs!$B$5:$B$140*(((Inputs!$G$5:$G$140="moeda")+(Inputs!$G$5:$G$140="acoes"))*Inputs!$B$1+((Inputs!$G$5:$G$140&lt;&gt;"moeda")*(Inputs!$G$5:$G$140&lt;&gt;"acoes")))*INDEX(Inputs!$K$5:$AJ$140,0,MATCH(P$2,Inputs!$K$4:$AJ$4,0)))+SUMPRODUCT((Inputs!$C$5:$C$140=$B59)*Inputs!$D$5:$D$140*(((Inputs!$G$5:$G$140="moeda")+(Inputs!$G$5:$G$140="acoes"))*Inputs!$B$1+((Inputs!$G$5:$G$140&lt;&gt;"moeda")*(Inputs!$G$5:$G$140&lt;&gt;"acoes")))*INDEX(Inputs!$K$5:$AJ$140,0,MATCH(P$2,Inputs!$K$4:$AJ$4,0)))+SUMPRODUCT((Inputs!$E$5:$E$140=$B59)*Inputs!$F$5:$F$140*(((Inputs!$G$5:$G$140="moeda")+(Inputs!$G$5:$G$140="acoes"))*Inputs!$B$1+((Inputs!$G$5:$G$140&lt;&gt;"moeda")*(Inputs!$G$5:$G$140&lt;&gt;"acoes")))*INDEX(Inputs!$K$5:$AJ$140,0,MATCH(P$2,Inputs!$K$4:$AJ$4,0)))))</f>
        <v>416</v>
      </c>
      <c r="Q59" s="263">
        <f>IF(ISNA(MATCH(Q$2,Inputs!$K$4:$AJ$4,0)),NA(),IF(SUMPRODUCT((Inputs!$A$5:$A$140=$B59)*ISNUMBER(INDEX(Inputs!$K$5:$AJ$140,0,MATCH(Q$2,Inputs!$K$4:$AJ$4,0))))+SUMPRODUCT((Inputs!$C$5:$C$140=$B59)*ISNUMBER(INDEX(Inputs!$K$5:$AJ$140,0,MATCH(Q$2,Inputs!$K$4:$AJ$4,0))))+SUMPRODUCT((Inputs!$E$5:$E$140=$B59)*ISNUMBER(INDEX(Inputs!$K$5:$AJ$140,0,MATCH(Q$2,Inputs!$K$4:$AJ$4,0))))=0,NA(),SUMPRODUCT((Inputs!$A$5:$A$140=$B59)*Inputs!$B$5:$B$140*(((Inputs!$G$5:$G$140="moeda")+(Inputs!$G$5:$G$140="acoes"))*Inputs!$B$1+((Inputs!$G$5:$G$140&lt;&gt;"moeda")*(Inputs!$G$5:$G$140&lt;&gt;"acoes")))*INDEX(Inputs!$K$5:$AJ$140,0,MATCH(Q$2,Inputs!$K$4:$AJ$4,0)))+SUMPRODUCT((Inputs!$C$5:$C$140=$B59)*Inputs!$D$5:$D$140*(((Inputs!$G$5:$G$140="moeda")+(Inputs!$G$5:$G$140="acoes"))*Inputs!$B$1+((Inputs!$G$5:$G$140&lt;&gt;"moeda")*(Inputs!$G$5:$G$140&lt;&gt;"acoes")))*INDEX(Inputs!$K$5:$AJ$140,0,MATCH(Q$2,Inputs!$K$4:$AJ$4,0)))+SUMPRODUCT((Inputs!$E$5:$E$140=$B59)*Inputs!$F$5:$F$140*(((Inputs!$G$5:$G$140="moeda")+(Inputs!$G$5:$G$140="acoes"))*Inputs!$B$1+((Inputs!$G$5:$G$140&lt;&gt;"moeda")*(Inputs!$G$5:$G$140&lt;&gt;"acoes")))*INDEX(Inputs!$K$5:$AJ$140,0,MATCH(Q$2,Inputs!$K$4:$AJ$4,0)))))</f>
        <v>463</v>
      </c>
      <c r="R59" s="264">
        <f>SUM(N59:Q59)</f>
        <v>1553</v>
      </c>
      <c r="S59" s="263">
        <f>IF(ISNA(MATCH(S$2,Inputs!$K$4:$AJ$4,0)),NA(),IF(SUMPRODUCT((Inputs!$A$5:$A$140=$B59)*ISNUMBER(INDEX(Inputs!$K$5:$AJ$140,0,MATCH(S$2,Inputs!$K$4:$AJ$4,0))))+SUMPRODUCT((Inputs!$C$5:$C$140=$B59)*ISNUMBER(INDEX(Inputs!$K$5:$AJ$140,0,MATCH(S$2,Inputs!$K$4:$AJ$4,0))))+SUMPRODUCT((Inputs!$E$5:$E$140=$B59)*ISNUMBER(INDEX(Inputs!$K$5:$AJ$140,0,MATCH(S$2,Inputs!$K$4:$AJ$4,0))))=0,NA(),SUMPRODUCT((Inputs!$A$5:$A$140=$B59)*Inputs!$B$5:$B$140*(((Inputs!$G$5:$G$140="moeda")+(Inputs!$G$5:$G$140="acoes"))*Inputs!$B$1+((Inputs!$G$5:$G$140&lt;&gt;"moeda")*(Inputs!$G$5:$G$140&lt;&gt;"acoes")))*INDEX(Inputs!$K$5:$AJ$140,0,MATCH(S$2,Inputs!$K$4:$AJ$4,0)))+SUMPRODUCT((Inputs!$C$5:$C$140=$B59)*Inputs!$D$5:$D$140*(((Inputs!$G$5:$G$140="moeda")+(Inputs!$G$5:$G$140="acoes"))*Inputs!$B$1+((Inputs!$G$5:$G$140&lt;&gt;"moeda")*(Inputs!$G$5:$G$140&lt;&gt;"acoes")))*INDEX(Inputs!$K$5:$AJ$140,0,MATCH(S$2,Inputs!$K$4:$AJ$4,0)))+SUMPRODUCT((Inputs!$E$5:$E$140=$B59)*Inputs!$F$5:$F$140*(((Inputs!$G$5:$G$140="moeda")+(Inputs!$G$5:$G$140="acoes"))*Inputs!$B$1+((Inputs!$G$5:$G$140&lt;&gt;"moeda")*(Inputs!$G$5:$G$140&lt;&gt;"acoes")))*INDEX(Inputs!$K$5:$AJ$140,0,MATCH(S$2,Inputs!$K$4:$AJ$4,0)))))</f>
        <v>427</v>
      </c>
      <c r="T59" s="263">
        <f>IF(ISNA(MATCH(T$2,Inputs!$K$4:$AJ$4,0)),NA(),IF(SUMPRODUCT((Inputs!$A$5:$A$140=$B59)*ISNUMBER(INDEX(Inputs!$K$5:$AJ$140,0,MATCH(T$2,Inputs!$K$4:$AJ$4,0))))+SUMPRODUCT((Inputs!$C$5:$C$140=$B59)*ISNUMBER(INDEX(Inputs!$K$5:$AJ$140,0,MATCH(T$2,Inputs!$K$4:$AJ$4,0))))+SUMPRODUCT((Inputs!$E$5:$E$140=$B59)*ISNUMBER(INDEX(Inputs!$K$5:$AJ$140,0,MATCH(T$2,Inputs!$K$4:$AJ$4,0))))=0,NA(),SUMPRODUCT((Inputs!$A$5:$A$140=$B59)*Inputs!$B$5:$B$140*(((Inputs!$G$5:$G$140="moeda")+(Inputs!$G$5:$G$140="acoes"))*Inputs!$B$1+((Inputs!$G$5:$G$140&lt;&gt;"moeda")*(Inputs!$G$5:$G$140&lt;&gt;"acoes")))*INDEX(Inputs!$K$5:$AJ$140,0,MATCH(T$2,Inputs!$K$4:$AJ$4,0)))+SUMPRODUCT((Inputs!$C$5:$C$140=$B59)*Inputs!$D$5:$D$140*(((Inputs!$G$5:$G$140="moeda")+(Inputs!$G$5:$G$140="acoes"))*Inputs!$B$1+((Inputs!$G$5:$G$140&lt;&gt;"moeda")*(Inputs!$G$5:$G$140&lt;&gt;"acoes")))*INDEX(Inputs!$K$5:$AJ$140,0,MATCH(T$2,Inputs!$K$4:$AJ$4,0)))+SUMPRODUCT((Inputs!$E$5:$E$140=$B59)*Inputs!$F$5:$F$140*(((Inputs!$G$5:$G$140="moeda")+(Inputs!$G$5:$G$140="acoes"))*Inputs!$B$1+((Inputs!$G$5:$G$140&lt;&gt;"moeda")*(Inputs!$G$5:$G$140&lt;&gt;"acoes")))*INDEX(Inputs!$K$5:$AJ$140,0,MATCH(T$2,Inputs!$K$4:$AJ$4,0)))))</f>
        <v>454</v>
      </c>
      <c r="U59" s="263">
        <f>IF(ISNA(MATCH(U$2,Inputs!$K$4:$AJ$4,0)),NA(),IF(SUMPRODUCT((Inputs!$A$5:$A$140=$B59)*ISNUMBER(INDEX(Inputs!$K$5:$AJ$140,0,MATCH(U$2,Inputs!$K$4:$AJ$4,0))))+SUMPRODUCT((Inputs!$C$5:$C$140=$B59)*ISNUMBER(INDEX(Inputs!$K$5:$AJ$140,0,MATCH(U$2,Inputs!$K$4:$AJ$4,0))))+SUMPRODUCT((Inputs!$E$5:$E$140=$B59)*ISNUMBER(INDEX(Inputs!$K$5:$AJ$140,0,MATCH(U$2,Inputs!$K$4:$AJ$4,0))))=0,NA(),SUMPRODUCT((Inputs!$A$5:$A$140=$B59)*Inputs!$B$5:$B$140*(((Inputs!$G$5:$G$140="moeda")+(Inputs!$G$5:$G$140="acoes"))*Inputs!$B$1+((Inputs!$G$5:$G$140&lt;&gt;"moeda")*(Inputs!$G$5:$G$140&lt;&gt;"acoes")))*INDEX(Inputs!$K$5:$AJ$140,0,MATCH(U$2,Inputs!$K$4:$AJ$4,0)))+SUMPRODUCT((Inputs!$C$5:$C$140=$B59)*Inputs!$D$5:$D$140*(((Inputs!$G$5:$G$140="moeda")+(Inputs!$G$5:$G$140="acoes"))*Inputs!$B$1+((Inputs!$G$5:$G$140&lt;&gt;"moeda")*(Inputs!$G$5:$G$140&lt;&gt;"acoes")))*INDEX(Inputs!$K$5:$AJ$140,0,MATCH(U$2,Inputs!$K$4:$AJ$4,0)))+SUMPRODUCT((Inputs!$E$5:$E$140=$B59)*Inputs!$F$5:$F$140*(((Inputs!$G$5:$G$140="moeda")+(Inputs!$G$5:$G$140="acoes"))*Inputs!$B$1+((Inputs!$G$5:$G$140&lt;&gt;"moeda")*(Inputs!$G$5:$G$140&lt;&gt;"acoes")))*INDEX(Inputs!$K$5:$AJ$140,0,MATCH(U$2,Inputs!$K$4:$AJ$4,0)))))</f>
        <v>486</v>
      </c>
      <c r="V59" s="263">
        <f>IF(ISNA(MATCH(V$2,Inputs!$K$4:$AJ$4,0)),NA(),IF(SUMPRODUCT((Inputs!$A$5:$A$140=$B59)*ISNUMBER(INDEX(Inputs!$K$5:$AJ$140,0,MATCH(V$2,Inputs!$K$4:$AJ$4,0))))+SUMPRODUCT((Inputs!$C$5:$C$140=$B59)*ISNUMBER(INDEX(Inputs!$K$5:$AJ$140,0,MATCH(V$2,Inputs!$K$4:$AJ$4,0))))+SUMPRODUCT((Inputs!$E$5:$E$140=$B59)*ISNUMBER(INDEX(Inputs!$K$5:$AJ$140,0,MATCH(V$2,Inputs!$K$4:$AJ$4,0))))=0,NA(),SUMPRODUCT((Inputs!$A$5:$A$140=$B59)*Inputs!$B$5:$B$140*(((Inputs!$G$5:$G$140="moeda")+(Inputs!$G$5:$G$140="acoes"))*Inputs!$B$1+((Inputs!$G$5:$G$140&lt;&gt;"moeda")*(Inputs!$G$5:$G$140&lt;&gt;"acoes")))*INDEX(Inputs!$K$5:$AJ$140,0,MATCH(V$2,Inputs!$K$4:$AJ$4,0)))+SUMPRODUCT((Inputs!$C$5:$C$140=$B59)*Inputs!$D$5:$D$140*(((Inputs!$G$5:$G$140="moeda")+(Inputs!$G$5:$G$140="acoes"))*Inputs!$B$1+((Inputs!$G$5:$G$140&lt;&gt;"moeda")*(Inputs!$G$5:$G$140&lt;&gt;"acoes")))*INDEX(Inputs!$K$5:$AJ$140,0,MATCH(V$2,Inputs!$K$4:$AJ$4,0)))+SUMPRODUCT((Inputs!$E$5:$E$140=$B59)*Inputs!$F$5:$F$140*(((Inputs!$G$5:$G$140="moeda")+(Inputs!$G$5:$G$140="acoes"))*Inputs!$B$1+((Inputs!$G$5:$G$140&lt;&gt;"moeda")*(Inputs!$G$5:$G$140&lt;&gt;"acoes")))*INDEX(Inputs!$K$5:$AJ$140,0,MATCH(V$2,Inputs!$K$4:$AJ$4,0)))))</f>
        <v>511</v>
      </c>
      <c r="W59" s="264">
        <f>SUM(S59:V59)</f>
        <v>1878</v>
      </c>
      <c r="X59" s="263">
        <f>IF(ISNA(MATCH(X$2,Inputs!$K$4:$AJ$4,0)),NA(),IF(SUMPRODUCT((Inputs!$A$5:$A$140=$B59)*ISNUMBER(INDEX(Inputs!$K$5:$AJ$140,0,MATCH(X$2,Inputs!$K$4:$AJ$4,0))))+SUMPRODUCT((Inputs!$C$5:$C$140=$B59)*ISNUMBER(INDEX(Inputs!$K$5:$AJ$140,0,MATCH(X$2,Inputs!$K$4:$AJ$4,0))))+SUMPRODUCT((Inputs!$E$5:$E$140=$B59)*ISNUMBER(INDEX(Inputs!$K$5:$AJ$140,0,MATCH(X$2,Inputs!$K$4:$AJ$4,0))))=0,NA(),SUMPRODUCT((Inputs!$A$5:$A$140=$B59)*Inputs!$B$5:$B$140*(((Inputs!$G$5:$G$140="moeda")+(Inputs!$G$5:$G$140="acoes"))*Inputs!$B$1+((Inputs!$G$5:$G$140&lt;&gt;"moeda")*(Inputs!$G$5:$G$140&lt;&gt;"acoes")))*INDEX(Inputs!$K$5:$AJ$140,0,MATCH(X$2,Inputs!$K$4:$AJ$4,0)))+SUMPRODUCT((Inputs!$C$5:$C$140=$B59)*Inputs!$D$5:$D$140*(((Inputs!$G$5:$G$140="moeda")+(Inputs!$G$5:$G$140="acoes"))*Inputs!$B$1+((Inputs!$G$5:$G$140&lt;&gt;"moeda")*(Inputs!$G$5:$G$140&lt;&gt;"acoes")))*INDEX(Inputs!$K$5:$AJ$140,0,MATCH(X$2,Inputs!$K$4:$AJ$4,0)))+SUMPRODUCT((Inputs!$E$5:$E$140=$B59)*Inputs!$F$5:$F$140*(((Inputs!$G$5:$G$140="moeda")+(Inputs!$G$5:$G$140="acoes"))*Inputs!$B$1+((Inputs!$G$5:$G$140&lt;&gt;"moeda")*(Inputs!$G$5:$G$140&lt;&gt;"acoes")))*INDEX(Inputs!$K$5:$AJ$140,0,MATCH(X$2,Inputs!$K$4:$AJ$4,0)))))</f>
        <v>509</v>
      </c>
      <c r="Y59" s="263">
        <f>IF(ISNA(MATCH(Y$2,Inputs!$K$4:$AJ$4,0)),NA(),IF(SUMPRODUCT((Inputs!$A$5:$A$140=$B59)*ISNUMBER(INDEX(Inputs!$K$5:$AJ$140,0,MATCH(Y$2,Inputs!$K$4:$AJ$4,0))))+SUMPRODUCT((Inputs!$C$5:$C$140=$B59)*ISNUMBER(INDEX(Inputs!$K$5:$AJ$140,0,MATCH(Y$2,Inputs!$K$4:$AJ$4,0))))+SUMPRODUCT((Inputs!$E$5:$E$140=$B59)*ISNUMBER(INDEX(Inputs!$K$5:$AJ$140,0,MATCH(Y$2,Inputs!$K$4:$AJ$4,0))))=0,NA(),SUMPRODUCT((Inputs!$A$5:$A$140=$B59)*Inputs!$B$5:$B$140*(((Inputs!$G$5:$G$140="moeda")+(Inputs!$G$5:$G$140="acoes"))*Inputs!$B$1+((Inputs!$G$5:$G$140&lt;&gt;"moeda")*(Inputs!$G$5:$G$140&lt;&gt;"acoes")))*INDEX(Inputs!$K$5:$AJ$140,0,MATCH(Y$2,Inputs!$K$4:$AJ$4,0)))+SUMPRODUCT((Inputs!$C$5:$C$140=$B59)*Inputs!$D$5:$D$140*(((Inputs!$G$5:$G$140="moeda")+(Inputs!$G$5:$G$140="acoes"))*Inputs!$B$1+((Inputs!$G$5:$G$140&lt;&gt;"moeda")*(Inputs!$G$5:$G$140&lt;&gt;"acoes")))*INDEX(Inputs!$K$5:$AJ$140,0,MATCH(Y$2,Inputs!$K$4:$AJ$4,0)))+SUMPRODUCT((Inputs!$E$5:$E$140=$B59)*Inputs!$F$5:$F$140*(((Inputs!$G$5:$G$140="moeda")+(Inputs!$G$5:$G$140="acoes"))*Inputs!$B$1+((Inputs!$G$5:$G$140&lt;&gt;"moeda")*(Inputs!$G$5:$G$140&lt;&gt;"acoes")))*INDEX(Inputs!$K$5:$AJ$140,0,MATCH(Y$2,Inputs!$K$4:$AJ$4,0)))))</f>
        <v>601</v>
      </c>
      <c r="Z59" s="263">
        <f>IF(ISNA(MATCH(Z$2,Inputs!$K$4:$AJ$4,0)),NA(),IF(SUMPRODUCT((Inputs!$A$5:$A$140=$B59)*ISNUMBER(INDEX(Inputs!$K$5:$AJ$140,0,MATCH(Z$2,Inputs!$K$4:$AJ$4,0))))+SUMPRODUCT((Inputs!$C$5:$C$140=$B59)*ISNUMBER(INDEX(Inputs!$K$5:$AJ$140,0,MATCH(Z$2,Inputs!$K$4:$AJ$4,0))))+SUMPRODUCT((Inputs!$E$5:$E$140=$B59)*ISNUMBER(INDEX(Inputs!$K$5:$AJ$140,0,MATCH(Z$2,Inputs!$K$4:$AJ$4,0))))=0,NA(),SUMPRODUCT((Inputs!$A$5:$A$140=$B59)*Inputs!$B$5:$B$140*(((Inputs!$G$5:$G$140="moeda")+(Inputs!$G$5:$G$140="acoes"))*Inputs!$B$1+((Inputs!$G$5:$G$140&lt;&gt;"moeda")*(Inputs!$G$5:$G$140&lt;&gt;"acoes")))*INDEX(Inputs!$K$5:$AJ$140,0,MATCH(Z$2,Inputs!$K$4:$AJ$4,0)))+SUMPRODUCT((Inputs!$C$5:$C$140=$B59)*Inputs!$D$5:$D$140*(((Inputs!$G$5:$G$140="moeda")+(Inputs!$G$5:$G$140="acoes"))*Inputs!$B$1+((Inputs!$G$5:$G$140&lt;&gt;"moeda")*(Inputs!$G$5:$G$140&lt;&gt;"acoes")))*INDEX(Inputs!$K$5:$AJ$140,0,MATCH(Z$2,Inputs!$K$4:$AJ$4,0)))+SUMPRODUCT((Inputs!$E$5:$E$140=$B59)*Inputs!$F$5:$F$140*(((Inputs!$G$5:$G$140="moeda")+(Inputs!$G$5:$G$140="acoes"))*Inputs!$B$1+((Inputs!$G$5:$G$140&lt;&gt;"moeda")*(Inputs!$G$5:$G$140&lt;&gt;"acoes")))*INDEX(Inputs!$K$5:$AJ$140,0,MATCH(Z$2,Inputs!$K$4:$AJ$4,0)))))</f>
        <v>760</v>
      </c>
      <c r="AA59" s="263">
        <f>IF(ISNA(MATCH(AA$2,Inputs!$K$4:$AJ$4,0)),NA(),IF(SUMPRODUCT((Inputs!$A$5:$A$140=$B59)*ISNUMBER(INDEX(Inputs!$K$5:$AJ$140,0,MATCH(AA$2,Inputs!$K$4:$AJ$4,0))))+SUMPRODUCT((Inputs!$C$5:$C$140=$B59)*ISNUMBER(INDEX(Inputs!$K$5:$AJ$140,0,MATCH(AA$2,Inputs!$K$4:$AJ$4,0))))+SUMPRODUCT((Inputs!$E$5:$E$140=$B59)*ISNUMBER(INDEX(Inputs!$K$5:$AJ$140,0,MATCH(AA$2,Inputs!$K$4:$AJ$4,0))))=0,NA(),SUMPRODUCT((Inputs!$A$5:$A$140=$B59)*Inputs!$B$5:$B$140*(((Inputs!$G$5:$G$140="moeda")+(Inputs!$G$5:$G$140="acoes"))*Inputs!$B$1+((Inputs!$G$5:$G$140&lt;&gt;"moeda")*(Inputs!$G$5:$G$140&lt;&gt;"acoes")))*INDEX(Inputs!$K$5:$AJ$140,0,MATCH(AA$2,Inputs!$K$4:$AJ$4,0)))+SUMPRODUCT((Inputs!$C$5:$C$140=$B59)*Inputs!$D$5:$D$140*(((Inputs!$G$5:$G$140="moeda")+(Inputs!$G$5:$G$140="acoes"))*Inputs!$B$1+((Inputs!$G$5:$G$140&lt;&gt;"moeda")*(Inputs!$G$5:$G$140&lt;&gt;"acoes")))*INDEX(Inputs!$K$5:$AJ$140,0,MATCH(AA$2,Inputs!$K$4:$AJ$4,0)))+SUMPRODUCT((Inputs!$E$5:$E$140=$B59)*Inputs!$F$5:$F$140*(((Inputs!$G$5:$G$140="moeda")+(Inputs!$G$5:$G$140="acoes"))*Inputs!$B$1+((Inputs!$G$5:$G$140&lt;&gt;"moeda")*(Inputs!$G$5:$G$140&lt;&gt;"acoes")))*INDEX(Inputs!$K$5:$AJ$140,0,MATCH(AA$2,Inputs!$K$4:$AJ$4,0)))))</f>
        <v>1321</v>
      </c>
      <c r="AB59" s="264">
        <f>SUM(X59:AA59)</f>
        <v>3191</v>
      </c>
      <c r="AC59" s="263" t="e">
        <f>IF(ISNA(MATCH(AC$2,Inputs!$K$4:$AJ$4,0)),NA(),IF(SUMPRODUCT((Inputs!$A$5:$A$140=$B59)*ISNUMBER(INDEX(Inputs!$K$5:$AJ$140,0,MATCH(AC$2,Inputs!$K$4:$AJ$4,0))))+SUMPRODUCT((Inputs!$C$5:$C$140=$B59)*ISNUMBER(INDEX(Inputs!$K$5:$AJ$140,0,MATCH(AC$2,Inputs!$K$4:$AJ$4,0))))+SUMPRODUCT((Inputs!$E$5:$E$140=$B59)*ISNUMBER(INDEX(Inputs!$K$5:$AJ$140,0,MATCH(AC$2,Inputs!$K$4:$AJ$4,0))))=0,NA(),SUMPRODUCT((Inputs!$A$5:$A$140=$B59)*Inputs!$B$5:$B$140*(((Inputs!$G$5:$G$140="moeda")+(Inputs!$G$5:$G$140="acoes"))*Inputs!$B$1+((Inputs!$G$5:$G$140&lt;&gt;"moeda")*(Inputs!$G$5:$G$140&lt;&gt;"acoes")))*INDEX(Inputs!$K$5:$AJ$140,0,MATCH(AC$2,Inputs!$K$4:$AJ$4,0)))+SUMPRODUCT((Inputs!$C$5:$C$140=$B59)*Inputs!$D$5:$D$140*(((Inputs!$G$5:$G$140="moeda")+(Inputs!$G$5:$G$140="acoes"))*Inputs!$B$1+((Inputs!$G$5:$G$140&lt;&gt;"moeda")*(Inputs!$G$5:$G$140&lt;&gt;"acoes")))*INDEX(Inputs!$K$5:$AJ$140,0,MATCH(AC$2,Inputs!$K$4:$AJ$4,0)))+SUMPRODUCT((Inputs!$E$5:$E$140=$B59)*Inputs!$F$5:$F$140*(((Inputs!$G$5:$G$140="moeda")+(Inputs!$G$5:$G$140="acoes"))*Inputs!$B$1+((Inputs!$G$5:$G$140&lt;&gt;"moeda")*(Inputs!$G$5:$G$140&lt;&gt;"acoes")))*INDEX(Inputs!$K$5:$AJ$140,0,MATCH(AC$2,Inputs!$K$4:$AJ$4,0)))))</f>
        <v>#N/A</v>
      </c>
      <c r="AD59" s="263" t="e">
        <f>IF(ISNA(MATCH(AD$2,Inputs!$K$4:$AJ$4,0)),NA(),IF(SUMPRODUCT((Inputs!$A$5:$A$140=$B59)*ISNUMBER(INDEX(Inputs!$K$5:$AJ$140,0,MATCH(AD$2,Inputs!$K$4:$AJ$4,0))))+SUMPRODUCT((Inputs!$C$5:$C$140=$B59)*ISNUMBER(INDEX(Inputs!$K$5:$AJ$140,0,MATCH(AD$2,Inputs!$K$4:$AJ$4,0))))+SUMPRODUCT((Inputs!$E$5:$E$140=$B59)*ISNUMBER(INDEX(Inputs!$K$5:$AJ$140,0,MATCH(AD$2,Inputs!$K$4:$AJ$4,0))))=0,NA(),SUMPRODUCT((Inputs!$A$5:$A$140=$B59)*Inputs!$B$5:$B$140*(((Inputs!$G$5:$G$140="moeda")+(Inputs!$G$5:$G$140="acoes"))*Inputs!$B$1+((Inputs!$G$5:$G$140&lt;&gt;"moeda")*(Inputs!$G$5:$G$140&lt;&gt;"acoes")))*INDEX(Inputs!$K$5:$AJ$140,0,MATCH(AD$2,Inputs!$K$4:$AJ$4,0)))+SUMPRODUCT((Inputs!$C$5:$C$140=$B59)*Inputs!$D$5:$D$140*(((Inputs!$G$5:$G$140="moeda")+(Inputs!$G$5:$G$140="acoes"))*Inputs!$B$1+((Inputs!$G$5:$G$140&lt;&gt;"moeda")*(Inputs!$G$5:$G$140&lt;&gt;"acoes")))*INDEX(Inputs!$K$5:$AJ$140,0,MATCH(AD$2,Inputs!$K$4:$AJ$4,0)))+SUMPRODUCT((Inputs!$E$5:$E$140=$B59)*Inputs!$F$5:$F$140*(((Inputs!$G$5:$G$140="moeda")+(Inputs!$G$5:$G$140="acoes"))*Inputs!$B$1+((Inputs!$G$5:$G$140&lt;&gt;"moeda")*(Inputs!$G$5:$G$140&lt;&gt;"acoes")))*INDEX(Inputs!$K$5:$AJ$140,0,MATCH(AD$2,Inputs!$K$4:$AJ$4,0)))))</f>
        <v>#N/A</v>
      </c>
      <c r="AE59" s="263" t="e">
        <f>IF(ISNA(MATCH(AE$2,Inputs!$K$4:$AJ$4,0)),NA(),IF(SUMPRODUCT((Inputs!$A$5:$A$140=$B59)*ISNUMBER(INDEX(Inputs!$K$5:$AJ$140,0,MATCH(AE$2,Inputs!$K$4:$AJ$4,0))))+SUMPRODUCT((Inputs!$C$5:$C$140=$B59)*ISNUMBER(INDEX(Inputs!$K$5:$AJ$140,0,MATCH(AE$2,Inputs!$K$4:$AJ$4,0))))+SUMPRODUCT((Inputs!$E$5:$E$140=$B59)*ISNUMBER(INDEX(Inputs!$K$5:$AJ$140,0,MATCH(AE$2,Inputs!$K$4:$AJ$4,0))))=0,NA(),SUMPRODUCT((Inputs!$A$5:$A$140=$B59)*Inputs!$B$5:$B$140*(((Inputs!$G$5:$G$140="moeda")+(Inputs!$G$5:$G$140="acoes"))*Inputs!$B$1+((Inputs!$G$5:$G$140&lt;&gt;"moeda")*(Inputs!$G$5:$G$140&lt;&gt;"acoes")))*INDEX(Inputs!$K$5:$AJ$140,0,MATCH(AE$2,Inputs!$K$4:$AJ$4,0)))+SUMPRODUCT((Inputs!$C$5:$C$140=$B59)*Inputs!$D$5:$D$140*(((Inputs!$G$5:$G$140="moeda")+(Inputs!$G$5:$G$140="acoes"))*Inputs!$B$1+((Inputs!$G$5:$G$140&lt;&gt;"moeda")*(Inputs!$G$5:$G$140&lt;&gt;"acoes")))*INDEX(Inputs!$K$5:$AJ$140,0,MATCH(AE$2,Inputs!$K$4:$AJ$4,0)))+SUMPRODUCT((Inputs!$E$5:$E$140=$B59)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59" s="263" t="e">
        <f>IF(ISNA(MATCH(AF$2,Inputs!$K$4:$AJ$4,0)),NA(),IF(SUMPRODUCT((Inputs!$A$5:$A$140=$B59)*ISNUMBER(INDEX(Inputs!$K$5:$AJ$140,0,MATCH(AF$2,Inputs!$K$4:$AJ$4,0))))+SUMPRODUCT((Inputs!$C$5:$C$140=$B59)*ISNUMBER(INDEX(Inputs!$K$5:$AJ$140,0,MATCH(AF$2,Inputs!$K$4:$AJ$4,0))))+SUMPRODUCT((Inputs!$E$5:$E$140=$B59)*ISNUMBER(INDEX(Inputs!$K$5:$AJ$140,0,MATCH(AF$2,Inputs!$K$4:$AJ$4,0))))=0,NA(),SUMPRODUCT((Inputs!$A$5:$A$140=$B59)*Inputs!$B$5:$B$140*(((Inputs!$G$5:$G$140="moeda")+(Inputs!$G$5:$G$140="acoes"))*Inputs!$B$1+((Inputs!$G$5:$G$140&lt;&gt;"moeda")*(Inputs!$G$5:$G$140&lt;&gt;"acoes")))*INDEX(Inputs!$K$5:$AJ$140,0,MATCH(AF$2,Inputs!$K$4:$AJ$4,0)))+SUMPRODUCT((Inputs!$C$5:$C$140=$B59)*Inputs!$D$5:$D$140*(((Inputs!$G$5:$G$140="moeda")+(Inputs!$G$5:$G$140="acoes"))*Inputs!$B$1+((Inputs!$G$5:$G$140&lt;&gt;"moeda")*(Inputs!$G$5:$G$140&lt;&gt;"acoes")))*INDEX(Inputs!$K$5:$AJ$140,0,MATCH(AF$2,Inputs!$K$4:$AJ$4,0)))+SUMPRODUCT((Inputs!$E$5:$E$140=$B59)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59" s="264" t="e">
        <f>SUM(AC59:AF59)</f>
        <v>#N/A</v>
      </c>
      <c r="AH59" s="263">
        <f>IF(ISNA(MATCH(AH$2,Inputs!$K$4:$AJ$4,0)),NA(),IF(SUMPRODUCT((Inputs!$A$5:$A$140=$B59)*ISNUMBER(INDEX(Inputs!$K$5:$AJ$140,0,MATCH(AH$2,Inputs!$K$4:$AJ$4,0))))+SUMPRODUCT((Inputs!$C$5:$C$140=$B59)*ISNUMBER(INDEX(Inputs!$K$5:$AJ$140,0,MATCH(AH$2,Inputs!$K$4:$AJ$4,0))))+SUMPRODUCT((Inputs!$E$5:$E$140=$B59)*ISNUMBER(INDEX(Inputs!$K$5:$AJ$140,0,MATCH(AH$2,Inputs!$K$4:$AJ$4,0))))=0,NA(),SUMPRODUCT((Inputs!$A$5:$A$140=$B59)*Inputs!$B$5:$B$140*(((Inputs!$G$5:$G$140="moeda")+(Inputs!$G$5:$G$140="acoes"))*Inputs!$B$1+((Inputs!$G$5:$G$140&lt;&gt;"moeda")*(Inputs!$G$5:$G$140&lt;&gt;"acoes")))*INDEX(Inputs!$K$5:$AJ$140,0,MATCH(AH$2,Inputs!$K$4:$AJ$4,0)))+SUMPRODUCT((Inputs!$C$5:$C$140=$B59)*Inputs!$D$5:$D$140*(((Inputs!$G$5:$G$140="moeda")+(Inputs!$G$5:$G$140="acoes"))*Inputs!$B$1+((Inputs!$G$5:$G$140&lt;&gt;"moeda")*(Inputs!$G$5:$G$140&lt;&gt;"acoes")))*INDEX(Inputs!$K$5:$AJ$140,0,MATCH(AH$2,Inputs!$K$4:$AJ$4,0)))+SUMPRODUCT((Inputs!$E$5:$E$140=$B59)*Inputs!$F$5:$F$140*(((Inputs!$G$5:$G$140="moeda")+(Inputs!$G$5:$G$140="acoes"))*Inputs!$B$1+((Inputs!$G$5:$G$140&lt;&gt;"moeda")*(Inputs!$G$5:$G$140&lt;&gt;"acoes")))*INDEX(Inputs!$K$5:$AJ$140,0,MATCH(AH$2,Inputs!$K$4:$AJ$4,0)))))</f>
        <v>307</v>
      </c>
      <c r="AI59" s="263">
        <f>IF(ISNA(MATCH(AI$2,Inputs!$K$4:$AJ$4,0)),NA(),IF(SUMPRODUCT((Inputs!$A$5:$A$140=$B59)*ISNUMBER(INDEX(Inputs!$K$5:$AJ$140,0,MATCH(AI$2,Inputs!$K$4:$AJ$4,0))))+SUMPRODUCT((Inputs!$C$5:$C$140=$B59)*ISNUMBER(INDEX(Inputs!$K$5:$AJ$140,0,MATCH(AI$2,Inputs!$K$4:$AJ$4,0))))+SUMPRODUCT((Inputs!$E$5:$E$140=$B59)*ISNUMBER(INDEX(Inputs!$K$5:$AJ$140,0,MATCH(AI$2,Inputs!$K$4:$AJ$4,0))))=0,NA(),SUMPRODUCT((Inputs!$A$5:$A$140=$B59)*Inputs!$B$5:$B$140*(((Inputs!$G$5:$G$140="moeda")+(Inputs!$G$5:$G$140="acoes"))*Inputs!$B$1+((Inputs!$G$5:$G$140&lt;&gt;"moeda")*(Inputs!$G$5:$G$140&lt;&gt;"acoes")))*INDEX(Inputs!$K$5:$AJ$140,0,MATCH(AI$2,Inputs!$K$4:$AJ$4,0)))+SUMPRODUCT((Inputs!$C$5:$C$140=$B59)*Inputs!$D$5:$D$140*(((Inputs!$G$5:$G$140="moeda")+(Inputs!$G$5:$G$140="acoes"))*Inputs!$B$1+((Inputs!$G$5:$G$140&lt;&gt;"moeda")*(Inputs!$G$5:$G$140&lt;&gt;"acoes")))*INDEX(Inputs!$K$5:$AJ$140,0,MATCH(AI$2,Inputs!$K$4:$AJ$4,0)))+SUMPRODUCT((Inputs!$E$5:$E$140=$B59)*Inputs!$F$5:$F$140*(((Inputs!$G$5:$G$140="moeda")+(Inputs!$G$5:$G$140="acoes"))*Inputs!$B$1+((Inputs!$G$5:$G$140&lt;&gt;"moeda")*(Inputs!$G$5:$G$140&lt;&gt;"acoes")))*INDEX(Inputs!$K$5:$AJ$140,0,MATCH(AI$2,Inputs!$K$4:$AJ$4,0)))))</f>
        <v>203</v>
      </c>
      <c r="AJ59" s="263">
        <f>IF(ISNA(MATCH(AJ$2,Inputs!$K$4:$AJ$4,0)),NA(),IF(SUMPRODUCT((Inputs!$A$5:$A$140=$B59)*ISNUMBER(INDEX(Inputs!$K$5:$AJ$140,0,MATCH(AJ$2,Inputs!$K$4:$AJ$4,0))))+SUMPRODUCT((Inputs!$C$5:$C$140=$B59)*ISNUMBER(INDEX(Inputs!$K$5:$AJ$140,0,MATCH(AJ$2,Inputs!$K$4:$AJ$4,0))))+SUMPRODUCT((Inputs!$E$5:$E$140=$B59)*ISNUMBER(INDEX(Inputs!$K$5:$AJ$140,0,MATCH(AJ$2,Inputs!$K$4:$AJ$4,0))))=0,NA(),SUMPRODUCT((Inputs!$A$5:$A$140=$B59)*Inputs!$B$5:$B$140*(((Inputs!$G$5:$G$140="moeda")+(Inputs!$G$5:$G$140="acoes"))*Inputs!$B$1+((Inputs!$G$5:$G$140&lt;&gt;"moeda")*(Inputs!$G$5:$G$140&lt;&gt;"acoes")))*INDEX(Inputs!$K$5:$AJ$140,0,MATCH(AJ$2,Inputs!$K$4:$AJ$4,0)))+SUMPRODUCT((Inputs!$C$5:$C$140=$B59)*Inputs!$D$5:$D$140*(((Inputs!$G$5:$G$140="moeda")+(Inputs!$G$5:$G$140="acoes"))*Inputs!$B$1+((Inputs!$G$5:$G$140&lt;&gt;"moeda")*(Inputs!$G$5:$G$140&lt;&gt;"acoes")))*INDEX(Inputs!$K$5:$AJ$140,0,MATCH(AJ$2,Inputs!$K$4:$AJ$4,0)))+SUMPRODUCT((Inputs!$E$5:$E$140=$B59)*Inputs!$F$5:$F$140*(((Inputs!$G$5:$G$140="moeda")+(Inputs!$G$5:$G$140="acoes"))*Inputs!$B$1+((Inputs!$G$5:$G$140&lt;&gt;"moeda")*(Inputs!$G$5:$G$140&lt;&gt;"acoes")))*INDEX(Inputs!$K$5:$AJ$140,0,MATCH(AJ$2,Inputs!$K$4:$AJ$4,0)))))</f>
        <v>236</v>
      </c>
      <c r="AK59" s="263">
        <f>IF(ISNA(MATCH(AK$2,Inputs!$K$4:$AJ$4,0)),NA(),IF(SUMPRODUCT((Inputs!$A$5:$A$140=$B59)*ISNUMBER(INDEX(Inputs!$K$5:$AJ$140,0,MATCH(AK$2,Inputs!$K$4:$AJ$4,0))))+SUMPRODUCT((Inputs!$C$5:$C$140=$B59)*ISNUMBER(INDEX(Inputs!$K$5:$AJ$140,0,MATCH(AK$2,Inputs!$K$4:$AJ$4,0))))+SUMPRODUCT((Inputs!$E$5:$E$140=$B59)*ISNUMBER(INDEX(Inputs!$K$5:$AJ$140,0,MATCH(AK$2,Inputs!$K$4:$AJ$4,0))))=0,NA(),SUMPRODUCT((Inputs!$A$5:$A$140=$B59)*Inputs!$B$5:$B$140*(((Inputs!$G$5:$G$140="moeda")+(Inputs!$G$5:$G$140="acoes"))*Inputs!$B$1+((Inputs!$G$5:$G$140&lt;&gt;"moeda")*(Inputs!$G$5:$G$140&lt;&gt;"acoes")))*INDEX(Inputs!$K$5:$AJ$140,0,MATCH(AK$2,Inputs!$K$4:$AJ$4,0)))+SUMPRODUCT((Inputs!$C$5:$C$140=$B59)*Inputs!$D$5:$D$140*(((Inputs!$G$5:$G$140="moeda")+(Inputs!$G$5:$G$140="acoes"))*Inputs!$B$1+((Inputs!$G$5:$G$140&lt;&gt;"moeda")*(Inputs!$G$5:$G$140&lt;&gt;"acoes")))*INDEX(Inputs!$K$5:$AJ$140,0,MATCH(AK$2,Inputs!$K$4:$AJ$4,0)))+SUMPRODUCT((Inputs!$E$5:$E$140=$B59)*Inputs!$F$5:$F$140*(((Inputs!$G$5:$G$140="moeda")+(Inputs!$G$5:$G$140="acoes"))*Inputs!$B$1+((Inputs!$G$5:$G$140&lt;&gt;"moeda")*(Inputs!$G$5:$G$140&lt;&gt;"acoes")))*INDEX(Inputs!$K$5:$AJ$140,0,MATCH(AK$2,Inputs!$K$4:$AJ$4,0)))))</f>
        <v>307</v>
      </c>
      <c r="AL59" s="264">
        <f>SUM(AH59:AK59)</f>
        <v>1053</v>
      </c>
    </row>
    <row r="60">
      <c r="B60" s="46" t="n">
        <v>52</v>
      </c>
      <c r="C60" s="29" t="inlineStr">
        <is>
          <t>Receita Automotive (USD; até 4T25)</t>
        </is>
      </c>
      <c r="D60" s="263">
        <f>IF(ISNA(MATCH(D$2,Inputs!$K$4:$AJ$4,0)),NA(),IF(SUMPRODUCT((Inputs!$A$5:$A$140=$B60)*ISNUMBER(INDEX(Inputs!$K$5:$AJ$140,0,MATCH(D$2,Inputs!$K$4:$AJ$4,0))))+SUMPRODUCT((Inputs!$C$5:$C$140=$B60)*ISNUMBER(INDEX(Inputs!$K$5:$AJ$140,0,MATCH(D$2,Inputs!$K$4:$AJ$4,0))))+SUMPRODUCT((Inputs!$E$5:$E$140=$B60)*ISNUMBER(INDEX(Inputs!$K$5:$AJ$140,0,MATCH(D$2,Inputs!$K$4:$AJ$4,0))))=0,NA(),SUMPRODUCT((Inputs!$A$5:$A$140=$B60)*Inputs!$B$5:$B$140*(((Inputs!$G$5:$G$140="moeda")+(Inputs!$G$5:$G$140="acoes"))*Inputs!$B$1+((Inputs!$G$5:$G$140&lt;&gt;"moeda")*(Inputs!$G$5:$G$140&lt;&gt;"acoes")))*INDEX(Inputs!$K$5:$AJ$140,0,MATCH(D$2,Inputs!$K$4:$AJ$4,0)))+SUMPRODUCT((Inputs!$C$5:$C$140=$B60)*Inputs!$D$5:$D$140*(((Inputs!$G$5:$G$140="moeda")+(Inputs!$G$5:$G$140="acoes"))*Inputs!$B$1+((Inputs!$G$5:$G$140&lt;&gt;"moeda")*(Inputs!$G$5:$G$140&lt;&gt;"acoes")))*INDEX(Inputs!$K$5:$AJ$140,0,MATCH(D$2,Inputs!$K$4:$AJ$4,0)))+SUMPRODUCT((Inputs!$E$5:$E$140=$B60)*Inputs!$F$5:$F$140*(((Inputs!$G$5:$G$140="moeda")+(Inputs!$G$5:$G$140="acoes"))*Inputs!$B$1+((Inputs!$G$5:$G$140&lt;&gt;"moeda")*(Inputs!$G$5:$G$140&lt;&gt;"acoes")))*INDEX(Inputs!$K$5:$AJ$140,0,MATCH(D$2,Inputs!$K$4:$AJ$4,0)))))</f>
        <v>154</v>
      </c>
      <c r="E60" s="263">
        <f>IF(ISNA(MATCH(E$2,Inputs!$K$4:$AJ$4,0)),NA(),IF(SUMPRODUCT((Inputs!$A$5:$A$140=$B60)*ISNUMBER(INDEX(Inputs!$K$5:$AJ$140,0,MATCH(E$2,Inputs!$K$4:$AJ$4,0))))+SUMPRODUCT((Inputs!$C$5:$C$140=$B60)*ISNUMBER(INDEX(Inputs!$K$5:$AJ$140,0,MATCH(E$2,Inputs!$K$4:$AJ$4,0))))+SUMPRODUCT((Inputs!$E$5:$E$140=$B60)*ISNUMBER(INDEX(Inputs!$K$5:$AJ$140,0,MATCH(E$2,Inputs!$K$4:$AJ$4,0))))=0,NA(),SUMPRODUCT((Inputs!$A$5:$A$140=$B60)*Inputs!$B$5:$B$140*(((Inputs!$G$5:$G$140="moeda")+(Inputs!$G$5:$G$140="acoes"))*Inputs!$B$1+((Inputs!$G$5:$G$140&lt;&gt;"moeda")*(Inputs!$G$5:$G$140&lt;&gt;"acoes")))*INDEX(Inputs!$K$5:$AJ$140,0,MATCH(E$2,Inputs!$K$4:$AJ$4,0)))+SUMPRODUCT((Inputs!$C$5:$C$140=$B60)*Inputs!$D$5:$D$140*(((Inputs!$G$5:$G$140="moeda")+(Inputs!$G$5:$G$140="acoes"))*Inputs!$B$1+((Inputs!$G$5:$G$140&lt;&gt;"moeda")*(Inputs!$G$5:$G$140&lt;&gt;"acoes")))*INDEX(Inputs!$K$5:$AJ$140,0,MATCH(E$2,Inputs!$K$4:$AJ$4,0)))+SUMPRODUCT((Inputs!$E$5:$E$140=$B60)*Inputs!$F$5:$F$140*(((Inputs!$G$5:$G$140="moeda")+(Inputs!$G$5:$G$140="acoes"))*Inputs!$B$1+((Inputs!$G$5:$G$140&lt;&gt;"moeda")*(Inputs!$G$5:$G$140&lt;&gt;"acoes")))*INDEX(Inputs!$K$5:$AJ$140,0,MATCH(E$2,Inputs!$K$4:$AJ$4,0)))))</f>
        <v>152</v>
      </c>
      <c r="F60" s="263">
        <f>IF(ISNA(MATCH(F$2,Inputs!$K$4:$AJ$4,0)),NA(),IF(SUMPRODUCT((Inputs!$A$5:$A$140=$B60)*ISNUMBER(INDEX(Inputs!$K$5:$AJ$140,0,MATCH(F$2,Inputs!$K$4:$AJ$4,0))))+SUMPRODUCT((Inputs!$C$5:$C$140=$B60)*ISNUMBER(INDEX(Inputs!$K$5:$AJ$140,0,MATCH(F$2,Inputs!$K$4:$AJ$4,0))))+SUMPRODUCT((Inputs!$E$5:$E$140=$B60)*ISNUMBER(INDEX(Inputs!$K$5:$AJ$140,0,MATCH(F$2,Inputs!$K$4:$AJ$4,0))))=0,NA(),SUMPRODUCT((Inputs!$A$5:$A$140=$B60)*Inputs!$B$5:$B$140*(((Inputs!$G$5:$G$140="moeda")+(Inputs!$G$5:$G$140="acoes"))*Inputs!$B$1+((Inputs!$G$5:$G$140&lt;&gt;"moeda")*(Inputs!$G$5:$G$140&lt;&gt;"acoes")))*INDEX(Inputs!$K$5:$AJ$140,0,MATCH(F$2,Inputs!$K$4:$AJ$4,0)))+SUMPRODUCT((Inputs!$C$5:$C$140=$B60)*Inputs!$D$5:$D$140*(((Inputs!$G$5:$G$140="moeda")+(Inputs!$G$5:$G$140="acoes"))*Inputs!$B$1+((Inputs!$G$5:$G$140&lt;&gt;"moeda")*(Inputs!$G$5:$G$140&lt;&gt;"acoes")))*INDEX(Inputs!$K$5:$AJ$140,0,MATCH(F$2,Inputs!$K$4:$AJ$4,0)))+SUMPRODUCT((Inputs!$E$5:$E$140=$B60)*Inputs!$F$5:$F$140*(((Inputs!$G$5:$G$140="moeda")+(Inputs!$G$5:$G$140="acoes"))*Inputs!$B$1+((Inputs!$G$5:$G$140&lt;&gt;"moeda")*(Inputs!$G$5:$G$140&lt;&gt;"acoes")))*INDEX(Inputs!$K$5:$AJ$140,0,MATCH(F$2,Inputs!$K$4:$AJ$4,0)))))</f>
        <v>135</v>
      </c>
      <c r="G60" s="263">
        <f>IF(ISNA(MATCH(G$2,Inputs!$K$4:$AJ$4,0)),NA(),IF(SUMPRODUCT((Inputs!$A$5:$A$140=$B60)*ISNUMBER(INDEX(Inputs!$K$5:$AJ$140,0,MATCH(G$2,Inputs!$K$4:$AJ$4,0))))+SUMPRODUCT((Inputs!$C$5:$C$140=$B60)*ISNUMBER(INDEX(Inputs!$K$5:$AJ$140,0,MATCH(G$2,Inputs!$K$4:$AJ$4,0))))+SUMPRODUCT((Inputs!$E$5:$E$140=$B60)*ISNUMBER(INDEX(Inputs!$K$5:$AJ$140,0,MATCH(G$2,Inputs!$K$4:$AJ$4,0))))=0,NA(),SUMPRODUCT((Inputs!$A$5:$A$140=$B60)*Inputs!$B$5:$B$140*(((Inputs!$G$5:$G$140="moeda")+(Inputs!$G$5:$G$140="acoes"))*Inputs!$B$1+((Inputs!$G$5:$G$140&lt;&gt;"moeda")*(Inputs!$G$5:$G$140&lt;&gt;"acoes")))*INDEX(Inputs!$K$5:$AJ$140,0,MATCH(G$2,Inputs!$K$4:$AJ$4,0)))+SUMPRODUCT((Inputs!$C$5:$C$140=$B60)*Inputs!$D$5:$D$140*(((Inputs!$G$5:$G$140="moeda")+(Inputs!$G$5:$G$140="acoes"))*Inputs!$B$1+((Inputs!$G$5:$G$140&lt;&gt;"moeda")*(Inputs!$G$5:$G$140&lt;&gt;"acoes")))*INDEX(Inputs!$K$5:$AJ$140,0,MATCH(G$2,Inputs!$K$4:$AJ$4,0)))+SUMPRODUCT((Inputs!$E$5:$E$140=$B60)*Inputs!$F$5:$F$140*(((Inputs!$G$5:$G$140="moeda")+(Inputs!$G$5:$G$140="acoes"))*Inputs!$B$1+((Inputs!$G$5:$G$140&lt;&gt;"moeda")*(Inputs!$G$5:$G$140&lt;&gt;"acoes")))*INDEX(Inputs!$K$5:$AJ$140,0,MATCH(G$2,Inputs!$K$4:$AJ$4,0)))))</f>
        <v>125</v>
      </c>
      <c r="H60" s="264">
        <f>SUM(D60:G60)</f>
        <v>566</v>
      </c>
      <c r="I60" s="263">
        <f>IF(ISNA(MATCH(I$2,Inputs!$K$4:$AJ$4,0)),NA(),IF(SUMPRODUCT((Inputs!$A$5:$A$140=$B60)*ISNUMBER(INDEX(Inputs!$K$5:$AJ$140,0,MATCH(I$2,Inputs!$K$4:$AJ$4,0))))+SUMPRODUCT((Inputs!$C$5:$C$140=$B60)*ISNUMBER(INDEX(Inputs!$K$5:$AJ$140,0,MATCH(I$2,Inputs!$K$4:$AJ$4,0))))+SUMPRODUCT((Inputs!$E$5:$E$140=$B60)*ISNUMBER(INDEX(Inputs!$K$5:$AJ$140,0,MATCH(I$2,Inputs!$K$4:$AJ$4,0))))=0,NA(),SUMPRODUCT((Inputs!$A$5:$A$140=$B60)*Inputs!$B$5:$B$140*(((Inputs!$G$5:$G$140="moeda")+(Inputs!$G$5:$G$140="acoes"))*Inputs!$B$1+((Inputs!$G$5:$G$140&lt;&gt;"moeda")*(Inputs!$G$5:$G$140&lt;&gt;"acoes")))*INDEX(Inputs!$K$5:$AJ$140,0,MATCH(I$2,Inputs!$K$4:$AJ$4,0)))+SUMPRODUCT((Inputs!$C$5:$C$140=$B60)*Inputs!$D$5:$D$140*(((Inputs!$G$5:$G$140="moeda")+(Inputs!$G$5:$G$140="acoes"))*Inputs!$B$1+((Inputs!$G$5:$G$140&lt;&gt;"moeda")*(Inputs!$G$5:$G$140&lt;&gt;"acoes")))*INDEX(Inputs!$K$5:$AJ$140,0,MATCH(I$2,Inputs!$K$4:$AJ$4,0)))+SUMPRODUCT((Inputs!$E$5:$E$140=$B60)*Inputs!$F$5:$F$140*(((Inputs!$G$5:$G$140="moeda")+(Inputs!$G$5:$G$140="acoes"))*Inputs!$B$1+((Inputs!$G$5:$G$140&lt;&gt;"moeda")*(Inputs!$G$5:$G$140&lt;&gt;"acoes")))*INDEX(Inputs!$K$5:$AJ$140,0,MATCH(I$2,Inputs!$K$4:$AJ$4,0)))))</f>
        <v>138</v>
      </c>
      <c r="J60" s="263">
        <f>IF(ISNA(MATCH(J$2,Inputs!$K$4:$AJ$4,0)),NA(),IF(SUMPRODUCT((Inputs!$A$5:$A$140=$B60)*ISNUMBER(INDEX(Inputs!$K$5:$AJ$140,0,MATCH(J$2,Inputs!$K$4:$AJ$4,0))))+SUMPRODUCT((Inputs!$C$5:$C$140=$B60)*ISNUMBER(INDEX(Inputs!$K$5:$AJ$140,0,MATCH(J$2,Inputs!$K$4:$AJ$4,0))))+SUMPRODUCT((Inputs!$E$5:$E$140=$B60)*ISNUMBER(INDEX(Inputs!$K$5:$AJ$140,0,MATCH(J$2,Inputs!$K$4:$AJ$4,0))))=0,NA(),SUMPRODUCT((Inputs!$A$5:$A$140=$B60)*Inputs!$B$5:$B$140*(((Inputs!$G$5:$G$140="moeda")+(Inputs!$G$5:$G$140="acoes"))*Inputs!$B$1+((Inputs!$G$5:$G$140&lt;&gt;"moeda")*(Inputs!$G$5:$G$140&lt;&gt;"acoes")))*INDEX(Inputs!$K$5:$AJ$140,0,MATCH(J$2,Inputs!$K$4:$AJ$4,0)))+SUMPRODUCT((Inputs!$C$5:$C$140=$B60)*Inputs!$D$5:$D$140*(((Inputs!$G$5:$G$140="moeda")+(Inputs!$G$5:$G$140="acoes"))*Inputs!$B$1+((Inputs!$G$5:$G$140&lt;&gt;"moeda")*(Inputs!$G$5:$G$140&lt;&gt;"acoes")))*INDEX(Inputs!$K$5:$AJ$140,0,MATCH(J$2,Inputs!$K$4:$AJ$4,0)))+SUMPRODUCT((Inputs!$E$5:$E$140=$B60)*Inputs!$F$5:$F$140*(((Inputs!$G$5:$G$140="moeda")+(Inputs!$G$5:$G$140="acoes"))*Inputs!$B$1+((Inputs!$G$5:$G$140&lt;&gt;"moeda")*(Inputs!$G$5:$G$140&lt;&gt;"acoes")))*INDEX(Inputs!$K$5:$AJ$140,0,MATCH(J$2,Inputs!$K$4:$AJ$4,0)))))</f>
        <v>220</v>
      </c>
      <c r="K60" s="263">
        <f>IF(ISNA(MATCH(K$2,Inputs!$K$4:$AJ$4,0)),NA(),IF(SUMPRODUCT((Inputs!$A$5:$A$140=$B60)*ISNUMBER(INDEX(Inputs!$K$5:$AJ$140,0,MATCH(K$2,Inputs!$K$4:$AJ$4,0))))+SUMPRODUCT((Inputs!$C$5:$C$140=$B60)*ISNUMBER(INDEX(Inputs!$K$5:$AJ$140,0,MATCH(K$2,Inputs!$K$4:$AJ$4,0))))+SUMPRODUCT((Inputs!$E$5:$E$140=$B60)*ISNUMBER(INDEX(Inputs!$K$5:$AJ$140,0,MATCH(K$2,Inputs!$K$4:$AJ$4,0))))=0,NA(),SUMPRODUCT((Inputs!$A$5:$A$140=$B60)*Inputs!$B$5:$B$140*(((Inputs!$G$5:$G$140="moeda")+(Inputs!$G$5:$G$140="acoes"))*Inputs!$B$1+((Inputs!$G$5:$G$140&lt;&gt;"moeda")*(Inputs!$G$5:$G$140&lt;&gt;"acoes")))*INDEX(Inputs!$K$5:$AJ$140,0,MATCH(K$2,Inputs!$K$4:$AJ$4,0)))+SUMPRODUCT((Inputs!$C$5:$C$140=$B60)*Inputs!$D$5:$D$140*(((Inputs!$G$5:$G$140="moeda")+(Inputs!$G$5:$G$140="acoes"))*Inputs!$B$1+((Inputs!$G$5:$G$140&lt;&gt;"moeda")*(Inputs!$G$5:$G$140&lt;&gt;"acoes")))*INDEX(Inputs!$K$5:$AJ$140,0,MATCH(K$2,Inputs!$K$4:$AJ$4,0)))+SUMPRODUCT((Inputs!$E$5:$E$140=$B60)*Inputs!$F$5:$F$140*(((Inputs!$G$5:$G$140="moeda")+(Inputs!$G$5:$G$140="acoes"))*Inputs!$B$1+((Inputs!$G$5:$G$140&lt;&gt;"moeda")*(Inputs!$G$5:$G$140&lt;&gt;"acoes")))*INDEX(Inputs!$K$5:$AJ$140,0,MATCH(K$2,Inputs!$K$4:$AJ$4,0)))))</f>
        <v>251</v>
      </c>
      <c r="L60" s="263">
        <f>IF(ISNA(MATCH(L$2,Inputs!$K$4:$AJ$4,0)),NA(),IF(SUMPRODUCT((Inputs!$A$5:$A$140=$B60)*ISNUMBER(INDEX(Inputs!$K$5:$AJ$140,0,MATCH(L$2,Inputs!$K$4:$AJ$4,0))))+SUMPRODUCT((Inputs!$C$5:$C$140=$B60)*ISNUMBER(INDEX(Inputs!$K$5:$AJ$140,0,MATCH(L$2,Inputs!$K$4:$AJ$4,0))))+SUMPRODUCT((Inputs!$E$5:$E$140=$B60)*ISNUMBER(INDEX(Inputs!$K$5:$AJ$140,0,MATCH(L$2,Inputs!$K$4:$AJ$4,0))))=0,NA(),SUMPRODUCT((Inputs!$A$5:$A$140=$B60)*Inputs!$B$5:$B$140*(((Inputs!$G$5:$G$140="moeda")+(Inputs!$G$5:$G$140="acoes"))*Inputs!$B$1+((Inputs!$G$5:$G$140&lt;&gt;"moeda")*(Inputs!$G$5:$G$140&lt;&gt;"acoes")))*INDEX(Inputs!$K$5:$AJ$140,0,MATCH(L$2,Inputs!$K$4:$AJ$4,0)))+SUMPRODUCT((Inputs!$C$5:$C$140=$B60)*Inputs!$D$5:$D$140*(((Inputs!$G$5:$G$140="moeda")+(Inputs!$G$5:$G$140="acoes"))*Inputs!$B$1+((Inputs!$G$5:$G$140&lt;&gt;"moeda")*(Inputs!$G$5:$G$140&lt;&gt;"acoes")))*INDEX(Inputs!$K$5:$AJ$140,0,MATCH(L$2,Inputs!$K$4:$AJ$4,0)))+SUMPRODUCT((Inputs!$E$5:$E$140=$B60)*Inputs!$F$5:$F$140*(((Inputs!$G$5:$G$140="moeda")+(Inputs!$G$5:$G$140="acoes"))*Inputs!$B$1+((Inputs!$G$5:$G$140&lt;&gt;"moeda")*(Inputs!$G$5:$G$140&lt;&gt;"acoes")))*INDEX(Inputs!$K$5:$AJ$140,0,MATCH(L$2,Inputs!$K$4:$AJ$4,0)))))</f>
        <v>294</v>
      </c>
      <c r="M60" s="264">
        <f>SUM(I60:L60)</f>
        <v>903</v>
      </c>
      <c r="N60" s="263">
        <f>IF(ISNA(MATCH(N$2,Inputs!$K$4:$AJ$4,0)),NA(),IF(SUMPRODUCT((Inputs!$A$5:$A$140=$B60)*ISNUMBER(INDEX(Inputs!$K$5:$AJ$140,0,MATCH(N$2,Inputs!$K$4:$AJ$4,0))))+SUMPRODUCT((Inputs!$C$5:$C$140=$B60)*ISNUMBER(INDEX(Inputs!$K$5:$AJ$140,0,MATCH(N$2,Inputs!$K$4:$AJ$4,0))))+SUMPRODUCT((Inputs!$E$5:$E$140=$B60)*ISNUMBER(INDEX(Inputs!$K$5:$AJ$140,0,MATCH(N$2,Inputs!$K$4:$AJ$4,0))))=0,NA(),SUMPRODUCT((Inputs!$A$5:$A$140=$B60)*Inputs!$B$5:$B$140*(((Inputs!$G$5:$G$140="moeda")+(Inputs!$G$5:$G$140="acoes"))*Inputs!$B$1+((Inputs!$G$5:$G$140&lt;&gt;"moeda")*(Inputs!$G$5:$G$140&lt;&gt;"acoes")))*INDEX(Inputs!$K$5:$AJ$140,0,MATCH(N$2,Inputs!$K$4:$AJ$4,0)))+SUMPRODUCT((Inputs!$C$5:$C$140=$B60)*Inputs!$D$5:$D$140*(((Inputs!$G$5:$G$140="moeda")+(Inputs!$G$5:$G$140="acoes"))*Inputs!$B$1+((Inputs!$G$5:$G$140&lt;&gt;"moeda")*(Inputs!$G$5:$G$140&lt;&gt;"acoes")))*INDEX(Inputs!$K$5:$AJ$140,0,MATCH(N$2,Inputs!$K$4:$AJ$4,0)))+SUMPRODUCT((Inputs!$E$5:$E$140=$B60)*Inputs!$F$5:$F$140*(((Inputs!$G$5:$G$140="moeda")+(Inputs!$G$5:$G$140="acoes"))*Inputs!$B$1+((Inputs!$G$5:$G$140&lt;&gt;"moeda")*(Inputs!$G$5:$G$140&lt;&gt;"acoes")))*INDEX(Inputs!$K$5:$AJ$140,0,MATCH(N$2,Inputs!$K$4:$AJ$4,0)))))</f>
        <v>296</v>
      </c>
      <c r="O60" s="263">
        <f>IF(ISNA(MATCH(O$2,Inputs!$K$4:$AJ$4,0)),NA(),IF(SUMPRODUCT((Inputs!$A$5:$A$140=$B60)*ISNUMBER(INDEX(Inputs!$K$5:$AJ$140,0,MATCH(O$2,Inputs!$K$4:$AJ$4,0))))+SUMPRODUCT((Inputs!$C$5:$C$140=$B60)*ISNUMBER(INDEX(Inputs!$K$5:$AJ$140,0,MATCH(O$2,Inputs!$K$4:$AJ$4,0))))+SUMPRODUCT((Inputs!$E$5:$E$140=$B60)*ISNUMBER(INDEX(Inputs!$K$5:$AJ$140,0,MATCH(O$2,Inputs!$K$4:$AJ$4,0))))=0,NA(),SUMPRODUCT((Inputs!$A$5:$A$140=$B60)*Inputs!$B$5:$B$140*(((Inputs!$G$5:$G$140="moeda")+(Inputs!$G$5:$G$140="acoes"))*Inputs!$B$1+((Inputs!$G$5:$G$140&lt;&gt;"moeda")*(Inputs!$G$5:$G$140&lt;&gt;"acoes")))*INDEX(Inputs!$K$5:$AJ$140,0,MATCH(O$2,Inputs!$K$4:$AJ$4,0)))+SUMPRODUCT((Inputs!$C$5:$C$140=$B60)*Inputs!$D$5:$D$140*(((Inputs!$G$5:$G$140="moeda")+(Inputs!$G$5:$G$140="acoes"))*Inputs!$B$1+((Inputs!$G$5:$G$140&lt;&gt;"moeda")*(Inputs!$G$5:$G$140&lt;&gt;"acoes")))*INDEX(Inputs!$K$5:$AJ$140,0,MATCH(O$2,Inputs!$K$4:$AJ$4,0)))+SUMPRODUCT((Inputs!$E$5:$E$140=$B60)*Inputs!$F$5:$F$140*(((Inputs!$G$5:$G$140="moeda")+(Inputs!$G$5:$G$140="acoes"))*Inputs!$B$1+((Inputs!$G$5:$G$140&lt;&gt;"moeda")*(Inputs!$G$5:$G$140&lt;&gt;"acoes")))*INDEX(Inputs!$K$5:$AJ$140,0,MATCH(O$2,Inputs!$K$4:$AJ$4,0)))))</f>
        <v>253</v>
      </c>
      <c r="P60" s="263">
        <f>IF(ISNA(MATCH(P$2,Inputs!$K$4:$AJ$4,0)),NA(),IF(SUMPRODUCT((Inputs!$A$5:$A$140=$B60)*ISNUMBER(INDEX(Inputs!$K$5:$AJ$140,0,MATCH(P$2,Inputs!$K$4:$AJ$4,0))))+SUMPRODUCT((Inputs!$C$5:$C$140=$B60)*ISNUMBER(INDEX(Inputs!$K$5:$AJ$140,0,MATCH(P$2,Inputs!$K$4:$AJ$4,0))))+SUMPRODUCT((Inputs!$E$5:$E$140=$B60)*ISNUMBER(INDEX(Inputs!$K$5:$AJ$140,0,MATCH(P$2,Inputs!$K$4:$AJ$4,0))))=0,NA(),SUMPRODUCT((Inputs!$A$5:$A$140=$B60)*Inputs!$B$5:$B$140*(((Inputs!$G$5:$G$140="moeda")+(Inputs!$G$5:$G$140="acoes"))*Inputs!$B$1+((Inputs!$G$5:$G$140&lt;&gt;"moeda")*(Inputs!$G$5:$G$140&lt;&gt;"acoes")))*INDEX(Inputs!$K$5:$AJ$140,0,MATCH(P$2,Inputs!$K$4:$AJ$4,0)))+SUMPRODUCT((Inputs!$C$5:$C$140=$B60)*Inputs!$D$5:$D$140*(((Inputs!$G$5:$G$140="moeda")+(Inputs!$G$5:$G$140="acoes"))*Inputs!$B$1+((Inputs!$G$5:$G$140&lt;&gt;"moeda")*(Inputs!$G$5:$G$140&lt;&gt;"acoes")))*INDEX(Inputs!$K$5:$AJ$140,0,MATCH(P$2,Inputs!$K$4:$AJ$4,0)))+SUMPRODUCT((Inputs!$E$5:$E$140=$B60)*Inputs!$F$5:$F$140*(((Inputs!$G$5:$G$140="moeda")+(Inputs!$G$5:$G$140="acoes"))*Inputs!$B$1+((Inputs!$G$5:$G$140&lt;&gt;"moeda")*(Inputs!$G$5:$G$140&lt;&gt;"acoes")))*INDEX(Inputs!$K$5:$AJ$140,0,MATCH(P$2,Inputs!$K$4:$AJ$4,0)))))</f>
        <v>261</v>
      </c>
      <c r="Q60" s="263">
        <f>IF(ISNA(MATCH(Q$2,Inputs!$K$4:$AJ$4,0)),NA(),IF(SUMPRODUCT((Inputs!$A$5:$A$140=$B60)*ISNUMBER(INDEX(Inputs!$K$5:$AJ$140,0,MATCH(Q$2,Inputs!$K$4:$AJ$4,0))))+SUMPRODUCT((Inputs!$C$5:$C$140=$B60)*ISNUMBER(INDEX(Inputs!$K$5:$AJ$140,0,MATCH(Q$2,Inputs!$K$4:$AJ$4,0))))+SUMPRODUCT((Inputs!$E$5:$E$140=$B60)*ISNUMBER(INDEX(Inputs!$K$5:$AJ$140,0,MATCH(Q$2,Inputs!$K$4:$AJ$4,0))))=0,NA(),SUMPRODUCT((Inputs!$A$5:$A$140=$B60)*Inputs!$B$5:$B$140*(((Inputs!$G$5:$G$140="moeda")+(Inputs!$G$5:$G$140="acoes"))*Inputs!$B$1+((Inputs!$G$5:$G$140&lt;&gt;"moeda")*(Inputs!$G$5:$G$140&lt;&gt;"acoes")))*INDEX(Inputs!$K$5:$AJ$140,0,MATCH(Q$2,Inputs!$K$4:$AJ$4,0)))+SUMPRODUCT((Inputs!$C$5:$C$140=$B60)*Inputs!$D$5:$D$140*(((Inputs!$G$5:$G$140="moeda")+(Inputs!$G$5:$G$140="acoes"))*Inputs!$B$1+((Inputs!$G$5:$G$140&lt;&gt;"moeda")*(Inputs!$G$5:$G$140&lt;&gt;"acoes")))*INDEX(Inputs!$K$5:$AJ$140,0,MATCH(Q$2,Inputs!$K$4:$AJ$4,0)))+SUMPRODUCT((Inputs!$E$5:$E$140=$B60)*Inputs!$F$5:$F$140*(((Inputs!$G$5:$G$140="moeda")+(Inputs!$G$5:$G$140="acoes"))*Inputs!$B$1+((Inputs!$G$5:$G$140&lt;&gt;"moeda")*(Inputs!$G$5:$G$140&lt;&gt;"acoes")))*INDEX(Inputs!$K$5:$AJ$140,0,MATCH(Q$2,Inputs!$K$4:$AJ$4,0)))))</f>
        <v>281</v>
      </c>
      <c r="R60" s="264">
        <f>SUM(N60:Q60)</f>
        <v>1091</v>
      </c>
      <c r="S60" s="263">
        <f>IF(ISNA(MATCH(S$2,Inputs!$K$4:$AJ$4,0)),NA(),IF(SUMPRODUCT((Inputs!$A$5:$A$140=$B60)*ISNUMBER(INDEX(Inputs!$K$5:$AJ$140,0,MATCH(S$2,Inputs!$K$4:$AJ$4,0))))+SUMPRODUCT((Inputs!$C$5:$C$140=$B60)*ISNUMBER(INDEX(Inputs!$K$5:$AJ$140,0,MATCH(S$2,Inputs!$K$4:$AJ$4,0))))+SUMPRODUCT((Inputs!$E$5:$E$140=$B60)*ISNUMBER(INDEX(Inputs!$K$5:$AJ$140,0,MATCH(S$2,Inputs!$K$4:$AJ$4,0))))=0,NA(),SUMPRODUCT((Inputs!$A$5:$A$140=$B60)*Inputs!$B$5:$B$140*(((Inputs!$G$5:$G$140="moeda")+(Inputs!$G$5:$G$140="acoes"))*Inputs!$B$1+((Inputs!$G$5:$G$140&lt;&gt;"moeda")*(Inputs!$G$5:$G$140&lt;&gt;"acoes")))*INDEX(Inputs!$K$5:$AJ$140,0,MATCH(S$2,Inputs!$K$4:$AJ$4,0)))+SUMPRODUCT((Inputs!$C$5:$C$140=$B60)*Inputs!$D$5:$D$140*(((Inputs!$G$5:$G$140="moeda")+(Inputs!$G$5:$G$140="acoes"))*Inputs!$B$1+((Inputs!$G$5:$G$140&lt;&gt;"moeda")*(Inputs!$G$5:$G$140&lt;&gt;"acoes")))*INDEX(Inputs!$K$5:$AJ$140,0,MATCH(S$2,Inputs!$K$4:$AJ$4,0)))+SUMPRODUCT((Inputs!$E$5:$E$140=$B60)*Inputs!$F$5:$F$140*(((Inputs!$G$5:$G$140="moeda")+(Inputs!$G$5:$G$140="acoes"))*Inputs!$B$1+((Inputs!$G$5:$G$140&lt;&gt;"moeda")*(Inputs!$G$5:$G$140&lt;&gt;"acoes")))*INDEX(Inputs!$K$5:$AJ$140,0,MATCH(S$2,Inputs!$K$4:$AJ$4,0)))))</f>
        <v>329</v>
      </c>
      <c r="T60" s="263">
        <f>IF(ISNA(MATCH(T$2,Inputs!$K$4:$AJ$4,0)),NA(),IF(SUMPRODUCT((Inputs!$A$5:$A$140=$B60)*ISNUMBER(INDEX(Inputs!$K$5:$AJ$140,0,MATCH(T$2,Inputs!$K$4:$AJ$4,0))))+SUMPRODUCT((Inputs!$C$5:$C$140=$B60)*ISNUMBER(INDEX(Inputs!$K$5:$AJ$140,0,MATCH(T$2,Inputs!$K$4:$AJ$4,0))))+SUMPRODUCT((Inputs!$E$5:$E$140=$B60)*ISNUMBER(INDEX(Inputs!$K$5:$AJ$140,0,MATCH(T$2,Inputs!$K$4:$AJ$4,0))))=0,NA(),SUMPRODUCT((Inputs!$A$5:$A$140=$B60)*Inputs!$B$5:$B$140*(((Inputs!$G$5:$G$140="moeda")+(Inputs!$G$5:$G$140="acoes"))*Inputs!$B$1+((Inputs!$G$5:$G$140&lt;&gt;"moeda")*(Inputs!$G$5:$G$140&lt;&gt;"acoes")))*INDEX(Inputs!$K$5:$AJ$140,0,MATCH(T$2,Inputs!$K$4:$AJ$4,0)))+SUMPRODUCT((Inputs!$C$5:$C$140=$B60)*Inputs!$D$5:$D$140*(((Inputs!$G$5:$G$140="moeda")+(Inputs!$G$5:$G$140="acoes"))*Inputs!$B$1+((Inputs!$G$5:$G$140&lt;&gt;"moeda")*(Inputs!$G$5:$G$140&lt;&gt;"acoes")))*INDEX(Inputs!$K$5:$AJ$140,0,MATCH(T$2,Inputs!$K$4:$AJ$4,0)))+SUMPRODUCT((Inputs!$E$5:$E$140=$B60)*Inputs!$F$5:$F$140*(((Inputs!$G$5:$G$140="moeda")+(Inputs!$G$5:$G$140="acoes"))*Inputs!$B$1+((Inputs!$G$5:$G$140&lt;&gt;"moeda")*(Inputs!$G$5:$G$140&lt;&gt;"acoes")))*INDEX(Inputs!$K$5:$AJ$140,0,MATCH(T$2,Inputs!$K$4:$AJ$4,0)))))</f>
        <v>346</v>
      </c>
      <c r="U60" s="263">
        <f>IF(ISNA(MATCH(U$2,Inputs!$K$4:$AJ$4,0)),NA(),IF(SUMPRODUCT((Inputs!$A$5:$A$140=$B60)*ISNUMBER(INDEX(Inputs!$K$5:$AJ$140,0,MATCH(U$2,Inputs!$K$4:$AJ$4,0))))+SUMPRODUCT((Inputs!$C$5:$C$140=$B60)*ISNUMBER(INDEX(Inputs!$K$5:$AJ$140,0,MATCH(U$2,Inputs!$K$4:$AJ$4,0))))+SUMPRODUCT((Inputs!$E$5:$E$140=$B60)*ISNUMBER(INDEX(Inputs!$K$5:$AJ$140,0,MATCH(U$2,Inputs!$K$4:$AJ$4,0))))=0,NA(),SUMPRODUCT((Inputs!$A$5:$A$140=$B60)*Inputs!$B$5:$B$140*(((Inputs!$G$5:$G$140="moeda")+(Inputs!$G$5:$G$140="acoes"))*Inputs!$B$1+((Inputs!$G$5:$G$140&lt;&gt;"moeda")*(Inputs!$G$5:$G$140&lt;&gt;"acoes")))*INDEX(Inputs!$K$5:$AJ$140,0,MATCH(U$2,Inputs!$K$4:$AJ$4,0)))+SUMPRODUCT((Inputs!$C$5:$C$140=$B60)*Inputs!$D$5:$D$140*(((Inputs!$G$5:$G$140="moeda")+(Inputs!$G$5:$G$140="acoes"))*Inputs!$B$1+((Inputs!$G$5:$G$140&lt;&gt;"moeda")*(Inputs!$G$5:$G$140&lt;&gt;"acoes")))*INDEX(Inputs!$K$5:$AJ$140,0,MATCH(U$2,Inputs!$K$4:$AJ$4,0)))+SUMPRODUCT((Inputs!$E$5:$E$140=$B60)*Inputs!$F$5:$F$140*(((Inputs!$G$5:$G$140="moeda")+(Inputs!$G$5:$G$140="acoes"))*Inputs!$B$1+((Inputs!$G$5:$G$140&lt;&gt;"moeda")*(Inputs!$G$5:$G$140&lt;&gt;"acoes")))*INDEX(Inputs!$K$5:$AJ$140,0,MATCH(U$2,Inputs!$K$4:$AJ$4,0)))))</f>
        <v>449</v>
      </c>
      <c r="V60" s="263">
        <f>IF(ISNA(MATCH(V$2,Inputs!$K$4:$AJ$4,0)),NA(),IF(SUMPRODUCT((Inputs!$A$5:$A$140=$B60)*ISNUMBER(INDEX(Inputs!$K$5:$AJ$140,0,MATCH(V$2,Inputs!$K$4:$AJ$4,0))))+SUMPRODUCT((Inputs!$C$5:$C$140=$B60)*ISNUMBER(INDEX(Inputs!$K$5:$AJ$140,0,MATCH(V$2,Inputs!$K$4:$AJ$4,0))))+SUMPRODUCT((Inputs!$E$5:$E$140=$B60)*ISNUMBER(INDEX(Inputs!$K$5:$AJ$140,0,MATCH(V$2,Inputs!$K$4:$AJ$4,0))))=0,NA(),SUMPRODUCT((Inputs!$A$5:$A$140=$B60)*Inputs!$B$5:$B$140*(((Inputs!$G$5:$G$140="moeda")+(Inputs!$G$5:$G$140="acoes"))*Inputs!$B$1+((Inputs!$G$5:$G$140&lt;&gt;"moeda")*(Inputs!$G$5:$G$140&lt;&gt;"acoes")))*INDEX(Inputs!$K$5:$AJ$140,0,MATCH(V$2,Inputs!$K$4:$AJ$4,0)))+SUMPRODUCT((Inputs!$C$5:$C$140=$B60)*Inputs!$D$5:$D$140*(((Inputs!$G$5:$G$140="moeda")+(Inputs!$G$5:$G$140="acoes"))*Inputs!$B$1+((Inputs!$G$5:$G$140&lt;&gt;"moeda")*(Inputs!$G$5:$G$140&lt;&gt;"acoes")))*INDEX(Inputs!$K$5:$AJ$140,0,MATCH(V$2,Inputs!$K$4:$AJ$4,0)))+SUMPRODUCT((Inputs!$E$5:$E$140=$B60)*Inputs!$F$5:$F$140*(((Inputs!$G$5:$G$140="moeda")+(Inputs!$G$5:$G$140="acoes"))*Inputs!$B$1+((Inputs!$G$5:$G$140&lt;&gt;"moeda")*(Inputs!$G$5:$G$140&lt;&gt;"acoes")))*INDEX(Inputs!$K$5:$AJ$140,0,MATCH(V$2,Inputs!$K$4:$AJ$4,0)))))</f>
        <v>570</v>
      </c>
      <c r="W60" s="264">
        <f>SUM(S60:V60)</f>
        <v>1694</v>
      </c>
      <c r="X60" s="263">
        <f>IF(ISNA(MATCH(X$2,Inputs!$K$4:$AJ$4,0)),NA(),IF(SUMPRODUCT((Inputs!$A$5:$A$140=$B60)*ISNUMBER(INDEX(Inputs!$K$5:$AJ$140,0,MATCH(X$2,Inputs!$K$4:$AJ$4,0))))+SUMPRODUCT((Inputs!$C$5:$C$140=$B60)*ISNUMBER(INDEX(Inputs!$K$5:$AJ$140,0,MATCH(X$2,Inputs!$K$4:$AJ$4,0))))+SUMPRODUCT((Inputs!$E$5:$E$140=$B60)*ISNUMBER(INDEX(Inputs!$K$5:$AJ$140,0,MATCH(X$2,Inputs!$K$4:$AJ$4,0))))=0,NA(),SUMPRODUCT((Inputs!$A$5:$A$140=$B60)*Inputs!$B$5:$B$140*(((Inputs!$G$5:$G$140="moeda")+(Inputs!$G$5:$G$140="acoes"))*Inputs!$B$1+((Inputs!$G$5:$G$140&lt;&gt;"moeda")*(Inputs!$G$5:$G$140&lt;&gt;"acoes")))*INDEX(Inputs!$K$5:$AJ$140,0,MATCH(X$2,Inputs!$K$4:$AJ$4,0)))+SUMPRODUCT((Inputs!$C$5:$C$140=$B60)*Inputs!$D$5:$D$140*(((Inputs!$G$5:$G$140="moeda")+(Inputs!$G$5:$G$140="acoes"))*Inputs!$B$1+((Inputs!$G$5:$G$140&lt;&gt;"moeda")*(Inputs!$G$5:$G$140&lt;&gt;"acoes")))*INDEX(Inputs!$K$5:$AJ$140,0,MATCH(X$2,Inputs!$K$4:$AJ$4,0)))+SUMPRODUCT((Inputs!$E$5:$E$140=$B60)*Inputs!$F$5:$F$140*(((Inputs!$G$5:$G$140="moeda")+(Inputs!$G$5:$G$140="acoes"))*Inputs!$B$1+((Inputs!$G$5:$G$140&lt;&gt;"moeda")*(Inputs!$G$5:$G$140&lt;&gt;"acoes")))*INDEX(Inputs!$K$5:$AJ$140,0,MATCH(X$2,Inputs!$K$4:$AJ$4,0)))))</f>
        <v>567</v>
      </c>
      <c r="Y60" s="263">
        <f>IF(ISNA(MATCH(Y$2,Inputs!$K$4:$AJ$4,0)),NA(),IF(SUMPRODUCT((Inputs!$A$5:$A$140=$B60)*ISNUMBER(INDEX(Inputs!$K$5:$AJ$140,0,MATCH(Y$2,Inputs!$K$4:$AJ$4,0))))+SUMPRODUCT((Inputs!$C$5:$C$140=$B60)*ISNUMBER(INDEX(Inputs!$K$5:$AJ$140,0,MATCH(Y$2,Inputs!$K$4:$AJ$4,0))))+SUMPRODUCT((Inputs!$E$5:$E$140=$B60)*ISNUMBER(INDEX(Inputs!$K$5:$AJ$140,0,MATCH(Y$2,Inputs!$K$4:$AJ$4,0))))=0,NA(),SUMPRODUCT((Inputs!$A$5:$A$140=$B60)*Inputs!$B$5:$B$140*(((Inputs!$G$5:$G$140="moeda")+(Inputs!$G$5:$G$140="acoes"))*Inputs!$B$1+((Inputs!$G$5:$G$140&lt;&gt;"moeda")*(Inputs!$G$5:$G$140&lt;&gt;"acoes")))*INDEX(Inputs!$K$5:$AJ$140,0,MATCH(Y$2,Inputs!$K$4:$AJ$4,0)))+SUMPRODUCT((Inputs!$C$5:$C$140=$B60)*Inputs!$D$5:$D$140*(((Inputs!$G$5:$G$140="moeda")+(Inputs!$G$5:$G$140="acoes"))*Inputs!$B$1+((Inputs!$G$5:$G$140&lt;&gt;"moeda")*(Inputs!$G$5:$G$140&lt;&gt;"acoes")))*INDEX(Inputs!$K$5:$AJ$140,0,MATCH(Y$2,Inputs!$K$4:$AJ$4,0)))+SUMPRODUCT((Inputs!$E$5:$E$140=$B60)*Inputs!$F$5:$F$140*(((Inputs!$G$5:$G$140="moeda")+(Inputs!$G$5:$G$140="acoes"))*Inputs!$B$1+((Inputs!$G$5:$G$140&lt;&gt;"moeda")*(Inputs!$G$5:$G$140&lt;&gt;"acoes")))*INDEX(Inputs!$K$5:$AJ$140,0,MATCH(Y$2,Inputs!$K$4:$AJ$4,0)))))</f>
        <v>586</v>
      </c>
      <c r="Z60" s="263">
        <f>IF(ISNA(MATCH(Z$2,Inputs!$K$4:$AJ$4,0)),NA(),IF(SUMPRODUCT((Inputs!$A$5:$A$140=$B60)*ISNUMBER(INDEX(Inputs!$K$5:$AJ$140,0,MATCH(Z$2,Inputs!$K$4:$AJ$4,0))))+SUMPRODUCT((Inputs!$C$5:$C$140=$B60)*ISNUMBER(INDEX(Inputs!$K$5:$AJ$140,0,MATCH(Z$2,Inputs!$K$4:$AJ$4,0))))+SUMPRODUCT((Inputs!$E$5:$E$140=$B60)*ISNUMBER(INDEX(Inputs!$K$5:$AJ$140,0,MATCH(Z$2,Inputs!$K$4:$AJ$4,0))))=0,NA(),SUMPRODUCT((Inputs!$A$5:$A$140=$B60)*Inputs!$B$5:$B$140*(((Inputs!$G$5:$G$140="moeda")+(Inputs!$G$5:$G$140="acoes"))*Inputs!$B$1+((Inputs!$G$5:$G$140&lt;&gt;"moeda")*(Inputs!$G$5:$G$140&lt;&gt;"acoes")))*INDEX(Inputs!$K$5:$AJ$140,0,MATCH(Z$2,Inputs!$K$4:$AJ$4,0)))+SUMPRODUCT((Inputs!$C$5:$C$140=$B60)*Inputs!$D$5:$D$140*(((Inputs!$G$5:$G$140="moeda")+(Inputs!$G$5:$G$140="acoes"))*Inputs!$B$1+((Inputs!$G$5:$G$140&lt;&gt;"moeda")*(Inputs!$G$5:$G$140&lt;&gt;"acoes")))*INDEX(Inputs!$K$5:$AJ$140,0,MATCH(Z$2,Inputs!$K$4:$AJ$4,0)))+SUMPRODUCT((Inputs!$E$5:$E$140=$B60)*Inputs!$F$5:$F$140*(((Inputs!$G$5:$G$140="moeda")+(Inputs!$G$5:$G$140="acoes"))*Inputs!$B$1+((Inputs!$G$5:$G$140&lt;&gt;"moeda")*(Inputs!$G$5:$G$140&lt;&gt;"acoes")))*INDEX(Inputs!$K$5:$AJ$140,0,MATCH(Z$2,Inputs!$K$4:$AJ$4,0)))))</f>
        <v>592</v>
      </c>
      <c r="AA60" s="263">
        <f>IF(ISNA(MATCH(AA$2,Inputs!$K$4:$AJ$4,0)),NA(),IF(SUMPRODUCT((Inputs!$A$5:$A$140=$B60)*ISNUMBER(INDEX(Inputs!$K$5:$AJ$140,0,MATCH(AA$2,Inputs!$K$4:$AJ$4,0))))+SUMPRODUCT((Inputs!$C$5:$C$140=$B60)*ISNUMBER(INDEX(Inputs!$K$5:$AJ$140,0,MATCH(AA$2,Inputs!$K$4:$AJ$4,0))))+SUMPRODUCT((Inputs!$E$5:$E$140=$B60)*ISNUMBER(INDEX(Inputs!$K$5:$AJ$140,0,MATCH(AA$2,Inputs!$K$4:$AJ$4,0))))=0,NA(),SUMPRODUCT((Inputs!$A$5:$A$140=$B60)*Inputs!$B$5:$B$140*(((Inputs!$G$5:$G$140="moeda")+(Inputs!$G$5:$G$140="acoes"))*Inputs!$B$1+((Inputs!$G$5:$G$140&lt;&gt;"moeda")*(Inputs!$G$5:$G$140&lt;&gt;"acoes")))*INDEX(Inputs!$K$5:$AJ$140,0,MATCH(AA$2,Inputs!$K$4:$AJ$4,0)))+SUMPRODUCT((Inputs!$C$5:$C$140=$B60)*Inputs!$D$5:$D$140*(((Inputs!$G$5:$G$140="moeda")+(Inputs!$G$5:$G$140="acoes"))*Inputs!$B$1+((Inputs!$G$5:$G$140&lt;&gt;"moeda")*(Inputs!$G$5:$G$140&lt;&gt;"acoes")))*INDEX(Inputs!$K$5:$AJ$140,0,MATCH(AA$2,Inputs!$K$4:$AJ$4,0)))+SUMPRODUCT((Inputs!$E$5:$E$140=$B60)*Inputs!$F$5:$F$140*(((Inputs!$G$5:$G$140="moeda")+(Inputs!$G$5:$G$140="acoes"))*Inputs!$B$1+((Inputs!$G$5:$G$140&lt;&gt;"moeda")*(Inputs!$G$5:$G$140&lt;&gt;"acoes")))*INDEX(Inputs!$K$5:$AJ$140,0,MATCH(AA$2,Inputs!$K$4:$AJ$4,0)))))</f>
        <v>604</v>
      </c>
      <c r="AB60" s="264">
        <f>SUM(X60:AA60)</f>
        <v>2349</v>
      </c>
      <c r="AC60" s="263" t="e">
        <f>IF(ISNA(MATCH(AC$2,Inputs!$K$4:$AJ$4,0)),NA(),IF(SUMPRODUCT((Inputs!$A$5:$A$140=$B60)*ISNUMBER(INDEX(Inputs!$K$5:$AJ$140,0,MATCH(AC$2,Inputs!$K$4:$AJ$4,0))))+SUMPRODUCT((Inputs!$C$5:$C$140=$B60)*ISNUMBER(INDEX(Inputs!$K$5:$AJ$140,0,MATCH(AC$2,Inputs!$K$4:$AJ$4,0))))+SUMPRODUCT((Inputs!$E$5:$E$140=$B60)*ISNUMBER(INDEX(Inputs!$K$5:$AJ$140,0,MATCH(AC$2,Inputs!$K$4:$AJ$4,0))))=0,NA(),SUMPRODUCT((Inputs!$A$5:$A$140=$B60)*Inputs!$B$5:$B$140*(((Inputs!$G$5:$G$140="moeda")+(Inputs!$G$5:$G$140="acoes"))*Inputs!$B$1+((Inputs!$G$5:$G$140&lt;&gt;"moeda")*(Inputs!$G$5:$G$140&lt;&gt;"acoes")))*INDEX(Inputs!$K$5:$AJ$140,0,MATCH(AC$2,Inputs!$K$4:$AJ$4,0)))+SUMPRODUCT((Inputs!$C$5:$C$140=$B60)*Inputs!$D$5:$D$140*(((Inputs!$G$5:$G$140="moeda")+(Inputs!$G$5:$G$140="acoes"))*Inputs!$B$1+((Inputs!$G$5:$G$140&lt;&gt;"moeda")*(Inputs!$G$5:$G$140&lt;&gt;"acoes")))*INDEX(Inputs!$K$5:$AJ$140,0,MATCH(AC$2,Inputs!$K$4:$AJ$4,0)))+SUMPRODUCT((Inputs!$E$5:$E$140=$B60)*Inputs!$F$5:$F$140*(((Inputs!$G$5:$G$140="moeda")+(Inputs!$G$5:$G$140="acoes"))*Inputs!$B$1+((Inputs!$G$5:$G$140&lt;&gt;"moeda")*(Inputs!$G$5:$G$140&lt;&gt;"acoes")))*INDEX(Inputs!$K$5:$AJ$140,0,MATCH(AC$2,Inputs!$K$4:$AJ$4,0)))))</f>
        <v>#N/A</v>
      </c>
      <c r="AD60" s="263" t="e">
        <f>IF(ISNA(MATCH(AD$2,Inputs!$K$4:$AJ$4,0)),NA(),IF(SUMPRODUCT((Inputs!$A$5:$A$140=$B60)*ISNUMBER(INDEX(Inputs!$K$5:$AJ$140,0,MATCH(AD$2,Inputs!$K$4:$AJ$4,0))))+SUMPRODUCT((Inputs!$C$5:$C$140=$B60)*ISNUMBER(INDEX(Inputs!$K$5:$AJ$140,0,MATCH(AD$2,Inputs!$K$4:$AJ$4,0))))+SUMPRODUCT((Inputs!$E$5:$E$140=$B60)*ISNUMBER(INDEX(Inputs!$K$5:$AJ$140,0,MATCH(AD$2,Inputs!$K$4:$AJ$4,0))))=0,NA(),SUMPRODUCT((Inputs!$A$5:$A$140=$B60)*Inputs!$B$5:$B$140*(((Inputs!$G$5:$G$140="moeda")+(Inputs!$G$5:$G$140="acoes"))*Inputs!$B$1+((Inputs!$G$5:$G$140&lt;&gt;"moeda")*(Inputs!$G$5:$G$140&lt;&gt;"acoes")))*INDEX(Inputs!$K$5:$AJ$140,0,MATCH(AD$2,Inputs!$K$4:$AJ$4,0)))+SUMPRODUCT((Inputs!$C$5:$C$140=$B60)*Inputs!$D$5:$D$140*(((Inputs!$G$5:$G$140="moeda")+(Inputs!$G$5:$G$140="acoes"))*Inputs!$B$1+((Inputs!$G$5:$G$140&lt;&gt;"moeda")*(Inputs!$G$5:$G$140&lt;&gt;"acoes")))*INDEX(Inputs!$K$5:$AJ$140,0,MATCH(AD$2,Inputs!$K$4:$AJ$4,0)))+SUMPRODUCT((Inputs!$E$5:$E$140=$B60)*Inputs!$F$5:$F$140*(((Inputs!$G$5:$G$140="moeda")+(Inputs!$G$5:$G$140="acoes"))*Inputs!$B$1+((Inputs!$G$5:$G$140&lt;&gt;"moeda")*(Inputs!$G$5:$G$140&lt;&gt;"acoes")))*INDEX(Inputs!$K$5:$AJ$140,0,MATCH(AD$2,Inputs!$K$4:$AJ$4,0)))))</f>
        <v>#N/A</v>
      </c>
      <c r="AE60" s="263" t="e">
        <f>IF(ISNA(MATCH(AE$2,Inputs!$K$4:$AJ$4,0)),NA(),IF(SUMPRODUCT((Inputs!$A$5:$A$140=$B60)*ISNUMBER(INDEX(Inputs!$K$5:$AJ$140,0,MATCH(AE$2,Inputs!$K$4:$AJ$4,0))))+SUMPRODUCT((Inputs!$C$5:$C$140=$B60)*ISNUMBER(INDEX(Inputs!$K$5:$AJ$140,0,MATCH(AE$2,Inputs!$K$4:$AJ$4,0))))+SUMPRODUCT((Inputs!$E$5:$E$140=$B60)*ISNUMBER(INDEX(Inputs!$K$5:$AJ$140,0,MATCH(AE$2,Inputs!$K$4:$AJ$4,0))))=0,NA(),SUMPRODUCT((Inputs!$A$5:$A$140=$B60)*Inputs!$B$5:$B$140*(((Inputs!$G$5:$G$140="moeda")+(Inputs!$G$5:$G$140="acoes"))*Inputs!$B$1+((Inputs!$G$5:$G$140&lt;&gt;"moeda")*(Inputs!$G$5:$G$140&lt;&gt;"acoes")))*INDEX(Inputs!$K$5:$AJ$140,0,MATCH(AE$2,Inputs!$K$4:$AJ$4,0)))+SUMPRODUCT((Inputs!$C$5:$C$140=$B60)*Inputs!$D$5:$D$140*(((Inputs!$G$5:$G$140="moeda")+(Inputs!$G$5:$G$140="acoes"))*Inputs!$B$1+((Inputs!$G$5:$G$140&lt;&gt;"moeda")*(Inputs!$G$5:$G$140&lt;&gt;"acoes")))*INDEX(Inputs!$K$5:$AJ$140,0,MATCH(AE$2,Inputs!$K$4:$AJ$4,0)))+SUMPRODUCT((Inputs!$E$5:$E$140=$B60)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60" s="263" t="e">
        <f>IF(ISNA(MATCH(AF$2,Inputs!$K$4:$AJ$4,0)),NA(),IF(SUMPRODUCT((Inputs!$A$5:$A$140=$B60)*ISNUMBER(INDEX(Inputs!$K$5:$AJ$140,0,MATCH(AF$2,Inputs!$K$4:$AJ$4,0))))+SUMPRODUCT((Inputs!$C$5:$C$140=$B60)*ISNUMBER(INDEX(Inputs!$K$5:$AJ$140,0,MATCH(AF$2,Inputs!$K$4:$AJ$4,0))))+SUMPRODUCT((Inputs!$E$5:$E$140=$B60)*ISNUMBER(INDEX(Inputs!$K$5:$AJ$140,0,MATCH(AF$2,Inputs!$K$4:$AJ$4,0))))=0,NA(),SUMPRODUCT((Inputs!$A$5:$A$140=$B60)*Inputs!$B$5:$B$140*(((Inputs!$G$5:$G$140="moeda")+(Inputs!$G$5:$G$140="acoes"))*Inputs!$B$1+((Inputs!$G$5:$G$140&lt;&gt;"moeda")*(Inputs!$G$5:$G$140&lt;&gt;"acoes")))*INDEX(Inputs!$K$5:$AJ$140,0,MATCH(AF$2,Inputs!$K$4:$AJ$4,0)))+SUMPRODUCT((Inputs!$C$5:$C$140=$B60)*Inputs!$D$5:$D$140*(((Inputs!$G$5:$G$140="moeda")+(Inputs!$G$5:$G$140="acoes"))*Inputs!$B$1+((Inputs!$G$5:$G$140&lt;&gt;"moeda")*(Inputs!$G$5:$G$140&lt;&gt;"acoes")))*INDEX(Inputs!$K$5:$AJ$140,0,MATCH(AF$2,Inputs!$K$4:$AJ$4,0)))+SUMPRODUCT((Inputs!$E$5:$E$140=$B60)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60" s="264" t="e">
        <f>SUM(AC60:AF60)</f>
        <v>#N/A</v>
      </c>
      <c r="AH60" s="263">
        <f>IF(ISNA(MATCH(AH$2,Inputs!$K$4:$AJ$4,0)),NA(),IF(SUMPRODUCT((Inputs!$A$5:$A$140=$B60)*ISNUMBER(INDEX(Inputs!$K$5:$AJ$140,0,MATCH(AH$2,Inputs!$K$4:$AJ$4,0))))+SUMPRODUCT((Inputs!$C$5:$C$140=$B60)*ISNUMBER(INDEX(Inputs!$K$5:$AJ$140,0,MATCH(AH$2,Inputs!$K$4:$AJ$4,0))))+SUMPRODUCT((Inputs!$E$5:$E$140=$B60)*ISNUMBER(INDEX(Inputs!$K$5:$AJ$140,0,MATCH(AH$2,Inputs!$K$4:$AJ$4,0))))=0,NA(),SUMPRODUCT((Inputs!$A$5:$A$140=$B60)*Inputs!$B$5:$B$140*(((Inputs!$G$5:$G$140="moeda")+(Inputs!$G$5:$G$140="acoes"))*Inputs!$B$1+((Inputs!$G$5:$G$140&lt;&gt;"moeda")*(Inputs!$G$5:$G$140&lt;&gt;"acoes")))*INDEX(Inputs!$K$5:$AJ$140,0,MATCH(AH$2,Inputs!$K$4:$AJ$4,0)))+SUMPRODUCT((Inputs!$C$5:$C$140=$B60)*Inputs!$D$5:$D$140*(((Inputs!$G$5:$G$140="moeda")+(Inputs!$G$5:$G$140="acoes"))*Inputs!$B$1+((Inputs!$G$5:$G$140&lt;&gt;"moeda")*(Inputs!$G$5:$G$140&lt;&gt;"acoes")))*INDEX(Inputs!$K$5:$AJ$140,0,MATCH(AH$2,Inputs!$K$4:$AJ$4,0)))+SUMPRODUCT((Inputs!$E$5:$E$140=$B60)*Inputs!$F$5:$F$140*(((Inputs!$G$5:$G$140="moeda")+(Inputs!$G$5:$G$140="acoes"))*Inputs!$B$1+((Inputs!$G$5:$G$140&lt;&gt;"moeda")*(Inputs!$G$5:$G$140&lt;&gt;"acoes")))*INDEX(Inputs!$K$5:$AJ$140,0,MATCH(AH$2,Inputs!$K$4:$AJ$4,0)))))</f>
        <v>155</v>
      </c>
      <c r="AI60" s="263">
        <f>IF(ISNA(MATCH(AI$2,Inputs!$K$4:$AJ$4,0)),NA(),IF(SUMPRODUCT((Inputs!$A$5:$A$140=$B60)*ISNUMBER(INDEX(Inputs!$K$5:$AJ$140,0,MATCH(AI$2,Inputs!$K$4:$AJ$4,0))))+SUMPRODUCT((Inputs!$C$5:$C$140=$B60)*ISNUMBER(INDEX(Inputs!$K$5:$AJ$140,0,MATCH(AI$2,Inputs!$K$4:$AJ$4,0))))+SUMPRODUCT((Inputs!$E$5:$E$140=$B60)*ISNUMBER(INDEX(Inputs!$K$5:$AJ$140,0,MATCH(AI$2,Inputs!$K$4:$AJ$4,0))))=0,NA(),SUMPRODUCT((Inputs!$A$5:$A$140=$B60)*Inputs!$B$5:$B$140*(((Inputs!$G$5:$G$140="moeda")+(Inputs!$G$5:$G$140="acoes"))*Inputs!$B$1+((Inputs!$G$5:$G$140&lt;&gt;"moeda")*(Inputs!$G$5:$G$140&lt;&gt;"acoes")))*INDEX(Inputs!$K$5:$AJ$140,0,MATCH(AI$2,Inputs!$K$4:$AJ$4,0)))+SUMPRODUCT((Inputs!$C$5:$C$140=$B60)*Inputs!$D$5:$D$140*(((Inputs!$G$5:$G$140="moeda")+(Inputs!$G$5:$G$140="acoes"))*Inputs!$B$1+((Inputs!$G$5:$G$140&lt;&gt;"moeda")*(Inputs!$G$5:$G$140&lt;&gt;"acoes")))*INDEX(Inputs!$K$5:$AJ$140,0,MATCH(AI$2,Inputs!$K$4:$AJ$4,0)))+SUMPRODUCT((Inputs!$E$5:$E$140=$B60)*Inputs!$F$5:$F$140*(((Inputs!$G$5:$G$140="moeda")+(Inputs!$G$5:$G$140="acoes"))*Inputs!$B$1+((Inputs!$G$5:$G$140&lt;&gt;"moeda")*(Inputs!$G$5:$G$140&lt;&gt;"acoes")))*INDEX(Inputs!$K$5:$AJ$140,0,MATCH(AI$2,Inputs!$K$4:$AJ$4,0)))))</f>
        <v>111</v>
      </c>
      <c r="AJ60" s="263">
        <f>IF(ISNA(MATCH(AJ$2,Inputs!$K$4:$AJ$4,0)),NA(),IF(SUMPRODUCT((Inputs!$A$5:$A$140=$B60)*ISNUMBER(INDEX(Inputs!$K$5:$AJ$140,0,MATCH(AJ$2,Inputs!$K$4:$AJ$4,0))))+SUMPRODUCT((Inputs!$C$5:$C$140=$B60)*ISNUMBER(INDEX(Inputs!$K$5:$AJ$140,0,MATCH(AJ$2,Inputs!$K$4:$AJ$4,0))))+SUMPRODUCT((Inputs!$E$5:$E$140=$B60)*ISNUMBER(INDEX(Inputs!$K$5:$AJ$140,0,MATCH(AJ$2,Inputs!$K$4:$AJ$4,0))))=0,NA(),SUMPRODUCT((Inputs!$A$5:$A$140=$B60)*Inputs!$B$5:$B$140*(((Inputs!$G$5:$G$140="moeda")+(Inputs!$G$5:$G$140="acoes"))*Inputs!$B$1+((Inputs!$G$5:$G$140&lt;&gt;"moeda")*(Inputs!$G$5:$G$140&lt;&gt;"acoes")))*INDEX(Inputs!$K$5:$AJ$140,0,MATCH(AJ$2,Inputs!$K$4:$AJ$4,0)))+SUMPRODUCT((Inputs!$C$5:$C$140=$B60)*Inputs!$D$5:$D$140*(((Inputs!$G$5:$G$140="moeda")+(Inputs!$G$5:$G$140="acoes"))*Inputs!$B$1+((Inputs!$G$5:$G$140&lt;&gt;"moeda")*(Inputs!$G$5:$G$140&lt;&gt;"acoes")))*INDEX(Inputs!$K$5:$AJ$140,0,MATCH(AJ$2,Inputs!$K$4:$AJ$4,0)))+SUMPRODUCT((Inputs!$E$5:$E$140=$B60)*Inputs!$F$5:$F$140*(((Inputs!$G$5:$G$140="moeda")+(Inputs!$G$5:$G$140="acoes"))*Inputs!$B$1+((Inputs!$G$5:$G$140&lt;&gt;"moeda")*(Inputs!$G$5:$G$140&lt;&gt;"acoes")))*INDEX(Inputs!$K$5:$AJ$140,0,MATCH(AJ$2,Inputs!$K$4:$AJ$4,0)))))</f>
        <v>125</v>
      </c>
      <c r="AK60" s="263">
        <f>IF(ISNA(MATCH(AK$2,Inputs!$K$4:$AJ$4,0)),NA(),IF(SUMPRODUCT((Inputs!$A$5:$A$140=$B60)*ISNUMBER(INDEX(Inputs!$K$5:$AJ$140,0,MATCH(AK$2,Inputs!$K$4:$AJ$4,0))))+SUMPRODUCT((Inputs!$C$5:$C$140=$B60)*ISNUMBER(INDEX(Inputs!$K$5:$AJ$140,0,MATCH(AK$2,Inputs!$K$4:$AJ$4,0))))+SUMPRODUCT((Inputs!$E$5:$E$140=$B60)*ISNUMBER(INDEX(Inputs!$K$5:$AJ$140,0,MATCH(AK$2,Inputs!$K$4:$AJ$4,0))))=0,NA(),SUMPRODUCT((Inputs!$A$5:$A$140=$B60)*Inputs!$B$5:$B$140*(((Inputs!$G$5:$G$140="moeda")+(Inputs!$G$5:$G$140="acoes"))*Inputs!$B$1+((Inputs!$G$5:$G$140&lt;&gt;"moeda")*(Inputs!$G$5:$G$140&lt;&gt;"acoes")))*INDEX(Inputs!$K$5:$AJ$140,0,MATCH(AK$2,Inputs!$K$4:$AJ$4,0)))+SUMPRODUCT((Inputs!$C$5:$C$140=$B60)*Inputs!$D$5:$D$140*(((Inputs!$G$5:$G$140="moeda")+(Inputs!$G$5:$G$140="acoes"))*Inputs!$B$1+((Inputs!$G$5:$G$140&lt;&gt;"moeda")*(Inputs!$G$5:$G$140&lt;&gt;"acoes")))*INDEX(Inputs!$K$5:$AJ$140,0,MATCH(AK$2,Inputs!$K$4:$AJ$4,0)))+SUMPRODUCT((Inputs!$E$5:$E$140=$B60)*Inputs!$F$5:$F$140*(((Inputs!$G$5:$G$140="moeda")+(Inputs!$G$5:$G$140="acoes"))*Inputs!$B$1+((Inputs!$G$5:$G$140&lt;&gt;"moeda")*(Inputs!$G$5:$G$140&lt;&gt;"acoes")))*INDEX(Inputs!$K$5:$AJ$140,0,MATCH(AK$2,Inputs!$K$4:$AJ$4,0)))))</f>
        <v>145</v>
      </c>
      <c r="AL60" s="264">
        <f>SUM(AH60:AK60)</f>
        <v>536</v>
      </c>
    </row>
    <row r="61">
      <c r="B61" s="46" t="n">
        <v>53</v>
      </c>
      <c r="C61" s="29" t="inlineStr">
        <is>
          <t>Receita OEM &amp; Other (USD; até 4T25)</t>
        </is>
      </c>
      <c r="D61" s="263">
        <f>IF(ISNA(MATCH(D$2,Inputs!$K$4:$AJ$4,0)),NA(),IF(SUMPRODUCT((Inputs!$A$5:$A$140=$B61)*ISNUMBER(INDEX(Inputs!$K$5:$AJ$140,0,MATCH(D$2,Inputs!$K$4:$AJ$4,0))))+SUMPRODUCT((Inputs!$C$5:$C$140=$B61)*ISNUMBER(INDEX(Inputs!$K$5:$AJ$140,0,MATCH(D$2,Inputs!$K$4:$AJ$4,0))))+SUMPRODUCT((Inputs!$E$5:$E$140=$B61)*ISNUMBER(INDEX(Inputs!$K$5:$AJ$140,0,MATCH(D$2,Inputs!$K$4:$AJ$4,0))))=0,NA(),SUMPRODUCT((Inputs!$A$5:$A$140=$B61)*Inputs!$B$5:$B$140*(((Inputs!$G$5:$G$140="moeda")+(Inputs!$G$5:$G$140="acoes"))*Inputs!$B$1+((Inputs!$G$5:$G$140&lt;&gt;"moeda")*(Inputs!$G$5:$G$140&lt;&gt;"acoes")))*INDEX(Inputs!$K$5:$AJ$140,0,MATCH(D$2,Inputs!$K$4:$AJ$4,0)))+SUMPRODUCT((Inputs!$C$5:$C$140=$B61)*Inputs!$D$5:$D$140*(((Inputs!$G$5:$G$140="moeda")+(Inputs!$G$5:$G$140="acoes"))*Inputs!$B$1+((Inputs!$G$5:$G$140&lt;&gt;"moeda")*(Inputs!$G$5:$G$140&lt;&gt;"acoes")))*INDEX(Inputs!$K$5:$AJ$140,0,MATCH(D$2,Inputs!$K$4:$AJ$4,0)))+SUMPRODUCT((Inputs!$E$5:$E$140=$B61)*Inputs!$F$5:$F$140*(((Inputs!$G$5:$G$140="moeda")+(Inputs!$G$5:$G$140="acoes"))*Inputs!$B$1+((Inputs!$G$5:$G$140&lt;&gt;"moeda")*(Inputs!$G$5:$G$140&lt;&gt;"acoes")))*INDEX(Inputs!$K$5:$AJ$140,0,MATCH(D$2,Inputs!$K$4:$AJ$4,0)))))</f>
        <v>327</v>
      </c>
      <c r="E61" s="263">
        <f>IF(ISNA(MATCH(E$2,Inputs!$K$4:$AJ$4,0)),NA(),IF(SUMPRODUCT((Inputs!$A$5:$A$140=$B61)*ISNUMBER(INDEX(Inputs!$K$5:$AJ$140,0,MATCH(E$2,Inputs!$K$4:$AJ$4,0))))+SUMPRODUCT((Inputs!$C$5:$C$140=$B61)*ISNUMBER(INDEX(Inputs!$K$5:$AJ$140,0,MATCH(E$2,Inputs!$K$4:$AJ$4,0))))+SUMPRODUCT((Inputs!$E$5:$E$140=$B61)*ISNUMBER(INDEX(Inputs!$K$5:$AJ$140,0,MATCH(E$2,Inputs!$K$4:$AJ$4,0))))=0,NA(),SUMPRODUCT((Inputs!$A$5:$A$140=$B61)*Inputs!$B$5:$B$140*(((Inputs!$G$5:$G$140="moeda")+(Inputs!$G$5:$G$140="acoes"))*Inputs!$B$1+((Inputs!$G$5:$G$140&lt;&gt;"moeda")*(Inputs!$G$5:$G$140&lt;&gt;"acoes")))*INDEX(Inputs!$K$5:$AJ$140,0,MATCH(E$2,Inputs!$K$4:$AJ$4,0)))+SUMPRODUCT((Inputs!$C$5:$C$140=$B61)*Inputs!$D$5:$D$140*(((Inputs!$G$5:$G$140="moeda")+(Inputs!$G$5:$G$140="acoes"))*Inputs!$B$1+((Inputs!$G$5:$G$140&lt;&gt;"moeda")*(Inputs!$G$5:$G$140&lt;&gt;"acoes")))*INDEX(Inputs!$K$5:$AJ$140,0,MATCH(E$2,Inputs!$K$4:$AJ$4,0)))+SUMPRODUCT((Inputs!$E$5:$E$140=$B61)*Inputs!$F$5:$F$140*(((Inputs!$G$5:$G$140="moeda")+(Inputs!$G$5:$G$140="acoes"))*Inputs!$B$1+((Inputs!$G$5:$G$140&lt;&gt;"moeda")*(Inputs!$G$5:$G$140&lt;&gt;"acoes")))*INDEX(Inputs!$K$5:$AJ$140,0,MATCH(E$2,Inputs!$K$4:$AJ$4,0)))))</f>
        <v>409</v>
      </c>
      <c r="F61" s="263">
        <f>IF(ISNA(MATCH(F$2,Inputs!$K$4:$AJ$4,0)),NA(),IF(SUMPRODUCT((Inputs!$A$5:$A$140=$B61)*ISNUMBER(INDEX(Inputs!$K$5:$AJ$140,0,MATCH(F$2,Inputs!$K$4:$AJ$4,0))))+SUMPRODUCT((Inputs!$C$5:$C$140=$B61)*ISNUMBER(INDEX(Inputs!$K$5:$AJ$140,0,MATCH(F$2,Inputs!$K$4:$AJ$4,0))))+SUMPRODUCT((Inputs!$E$5:$E$140=$B61)*ISNUMBER(INDEX(Inputs!$K$5:$AJ$140,0,MATCH(F$2,Inputs!$K$4:$AJ$4,0))))=0,NA(),SUMPRODUCT((Inputs!$A$5:$A$140=$B61)*Inputs!$B$5:$B$140*(((Inputs!$G$5:$G$140="moeda")+(Inputs!$G$5:$G$140="acoes"))*Inputs!$B$1+((Inputs!$G$5:$G$140&lt;&gt;"moeda")*(Inputs!$G$5:$G$140&lt;&gt;"acoes")))*INDEX(Inputs!$K$5:$AJ$140,0,MATCH(F$2,Inputs!$K$4:$AJ$4,0)))+SUMPRODUCT((Inputs!$C$5:$C$140=$B61)*Inputs!$D$5:$D$140*(((Inputs!$G$5:$G$140="moeda")+(Inputs!$G$5:$G$140="acoes"))*Inputs!$B$1+((Inputs!$G$5:$G$140&lt;&gt;"moeda")*(Inputs!$G$5:$G$140&lt;&gt;"acoes")))*INDEX(Inputs!$K$5:$AJ$140,0,MATCH(F$2,Inputs!$K$4:$AJ$4,0)))+SUMPRODUCT((Inputs!$E$5:$E$140=$B61)*Inputs!$F$5:$F$140*(((Inputs!$G$5:$G$140="moeda")+(Inputs!$G$5:$G$140="acoes"))*Inputs!$B$1+((Inputs!$G$5:$G$140&lt;&gt;"moeda")*(Inputs!$G$5:$G$140&lt;&gt;"acoes")))*INDEX(Inputs!$K$5:$AJ$140,0,MATCH(F$2,Inputs!$K$4:$AJ$4,0)))))</f>
        <v>234</v>
      </c>
      <c r="G61" s="263">
        <f>IF(ISNA(MATCH(G$2,Inputs!$K$4:$AJ$4,0)),NA(),IF(SUMPRODUCT((Inputs!$A$5:$A$140=$B61)*ISNUMBER(INDEX(Inputs!$K$5:$AJ$140,0,MATCH(G$2,Inputs!$K$4:$AJ$4,0))))+SUMPRODUCT((Inputs!$C$5:$C$140=$B61)*ISNUMBER(INDEX(Inputs!$K$5:$AJ$140,0,MATCH(G$2,Inputs!$K$4:$AJ$4,0))))+SUMPRODUCT((Inputs!$E$5:$E$140=$B61)*ISNUMBER(INDEX(Inputs!$K$5:$AJ$140,0,MATCH(G$2,Inputs!$K$4:$AJ$4,0))))=0,NA(),SUMPRODUCT((Inputs!$A$5:$A$140=$B61)*Inputs!$B$5:$B$140*(((Inputs!$G$5:$G$140="moeda")+(Inputs!$G$5:$G$140="acoes"))*Inputs!$B$1+((Inputs!$G$5:$G$140&lt;&gt;"moeda")*(Inputs!$G$5:$G$140&lt;&gt;"acoes")))*INDEX(Inputs!$K$5:$AJ$140,0,MATCH(G$2,Inputs!$K$4:$AJ$4,0)))+SUMPRODUCT((Inputs!$C$5:$C$140=$B61)*Inputs!$D$5:$D$140*(((Inputs!$G$5:$G$140="moeda")+(Inputs!$G$5:$G$140="acoes"))*Inputs!$B$1+((Inputs!$G$5:$G$140&lt;&gt;"moeda")*(Inputs!$G$5:$G$140&lt;&gt;"acoes")))*INDEX(Inputs!$K$5:$AJ$140,0,MATCH(G$2,Inputs!$K$4:$AJ$4,0)))+SUMPRODUCT((Inputs!$E$5:$E$140=$B61)*Inputs!$F$5:$F$140*(((Inputs!$G$5:$G$140="moeda")+(Inputs!$G$5:$G$140="acoes"))*Inputs!$B$1+((Inputs!$G$5:$G$140&lt;&gt;"moeda")*(Inputs!$G$5:$G$140&lt;&gt;"acoes")))*INDEX(Inputs!$K$5:$AJ$140,0,MATCH(G$2,Inputs!$K$4:$AJ$4,0)))))</f>
        <v>192</v>
      </c>
      <c r="H61" s="264">
        <f>SUM(D61:G61)</f>
        <v>1162</v>
      </c>
      <c r="I61" s="263">
        <f>IF(ISNA(MATCH(I$2,Inputs!$K$4:$AJ$4,0)),NA(),IF(SUMPRODUCT((Inputs!$A$5:$A$140=$B61)*ISNUMBER(INDEX(Inputs!$K$5:$AJ$140,0,MATCH(I$2,Inputs!$K$4:$AJ$4,0))))+SUMPRODUCT((Inputs!$C$5:$C$140=$B61)*ISNUMBER(INDEX(Inputs!$K$5:$AJ$140,0,MATCH(I$2,Inputs!$K$4:$AJ$4,0))))+SUMPRODUCT((Inputs!$E$5:$E$140=$B61)*ISNUMBER(INDEX(Inputs!$K$5:$AJ$140,0,MATCH(I$2,Inputs!$K$4:$AJ$4,0))))=0,NA(),SUMPRODUCT((Inputs!$A$5:$A$140=$B61)*Inputs!$B$5:$B$140*(((Inputs!$G$5:$G$140="moeda")+(Inputs!$G$5:$G$140="acoes"))*Inputs!$B$1+((Inputs!$G$5:$G$140&lt;&gt;"moeda")*(Inputs!$G$5:$G$140&lt;&gt;"acoes")))*INDEX(Inputs!$K$5:$AJ$140,0,MATCH(I$2,Inputs!$K$4:$AJ$4,0)))+SUMPRODUCT((Inputs!$C$5:$C$140=$B61)*Inputs!$D$5:$D$140*(((Inputs!$G$5:$G$140="moeda")+(Inputs!$G$5:$G$140="acoes"))*Inputs!$B$1+((Inputs!$G$5:$G$140&lt;&gt;"moeda")*(Inputs!$G$5:$G$140&lt;&gt;"acoes")))*INDEX(Inputs!$K$5:$AJ$140,0,MATCH(I$2,Inputs!$K$4:$AJ$4,0)))+SUMPRODUCT((Inputs!$E$5:$E$140=$B61)*Inputs!$F$5:$F$140*(((Inputs!$G$5:$G$140="moeda")+(Inputs!$G$5:$G$140="acoes"))*Inputs!$B$1+((Inputs!$G$5:$G$140&lt;&gt;"moeda")*(Inputs!$G$5:$G$140&lt;&gt;"acoes")))*INDEX(Inputs!$K$5:$AJ$140,0,MATCH(I$2,Inputs!$K$4:$AJ$4,0)))))</f>
        <v>158</v>
      </c>
      <c r="J61" s="263">
        <f>IF(ISNA(MATCH(J$2,Inputs!$K$4:$AJ$4,0)),NA(),IF(SUMPRODUCT((Inputs!$A$5:$A$140=$B61)*ISNUMBER(INDEX(Inputs!$K$5:$AJ$140,0,MATCH(J$2,Inputs!$K$4:$AJ$4,0))))+SUMPRODUCT((Inputs!$C$5:$C$140=$B61)*ISNUMBER(INDEX(Inputs!$K$5:$AJ$140,0,MATCH(J$2,Inputs!$K$4:$AJ$4,0))))+SUMPRODUCT((Inputs!$E$5:$E$140=$B61)*ISNUMBER(INDEX(Inputs!$K$5:$AJ$140,0,MATCH(J$2,Inputs!$K$4:$AJ$4,0))))=0,NA(),SUMPRODUCT((Inputs!$A$5:$A$140=$B61)*Inputs!$B$5:$B$140*(((Inputs!$G$5:$G$140="moeda")+(Inputs!$G$5:$G$140="acoes"))*Inputs!$B$1+((Inputs!$G$5:$G$140&lt;&gt;"moeda")*(Inputs!$G$5:$G$140&lt;&gt;"acoes")))*INDEX(Inputs!$K$5:$AJ$140,0,MATCH(J$2,Inputs!$K$4:$AJ$4,0)))+SUMPRODUCT((Inputs!$C$5:$C$140=$B61)*Inputs!$D$5:$D$140*(((Inputs!$G$5:$G$140="moeda")+(Inputs!$G$5:$G$140="acoes"))*Inputs!$B$1+((Inputs!$G$5:$G$140&lt;&gt;"moeda")*(Inputs!$G$5:$G$140&lt;&gt;"acoes")))*INDEX(Inputs!$K$5:$AJ$140,0,MATCH(J$2,Inputs!$K$4:$AJ$4,0)))+SUMPRODUCT((Inputs!$E$5:$E$140=$B61)*Inputs!$F$5:$F$140*(((Inputs!$G$5:$G$140="moeda")+(Inputs!$G$5:$G$140="acoes"))*Inputs!$B$1+((Inputs!$G$5:$G$140&lt;&gt;"moeda")*(Inputs!$G$5:$G$140&lt;&gt;"acoes")))*INDEX(Inputs!$K$5:$AJ$140,0,MATCH(J$2,Inputs!$K$4:$AJ$4,0)))))</f>
        <v>140</v>
      </c>
      <c r="K61" s="263">
        <f>IF(ISNA(MATCH(K$2,Inputs!$K$4:$AJ$4,0)),NA(),IF(SUMPRODUCT((Inputs!$A$5:$A$140=$B61)*ISNUMBER(INDEX(Inputs!$K$5:$AJ$140,0,MATCH(K$2,Inputs!$K$4:$AJ$4,0))))+SUMPRODUCT((Inputs!$C$5:$C$140=$B61)*ISNUMBER(INDEX(Inputs!$K$5:$AJ$140,0,MATCH(K$2,Inputs!$K$4:$AJ$4,0))))+SUMPRODUCT((Inputs!$E$5:$E$140=$B61)*ISNUMBER(INDEX(Inputs!$K$5:$AJ$140,0,MATCH(K$2,Inputs!$K$4:$AJ$4,0))))=0,NA(),SUMPRODUCT((Inputs!$A$5:$A$140=$B61)*Inputs!$B$5:$B$140*(((Inputs!$G$5:$G$140="moeda")+(Inputs!$G$5:$G$140="acoes"))*Inputs!$B$1+((Inputs!$G$5:$G$140&lt;&gt;"moeda")*(Inputs!$G$5:$G$140&lt;&gt;"acoes")))*INDEX(Inputs!$K$5:$AJ$140,0,MATCH(K$2,Inputs!$K$4:$AJ$4,0)))+SUMPRODUCT((Inputs!$C$5:$C$140=$B61)*Inputs!$D$5:$D$140*(((Inputs!$G$5:$G$140="moeda")+(Inputs!$G$5:$G$140="acoes"))*Inputs!$B$1+((Inputs!$G$5:$G$140&lt;&gt;"moeda")*(Inputs!$G$5:$G$140&lt;&gt;"acoes")))*INDEX(Inputs!$K$5:$AJ$140,0,MATCH(K$2,Inputs!$K$4:$AJ$4,0)))+SUMPRODUCT((Inputs!$E$5:$E$140=$B61)*Inputs!$F$5:$F$140*(((Inputs!$G$5:$G$140="moeda")+(Inputs!$G$5:$G$140="acoes"))*Inputs!$B$1+((Inputs!$G$5:$G$140&lt;&gt;"moeda")*(Inputs!$G$5:$G$140&lt;&gt;"acoes")))*INDEX(Inputs!$K$5:$AJ$140,0,MATCH(K$2,Inputs!$K$4:$AJ$4,0)))))</f>
        <v>73</v>
      </c>
      <c r="L61" s="263">
        <f>IF(ISNA(MATCH(L$2,Inputs!$K$4:$AJ$4,0)),NA(),IF(SUMPRODUCT((Inputs!$A$5:$A$140=$B61)*ISNUMBER(INDEX(Inputs!$K$5:$AJ$140,0,MATCH(L$2,Inputs!$K$4:$AJ$4,0))))+SUMPRODUCT((Inputs!$C$5:$C$140=$B61)*ISNUMBER(INDEX(Inputs!$K$5:$AJ$140,0,MATCH(L$2,Inputs!$K$4:$AJ$4,0))))+SUMPRODUCT((Inputs!$E$5:$E$140=$B61)*ISNUMBER(INDEX(Inputs!$K$5:$AJ$140,0,MATCH(L$2,Inputs!$K$4:$AJ$4,0))))=0,NA(),SUMPRODUCT((Inputs!$A$5:$A$140=$B61)*Inputs!$B$5:$B$140*(((Inputs!$G$5:$G$140="moeda")+(Inputs!$G$5:$G$140="acoes"))*Inputs!$B$1+((Inputs!$G$5:$G$140&lt;&gt;"moeda")*(Inputs!$G$5:$G$140&lt;&gt;"acoes")))*INDEX(Inputs!$K$5:$AJ$140,0,MATCH(L$2,Inputs!$K$4:$AJ$4,0)))+SUMPRODUCT((Inputs!$C$5:$C$140=$B61)*Inputs!$D$5:$D$140*(((Inputs!$G$5:$G$140="moeda")+(Inputs!$G$5:$G$140="acoes"))*Inputs!$B$1+((Inputs!$G$5:$G$140&lt;&gt;"moeda")*(Inputs!$G$5:$G$140&lt;&gt;"acoes")))*INDEX(Inputs!$K$5:$AJ$140,0,MATCH(L$2,Inputs!$K$4:$AJ$4,0)))+SUMPRODUCT((Inputs!$E$5:$E$140=$B61)*Inputs!$F$5:$F$140*(((Inputs!$G$5:$G$140="moeda")+(Inputs!$G$5:$G$140="acoes"))*Inputs!$B$1+((Inputs!$G$5:$G$140&lt;&gt;"moeda")*(Inputs!$G$5:$G$140&lt;&gt;"acoes")))*INDEX(Inputs!$K$5:$AJ$140,0,MATCH(L$2,Inputs!$K$4:$AJ$4,0)))))</f>
        <v>84</v>
      </c>
      <c r="M61" s="264">
        <f>SUM(I61:L61)</f>
        <v>455</v>
      </c>
      <c r="N61" s="263">
        <f>IF(ISNA(MATCH(N$2,Inputs!$K$4:$AJ$4,0)),NA(),IF(SUMPRODUCT((Inputs!$A$5:$A$140=$B61)*ISNUMBER(INDEX(Inputs!$K$5:$AJ$140,0,MATCH(N$2,Inputs!$K$4:$AJ$4,0))))+SUMPRODUCT((Inputs!$C$5:$C$140=$B61)*ISNUMBER(INDEX(Inputs!$K$5:$AJ$140,0,MATCH(N$2,Inputs!$K$4:$AJ$4,0))))+SUMPRODUCT((Inputs!$E$5:$E$140=$B61)*ISNUMBER(INDEX(Inputs!$K$5:$AJ$140,0,MATCH(N$2,Inputs!$K$4:$AJ$4,0))))=0,NA(),SUMPRODUCT((Inputs!$A$5:$A$140=$B61)*Inputs!$B$5:$B$140*(((Inputs!$G$5:$G$140="moeda")+(Inputs!$G$5:$G$140="acoes"))*Inputs!$B$1+((Inputs!$G$5:$G$140&lt;&gt;"moeda")*(Inputs!$G$5:$G$140&lt;&gt;"acoes")))*INDEX(Inputs!$K$5:$AJ$140,0,MATCH(N$2,Inputs!$K$4:$AJ$4,0)))+SUMPRODUCT((Inputs!$C$5:$C$140=$B61)*Inputs!$D$5:$D$140*(((Inputs!$G$5:$G$140="moeda")+(Inputs!$G$5:$G$140="acoes"))*Inputs!$B$1+((Inputs!$G$5:$G$140&lt;&gt;"moeda")*(Inputs!$G$5:$G$140&lt;&gt;"acoes")))*INDEX(Inputs!$K$5:$AJ$140,0,MATCH(N$2,Inputs!$K$4:$AJ$4,0)))+SUMPRODUCT((Inputs!$E$5:$E$140=$B61)*Inputs!$F$5:$F$140*(((Inputs!$G$5:$G$140="moeda")+(Inputs!$G$5:$G$140="acoes"))*Inputs!$B$1+((Inputs!$G$5:$G$140&lt;&gt;"moeda")*(Inputs!$G$5:$G$140&lt;&gt;"acoes")))*INDEX(Inputs!$K$5:$AJ$140,0,MATCH(N$2,Inputs!$K$4:$AJ$4,0)))))</f>
        <v>77</v>
      </c>
      <c r="O61" s="263">
        <f>IF(ISNA(MATCH(O$2,Inputs!$K$4:$AJ$4,0)),NA(),IF(SUMPRODUCT((Inputs!$A$5:$A$140=$B61)*ISNUMBER(INDEX(Inputs!$K$5:$AJ$140,0,MATCH(O$2,Inputs!$K$4:$AJ$4,0))))+SUMPRODUCT((Inputs!$C$5:$C$140=$B61)*ISNUMBER(INDEX(Inputs!$K$5:$AJ$140,0,MATCH(O$2,Inputs!$K$4:$AJ$4,0))))+SUMPRODUCT((Inputs!$E$5:$E$140=$B61)*ISNUMBER(INDEX(Inputs!$K$5:$AJ$140,0,MATCH(O$2,Inputs!$K$4:$AJ$4,0))))=0,NA(),SUMPRODUCT((Inputs!$A$5:$A$140=$B61)*Inputs!$B$5:$B$140*(((Inputs!$G$5:$G$140="moeda")+(Inputs!$G$5:$G$140="acoes"))*Inputs!$B$1+((Inputs!$G$5:$G$140&lt;&gt;"moeda")*(Inputs!$G$5:$G$140&lt;&gt;"acoes")))*INDEX(Inputs!$K$5:$AJ$140,0,MATCH(O$2,Inputs!$K$4:$AJ$4,0)))+SUMPRODUCT((Inputs!$C$5:$C$140=$B61)*Inputs!$D$5:$D$140*(((Inputs!$G$5:$G$140="moeda")+(Inputs!$G$5:$G$140="acoes"))*Inputs!$B$1+((Inputs!$G$5:$G$140&lt;&gt;"moeda")*(Inputs!$G$5:$G$140&lt;&gt;"acoes")))*INDEX(Inputs!$K$5:$AJ$140,0,MATCH(O$2,Inputs!$K$4:$AJ$4,0)))+SUMPRODUCT((Inputs!$E$5:$E$140=$B61)*Inputs!$F$5:$F$140*(((Inputs!$G$5:$G$140="moeda")+(Inputs!$G$5:$G$140="acoes"))*Inputs!$B$1+((Inputs!$G$5:$G$140&lt;&gt;"moeda")*(Inputs!$G$5:$G$140&lt;&gt;"acoes")))*INDEX(Inputs!$K$5:$AJ$140,0,MATCH(O$2,Inputs!$K$4:$AJ$4,0)))))</f>
        <v>66</v>
      </c>
      <c r="P61" s="263">
        <f>IF(ISNA(MATCH(P$2,Inputs!$K$4:$AJ$4,0)),NA(),IF(SUMPRODUCT((Inputs!$A$5:$A$140=$B61)*ISNUMBER(INDEX(Inputs!$K$5:$AJ$140,0,MATCH(P$2,Inputs!$K$4:$AJ$4,0))))+SUMPRODUCT((Inputs!$C$5:$C$140=$B61)*ISNUMBER(INDEX(Inputs!$K$5:$AJ$140,0,MATCH(P$2,Inputs!$K$4:$AJ$4,0))))+SUMPRODUCT((Inputs!$E$5:$E$140=$B61)*ISNUMBER(INDEX(Inputs!$K$5:$AJ$140,0,MATCH(P$2,Inputs!$K$4:$AJ$4,0))))=0,NA(),SUMPRODUCT((Inputs!$A$5:$A$140=$B61)*Inputs!$B$5:$B$140*(((Inputs!$G$5:$G$140="moeda")+(Inputs!$G$5:$G$140="acoes"))*Inputs!$B$1+((Inputs!$G$5:$G$140&lt;&gt;"moeda")*(Inputs!$G$5:$G$140&lt;&gt;"acoes")))*INDEX(Inputs!$K$5:$AJ$140,0,MATCH(P$2,Inputs!$K$4:$AJ$4,0)))+SUMPRODUCT((Inputs!$C$5:$C$140=$B61)*Inputs!$D$5:$D$140*(((Inputs!$G$5:$G$140="moeda")+(Inputs!$G$5:$G$140="acoes"))*Inputs!$B$1+((Inputs!$G$5:$G$140&lt;&gt;"moeda")*(Inputs!$G$5:$G$140&lt;&gt;"acoes")))*INDEX(Inputs!$K$5:$AJ$140,0,MATCH(P$2,Inputs!$K$4:$AJ$4,0)))+SUMPRODUCT((Inputs!$E$5:$E$140=$B61)*Inputs!$F$5:$F$140*(((Inputs!$G$5:$G$140="moeda")+(Inputs!$G$5:$G$140="acoes"))*Inputs!$B$1+((Inputs!$G$5:$G$140&lt;&gt;"moeda")*(Inputs!$G$5:$G$140&lt;&gt;"acoes")))*INDEX(Inputs!$K$5:$AJ$140,0,MATCH(P$2,Inputs!$K$4:$AJ$4,0)))))</f>
        <v>73</v>
      </c>
      <c r="Q61" s="263">
        <f>IF(ISNA(MATCH(Q$2,Inputs!$K$4:$AJ$4,0)),NA(),IF(SUMPRODUCT((Inputs!$A$5:$A$140=$B61)*ISNUMBER(INDEX(Inputs!$K$5:$AJ$140,0,MATCH(Q$2,Inputs!$K$4:$AJ$4,0))))+SUMPRODUCT((Inputs!$C$5:$C$140=$B61)*ISNUMBER(INDEX(Inputs!$K$5:$AJ$140,0,MATCH(Q$2,Inputs!$K$4:$AJ$4,0))))+SUMPRODUCT((Inputs!$E$5:$E$140=$B61)*ISNUMBER(INDEX(Inputs!$K$5:$AJ$140,0,MATCH(Q$2,Inputs!$K$4:$AJ$4,0))))=0,NA(),SUMPRODUCT((Inputs!$A$5:$A$140=$B61)*Inputs!$B$5:$B$140*(((Inputs!$G$5:$G$140="moeda")+(Inputs!$G$5:$G$140="acoes"))*Inputs!$B$1+((Inputs!$G$5:$G$140&lt;&gt;"moeda")*(Inputs!$G$5:$G$140&lt;&gt;"acoes")))*INDEX(Inputs!$K$5:$AJ$140,0,MATCH(Q$2,Inputs!$K$4:$AJ$4,0)))+SUMPRODUCT((Inputs!$C$5:$C$140=$B61)*Inputs!$D$5:$D$140*(((Inputs!$G$5:$G$140="moeda")+(Inputs!$G$5:$G$140="acoes"))*Inputs!$B$1+((Inputs!$G$5:$G$140&lt;&gt;"moeda")*(Inputs!$G$5:$G$140&lt;&gt;"acoes")))*INDEX(Inputs!$K$5:$AJ$140,0,MATCH(Q$2,Inputs!$K$4:$AJ$4,0)))+SUMPRODUCT((Inputs!$E$5:$E$140=$B61)*Inputs!$F$5:$F$140*(((Inputs!$G$5:$G$140="moeda")+(Inputs!$G$5:$G$140="acoes"))*Inputs!$B$1+((Inputs!$G$5:$G$140&lt;&gt;"moeda")*(Inputs!$G$5:$G$140&lt;&gt;"acoes")))*INDEX(Inputs!$K$5:$AJ$140,0,MATCH(Q$2,Inputs!$K$4:$AJ$4,0)))))</f>
        <v>90</v>
      </c>
      <c r="R61" s="264">
        <f>SUM(N61:Q61)</f>
        <v>306</v>
      </c>
      <c r="S61" s="263">
        <f>IF(ISNA(MATCH(S$2,Inputs!$K$4:$AJ$4,0)),NA(),IF(SUMPRODUCT((Inputs!$A$5:$A$140=$B61)*ISNUMBER(INDEX(Inputs!$K$5:$AJ$140,0,MATCH(S$2,Inputs!$K$4:$AJ$4,0))))+SUMPRODUCT((Inputs!$C$5:$C$140=$B61)*ISNUMBER(INDEX(Inputs!$K$5:$AJ$140,0,MATCH(S$2,Inputs!$K$4:$AJ$4,0))))+SUMPRODUCT((Inputs!$E$5:$E$140=$B61)*ISNUMBER(INDEX(Inputs!$K$5:$AJ$140,0,MATCH(S$2,Inputs!$K$4:$AJ$4,0))))=0,NA(),SUMPRODUCT((Inputs!$A$5:$A$140=$B61)*Inputs!$B$5:$B$140*(((Inputs!$G$5:$G$140="moeda")+(Inputs!$G$5:$G$140="acoes"))*Inputs!$B$1+((Inputs!$G$5:$G$140&lt;&gt;"moeda")*(Inputs!$G$5:$G$140&lt;&gt;"acoes")))*INDEX(Inputs!$K$5:$AJ$140,0,MATCH(S$2,Inputs!$K$4:$AJ$4,0)))+SUMPRODUCT((Inputs!$C$5:$C$140=$B61)*Inputs!$D$5:$D$140*(((Inputs!$G$5:$G$140="moeda")+(Inputs!$G$5:$G$140="acoes"))*Inputs!$B$1+((Inputs!$G$5:$G$140&lt;&gt;"moeda")*(Inputs!$G$5:$G$140&lt;&gt;"acoes")))*INDEX(Inputs!$K$5:$AJ$140,0,MATCH(S$2,Inputs!$K$4:$AJ$4,0)))+SUMPRODUCT((Inputs!$E$5:$E$140=$B61)*Inputs!$F$5:$F$140*(((Inputs!$G$5:$G$140="moeda")+(Inputs!$G$5:$G$140="acoes"))*Inputs!$B$1+((Inputs!$G$5:$G$140&lt;&gt;"moeda")*(Inputs!$G$5:$G$140&lt;&gt;"acoes")))*INDEX(Inputs!$K$5:$AJ$140,0,MATCH(S$2,Inputs!$K$4:$AJ$4,0)))))</f>
        <v>78</v>
      </c>
      <c r="T61" s="263">
        <f>IF(ISNA(MATCH(T$2,Inputs!$K$4:$AJ$4,0)),NA(),IF(SUMPRODUCT((Inputs!$A$5:$A$140=$B61)*ISNUMBER(INDEX(Inputs!$K$5:$AJ$140,0,MATCH(T$2,Inputs!$K$4:$AJ$4,0))))+SUMPRODUCT((Inputs!$C$5:$C$140=$B61)*ISNUMBER(INDEX(Inputs!$K$5:$AJ$140,0,MATCH(T$2,Inputs!$K$4:$AJ$4,0))))+SUMPRODUCT((Inputs!$E$5:$E$140=$B61)*ISNUMBER(INDEX(Inputs!$K$5:$AJ$140,0,MATCH(T$2,Inputs!$K$4:$AJ$4,0))))=0,NA(),SUMPRODUCT((Inputs!$A$5:$A$140=$B61)*Inputs!$B$5:$B$140*(((Inputs!$G$5:$G$140="moeda")+(Inputs!$G$5:$G$140="acoes"))*Inputs!$B$1+((Inputs!$G$5:$G$140&lt;&gt;"moeda")*(Inputs!$G$5:$G$140&lt;&gt;"acoes")))*INDEX(Inputs!$K$5:$AJ$140,0,MATCH(T$2,Inputs!$K$4:$AJ$4,0)))+SUMPRODUCT((Inputs!$C$5:$C$140=$B61)*Inputs!$D$5:$D$140*(((Inputs!$G$5:$G$140="moeda")+(Inputs!$G$5:$G$140="acoes"))*Inputs!$B$1+((Inputs!$G$5:$G$140&lt;&gt;"moeda")*(Inputs!$G$5:$G$140&lt;&gt;"acoes")))*INDEX(Inputs!$K$5:$AJ$140,0,MATCH(T$2,Inputs!$K$4:$AJ$4,0)))+SUMPRODUCT((Inputs!$E$5:$E$140=$B61)*Inputs!$F$5:$F$140*(((Inputs!$G$5:$G$140="moeda")+(Inputs!$G$5:$G$140="acoes"))*Inputs!$B$1+((Inputs!$G$5:$G$140&lt;&gt;"moeda")*(Inputs!$G$5:$G$140&lt;&gt;"acoes")))*INDEX(Inputs!$K$5:$AJ$140,0,MATCH(T$2,Inputs!$K$4:$AJ$4,0)))))</f>
        <v>88</v>
      </c>
      <c r="U61" s="263">
        <f>IF(ISNA(MATCH(U$2,Inputs!$K$4:$AJ$4,0)),NA(),IF(SUMPRODUCT((Inputs!$A$5:$A$140=$B61)*ISNUMBER(INDEX(Inputs!$K$5:$AJ$140,0,MATCH(U$2,Inputs!$K$4:$AJ$4,0))))+SUMPRODUCT((Inputs!$C$5:$C$140=$B61)*ISNUMBER(INDEX(Inputs!$K$5:$AJ$140,0,MATCH(U$2,Inputs!$K$4:$AJ$4,0))))+SUMPRODUCT((Inputs!$E$5:$E$140=$B61)*ISNUMBER(INDEX(Inputs!$K$5:$AJ$140,0,MATCH(U$2,Inputs!$K$4:$AJ$4,0))))=0,NA(),SUMPRODUCT((Inputs!$A$5:$A$140=$B61)*Inputs!$B$5:$B$140*(((Inputs!$G$5:$G$140="moeda")+(Inputs!$G$5:$G$140="acoes"))*Inputs!$B$1+((Inputs!$G$5:$G$140&lt;&gt;"moeda")*(Inputs!$G$5:$G$140&lt;&gt;"acoes")))*INDEX(Inputs!$K$5:$AJ$140,0,MATCH(U$2,Inputs!$K$4:$AJ$4,0)))+SUMPRODUCT((Inputs!$C$5:$C$140=$B61)*Inputs!$D$5:$D$140*(((Inputs!$G$5:$G$140="moeda")+(Inputs!$G$5:$G$140="acoes"))*Inputs!$B$1+((Inputs!$G$5:$G$140&lt;&gt;"moeda")*(Inputs!$G$5:$G$140&lt;&gt;"acoes")))*INDEX(Inputs!$K$5:$AJ$140,0,MATCH(U$2,Inputs!$K$4:$AJ$4,0)))+SUMPRODUCT((Inputs!$E$5:$E$140=$B61)*Inputs!$F$5:$F$140*(((Inputs!$G$5:$G$140="moeda")+(Inputs!$G$5:$G$140="acoes"))*Inputs!$B$1+((Inputs!$G$5:$G$140&lt;&gt;"moeda")*(Inputs!$G$5:$G$140&lt;&gt;"acoes")))*INDEX(Inputs!$K$5:$AJ$140,0,MATCH(U$2,Inputs!$K$4:$AJ$4,0)))))</f>
        <v>97</v>
      </c>
      <c r="V61" s="263">
        <f>IF(ISNA(MATCH(V$2,Inputs!$K$4:$AJ$4,0)),NA(),IF(SUMPRODUCT((Inputs!$A$5:$A$140=$B61)*ISNUMBER(INDEX(Inputs!$K$5:$AJ$140,0,MATCH(V$2,Inputs!$K$4:$AJ$4,0))))+SUMPRODUCT((Inputs!$C$5:$C$140=$B61)*ISNUMBER(INDEX(Inputs!$K$5:$AJ$140,0,MATCH(V$2,Inputs!$K$4:$AJ$4,0))))+SUMPRODUCT((Inputs!$E$5:$E$140=$B61)*ISNUMBER(INDEX(Inputs!$K$5:$AJ$140,0,MATCH(V$2,Inputs!$K$4:$AJ$4,0))))=0,NA(),SUMPRODUCT((Inputs!$A$5:$A$140=$B61)*Inputs!$B$5:$B$140*(((Inputs!$G$5:$G$140="moeda")+(Inputs!$G$5:$G$140="acoes"))*Inputs!$B$1+((Inputs!$G$5:$G$140&lt;&gt;"moeda")*(Inputs!$G$5:$G$140&lt;&gt;"acoes")))*INDEX(Inputs!$K$5:$AJ$140,0,MATCH(V$2,Inputs!$K$4:$AJ$4,0)))+SUMPRODUCT((Inputs!$C$5:$C$140=$B61)*Inputs!$D$5:$D$140*(((Inputs!$G$5:$G$140="moeda")+(Inputs!$G$5:$G$140="acoes"))*Inputs!$B$1+((Inputs!$G$5:$G$140&lt;&gt;"moeda")*(Inputs!$G$5:$G$140&lt;&gt;"acoes")))*INDEX(Inputs!$K$5:$AJ$140,0,MATCH(V$2,Inputs!$K$4:$AJ$4,0)))+SUMPRODUCT((Inputs!$E$5:$E$140=$B61)*Inputs!$F$5:$F$140*(((Inputs!$G$5:$G$140="moeda")+(Inputs!$G$5:$G$140="acoes"))*Inputs!$B$1+((Inputs!$G$5:$G$140&lt;&gt;"moeda")*(Inputs!$G$5:$G$140&lt;&gt;"acoes")))*INDEX(Inputs!$K$5:$AJ$140,0,MATCH(V$2,Inputs!$K$4:$AJ$4,0)))))</f>
        <v>126</v>
      </c>
      <c r="W61" s="264">
        <f>SUM(S61:V61)</f>
        <v>389</v>
      </c>
      <c r="X61" s="263">
        <f>IF(ISNA(MATCH(X$2,Inputs!$K$4:$AJ$4,0)),NA(),IF(SUMPRODUCT((Inputs!$A$5:$A$140=$B61)*ISNUMBER(INDEX(Inputs!$K$5:$AJ$140,0,MATCH(X$2,Inputs!$K$4:$AJ$4,0))))+SUMPRODUCT((Inputs!$C$5:$C$140=$B61)*ISNUMBER(INDEX(Inputs!$K$5:$AJ$140,0,MATCH(X$2,Inputs!$K$4:$AJ$4,0))))+SUMPRODUCT((Inputs!$E$5:$E$140=$B61)*ISNUMBER(INDEX(Inputs!$K$5:$AJ$140,0,MATCH(X$2,Inputs!$K$4:$AJ$4,0))))=0,NA(),SUMPRODUCT((Inputs!$A$5:$A$140=$B61)*Inputs!$B$5:$B$140*(((Inputs!$G$5:$G$140="moeda")+(Inputs!$G$5:$G$140="acoes"))*Inputs!$B$1+((Inputs!$G$5:$G$140&lt;&gt;"moeda")*(Inputs!$G$5:$G$140&lt;&gt;"acoes")))*INDEX(Inputs!$K$5:$AJ$140,0,MATCH(X$2,Inputs!$K$4:$AJ$4,0)))+SUMPRODUCT((Inputs!$C$5:$C$140=$B61)*Inputs!$D$5:$D$140*(((Inputs!$G$5:$G$140="moeda")+(Inputs!$G$5:$G$140="acoes"))*Inputs!$B$1+((Inputs!$G$5:$G$140&lt;&gt;"moeda")*(Inputs!$G$5:$G$140&lt;&gt;"acoes")))*INDEX(Inputs!$K$5:$AJ$140,0,MATCH(X$2,Inputs!$K$4:$AJ$4,0)))+SUMPRODUCT((Inputs!$E$5:$E$140=$B61)*Inputs!$F$5:$F$140*(((Inputs!$G$5:$G$140="moeda")+(Inputs!$G$5:$G$140="acoes"))*Inputs!$B$1+((Inputs!$G$5:$G$140&lt;&gt;"moeda")*(Inputs!$G$5:$G$140&lt;&gt;"acoes")))*INDEX(Inputs!$K$5:$AJ$140,0,MATCH(X$2,Inputs!$K$4:$AJ$4,0)))))</f>
        <v>111</v>
      </c>
      <c r="Y61" s="263">
        <f>IF(ISNA(MATCH(Y$2,Inputs!$K$4:$AJ$4,0)),NA(),IF(SUMPRODUCT((Inputs!$A$5:$A$140=$B61)*ISNUMBER(INDEX(Inputs!$K$5:$AJ$140,0,MATCH(Y$2,Inputs!$K$4:$AJ$4,0))))+SUMPRODUCT((Inputs!$C$5:$C$140=$B61)*ISNUMBER(INDEX(Inputs!$K$5:$AJ$140,0,MATCH(Y$2,Inputs!$K$4:$AJ$4,0))))+SUMPRODUCT((Inputs!$E$5:$E$140=$B61)*ISNUMBER(INDEX(Inputs!$K$5:$AJ$140,0,MATCH(Y$2,Inputs!$K$4:$AJ$4,0))))=0,NA(),SUMPRODUCT((Inputs!$A$5:$A$140=$B61)*Inputs!$B$5:$B$140*(((Inputs!$G$5:$G$140="moeda")+(Inputs!$G$5:$G$140="acoes"))*Inputs!$B$1+((Inputs!$G$5:$G$140&lt;&gt;"moeda")*(Inputs!$G$5:$G$140&lt;&gt;"acoes")))*INDEX(Inputs!$K$5:$AJ$140,0,MATCH(Y$2,Inputs!$K$4:$AJ$4,0)))+SUMPRODUCT((Inputs!$C$5:$C$140=$B61)*Inputs!$D$5:$D$140*(((Inputs!$G$5:$G$140="moeda")+(Inputs!$G$5:$G$140="acoes"))*Inputs!$B$1+((Inputs!$G$5:$G$140&lt;&gt;"moeda")*(Inputs!$G$5:$G$140&lt;&gt;"acoes")))*INDEX(Inputs!$K$5:$AJ$140,0,MATCH(Y$2,Inputs!$K$4:$AJ$4,0)))+SUMPRODUCT((Inputs!$E$5:$E$140=$B61)*Inputs!$F$5:$F$140*(((Inputs!$G$5:$G$140="moeda")+(Inputs!$G$5:$G$140="acoes"))*Inputs!$B$1+((Inputs!$G$5:$G$140&lt;&gt;"moeda")*(Inputs!$G$5:$G$140&lt;&gt;"acoes")))*INDEX(Inputs!$K$5:$AJ$140,0,MATCH(Y$2,Inputs!$K$4:$AJ$4,0)))))</f>
        <v>173</v>
      </c>
      <c r="Z61" s="263">
        <f>IF(ISNA(MATCH(Z$2,Inputs!$K$4:$AJ$4,0)),NA(),IF(SUMPRODUCT((Inputs!$A$5:$A$140=$B61)*ISNUMBER(INDEX(Inputs!$K$5:$AJ$140,0,MATCH(Z$2,Inputs!$K$4:$AJ$4,0))))+SUMPRODUCT((Inputs!$C$5:$C$140=$B61)*ISNUMBER(INDEX(Inputs!$K$5:$AJ$140,0,MATCH(Z$2,Inputs!$K$4:$AJ$4,0))))+SUMPRODUCT((Inputs!$E$5:$E$140=$B61)*ISNUMBER(INDEX(Inputs!$K$5:$AJ$140,0,MATCH(Z$2,Inputs!$K$4:$AJ$4,0))))=0,NA(),SUMPRODUCT((Inputs!$A$5:$A$140=$B61)*Inputs!$B$5:$B$140*(((Inputs!$G$5:$G$140="moeda")+(Inputs!$G$5:$G$140="acoes"))*Inputs!$B$1+((Inputs!$G$5:$G$140&lt;&gt;"moeda")*(Inputs!$G$5:$G$140&lt;&gt;"acoes")))*INDEX(Inputs!$K$5:$AJ$140,0,MATCH(Z$2,Inputs!$K$4:$AJ$4,0)))+SUMPRODUCT((Inputs!$C$5:$C$140=$B61)*Inputs!$D$5:$D$140*(((Inputs!$G$5:$G$140="moeda")+(Inputs!$G$5:$G$140="acoes"))*Inputs!$B$1+((Inputs!$G$5:$G$140&lt;&gt;"moeda")*(Inputs!$G$5:$G$140&lt;&gt;"acoes")))*INDEX(Inputs!$K$5:$AJ$140,0,MATCH(Z$2,Inputs!$K$4:$AJ$4,0)))+SUMPRODUCT((Inputs!$E$5:$E$140=$B61)*Inputs!$F$5:$F$140*(((Inputs!$G$5:$G$140="moeda")+(Inputs!$G$5:$G$140="acoes"))*Inputs!$B$1+((Inputs!$G$5:$G$140&lt;&gt;"moeda")*(Inputs!$G$5:$G$140&lt;&gt;"acoes")))*INDEX(Inputs!$K$5:$AJ$140,0,MATCH(Z$2,Inputs!$K$4:$AJ$4,0)))))</f>
        <v>174</v>
      </c>
      <c r="AA61" s="263">
        <f>IF(ISNA(MATCH(AA$2,Inputs!$K$4:$AJ$4,0)),NA(),IF(SUMPRODUCT((Inputs!$A$5:$A$140=$B61)*ISNUMBER(INDEX(Inputs!$K$5:$AJ$140,0,MATCH(AA$2,Inputs!$K$4:$AJ$4,0))))+SUMPRODUCT((Inputs!$C$5:$C$140=$B61)*ISNUMBER(INDEX(Inputs!$K$5:$AJ$140,0,MATCH(AA$2,Inputs!$K$4:$AJ$4,0))))+SUMPRODUCT((Inputs!$E$5:$E$140=$B61)*ISNUMBER(INDEX(Inputs!$K$5:$AJ$140,0,MATCH(AA$2,Inputs!$K$4:$AJ$4,0))))=0,NA(),SUMPRODUCT((Inputs!$A$5:$A$140=$B61)*Inputs!$B$5:$B$140*(((Inputs!$G$5:$G$140="moeda")+(Inputs!$G$5:$G$140="acoes"))*Inputs!$B$1+((Inputs!$G$5:$G$140&lt;&gt;"moeda")*(Inputs!$G$5:$G$140&lt;&gt;"acoes")))*INDEX(Inputs!$K$5:$AJ$140,0,MATCH(AA$2,Inputs!$K$4:$AJ$4,0)))+SUMPRODUCT((Inputs!$C$5:$C$140=$B61)*Inputs!$D$5:$D$140*(((Inputs!$G$5:$G$140="moeda")+(Inputs!$G$5:$G$140="acoes"))*Inputs!$B$1+((Inputs!$G$5:$G$140&lt;&gt;"moeda")*(Inputs!$G$5:$G$140&lt;&gt;"acoes")))*INDEX(Inputs!$K$5:$AJ$140,0,MATCH(AA$2,Inputs!$K$4:$AJ$4,0)))+SUMPRODUCT((Inputs!$E$5:$E$140=$B61)*Inputs!$F$5:$F$140*(((Inputs!$G$5:$G$140="moeda")+(Inputs!$G$5:$G$140="acoes"))*Inputs!$B$1+((Inputs!$G$5:$G$140&lt;&gt;"moeda")*(Inputs!$G$5:$G$140&lt;&gt;"acoes")))*INDEX(Inputs!$K$5:$AJ$140,0,MATCH(AA$2,Inputs!$K$4:$AJ$4,0)))))</f>
        <v>161</v>
      </c>
      <c r="AB61" s="264">
        <f>SUM(X61:AA61)</f>
        <v>619</v>
      </c>
      <c r="AC61" s="263" t="e">
        <f>IF(ISNA(MATCH(AC$2,Inputs!$K$4:$AJ$4,0)),NA(),IF(SUMPRODUCT((Inputs!$A$5:$A$140=$B61)*ISNUMBER(INDEX(Inputs!$K$5:$AJ$140,0,MATCH(AC$2,Inputs!$K$4:$AJ$4,0))))+SUMPRODUCT((Inputs!$C$5:$C$140=$B61)*ISNUMBER(INDEX(Inputs!$K$5:$AJ$140,0,MATCH(AC$2,Inputs!$K$4:$AJ$4,0))))+SUMPRODUCT((Inputs!$E$5:$E$140=$B61)*ISNUMBER(INDEX(Inputs!$K$5:$AJ$140,0,MATCH(AC$2,Inputs!$K$4:$AJ$4,0))))=0,NA(),SUMPRODUCT((Inputs!$A$5:$A$140=$B61)*Inputs!$B$5:$B$140*(((Inputs!$G$5:$G$140="moeda")+(Inputs!$G$5:$G$140="acoes"))*Inputs!$B$1+((Inputs!$G$5:$G$140&lt;&gt;"moeda")*(Inputs!$G$5:$G$140&lt;&gt;"acoes")))*INDEX(Inputs!$K$5:$AJ$140,0,MATCH(AC$2,Inputs!$K$4:$AJ$4,0)))+SUMPRODUCT((Inputs!$C$5:$C$140=$B61)*Inputs!$D$5:$D$140*(((Inputs!$G$5:$G$140="moeda")+(Inputs!$G$5:$G$140="acoes"))*Inputs!$B$1+((Inputs!$G$5:$G$140&lt;&gt;"moeda")*(Inputs!$G$5:$G$140&lt;&gt;"acoes")))*INDEX(Inputs!$K$5:$AJ$140,0,MATCH(AC$2,Inputs!$K$4:$AJ$4,0)))+SUMPRODUCT((Inputs!$E$5:$E$140=$B61)*Inputs!$F$5:$F$140*(((Inputs!$G$5:$G$140="moeda")+(Inputs!$G$5:$G$140="acoes"))*Inputs!$B$1+((Inputs!$G$5:$G$140&lt;&gt;"moeda")*(Inputs!$G$5:$G$140&lt;&gt;"acoes")))*INDEX(Inputs!$K$5:$AJ$140,0,MATCH(AC$2,Inputs!$K$4:$AJ$4,0)))))</f>
        <v>#N/A</v>
      </c>
      <c r="AD61" s="263" t="e">
        <f>IF(ISNA(MATCH(AD$2,Inputs!$K$4:$AJ$4,0)),NA(),IF(SUMPRODUCT((Inputs!$A$5:$A$140=$B61)*ISNUMBER(INDEX(Inputs!$K$5:$AJ$140,0,MATCH(AD$2,Inputs!$K$4:$AJ$4,0))))+SUMPRODUCT((Inputs!$C$5:$C$140=$B61)*ISNUMBER(INDEX(Inputs!$K$5:$AJ$140,0,MATCH(AD$2,Inputs!$K$4:$AJ$4,0))))+SUMPRODUCT((Inputs!$E$5:$E$140=$B61)*ISNUMBER(INDEX(Inputs!$K$5:$AJ$140,0,MATCH(AD$2,Inputs!$K$4:$AJ$4,0))))=0,NA(),SUMPRODUCT((Inputs!$A$5:$A$140=$B61)*Inputs!$B$5:$B$140*(((Inputs!$G$5:$G$140="moeda")+(Inputs!$G$5:$G$140="acoes"))*Inputs!$B$1+((Inputs!$G$5:$G$140&lt;&gt;"moeda")*(Inputs!$G$5:$G$140&lt;&gt;"acoes")))*INDEX(Inputs!$K$5:$AJ$140,0,MATCH(AD$2,Inputs!$K$4:$AJ$4,0)))+SUMPRODUCT((Inputs!$C$5:$C$140=$B61)*Inputs!$D$5:$D$140*(((Inputs!$G$5:$G$140="moeda")+(Inputs!$G$5:$G$140="acoes"))*Inputs!$B$1+((Inputs!$G$5:$G$140&lt;&gt;"moeda")*(Inputs!$G$5:$G$140&lt;&gt;"acoes")))*INDEX(Inputs!$K$5:$AJ$140,0,MATCH(AD$2,Inputs!$K$4:$AJ$4,0)))+SUMPRODUCT((Inputs!$E$5:$E$140=$B61)*Inputs!$F$5:$F$140*(((Inputs!$G$5:$G$140="moeda")+(Inputs!$G$5:$G$140="acoes"))*Inputs!$B$1+((Inputs!$G$5:$G$140&lt;&gt;"moeda")*(Inputs!$G$5:$G$140&lt;&gt;"acoes")))*INDEX(Inputs!$K$5:$AJ$140,0,MATCH(AD$2,Inputs!$K$4:$AJ$4,0)))))</f>
        <v>#N/A</v>
      </c>
      <c r="AE61" s="263" t="e">
        <f>IF(ISNA(MATCH(AE$2,Inputs!$K$4:$AJ$4,0)),NA(),IF(SUMPRODUCT((Inputs!$A$5:$A$140=$B61)*ISNUMBER(INDEX(Inputs!$K$5:$AJ$140,0,MATCH(AE$2,Inputs!$K$4:$AJ$4,0))))+SUMPRODUCT((Inputs!$C$5:$C$140=$B61)*ISNUMBER(INDEX(Inputs!$K$5:$AJ$140,0,MATCH(AE$2,Inputs!$K$4:$AJ$4,0))))+SUMPRODUCT((Inputs!$E$5:$E$140=$B61)*ISNUMBER(INDEX(Inputs!$K$5:$AJ$140,0,MATCH(AE$2,Inputs!$K$4:$AJ$4,0))))=0,NA(),SUMPRODUCT((Inputs!$A$5:$A$140=$B61)*Inputs!$B$5:$B$140*(((Inputs!$G$5:$G$140="moeda")+(Inputs!$G$5:$G$140="acoes"))*Inputs!$B$1+((Inputs!$G$5:$G$140&lt;&gt;"moeda")*(Inputs!$G$5:$G$140&lt;&gt;"acoes")))*INDEX(Inputs!$K$5:$AJ$140,0,MATCH(AE$2,Inputs!$K$4:$AJ$4,0)))+SUMPRODUCT((Inputs!$C$5:$C$140=$B61)*Inputs!$D$5:$D$140*(((Inputs!$G$5:$G$140="moeda")+(Inputs!$G$5:$G$140="acoes"))*Inputs!$B$1+((Inputs!$G$5:$G$140&lt;&gt;"moeda")*(Inputs!$G$5:$G$140&lt;&gt;"acoes")))*INDEX(Inputs!$K$5:$AJ$140,0,MATCH(AE$2,Inputs!$K$4:$AJ$4,0)))+SUMPRODUCT((Inputs!$E$5:$E$140=$B61)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61" s="263" t="e">
        <f>IF(ISNA(MATCH(AF$2,Inputs!$K$4:$AJ$4,0)),NA(),IF(SUMPRODUCT((Inputs!$A$5:$A$140=$B61)*ISNUMBER(INDEX(Inputs!$K$5:$AJ$140,0,MATCH(AF$2,Inputs!$K$4:$AJ$4,0))))+SUMPRODUCT((Inputs!$C$5:$C$140=$B61)*ISNUMBER(INDEX(Inputs!$K$5:$AJ$140,0,MATCH(AF$2,Inputs!$K$4:$AJ$4,0))))+SUMPRODUCT((Inputs!$E$5:$E$140=$B61)*ISNUMBER(INDEX(Inputs!$K$5:$AJ$140,0,MATCH(AF$2,Inputs!$K$4:$AJ$4,0))))=0,NA(),SUMPRODUCT((Inputs!$A$5:$A$140=$B61)*Inputs!$B$5:$B$140*(((Inputs!$G$5:$G$140="moeda")+(Inputs!$G$5:$G$140="acoes"))*Inputs!$B$1+((Inputs!$G$5:$G$140&lt;&gt;"moeda")*(Inputs!$G$5:$G$140&lt;&gt;"acoes")))*INDEX(Inputs!$K$5:$AJ$140,0,MATCH(AF$2,Inputs!$K$4:$AJ$4,0)))+SUMPRODUCT((Inputs!$C$5:$C$140=$B61)*Inputs!$D$5:$D$140*(((Inputs!$G$5:$G$140="moeda")+(Inputs!$G$5:$G$140="acoes"))*Inputs!$B$1+((Inputs!$G$5:$G$140&lt;&gt;"moeda")*(Inputs!$G$5:$G$140&lt;&gt;"acoes")))*INDEX(Inputs!$K$5:$AJ$140,0,MATCH(AF$2,Inputs!$K$4:$AJ$4,0)))+SUMPRODUCT((Inputs!$E$5:$E$140=$B61)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61" s="264" t="e">
        <f>SUM(AC61:AF61)</f>
        <v>#N/A</v>
      </c>
      <c r="AH61" s="263">
        <f>IF(ISNA(MATCH(AH$2,Inputs!$K$4:$AJ$4,0)),NA(),IF(SUMPRODUCT((Inputs!$A$5:$A$140=$B61)*ISNUMBER(INDEX(Inputs!$K$5:$AJ$140,0,MATCH(AH$2,Inputs!$K$4:$AJ$4,0))))+SUMPRODUCT((Inputs!$C$5:$C$140=$B61)*ISNUMBER(INDEX(Inputs!$K$5:$AJ$140,0,MATCH(AH$2,Inputs!$K$4:$AJ$4,0))))+SUMPRODUCT((Inputs!$E$5:$E$140=$B61)*ISNUMBER(INDEX(Inputs!$K$5:$AJ$140,0,MATCH(AH$2,Inputs!$K$4:$AJ$4,0))))=0,NA(),SUMPRODUCT((Inputs!$A$5:$A$140=$B61)*Inputs!$B$5:$B$140*(((Inputs!$G$5:$G$140="moeda")+(Inputs!$G$5:$G$140="acoes"))*Inputs!$B$1+((Inputs!$G$5:$G$140&lt;&gt;"moeda")*(Inputs!$G$5:$G$140&lt;&gt;"acoes")))*INDEX(Inputs!$K$5:$AJ$140,0,MATCH(AH$2,Inputs!$K$4:$AJ$4,0)))+SUMPRODUCT((Inputs!$C$5:$C$140=$B61)*Inputs!$D$5:$D$140*(((Inputs!$G$5:$G$140="moeda")+(Inputs!$G$5:$G$140="acoes"))*Inputs!$B$1+((Inputs!$G$5:$G$140&lt;&gt;"moeda")*(Inputs!$G$5:$G$140&lt;&gt;"acoes")))*INDEX(Inputs!$K$5:$AJ$140,0,MATCH(AH$2,Inputs!$K$4:$AJ$4,0)))+SUMPRODUCT((Inputs!$E$5:$E$140=$B61)*Inputs!$F$5:$F$140*(((Inputs!$G$5:$G$140="moeda")+(Inputs!$G$5:$G$140="acoes"))*Inputs!$B$1+((Inputs!$G$5:$G$140&lt;&gt;"moeda")*(Inputs!$G$5:$G$140&lt;&gt;"acoes")))*INDEX(Inputs!$K$5:$AJ$140,0,MATCH(AH$2,Inputs!$K$4:$AJ$4,0)))))</f>
        <v>138</v>
      </c>
      <c r="AI61" s="263">
        <f>IF(ISNA(MATCH(AI$2,Inputs!$K$4:$AJ$4,0)),NA(),IF(SUMPRODUCT((Inputs!$A$5:$A$140=$B61)*ISNUMBER(INDEX(Inputs!$K$5:$AJ$140,0,MATCH(AI$2,Inputs!$K$4:$AJ$4,0))))+SUMPRODUCT((Inputs!$C$5:$C$140=$B61)*ISNUMBER(INDEX(Inputs!$K$5:$AJ$140,0,MATCH(AI$2,Inputs!$K$4:$AJ$4,0))))+SUMPRODUCT((Inputs!$E$5:$E$140=$B61)*ISNUMBER(INDEX(Inputs!$K$5:$AJ$140,0,MATCH(AI$2,Inputs!$K$4:$AJ$4,0))))=0,NA(),SUMPRODUCT((Inputs!$A$5:$A$140=$B61)*Inputs!$B$5:$B$140*(((Inputs!$G$5:$G$140="moeda")+(Inputs!$G$5:$G$140="acoes"))*Inputs!$B$1+((Inputs!$G$5:$G$140&lt;&gt;"moeda")*(Inputs!$G$5:$G$140&lt;&gt;"acoes")))*INDEX(Inputs!$K$5:$AJ$140,0,MATCH(AI$2,Inputs!$K$4:$AJ$4,0)))+SUMPRODUCT((Inputs!$C$5:$C$140=$B61)*Inputs!$D$5:$D$140*(((Inputs!$G$5:$G$140="moeda")+(Inputs!$G$5:$G$140="acoes"))*Inputs!$B$1+((Inputs!$G$5:$G$140&lt;&gt;"moeda")*(Inputs!$G$5:$G$140&lt;&gt;"acoes")))*INDEX(Inputs!$K$5:$AJ$140,0,MATCH(AI$2,Inputs!$K$4:$AJ$4,0)))+SUMPRODUCT((Inputs!$E$5:$E$140=$B61)*Inputs!$F$5:$F$140*(((Inputs!$G$5:$G$140="moeda")+(Inputs!$G$5:$G$140="acoes"))*Inputs!$B$1+((Inputs!$G$5:$G$140&lt;&gt;"moeda")*(Inputs!$G$5:$G$140&lt;&gt;"acoes")))*INDEX(Inputs!$K$5:$AJ$140,0,MATCH(AI$2,Inputs!$K$4:$AJ$4,0)))))</f>
        <v>146</v>
      </c>
      <c r="AJ61" s="263">
        <f>IF(ISNA(MATCH(AJ$2,Inputs!$K$4:$AJ$4,0)),NA(),IF(SUMPRODUCT((Inputs!$A$5:$A$140=$B61)*ISNUMBER(INDEX(Inputs!$K$5:$AJ$140,0,MATCH(AJ$2,Inputs!$K$4:$AJ$4,0))))+SUMPRODUCT((Inputs!$C$5:$C$140=$B61)*ISNUMBER(INDEX(Inputs!$K$5:$AJ$140,0,MATCH(AJ$2,Inputs!$K$4:$AJ$4,0))))+SUMPRODUCT((Inputs!$E$5:$E$140=$B61)*ISNUMBER(INDEX(Inputs!$K$5:$AJ$140,0,MATCH(AJ$2,Inputs!$K$4:$AJ$4,0))))=0,NA(),SUMPRODUCT((Inputs!$A$5:$A$140=$B61)*Inputs!$B$5:$B$140*(((Inputs!$G$5:$G$140="moeda")+(Inputs!$G$5:$G$140="acoes"))*Inputs!$B$1+((Inputs!$G$5:$G$140&lt;&gt;"moeda")*(Inputs!$G$5:$G$140&lt;&gt;"acoes")))*INDEX(Inputs!$K$5:$AJ$140,0,MATCH(AJ$2,Inputs!$K$4:$AJ$4,0)))+SUMPRODUCT((Inputs!$C$5:$C$140=$B61)*Inputs!$D$5:$D$140*(((Inputs!$G$5:$G$140="moeda")+(Inputs!$G$5:$G$140="acoes"))*Inputs!$B$1+((Inputs!$G$5:$G$140&lt;&gt;"moeda")*(Inputs!$G$5:$G$140&lt;&gt;"acoes")))*INDEX(Inputs!$K$5:$AJ$140,0,MATCH(AJ$2,Inputs!$K$4:$AJ$4,0)))+SUMPRODUCT((Inputs!$E$5:$E$140=$B61)*Inputs!$F$5:$F$140*(((Inputs!$G$5:$G$140="moeda")+(Inputs!$G$5:$G$140="acoes"))*Inputs!$B$1+((Inputs!$G$5:$G$140&lt;&gt;"moeda")*(Inputs!$G$5:$G$140&lt;&gt;"acoes")))*INDEX(Inputs!$K$5:$AJ$140,0,MATCH(AJ$2,Inputs!$K$4:$AJ$4,0)))))</f>
        <v>194</v>
      </c>
      <c r="AK61" s="263">
        <f>IF(ISNA(MATCH(AK$2,Inputs!$K$4:$AJ$4,0)),NA(),IF(SUMPRODUCT((Inputs!$A$5:$A$140=$B61)*ISNUMBER(INDEX(Inputs!$K$5:$AJ$140,0,MATCH(AK$2,Inputs!$K$4:$AJ$4,0))))+SUMPRODUCT((Inputs!$C$5:$C$140=$B61)*ISNUMBER(INDEX(Inputs!$K$5:$AJ$140,0,MATCH(AK$2,Inputs!$K$4:$AJ$4,0))))+SUMPRODUCT((Inputs!$E$5:$E$140=$B61)*ISNUMBER(INDEX(Inputs!$K$5:$AJ$140,0,MATCH(AK$2,Inputs!$K$4:$AJ$4,0))))=0,NA(),SUMPRODUCT((Inputs!$A$5:$A$140=$B61)*Inputs!$B$5:$B$140*(((Inputs!$G$5:$G$140="moeda")+(Inputs!$G$5:$G$140="acoes"))*Inputs!$B$1+((Inputs!$G$5:$G$140&lt;&gt;"moeda")*(Inputs!$G$5:$G$140&lt;&gt;"acoes")))*INDEX(Inputs!$K$5:$AJ$140,0,MATCH(AK$2,Inputs!$K$4:$AJ$4,0)))+SUMPRODUCT((Inputs!$C$5:$C$140=$B61)*Inputs!$D$5:$D$140*(((Inputs!$G$5:$G$140="moeda")+(Inputs!$G$5:$G$140="acoes"))*Inputs!$B$1+((Inputs!$G$5:$G$140&lt;&gt;"moeda")*(Inputs!$G$5:$G$140&lt;&gt;"acoes")))*INDEX(Inputs!$K$5:$AJ$140,0,MATCH(AK$2,Inputs!$K$4:$AJ$4,0)))+SUMPRODUCT((Inputs!$E$5:$E$140=$B61)*Inputs!$F$5:$F$140*(((Inputs!$G$5:$G$140="moeda")+(Inputs!$G$5:$G$140="acoes"))*Inputs!$B$1+((Inputs!$G$5:$G$140&lt;&gt;"moeda")*(Inputs!$G$5:$G$140&lt;&gt;"acoes")))*INDEX(Inputs!$K$5:$AJ$140,0,MATCH(AK$2,Inputs!$K$4:$AJ$4,0)))))</f>
        <v>153</v>
      </c>
      <c r="AL61" s="264">
        <f>SUM(AH61:AK61)</f>
        <v>631</v>
      </c>
    </row>
    <row r="62">
      <c r="B62" s="46" t="n">
        <v>54</v>
      </c>
      <c r="C62" s="29" t="inlineStr">
        <is>
          <t>Receita Edge Computing (USD; plataforma nova do FY27 que reúne o que não é Data Center)</t>
        </is>
      </c>
      <c r="D62" s="263" t="e">
        <f>IF(ISNA(MATCH(D$2,Inputs!$K$4:$AJ$4,0)),NA(),IF(SUMPRODUCT((Inputs!$A$5:$A$140=$B62)*ISNUMBER(INDEX(Inputs!$K$5:$AJ$140,0,MATCH(D$2,Inputs!$K$4:$AJ$4,0))))+SUMPRODUCT((Inputs!$C$5:$C$140=$B62)*ISNUMBER(INDEX(Inputs!$K$5:$AJ$140,0,MATCH(D$2,Inputs!$K$4:$AJ$4,0))))+SUMPRODUCT((Inputs!$E$5:$E$140=$B62)*ISNUMBER(INDEX(Inputs!$K$5:$AJ$140,0,MATCH(D$2,Inputs!$K$4:$AJ$4,0))))=0,NA(),SUMPRODUCT((Inputs!$A$5:$A$140=$B62)*Inputs!$B$5:$B$140*(((Inputs!$G$5:$G$140="moeda")+(Inputs!$G$5:$G$140="acoes"))*Inputs!$B$1+((Inputs!$G$5:$G$140&lt;&gt;"moeda")*(Inputs!$G$5:$G$140&lt;&gt;"acoes")))*INDEX(Inputs!$K$5:$AJ$140,0,MATCH(D$2,Inputs!$K$4:$AJ$4,0)))+SUMPRODUCT((Inputs!$C$5:$C$140=$B62)*Inputs!$D$5:$D$140*(((Inputs!$G$5:$G$140="moeda")+(Inputs!$G$5:$G$140="acoes"))*Inputs!$B$1+((Inputs!$G$5:$G$140&lt;&gt;"moeda")*(Inputs!$G$5:$G$140&lt;&gt;"acoes")))*INDEX(Inputs!$K$5:$AJ$140,0,MATCH(D$2,Inputs!$K$4:$AJ$4,0)))+SUMPRODUCT((Inputs!$E$5:$E$140=$B62)*Inputs!$F$5:$F$140*(((Inputs!$G$5:$G$140="moeda")+(Inputs!$G$5:$G$140="acoes"))*Inputs!$B$1+((Inputs!$G$5:$G$140&lt;&gt;"moeda")*(Inputs!$G$5:$G$140&lt;&gt;"acoes")))*INDEX(Inputs!$K$5:$AJ$140,0,MATCH(D$2,Inputs!$K$4:$AJ$4,0)))))</f>
        <v>#N/A</v>
      </c>
      <c r="E62" s="263" t="e">
        <f>IF(ISNA(MATCH(E$2,Inputs!$K$4:$AJ$4,0)),NA(),IF(SUMPRODUCT((Inputs!$A$5:$A$140=$B62)*ISNUMBER(INDEX(Inputs!$K$5:$AJ$140,0,MATCH(E$2,Inputs!$K$4:$AJ$4,0))))+SUMPRODUCT((Inputs!$C$5:$C$140=$B62)*ISNUMBER(INDEX(Inputs!$K$5:$AJ$140,0,MATCH(E$2,Inputs!$K$4:$AJ$4,0))))+SUMPRODUCT((Inputs!$E$5:$E$140=$B62)*ISNUMBER(INDEX(Inputs!$K$5:$AJ$140,0,MATCH(E$2,Inputs!$K$4:$AJ$4,0))))=0,NA(),SUMPRODUCT((Inputs!$A$5:$A$140=$B62)*Inputs!$B$5:$B$140*(((Inputs!$G$5:$G$140="moeda")+(Inputs!$G$5:$G$140="acoes"))*Inputs!$B$1+((Inputs!$G$5:$G$140&lt;&gt;"moeda")*(Inputs!$G$5:$G$140&lt;&gt;"acoes")))*INDEX(Inputs!$K$5:$AJ$140,0,MATCH(E$2,Inputs!$K$4:$AJ$4,0)))+SUMPRODUCT((Inputs!$C$5:$C$140=$B62)*Inputs!$D$5:$D$140*(((Inputs!$G$5:$G$140="moeda")+(Inputs!$G$5:$G$140="acoes"))*Inputs!$B$1+((Inputs!$G$5:$G$140&lt;&gt;"moeda")*(Inputs!$G$5:$G$140&lt;&gt;"acoes")))*INDEX(Inputs!$K$5:$AJ$140,0,MATCH(E$2,Inputs!$K$4:$AJ$4,0)))+SUMPRODUCT((Inputs!$E$5:$E$140=$B62)*Inputs!$F$5:$F$140*(((Inputs!$G$5:$G$140="moeda")+(Inputs!$G$5:$G$140="acoes"))*Inputs!$B$1+((Inputs!$G$5:$G$140&lt;&gt;"moeda")*(Inputs!$G$5:$G$140&lt;&gt;"acoes")))*INDEX(Inputs!$K$5:$AJ$140,0,MATCH(E$2,Inputs!$K$4:$AJ$4,0)))))</f>
        <v>#N/A</v>
      </c>
      <c r="F62" s="263" t="e">
        <f>IF(ISNA(MATCH(F$2,Inputs!$K$4:$AJ$4,0)),NA(),IF(SUMPRODUCT((Inputs!$A$5:$A$140=$B62)*ISNUMBER(INDEX(Inputs!$K$5:$AJ$140,0,MATCH(F$2,Inputs!$K$4:$AJ$4,0))))+SUMPRODUCT((Inputs!$C$5:$C$140=$B62)*ISNUMBER(INDEX(Inputs!$K$5:$AJ$140,0,MATCH(F$2,Inputs!$K$4:$AJ$4,0))))+SUMPRODUCT((Inputs!$E$5:$E$140=$B62)*ISNUMBER(INDEX(Inputs!$K$5:$AJ$140,0,MATCH(F$2,Inputs!$K$4:$AJ$4,0))))=0,NA(),SUMPRODUCT((Inputs!$A$5:$A$140=$B62)*Inputs!$B$5:$B$140*(((Inputs!$G$5:$G$140="moeda")+(Inputs!$G$5:$G$140="acoes"))*Inputs!$B$1+((Inputs!$G$5:$G$140&lt;&gt;"moeda")*(Inputs!$G$5:$G$140&lt;&gt;"acoes")))*INDEX(Inputs!$K$5:$AJ$140,0,MATCH(F$2,Inputs!$K$4:$AJ$4,0)))+SUMPRODUCT((Inputs!$C$5:$C$140=$B62)*Inputs!$D$5:$D$140*(((Inputs!$G$5:$G$140="moeda")+(Inputs!$G$5:$G$140="acoes"))*Inputs!$B$1+((Inputs!$G$5:$G$140&lt;&gt;"moeda")*(Inputs!$G$5:$G$140&lt;&gt;"acoes")))*INDEX(Inputs!$K$5:$AJ$140,0,MATCH(F$2,Inputs!$K$4:$AJ$4,0)))+SUMPRODUCT((Inputs!$E$5:$E$140=$B62)*Inputs!$F$5:$F$140*(((Inputs!$G$5:$G$140="moeda")+(Inputs!$G$5:$G$140="acoes"))*Inputs!$B$1+((Inputs!$G$5:$G$140&lt;&gt;"moeda")*(Inputs!$G$5:$G$140&lt;&gt;"acoes")))*INDEX(Inputs!$K$5:$AJ$140,0,MATCH(F$2,Inputs!$K$4:$AJ$4,0)))))</f>
        <v>#N/A</v>
      </c>
      <c r="G62" s="263" t="e">
        <f>IF(ISNA(MATCH(G$2,Inputs!$K$4:$AJ$4,0)),NA(),IF(SUMPRODUCT((Inputs!$A$5:$A$140=$B62)*ISNUMBER(INDEX(Inputs!$K$5:$AJ$140,0,MATCH(G$2,Inputs!$K$4:$AJ$4,0))))+SUMPRODUCT((Inputs!$C$5:$C$140=$B62)*ISNUMBER(INDEX(Inputs!$K$5:$AJ$140,0,MATCH(G$2,Inputs!$K$4:$AJ$4,0))))+SUMPRODUCT((Inputs!$E$5:$E$140=$B62)*ISNUMBER(INDEX(Inputs!$K$5:$AJ$140,0,MATCH(G$2,Inputs!$K$4:$AJ$4,0))))=0,NA(),SUMPRODUCT((Inputs!$A$5:$A$140=$B62)*Inputs!$B$5:$B$140*(((Inputs!$G$5:$G$140="moeda")+(Inputs!$G$5:$G$140="acoes"))*Inputs!$B$1+((Inputs!$G$5:$G$140&lt;&gt;"moeda")*(Inputs!$G$5:$G$140&lt;&gt;"acoes")))*INDEX(Inputs!$K$5:$AJ$140,0,MATCH(G$2,Inputs!$K$4:$AJ$4,0)))+SUMPRODUCT((Inputs!$C$5:$C$140=$B62)*Inputs!$D$5:$D$140*(((Inputs!$G$5:$G$140="moeda")+(Inputs!$G$5:$G$140="acoes"))*Inputs!$B$1+((Inputs!$G$5:$G$140&lt;&gt;"moeda")*(Inputs!$G$5:$G$140&lt;&gt;"acoes")))*INDEX(Inputs!$K$5:$AJ$140,0,MATCH(G$2,Inputs!$K$4:$AJ$4,0)))+SUMPRODUCT((Inputs!$E$5:$E$140=$B62)*Inputs!$F$5:$F$140*(((Inputs!$G$5:$G$140="moeda")+(Inputs!$G$5:$G$140="acoes"))*Inputs!$B$1+((Inputs!$G$5:$G$140&lt;&gt;"moeda")*(Inputs!$G$5:$G$140&lt;&gt;"acoes")))*INDEX(Inputs!$K$5:$AJ$140,0,MATCH(G$2,Inputs!$K$4:$AJ$4,0)))))</f>
        <v>#N/A</v>
      </c>
      <c r="H62" s="264" t="e">
        <f>SUM(D62:G62)</f>
        <v>#N/A</v>
      </c>
      <c r="I62" s="263" t="e">
        <f>IF(ISNA(MATCH(I$2,Inputs!$K$4:$AJ$4,0)),NA(),IF(SUMPRODUCT((Inputs!$A$5:$A$140=$B62)*ISNUMBER(INDEX(Inputs!$K$5:$AJ$140,0,MATCH(I$2,Inputs!$K$4:$AJ$4,0))))+SUMPRODUCT((Inputs!$C$5:$C$140=$B62)*ISNUMBER(INDEX(Inputs!$K$5:$AJ$140,0,MATCH(I$2,Inputs!$K$4:$AJ$4,0))))+SUMPRODUCT((Inputs!$E$5:$E$140=$B62)*ISNUMBER(INDEX(Inputs!$K$5:$AJ$140,0,MATCH(I$2,Inputs!$K$4:$AJ$4,0))))=0,NA(),SUMPRODUCT((Inputs!$A$5:$A$140=$B62)*Inputs!$B$5:$B$140*(((Inputs!$G$5:$G$140="moeda")+(Inputs!$G$5:$G$140="acoes"))*Inputs!$B$1+((Inputs!$G$5:$G$140&lt;&gt;"moeda")*(Inputs!$G$5:$G$140&lt;&gt;"acoes")))*INDEX(Inputs!$K$5:$AJ$140,0,MATCH(I$2,Inputs!$K$4:$AJ$4,0)))+SUMPRODUCT((Inputs!$C$5:$C$140=$B62)*Inputs!$D$5:$D$140*(((Inputs!$G$5:$G$140="moeda")+(Inputs!$G$5:$G$140="acoes"))*Inputs!$B$1+((Inputs!$G$5:$G$140&lt;&gt;"moeda")*(Inputs!$G$5:$G$140&lt;&gt;"acoes")))*INDEX(Inputs!$K$5:$AJ$140,0,MATCH(I$2,Inputs!$K$4:$AJ$4,0)))+SUMPRODUCT((Inputs!$E$5:$E$140=$B62)*Inputs!$F$5:$F$140*(((Inputs!$G$5:$G$140="moeda")+(Inputs!$G$5:$G$140="acoes"))*Inputs!$B$1+((Inputs!$G$5:$G$140&lt;&gt;"moeda")*(Inputs!$G$5:$G$140&lt;&gt;"acoes")))*INDEX(Inputs!$K$5:$AJ$140,0,MATCH(I$2,Inputs!$K$4:$AJ$4,0)))))</f>
        <v>#N/A</v>
      </c>
      <c r="J62" s="263" t="e">
        <f>IF(ISNA(MATCH(J$2,Inputs!$K$4:$AJ$4,0)),NA(),IF(SUMPRODUCT((Inputs!$A$5:$A$140=$B62)*ISNUMBER(INDEX(Inputs!$K$5:$AJ$140,0,MATCH(J$2,Inputs!$K$4:$AJ$4,0))))+SUMPRODUCT((Inputs!$C$5:$C$140=$B62)*ISNUMBER(INDEX(Inputs!$K$5:$AJ$140,0,MATCH(J$2,Inputs!$K$4:$AJ$4,0))))+SUMPRODUCT((Inputs!$E$5:$E$140=$B62)*ISNUMBER(INDEX(Inputs!$K$5:$AJ$140,0,MATCH(J$2,Inputs!$K$4:$AJ$4,0))))=0,NA(),SUMPRODUCT((Inputs!$A$5:$A$140=$B62)*Inputs!$B$5:$B$140*(((Inputs!$G$5:$G$140="moeda")+(Inputs!$G$5:$G$140="acoes"))*Inputs!$B$1+((Inputs!$G$5:$G$140&lt;&gt;"moeda")*(Inputs!$G$5:$G$140&lt;&gt;"acoes")))*INDEX(Inputs!$K$5:$AJ$140,0,MATCH(J$2,Inputs!$K$4:$AJ$4,0)))+SUMPRODUCT((Inputs!$C$5:$C$140=$B62)*Inputs!$D$5:$D$140*(((Inputs!$G$5:$G$140="moeda")+(Inputs!$G$5:$G$140="acoes"))*Inputs!$B$1+((Inputs!$G$5:$G$140&lt;&gt;"moeda")*(Inputs!$G$5:$G$140&lt;&gt;"acoes")))*INDEX(Inputs!$K$5:$AJ$140,0,MATCH(J$2,Inputs!$K$4:$AJ$4,0)))+SUMPRODUCT((Inputs!$E$5:$E$140=$B62)*Inputs!$F$5:$F$140*(((Inputs!$G$5:$G$140="moeda")+(Inputs!$G$5:$G$140="acoes"))*Inputs!$B$1+((Inputs!$G$5:$G$140&lt;&gt;"moeda")*(Inputs!$G$5:$G$140&lt;&gt;"acoes")))*INDEX(Inputs!$K$5:$AJ$140,0,MATCH(J$2,Inputs!$K$4:$AJ$4,0)))))</f>
        <v>#N/A</v>
      </c>
      <c r="K62" s="263" t="e">
        <f>IF(ISNA(MATCH(K$2,Inputs!$K$4:$AJ$4,0)),NA(),IF(SUMPRODUCT((Inputs!$A$5:$A$140=$B62)*ISNUMBER(INDEX(Inputs!$K$5:$AJ$140,0,MATCH(K$2,Inputs!$K$4:$AJ$4,0))))+SUMPRODUCT((Inputs!$C$5:$C$140=$B62)*ISNUMBER(INDEX(Inputs!$K$5:$AJ$140,0,MATCH(K$2,Inputs!$K$4:$AJ$4,0))))+SUMPRODUCT((Inputs!$E$5:$E$140=$B62)*ISNUMBER(INDEX(Inputs!$K$5:$AJ$140,0,MATCH(K$2,Inputs!$K$4:$AJ$4,0))))=0,NA(),SUMPRODUCT((Inputs!$A$5:$A$140=$B62)*Inputs!$B$5:$B$140*(((Inputs!$G$5:$G$140="moeda")+(Inputs!$G$5:$G$140="acoes"))*Inputs!$B$1+((Inputs!$G$5:$G$140&lt;&gt;"moeda")*(Inputs!$G$5:$G$140&lt;&gt;"acoes")))*INDEX(Inputs!$K$5:$AJ$140,0,MATCH(K$2,Inputs!$K$4:$AJ$4,0)))+SUMPRODUCT((Inputs!$C$5:$C$140=$B62)*Inputs!$D$5:$D$140*(((Inputs!$G$5:$G$140="moeda")+(Inputs!$G$5:$G$140="acoes"))*Inputs!$B$1+((Inputs!$G$5:$G$140&lt;&gt;"moeda")*(Inputs!$G$5:$G$140&lt;&gt;"acoes")))*INDEX(Inputs!$K$5:$AJ$140,0,MATCH(K$2,Inputs!$K$4:$AJ$4,0)))+SUMPRODUCT((Inputs!$E$5:$E$140=$B62)*Inputs!$F$5:$F$140*(((Inputs!$G$5:$G$140="moeda")+(Inputs!$G$5:$G$140="acoes"))*Inputs!$B$1+((Inputs!$G$5:$G$140&lt;&gt;"moeda")*(Inputs!$G$5:$G$140&lt;&gt;"acoes")))*INDEX(Inputs!$K$5:$AJ$140,0,MATCH(K$2,Inputs!$K$4:$AJ$4,0)))))</f>
        <v>#N/A</v>
      </c>
      <c r="L62" s="263" t="e">
        <f>IF(ISNA(MATCH(L$2,Inputs!$K$4:$AJ$4,0)),NA(),IF(SUMPRODUCT((Inputs!$A$5:$A$140=$B62)*ISNUMBER(INDEX(Inputs!$K$5:$AJ$140,0,MATCH(L$2,Inputs!$K$4:$AJ$4,0))))+SUMPRODUCT((Inputs!$C$5:$C$140=$B62)*ISNUMBER(INDEX(Inputs!$K$5:$AJ$140,0,MATCH(L$2,Inputs!$K$4:$AJ$4,0))))+SUMPRODUCT((Inputs!$E$5:$E$140=$B62)*ISNUMBER(INDEX(Inputs!$K$5:$AJ$140,0,MATCH(L$2,Inputs!$K$4:$AJ$4,0))))=0,NA(),SUMPRODUCT((Inputs!$A$5:$A$140=$B62)*Inputs!$B$5:$B$140*(((Inputs!$G$5:$G$140="moeda")+(Inputs!$G$5:$G$140="acoes"))*Inputs!$B$1+((Inputs!$G$5:$G$140&lt;&gt;"moeda")*(Inputs!$G$5:$G$140&lt;&gt;"acoes")))*INDEX(Inputs!$K$5:$AJ$140,0,MATCH(L$2,Inputs!$K$4:$AJ$4,0)))+SUMPRODUCT((Inputs!$C$5:$C$140=$B62)*Inputs!$D$5:$D$140*(((Inputs!$G$5:$G$140="moeda")+(Inputs!$G$5:$G$140="acoes"))*Inputs!$B$1+((Inputs!$G$5:$G$140&lt;&gt;"moeda")*(Inputs!$G$5:$G$140&lt;&gt;"acoes")))*INDEX(Inputs!$K$5:$AJ$140,0,MATCH(L$2,Inputs!$K$4:$AJ$4,0)))+SUMPRODUCT((Inputs!$E$5:$E$140=$B62)*Inputs!$F$5:$F$140*(((Inputs!$G$5:$G$140="moeda")+(Inputs!$G$5:$G$140="acoes"))*Inputs!$B$1+((Inputs!$G$5:$G$140&lt;&gt;"moeda")*(Inputs!$G$5:$G$140&lt;&gt;"acoes")))*INDEX(Inputs!$K$5:$AJ$140,0,MATCH(L$2,Inputs!$K$4:$AJ$4,0)))))</f>
        <v>#N/A</v>
      </c>
      <c r="M62" s="264" t="e">
        <f>SUM(I62:L62)</f>
        <v>#N/A</v>
      </c>
      <c r="N62" s="263" t="e">
        <f>IF(ISNA(MATCH(N$2,Inputs!$K$4:$AJ$4,0)),NA(),IF(SUMPRODUCT((Inputs!$A$5:$A$140=$B62)*ISNUMBER(INDEX(Inputs!$K$5:$AJ$140,0,MATCH(N$2,Inputs!$K$4:$AJ$4,0))))+SUMPRODUCT((Inputs!$C$5:$C$140=$B62)*ISNUMBER(INDEX(Inputs!$K$5:$AJ$140,0,MATCH(N$2,Inputs!$K$4:$AJ$4,0))))+SUMPRODUCT((Inputs!$E$5:$E$140=$B62)*ISNUMBER(INDEX(Inputs!$K$5:$AJ$140,0,MATCH(N$2,Inputs!$K$4:$AJ$4,0))))=0,NA(),SUMPRODUCT((Inputs!$A$5:$A$140=$B62)*Inputs!$B$5:$B$140*(((Inputs!$G$5:$G$140="moeda")+(Inputs!$G$5:$G$140="acoes"))*Inputs!$B$1+((Inputs!$G$5:$G$140&lt;&gt;"moeda")*(Inputs!$G$5:$G$140&lt;&gt;"acoes")))*INDEX(Inputs!$K$5:$AJ$140,0,MATCH(N$2,Inputs!$K$4:$AJ$4,0)))+SUMPRODUCT((Inputs!$C$5:$C$140=$B62)*Inputs!$D$5:$D$140*(((Inputs!$G$5:$G$140="moeda")+(Inputs!$G$5:$G$140="acoes"))*Inputs!$B$1+((Inputs!$G$5:$G$140&lt;&gt;"moeda")*(Inputs!$G$5:$G$140&lt;&gt;"acoes")))*INDEX(Inputs!$K$5:$AJ$140,0,MATCH(N$2,Inputs!$K$4:$AJ$4,0)))+SUMPRODUCT((Inputs!$E$5:$E$140=$B62)*Inputs!$F$5:$F$140*(((Inputs!$G$5:$G$140="moeda")+(Inputs!$G$5:$G$140="acoes"))*Inputs!$B$1+((Inputs!$G$5:$G$140&lt;&gt;"moeda")*(Inputs!$G$5:$G$140&lt;&gt;"acoes")))*INDEX(Inputs!$K$5:$AJ$140,0,MATCH(N$2,Inputs!$K$4:$AJ$4,0)))))</f>
        <v>#N/A</v>
      </c>
      <c r="O62" s="263" t="e">
        <f>IF(ISNA(MATCH(O$2,Inputs!$K$4:$AJ$4,0)),NA(),IF(SUMPRODUCT((Inputs!$A$5:$A$140=$B62)*ISNUMBER(INDEX(Inputs!$K$5:$AJ$140,0,MATCH(O$2,Inputs!$K$4:$AJ$4,0))))+SUMPRODUCT((Inputs!$C$5:$C$140=$B62)*ISNUMBER(INDEX(Inputs!$K$5:$AJ$140,0,MATCH(O$2,Inputs!$K$4:$AJ$4,0))))+SUMPRODUCT((Inputs!$E$5:$E$140=$B62)*ISNUMBER(INDEX(Inputs!$K$5:$AJ$140,0,MATCH(O$2,Inputs!$K$4:$AJ$4,0))))=0,NA(),SUMPRODUCT((Inputs!$A$5:$A$140=$B62)*Inputs!$B$5:$B$140*(((Inputs!$G$5:$G$140="moeda")+(Inputs!$G$5:$G$140="acoes"))*Inputs!$B$1+((Inputs!$G$5:$G$140&lt;&gt;"moeda")*(Inputs!$G$5:$G$140&lt;&gt;"acoes")))*INDEX(Inputs!$K$5:$AJ$140,0,MATCH(O$2,Inputs!$K$4:$AJ$4,0)))+SUMPRODUCT((Inputs!$C$5:$C$140=$B62)*Inputs!$D$5:$D$140*(((Inputs!$G$5:$G$140="moeda")+(Inputs!$G$5:$G$140="acoes"))*Inputs!$B$1+((Inputs!$G$5:$G$140&lt;&gt;"moeda")*(Inputs!$G$5:$G$140&lt;&gt;"acoes")))*INDEX(Inputs!$K$5:$AJ$140,0,MATCH(O$2,Inputs!$K$4:$AJ$4,0)))+SUMPRODUCT((Inputs!$E$5:$E$140=$B62)*Inputs!$F$5:$F$140*(((Inputs!$G$5:$G$140="moeda")+(Inputs!$G$5:$G$140="acoes"))*Inputs!$B$1+((Inputs!$G$5:$G$140&lt;&gt;"moeda")*(Inputs!$G$5:$G$140&lt;&gt;"acoes")))*INDEX(Inputs!$K$5:$AJ$140,0,MATCH(O$2,Inputs!$K$4:$AJ$4,0)))))</f>
        <v>#N/A</v>
      </c>
      <c r="P62" s="263" t="e">
        <f>IF(ISNA(MATCH(P$2,Inputs!$K$4:$AJ$4,0)),NA(),IF(SUMPRODUCT((Inputs!$A$5:$A$140=$B62)*ISNUMBER(INDEX(Inputs!$K$5:$AJ$140,0,MATCH(P$2,Inputs!$K$4:$AJ$4,0))))+SUMPRODUCT((Inputs!$C$5:$C$140=$B62)*ISNUMBER(INDEX(Inputs!$K$5:$AJ$140,0,MATCH(P$2,Inputs!$K$4:$AJ$4,0))))+SUMPRODUCT((Inputs!$E$5:$E$140=$B62)*ISNUMBER(INDEX(Inputs!$K$5:$AJ$140,0,MATCH(P$2,Inputs!$K$4:$AJ$4,0))))=0,NA(),SUMPRODUCT((Inputs!$A$5:$A$140=$B62)*Inputs!$B$5:$B$140*(((Inputs!$G$5:$G$140="moeda")+(Inputs!$G$5:$G$140="acoes"))*Inputs!$B$1+((Inputs!$G$5:$G$140&lt;&gt;"moeda")*(Inputs!$G$5:$G$140&lt;&gt;"acoes")))*INDEX(Inputs!$K$5:$AJ$140,0,MATCH(P$2,Inputs!$K$4:$AJ$4,0)))+SUMPRODUCT((Inputs!$C$5:$C$140=$B62)*Inputs!$D$5:$D$140*(((Inputs!$G$5:$G$140="moeda")+(Inputs!$G$5:$G$140="acoes"))*Inputs!$B$1+((Inputs!$G$5:$G$140&lt;&gt;"moeda")*(Inputs!$G$5:$G$140&lt;&gt;"acoes")))*INDEX(Inputs!$K$5:$AJ$140,0,MATCH(P$2,Inputs!$K$4:$AJ$4,0)))+SUMPRODUCT((Inputs!$E$5:$E$140=$B62)*Inputs!$F$5:$F$140*(((Inputs!$G$5:$G$140="moeda")+(Inputs!$G$5:$G$140="acoes"))*Inputs!$B$1+((Inputs!$G$5:$G$140&lt;&gt;"moeda")*(Inputs!$G$5:$G$140&lt;&gt;"acoes")))*INDEX(Inputs!$K$5:$AJ$140,0,MATCH(P$2,Inputs!$K$4:$AJ$4,0)))))</f>
        <v>#N/A</v>
      </c>
      <c r="Q62" s="263" t="e">
        <f>IF(ISNA(MATCH(Q$2,Inputs!$K$4:$AJ$4,0)),NA(),IF(SUMPRODUCT((Inputs!$A$5:$A$140=$B62)*ISNUMBER(INDEX(Inputs!$K$5:$AJ$140,0,MATCH(Q$2,Inputs!$K$4:$AJ$4,0))))+SUMPRODUCT((Inputs!$C$5:$C$140=$B62)*ISNUMBER(INDEX(Inputs!$K$5:$AJ$140,0,MATCH(Q$2,Inputs!$K$4:$AJ$4,0))))+SUMPRODUCT((Inputs!$E$5:$E$140=$B62)*ISNUMBER(INDEX(Inputs!$K$5:$AJ$140,0,MATCH(Q$2,Inputs!$K$4:$AJ$4,0))))=0,NA(),SUMPRODUCT((Inputs!$A$5:$A$140=$B62)*Inputs!$B$5:$B$140*(((Inputs!$G$5:$G$140="moeda")+(Inputs!$G$5:$G$140="acoes"))*Inputs!$B$1+((Inputs!$G$5:$G$140&lt;&gt;"moeda")*(Inputs!$G$5:$G$140&lt;&gt;"acoes")))*INDEX(Inputs!$K$5:$AJ$140,0,MATCH(Q$2,Inputs!$K$4:$AJ$4,0)))+SUMPRODUCT((Inputs!$C$5:$C$140=$B62)*Inputs!$D$5:$D$140*(((Inputs!$G$5:$G$140="moeda")+(Inputs!$G$5:$G$140="acoes"))*Inputs!$B$1+((Inputs!$G$5:$G$140&lt;&gt;"moeda")*(Inputs!$G$5:$G$140&lt;&gt;"acoes")))*INDEX(Inputs!$K$5:$AJ$140,0,MATCH(Q$2,Inputs!$K$4:$AJ$4,0)))+SUMPRODUCT((Inputs!$E$5:$E$140=$B62)*Inputs!$F$5:$F$140*(((Inputs!$G$5:$G$140="moeda")+(Inputs!$G$5:$G$140="acoes"))*Inputs!$B$1+((Inputs!$G$5:$G$140&lt;&gt;"moeda")*(Inputs!$G$5:$G$140&lt;&gt;"acoes")))*INDEX(Inputs!$K$5:$AJ$140,0,MATCH(Q$2,Inputs!$K$4:$AJ$4,0)))))</f>
        <v>#N/A</v>
      </c>
      <c r="R62" s="264" t="e">
        <f>SUM(N62:Q62)</f>
        <v>#N/A</v>
      </c>
      <c r="S62" s="263" t="e">
        <f>IF(ISNA(MATCH(S$2,Inputs!$K$4:$AJ$4,0)),NA(),IF(SUMPRODUCT((Inputs!$A$5:$A$140=$B62)*ISNUMBER(INDEX(Inputs!$K$5:$AJ$140,0,MATCH(S$2,Inputs!$K$4:$AJ$4,0))))+SUMPRODUCT((Inputs!$C$5:$C$140=$B62)*ISNUMBER(INDEX(Inputs!$K$5:$AJ$140,0,MATCH(S$2,Inputs!$K$4:$AJ$4,0))))+SUMPRODUCT((Inputs!$E$5:$E$140=$B62)*ISNUMBER(INDEX(Inputs!$K$5:$AJ$140,0,MATCH(S$2,Inputs!$K$4:$AJ$4,0))))=0,NA(),SUMPRODUCT((Inputs!$A$5:$A$140=$B62)*Inputs!$B$5:$B$140*(((Inputs!$G$5:$G$140="moeda")+(Inputs!$G$5:$G$140="acoes"))*Inputs!$B$1+((Inputs!$G$5:$G$140&lt;&gt;"moeda")*(Inputs!$G$5:$G$140&lt;&gt;"acoes")))*INDEX(Inputs!$K$5:$AJ$140,0,MATCH(S$2,Inputs!$K$4:$AJ$4,0)))+SUMPRODUCT((Inputs!$C$5:$C$140=$B62)*Inputs!$D$5:$D$140*(((Inputs!$G$5:$G$140="moeda")+(Inputs!$G$5:$G$140="acoes"))*Inputs!$B$1+((Inputs!$G$5:$G$140&lt;&gt;"moeda")*(Inputs!$G$5:$G$140&lt;&gt;"acoes")))*INDEX(Inputs!$K$5:$AJ$140,0,MATCH(S$2,Inputs!$K$4:$AJ$4,0)))+SUMPRODUCT((Inputs!$E$5:$E$140=$B62)*Inputs!$F$5:$F$140*(((Inputs!$G$5:$G$140="moeda")+(Inputs!$G$5:$G$140="acoes"))*Inputs!$B$1+((Inputs!$G$5:$G$140&lt;&gt;"moeda")*(Inputs!$G$5:$G$140&lt;&gt;"acoes")))*INDEX(Inputs!$K$5:$AJ$140,0,MATCH(S$2,Inputs!$K$4:$AJ$4,0)))))</f>
        <v>#N/A</v>
      </c>
      <c r="T62" s="263" t="e">
        <f>IF(ISNA(MATCH(T$2,Inputs!$K$4:$AJ$4,0)),NA(),IF(SUMPRODUCT((Inputs!$A$5:$A$140=$B62)*ISNUMBER(INDEX(Inputs!$K$5:$AJ$140,0,MATCH(T$2,Inputs!$K$4:$AJ$4,0))))+SUMPRODUCT((Inputs!$C$5:$C$140=$B62)*ISNUMBER(INDEX(Inputs!$K$5:$AJ$140,0,MATCH(T$2,Inputs!$K$4:$AJ$4,0))))+SUMPRODUCT((Inputs!$E$5:$E$140=$B62)*ISNUMBER(INDEX(Inputs!$K$5:$AJ$140,0,MATCH(T$2,Inputs!$K$4:$AJ$4,0))))=0,NA(),SUMPRODUCT((Inputs!$A$5:$A$140=$B62)*Inputs!$B$5:$B$140*(((Inputs!$G$5:$G$140="moeda")+(Inputs!$G$5:$G$140="acoes"))*Inputs!$B$1+((Inputs!$G$5:$G$140&lt;&gt;"moeda")*(Inputs!$G$5:$G$140&lt;&gt;"acoes")))*INDEX(Inputs!$K$5:$AJ$140,0,MATCH(T$2,Inputs!$K$4:$AJ$4,0)))+SUMPRODUCT((Inputs!$C$5:$C$140=$B62)*Inputs!$D$5:$D$140*(((Inputs!$G$5:$G$140="moeda")+(Inputs!$G$5:$G$140="acoes"))*Inputs!$B$1+((Inputs!$G$5:$G$140&lt;&gt;"moeda")*(Inputs!$G$5:$G$140&lt;&gt;"acoes")))*INDEX(Inputs!$K$5:$AJ$140,0,MATCH(T$2,Inputs!$K$4:$AJ$4,0)))+SUMPRODUCT((Inputs!$E$5:$E$140=$B62)*Inputs!$F$5:$F$140*(((Inputs!$G$5:$G$140="moeda")+(Inputs!$G$5:$G$140="acoes"))*Inputs!$B$1+((Inputs!$G$5:$G$140&lt;&gt;"moeda")*(Inputs!$G$5:$G$140&lt;&gt;"acoes")))*INDEX(Inputs!$K$5:$AJ$140,0,MATCH(T$2,Inputs!$K$4:$AJ$4,0)))))</f>
        <v>#N/A</v>
      </c>
      <c r="U62" s="263" t="e">
        <f>IF(ISNA(MATCH(U$2,Inputs!$K$4:$AJ$4,0)),NA(),IF(SUMPRODUCT((Inputs!$A$5:$A$140=$B62)*ISNUMBER(INDEX(Inputs!$K$5:$AJ$140,0,MATCH(U$2,Inputs!$K$4:$AJ$4,0))))+SUMPRODUCT((Inputs!$C$5:$C$140=$B62)*ISNUMBER(INDEX(Inputs!$K$5:$AJ$140,0,MATCH(U$2,Inputs!$K$4:$AJ$4,0))))+SUMPRODUCT((Inputs!$E$5:$E$140=$B62)*ISNUMBER(INDEX(Inputs!$K$5:$AJ$140,0,MATCH(U$2,Inputs!$K$4:$AJ$4,0))))=0,NA(),SUMPRODUCT((Inputs!$A$5:$A$140=$B62)*Inputs!$B$5:$B$140*(((Inputs!$G$5:$G$140="moeda")+(Inputs!$G$5:$G$140="acoes"))*Inputs!$B$1+((Inputs!$G$5:$G$140&lt;&gt;"moeda")*(Inputs!$G$5:$G$140&lt;&gt;"acoes")))*INDEX(Inputs!$K$5:$AJ$140,0,MATCH(U$2,Inputs!$K$4:$AJ$4,0)))+SUMPRODUCT((Inputs!$C$5:$C$140=$B62)*Inputs!$D$5:$D$140*(((Inputs!$G$5:$G$140="moeda")+(Inputs!$G$5:$G$140="acoes"))*Inputs!$B$1+((Inputs!$G$5:$G$140&lt;&gt;"moeda")*(Inputs!$G$5:$G$140&lt;&gt;"acoes")))*INDEX(Inputs!$K$5:$AJ$140,0,MATCH(U$2,Inputs!$K$4:$AJ$4,0)))+SUMPRODUCT((Inputs!$E$5:$E$140=$B62)*Inputs!$F$5:$F$140*(((Inputs!$G$5:$G$140="moeda")+(Inputs!$G$5:$G$140="acoes"))*Inputs!$B$1+((Inputs!$G$5:$G$140&lt;&gt;"moeda")*(Inputs!$G$5:$G$140&lt;&gt;"acoes")))*INDEX(Inputs!$K$5:$AJ$140,0,MATCH(U$2,Inputs!$K$4:$AJ$4,0)))))</f>
        <v>#N/A</v>
      </c>
      <c r="V62" s="263" t="e">
        <f>IF(ISNA(MATCH(V$2,Inputs!$K$4:$AJ$4,0)),NA(),IF(SUMPRODUCT((Inputs!$A$5:$A$140=$B62)*ISNUMBER(INDEX(Inputs!$K$5:$AJ$140,0,MATCH(V$2,Inputs!$K$4:$AJ$4,0))))+SUMPRODUCT((Inputs!$C$5:$C$140=$B62)*ISNUMBER(INDEX(Inputs!$K$5:$AJ$140,0,MATCH(V$2,Inputs!$K$4:$AJ$4,0))))+SUMPRODUCT((Inputs!$E$5:$E$140=$B62)*ISNUMBER(INDEX(Inputs!$K$5:$AJ$140,0,MATCH(V$2,Inputs!$K$4:$AJ$4,0))))=0,NA(),SUMPRODUCT((Inputs!$A$5:$A$140=$B62)*Inputs!$B$5:$B$140*(((Inputs!$G$5:$G$140="moeda")+(Inputs!$G$5:$G$140="acoes"))*Inputs!$B$1+((Inputs!$G$5:$G$140&lt;&gt;"moeda")*(Inputs!$G$5:$G$140&lt;&gt;"acoes")))*INDEX(Inputs!$K$5:$AJ$140,0,MATCH(V$2,Inputs!$K$4:$AJ$4,0)))+SUMPRODUCT((Inputs!$C$5:$C$140=$B62)*Inputs!$D$5:$D$140*(((Inputs!$G$5:$G$140="moeda")+(Inputs!$G$5:$G$140="acoes"))*Inputs!$B$1+((Inputs!$G$5:$G$140&lt;&gt;"moeda")*(Inputs!$G$5:$G$140&lt;&gt;"acoes")))*INDEX(Inputs!$K$5:$AJ$140,0,MATCH(V$2,Inputs!$K$4:$AJ$4,0)))+SUMPRODUCT((Inputs!$E$5:$E$140=$B62)*Inputs!$F$5:$F$140*(((Inputs!$G$5:$G$140="moeda")+(Inputs!$G$5:$G$140="acoes"))*Inputs!$B$1+((Inputs!$G$5:$G$140&lt;&gt;"moeda")*(Inputs!$G$5:$G$140&lt;&gt;"acoes")))*INDEX(Inputs!$K$5:$AJ$140,0,MATCH(V$2,Inputs!$K$4:$AJ$4,0)))))</f>
        <v>#N/A</v>
      </c>
      <c r="W62" s="264" t="e">
        <f>SUM(S62:V62)</f>
        <v>#N/A</v>
      </c>
      <c r="X62" s="263">
        <f>IF(ISNA(MATCH(X$2,Inputs!$K$4:$AJ$4,0)),NA(),IF(SUMPRODUCT((Inputs!$A$5:$A$140=$B62)*ISNUMBER(INDEX(Inputs!$K$5:$AJ$140,0,MATCH(X$2,Inputs!$K$4:$AJ$4,0))))+SUMPRODUCT((Inputs!$C$5:$C$140=$B62)*ISNUMBER(INDEX(Inputs!$K$5:$AJ$140,0,MATCH(X$2,Inputs!$K$4:$AJ$4,0))))+SUMPRODUCT((Inputs!$E$5:$E$140=$B62)*ISNUMBER(INDEX(Inputs!$K$5:$AJ$140,0,MATCH(X$2,Inputs!$K$4:$AJ$4,0))))=0,NA(),SUMPRODUCT((Inputs!$A$5:$A$140=$B62)*Inputs!$B$5:$B$140*(((Inputs!$G$5:$G$140="moeda")+(Inputs!$G$5:$G$140="acoes"))*Inputs!$B$1+((Inputs!$G$5:$G$140&lt;&gt;"moeda")*(Inputs!$G$5:$G$140&lt;&gt;"acoes")))*INDEX(Inputs!$K$5:$AJ$140,0,MATCH(X$2,Inputs!$K$4:$AJ$4,0)))+SUMPRODUCT((Inputs!$C$5:$C$140=$B62)*Inputs!$D$5:$D$140*(((Inputs!$G$5:$G$140="moeda")+(Inputs!$G$5:$G$140="acoes"))*Inputs!$B$1+((Inputs!$G$5:$G$140&lt;&gt;"moeda")*(Inputs!$G$5:$G$140&lt;&gt;"acoes")))*INDEX(Inputs!$K$5:$AJ$140,0,MATCH(X$2,Inputs!$K$4:$AJ$4,0)))+SUMPRODUCT((Inputs!$E$5:$E$140=$B62)*Inputs!$F$5:$F$140*(((Inputs!$G$5:$G$140="moeda")+(Inputs!$G$5:$G$140="acoes"))*Inputs!$B$1+((Inputs!$G$5:$G$140&lt;&gt;"moeda")*(Inputs!$G$5:$G$140&lt;&gt;"acoes")))*INDEX(Inputs!$K$5:$AJ$140,0,MATCH(X$2,Inputs!$K$4:$AJ$4,0)))))</f>
        <v>4950</v>
      </c>
      <c r="Y62" s="263">
        <f>IF(ISNA(MATCH(Y$2,Inputs!$K$4:$AJ$4,0)),NA(),IF(SUMPRODUCT((Inputs!$A$5:$A$140=$B62)*ISNUMBER(INDEX(Inputs!$K$5:$AJ$140,0,MATCH(Y$2,Inputs!$K$4:$AJ$4,0))))+SUMPRODUCT((Inputs!$C$5:$C$140=$B62)*ISNUMBER(INDEX(Inputs!$K$5:$AJ$140,0,MATCH(Y$2,Inputs!$K$4:$AJ$4,0))))+SUMPRODUCT((Inputs!$E$5:$E$140=$B62)*ISNUMBER(INDEX(Inputs!$K$5:$AJ$140,0,MATCH(Y$2,Inputs!$K$4:$AJ$4,0))))=0,NA(),SUMPRODUCT((Inputs!$A$5:$A$140=$B62)*Inputs!$B$5:$B$140*(((Inputs!$G$5:$G$140="moeda")+(Inputs!$G$5:$G$140="acoes"))*Inputs!$B$1+((Inputs!$G$5:$G$140&lt;&gt;"moeda")*(Inputs!$G$5:$G$140&lt;&gt;"acoes")))*INDEX(Inputs!$K$5:$AJ$140,0,MATCH(Y$2,Inputs!$K$4:$AJ$4,0)))+SUMPRODUCT((Inputs!$C$5:$C$140=$B62)*Inputs!$D$5:$D$140*(((Inputs!$G$5:$G$140="moeda")+(Inputs!$G$5:$G$140="acoes"))*Inputs!$B$1+((Inputs!$G$5:$G$140&lt;&gt;"moeda")*(Inputs!$G$5:$G$140&lt;&gt;"acoes")))*INDEX(Inputs!$K$5:$AJ$140,0,MATCH(Y$2,Inputs!$K$4:$AJ$4,0)))+SUMPRODUCT((Inputs!$E$5:$E$140=$B62)*Inputs!$F$5:$F$140*(((Inputs!$G$5:$G$140="moeda")+(Inputs!$G$5:$G$140="acoes"))*Inputs!$B$1+((Inputs!$G$5:$G$140&lt;&gt;"moeda")*(Inputs!$G$5:$G$140&lt;&gt;"acoes")))*INDEX(Inputs!$K$5:$AJ$140,0,MATCH(Y$2,Inputs!$K$4:$AJ$4,0)))))</f>
        <v>5647</v>
      </c>
      <c r="Z62" s="263" t="e">
        <f>IF(ISNA(MATCH(Z$2,Inputs!$K$4:$AJ$4,0)),NA(),IF(SUMPRODUCT((Inputs!$A$5:$A$140=$B62)*ISNUMBER(INDEX(Inputs!$K$5:$AJ$140,0,MATCH(Z$2,Inputs!$K$4:$AJ$4,0))))+SUMPRODUCT((Inputs!$C$5:$C$140=$B62)*ISNUMBER(INDEX(Inputs!$K$5:$AJ$140,0,MATCH(Z$2,Inputs!$K$4:$AJ$4,0))))+SUMPRODUCT((Inputs!$E$5:$E$140=$B62)*ISNUMBER(INDEX(Inputs!$K$5:$AJ$140,0,MATCH(Z$2,Inputs!$K$4:$AJ$4,0))))=0,NA(),SUMPRODUCT((Inputs!$A$5:$A$140=$B62)*Inputs!$B$5:$B$140*(((Inputs!$G$5:$G$140="moeda")+(Inputs!$G$5:$G$140="acoes"))*Inputs!$B$1+((Inputs!$G$5:$G$140&lt;&gt;"moeda")*(Inputs!$G$5:$G$140&lt;&gt;"acoes")))*INDEX(Inputs!$K$5:$AJ$140,0,MATCH(Z$2,Inputs!$K$4:$AJ$4,0)))+SUMPRODUCT((Inputs!$C$5:$C$140=$B62)*Inputs!$D$5:$D$140*(((Inputs!$G$5:$G$140="moeda")+(Inputs!$G$5:$G$140="acoes"))*Inputs!$B$1+((Inputs!$G$5:$G$140&lt;&gt;"moeda")*(Inputs!$G$5:$G$140&lt;&gt;"acoes")))*INDEX(Inputs!$K$5:$AJ$140,0,MATCH(Z$2,Inputs!$K$4:$AJ$4,0)))+SUMPRODUCT((Inputs!$E$5:$E$140=$B62)*Inputs!$F$5:$F$140*(((Inputs!$G$5:$G$140="moeda")+(Inputs!$G$5:$G$140="acoes"))*Inputs!$B$1+((Inputs!$G$5:$G$140&lt;&gt;"moeda")*(Inputs!$G$5:$G$140&lt;&gt;"acoes")))*INDEX(Inputs!$K$5:$AJ$140,0,MATCH(Z$2,Inputs!$K$4:$AJ$4,0)))))</f>
        <v>#N/A</v>
      </c>
      <c r="AA62" s="263" t="e">
        <f>IF(ISNA(MATCH(AA$2,Inputs!$K$4:$AJ$4,0)),NA(),IF(SUMPRODUCT((Inputs!$A$5:$A$140=$B62)*ISNUMBER(INDEX(Inputs!$K$5:$AJ$140,0,MATCH(AA$2,Inputs!$K$4:$AJ$4,0))))+SUMPRODUCT((Inputs!$C$5:$C$140=$B62)*ISNUMBER(INDEX(Inputs!$K$5:$AJ$140,0,MATCH(AA$2,Inputs!$K$4:$AJ$4,0))))+SUMPRODUCT((Inputs!$E$5:$E$140=$B62)*ISNUMBER(INDEX(Inputs!$K$5:$AJ$140,0,MATCH(AA$2,Inputs!$K$4:$AJ$4,0))))=0,NA(),SUMPRODUCT((Inputs!$A$5:$A$140=$B62)*Inputs!$B$5:$B$140*(((Inputs!$G$5:$G$140="moeda")+(Inputs!$G$5:$G$140="acoes"))*Inputs!$B$1+((Inputs!$G$5:$G$140&lt;&gt;"moeda")*(Inputs!$G$5:$G$140&lt;&gt;"acoes")))*INDEX(Inputs!$K$5:$AJ$140,0,MATCH(AA$2,Inputs!$K$4:$AJ$4,0)))+SUMPRODUCT((Inputs!$C$5:$C$140=$B62)*Inputs!$D$5:$D$140*(((Inputs!$G$5:$G$140="moeda")+(Inputs!$G$5:$G$140="acoes"))*Inputs!$B$1+((Inputs!$G$5:$G$140&lt;&gt;"moeda")*(Inputs!$G$5:$G$140&lt;&gt;"acoes")))*INDEX(Inputs!$K$5:$AJ$140,0,MATCH(AA$2,Inputs!$K$4:$AJ$4,0)))+SUMPRODUCT((Inputs!$E$5:$E$140=$B62)*Inputs!$F$5:$F$140*(((Inputs!$G$5:$G$140="moeda")+(Inputs!$G$5:$G$140="acoes"))*Inputs!$B$1+((Inputs!$G$5:$G$140&lt;&gt;"moeda")*(Inputs!$G$5:$G$140&lt;&gt;"acoes")))*INDEX(Inputs!$K$5:$AJ$140,0,MATCH(AA$2,Inputs!$K$4:$AJ$4,0)))))</f>
        <v>#N/A</v>
      </c>
      <c r="AB62" s="264" t="e">
        <f>SUM(X62:AA62)</f>
        <v>#N/A</v>
      </c>
      <c r="AC62" s="263">
        <f>IF(ISNA(MATCH(AC$2,Inputs!$K$4:$AJ$4,0)),NA(),IF(SUMPRODUCT((Inputs!$A$5:$A$140=$B62)*ISNUMBER(INDEX(Inputs!$K$5:$AJ$140,0,MATCH(AC$2,Inputs!$K$4:$AJ$4,0))))+SUMPRODUCT((Inputs!$C$5:$C$140=$B62)*ISNUMBER(INDEX(Inputs!$K$5:$AJ$140,0,MATCH(AC$2,Inputs!$K$4:$AJ$4,0))))+SUMPRODUCT((Inputs!$E$5:$E$140=$B62)*ISNUMBER(INDEX(Inputs!$K$5:$AJ$140,0,MATCH(AC$2,Inputs!$K$4:$AJ$4,0))))=0,NA(),SUMPRODUCT((Inputs!$A$5:$A$140=$B62)*Inputs!$B$5:$B$140*(((Inputs!$G$5:$G$140="moeda")+(Inputs!$G$5:$G$140="acoes"))*Inputs!$B$1+((Inputs!$G$5:$G$140&lt;&gt;"moeda")*(Inputs!$G$5:$G$140&lt;&gt;"acoes")))*INDEX(Inputs!$K$5:$AJ$140,0,MATCH(AC$2,Inputs!$K$4:$AJ$4,0)))+SUMPRODUCT((Inputs!$C$5:$C$140=$B62)*Inputs!$D$5:$D$140*(((Inputs!$G$5:$G$140="moeda")+(Inputs!$G$5:$G$140="acoes"))*Inputs!$B$1+((Inputs!$G$5:$G$140&lt;&gt;"moeda")*(Inputs!$G$5:$G$140&lt;&gt;"acoes")))*INDEX(Inputs!$K$5:$AJ$140,0,MATCH(AC$2,Inputs!$K$4:$AJ$4,0)))+SUMPRODUCT((Inputs!$E$5:$E$140=$B62)*Inputs!$F$5:$F$140*(((Inputs!$G$5:$G$140="moeda")+(Inputs!$G$5:$G$140="acoes"))*Inputs!$B$1+((Inputs!$G$5:$G$140&lt;&gt;"moeda")*(Inputs!$G$5:$G$140&lt;&gt;"acoes")))*INDEX(Inputs!$K$5:$AJ$140,0,MATCH(AC$2,Inputs!$K$4:$AJ$4,0)))))</f>
        <v>6369</v>
      </c>
      <c r="AD62" s="263">
        <f>IF(ISNA(MATCH(AD$2,Inputs!$K$4:$AJ$4,0)),NA(),IF(SUMPRODUCT((Inputs!$A$5:$A$140=$B62)*ISNUMBER(INDEX(Inputs!$K$5:$AJ$140,0,MATCH(AD$2,Inputs!$K$4:$AJ$4,0))))+SUMPRODUCT((Inputs!$C$5:$C$140=$B62)*ISNUMBER(INDEX(Inputs!$K$5:$AJ$140,0,MATCH(AD$2,Inputs!$K$4:$AJ$4,0))))+SUMPRODUCT((Inputs!$E$5:$E$140=$B62)*ISNUMBER(INDEX(Inputs!$K$5:$AJ$140,0,MATCH(AD$2,Inputs!$K$4:$AJ$4,0))))=0,NA(),SUMPRODUCT((Inputs!$A$5:$A$140=$B62)*Inputs!$B$5:$B$140*(((Inputs!$G$5:$G$140="moeda")+(Inputs!$G$5:$G$140="acoes"))*Inputs!$B$1+((Inputs!$G$5:$G$140&lt;&gt;"moeda")*(Inputs!$G$5:$G$140&lt;&gt;"acoes")))*INDEX(Inputs!$K$5:$AJ$140,0,MATCH(AD$2,Inputs!$K$4:$AJ$4,0)))+SUMPRODUCT((Inputs!$C$5:$C$140=$B62)*Inputs!$D$5:$D$140*(((Inputs!$G$5:$G$140="moeda")+(Inputs!$G$5:$G$140="acoes"))*Inputs!$B$1+((Inputs!$G$5:$G$140&lt;&gt;"moeda")*(Inputs!$G$5:$G$140&lt;&gt;"acoes")))*INDEX(Inputs!$K$5:$AJ$140,0,MATCH(AD$2,Inputs!$K$4:$AJ$4,0)))+SUMPRODUCT((Inputs!$E$5:$E$140=$B62)*Inputs!$F$5:$F$140*(((Inputs!$G$5:$G$140="moeda")+(Inputs!$G$5:$G$140="acoes"))*Inputs!$B$1+((Inputs!$G$5:$G$140&lt;&gt;"moeda")*(Inputs!$G$5:$G$140&lt;&gt;"acoes")))*INDEX(Inputs!$K$5:$AJ$140,0,MATCH(AD$2,Inputs!$K$4:$AJ$4,0)))))</f>
        <v>7198</v>
      </c>
      <c r="AE62" s="263" t="e">
        <f>IF(ISNA(MATCH(AE$2,Inputs!$K$4:$AJ$4,0)),NA(),IF(SUMPRODUCT((Inputs!$A$5:$A$140=$B62)*ISNUMBER(INDEX(Inputs!$K$5:$AJ$140,0,MATCH(AE$2,Inputs!$K$4:$AJ$4,0))))+SUMPRODUCT((Inputs!$C$5:$C$140=$B62)*ISNUMBER(INDEX(Inputs!$K$5:$AJ$140,0,MATCH(AE$2,Inputs!$K$4:$AJ$4,0))))+SUMPRODUCT((Inputs!$E$5:$E$140=$B62)*ISNUMBER(INDEX(Inputs!$K$5:$AJ$140,0,MATCH(AE$2,Inputs!$K$4:$AJ$4,0))))=0,NA(),SUMPRODUCT((Inputs!$A$5:$A$140=$B62)*Inputs!$B$5:$B$140*(((Inputs!$G$5:$G$140="moeda")+(Inputs!$G$5:$G$140="acoes"))*Inputs!$B$1+((Inputs!$G$5:$G$140&lt;&gt;"moeda")*(Inputs!$G$5:$G$140&lt;&gt;"acoes")))*INDEX(Inputs!$K$5:$AJ$140,0,MATCH(AE$2,Inputs!$K$4:$AJ$4,0)))+SUMPRODUCT((Inputs!$C$5:$C$140=$B62)*Inputs!$D$5:$D$140*(((Inputs!$G$5:$G$140="moeda")+(Inputs!$G$5:$G$140="acoes"))*Inputs!$B$1+((Inputs!$G$5:$G$140&lt;&gt;"moeda")*(Inputs!$G$5:$G$140&lt;&gt;"acoes")))*INDEX(Inputs!$K$5:$AJ$140,0,MATCH(AE$2,Inputs!$K$4:$AJ$4,0)))+SUMPRODUCT((Inputs!$E$5:$E$140=$B62)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62" s="263" t="e">
        <f>IF(ISNA(MATCH(AF$2,Inputs!$K$4:$AJ$4,0)),NA(),IF(SUMPRODUCT((Inputs!$A$5:$A$140=$B62)*ISNUMBER(INDEX(Inputs!$K$5:$AJ$140,0,MATCH(AF$2,Inputs!$K$4:$AJ$4,0))))+SUMPRODUCT((Inputs!$C$5:$C$140=$B62)*ISNUMBER(INDEX(Inputs!$K$5:$AJ$140,0,MATCH(AF$2,Inputs!$K$4:$AJ$4,0))))+SUMPRODUCT((Inputs!$E$5:$E$140=$B62)*ISNUMBER(INDEX(Inputs!$K$5:$AJ$140,0,MATCH(AF$2,Inputs!$K$4:$AJ$4,0))))=0,NA(),SUMPRODUCT((Inputs!$A$5:$A$140=$B62)*Inputs!$B$5:$B$140*(((Inputs!$G$5:$G$140="moeda")+(Inputs!$G$5:$G$140="acoes"))*Inputs!$B$1+((Inputs!$G$5:$G$140&lt;&gt;"moeda")*(Inputs!$G$5:$G$140&lt;&gt;"acoes")))*INDEX(Inputs!$K$5:$AJ$140,0,MATCH(AF$2,Inputs!$K$4:$AJ$4,0)))+SUMPRODUCT((Inputs!$C$5:$C$140=$B62)*Inputs!$D$5:$D$140*(((Inputs!$G$5:$G$140="moeda")+(Inputs!$G$5:$G$140="acoes"))*Inputs!$B$1+((Inputs!$G$5:$G$140&lt;&gt;"moeda")*(Inputs!$G$5:$G$140&lt;&gt;"acoes")))*INDEX(Inputs!$K$5:$AJ$140,0,MATCH(AF$2,Inputs!$K$4:$AJ$4,0)))+SUMPRODUCT((Inputs!$E$5:$E$140=$B62)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62" s="264" t="e">
        <f>SUM(AC62:AF62)</f>
        <v>#N/A</v>
      </c>
      <c r="AH62" s="263" t="e">
        <f>IF(ISNA(MATCH(AH$2,Inputs!$K$4:$AJ$4,0)),NA(),IF(SUMPRODUCT((Inputs!$A$5:$A$140=$B62)*ISNUMBER(INDEX(Inputs!$K$5:$AJ$140,0,MATCH(AH$2,Inputs!$K$4:$AJ$4,0))))+SUMPRODUCT((Inputs!$C$5:$C$140=$B62)*ISNUMBER(INDEX(Inputs!$K$5:$AJ$140,0,MATCH(AH$2,Inputs!$K$4:$AJ$4,0))))+SUMPRODUCT((Inputs!$E$5:$E$140=$B62)*ISNUMBER(INDEX(Inputs!$K$5:$AJ$140,0,MATCH(AH$2,Inputs!$K$4:$AJ$4,0))))=0,NA(),SUMPRODUCT((Inputs!$A$5:$A$140=$B62)*Inputs!$B$5:$B$140*(((Inputs!$G$5:$G$140="moeda")+(Inputs!$G$5:$G$140="acoes"))*Inputs!$B$1+((Inputs!$G$5:$G$140&lt;&gt;"moeda")*(Inputs!$G$5:$G$140&lt;&gt;"acoes")))*INDEX(Inputs!$K$5:$AJ$140,0,MATCH(AH$2,Inputs!$K$4:$AJ$4,0)))+SUMPRODUCT((Inputs!$C$5:$C$140=$B62)*Inputs!$D$5:$D$140*(((Inputs!$G$5:$G$140="moeda")+(Inputs!$G$5:$G$140="acoes"))*Inputs!$B$1+((Inputs!$G$5:$G$140&lt;&gt;"moeda")*(Inputs!$G$5:$G$140&lt;&gt;"acoes")))*INDEX(Inputs!$K$5:$AJ$140,0,MATCH(AH$2,Inputs!$K$4:$AJ$4,0)))+SUMPRODUCT((Inputs!$E$5:$E$140=$B62)*Inputs!$F$5:$F$140*(((Inputs!$G$5:$G$140="moeda")+(Inputs!$G$5:$G$140="acoes"))*Inputs!$B$1+((Inputs!$G$5:$G$140&lt;&gt;"moeda")*(Inputs!$G$5:$G$140&lt;&gt;"acoes")))*INDEX(Inputs!$K$5:$AJ$140,0,MATCH(AH$2,Inputs!$K$4:$AJ$4,0)))))</f>
        <v>#N/A</v>
      </c>
      <c r="AI62" s="263" t="e">
        <f>IF(ISNA(MATCH(AI$2,Inputs!$K$4:$AJ$4,0)),NA(),IF(SUMPRODUCT((Inputs!$A$5:$A$140=$B62)*ISNUMBER(INDEX(Inputs!$K$5:$AJ$140,0,MATCH(AI$2,Inputs!$K$4:$AJ$4,0))))+SUMPRODUCT((Inputs!$C$5:$C$140=$B62)*ISNUMBER(INDEX(Inputs!$K$5:$AJ$140,0,MATCH(AI$2,Inputs!$K$4:$AJ$4,0))))+SUMPRODUCT((Inputs!$E$5:$E$140=$B62)*ISNUMBER(INDEX(Inputs!$K$5:$AJ$140,0,MATCH(AI$2,Inputs!$K$4:$AJ$4,0))))=0,NA(),SUMPRODUCT((Inputs!$A$5:$A$140=$B62)*Inputs!$B$5:$B$140*(((Inputs!$G$5:$G$140="moeda")+(Inputs!$G$5:$G$140="acoes"))*Inputs!$B$1+((Inputs!$G$5:$G$140&lt;&gt;"moeda")*(Inputs!$G$5:$G$140&lt;&gt;"acoes")))*INDEX(Inputs!$K$5:$AJ$140,0,MATCH(AI$2,Inputs!$K$4:$AJ$4,0)))+SUMPRODUCT((Inputs!$C$5:$C$140=$B62)*Inputs!$D$5:$D$140*(((Inputs!$G$5:$G$140="moeda")+(Inputs!$G$5:$G$140="acoes"))*Inputs!$B$1+((Inputs!$G$5:$G$140&lt;&gt;"moeda")*(Inputs!$G$5:$G$140&lt;&gt;"acoes")))*INDEX(Inputs!$K$5:$AJ$140,0,MATCH(AI$2,Inputs!$K$4:$AJ$4,0)))+SUMPRODUCT((Inputs!$E$5:$E$140=$B62)*Inputs!$F$5:$F$140*(((Inputs!$G$5:$G$140="moeda")+(Inputs!$G$5:$G$140="acoes"))*Inputs!$B$1+((Inputs!$G$5:$G$140&lt;&gt;"moeda")*(Inputs!$G$5:$G$140&lt;&gt;"acoes")))*INDEX(Inputs!$K$5:$AJ$140,0,MATCH(AI$2,Inputs!$K$4:$AJ$4,0)))))</f>
        <v>#N/A</v>
      </c>
      <c r="AJ62" s="263" t="e">
        <f>IF(ISNA(MATCH(AJ$2,Inputs!$K$4:$AJ$4,0)),NA(),IF(SUMPRODUCT((Inputs!$A$5:$A$140=$B62)*ISNUMBER(INDEX(Inputs!$K$5:$AJ$140,0,MATCH(AJ$2,Inputs!$K$4:$AJ$4,0))))+SUMPRODUCT((Inputs!$C$5:$C$140=$B62)*ISNUMBER(INDEX(Inputs!$K$5:$AJ$140,0,MATCH(AJ$2,Inputs!$K$4:$AJ$4,0))))+SUMPRODUCT((Inputs!$E$5:$E$140=$B62)*ISNUMBER(INDEX(Inputs!$K$5:$AJ$140,0,MATCH(AJ$2,Inputs!$K$4:$AJ$4,0))))=0,NA(),SUMPRODUCT((Inputs!$A$5:$A$140=$B62)*Inputs!$B$5:$B$140*(((Inputs!$G$5:$G$140="moeda")+(Inputs!$G$5:$G$140="acoes"))*Inputs!$B$1+((Inputs!$G$5:$G$140&lt;&gt;"moeda")*(Inputs!$G$5:$G$140&lt;&gt;"acoes")))*INDEX(Inputs!$K$5:$AJ$140,0,MATCH(AJ$2,Inputs!$K$4:$AJ$4,0)))+SUMPRODUCT((Inputs!$C$5:$C$140=$B62)*Inputs!$D$5:$D$140*(((Inputs!$G$5:$G$140="moeda")+(Inputs!$G$5:$G$140="acoes"))*Inputs!$B$1+((Inputs!$G$5:$G$140&lt;&gt;"moeda")*(Inputs!$G$5:$G$140&lt;&gt;"acoes")))*INDEX(Inputs!$K$5:$AJ$140,0,MATCH(AJ$2,Inputs!$K$4:$AJ$4,0)))+SUMPRODUCT((Inputs!$E$5:$E$140=$B62)*Inputs!$F$5:$F$140*(((Inputs!$G$5:$G$140="moeda")+(Inputs!$G$5:$G$140="acoes"))*Inputs!$B$1+((Inputs!$G$5:$G$140&lt;&gt;"moeda")*(Inputs!$G$5:$G$140&lt;&gt;"acoes")))*INDEX(Inputs!$K$5:$AJ$140,0,MATCH(AJ$2,Inputs!$K$4:$AJ$4,0)))))</f>
        <v>#N/A</v>
      </c>
      <c r="AK62" s="263" t="e">
        <f>IF(ISNA(MATCH(AK$2,Inputs!$K$4:$AJ$4,0)),NA(),IF(SUMPRODUCT((Inputs!$A$5:$A$140=$B62)*ISNUMBER(INDEX(Inputs!$K$5:$AJ$140,0,MATCH(AK$2,Inputs!$K$4:$AJ$4,0))))+SUMPRODUCT((Inputs!$C$5:$C$140=$B62)*ISNUMBER(INDEX(Inputs!$K$5:$AJ$140,0,MATCH(AK$2,Inputs!$K$4:$AJ$4,0))))+SUMPRODUCT((Inputs!$E$5:$E$140=$B62)*ISNUMBER(INDEX(Inputs!$K$5:$AJ$140,0,MATCH(AK$2,Inputs!$K$4:$AJ$4,0))))=0,NA(),SUMPRODUCT((Inputs!$A$5:$A$140=$B62)*Inputs!$B$5:$B$140*(((Inputs!$G$5:$G$140="moeda")+(Inputs!$G$5:$G$140="acoes"))*Inputs!$B$1+((Inputs!$G$5:$G$140&lt;&gt;"moeda")*(Inputs!$G$5:$G$140&lt;&gt;"acoes")))*INDEX(Inputs!$K$5:$AJ$140,0,MATCH(AK$2,Inputs!$K$4:$AJ$4,0)))+SUMPRODUCT((Inputs!$C$5:$C$140=$B62)*Inputs!$D$5:$D$140*(((Inputs!$G$5:$G$140="moeda")+(Inputs!$G$5:$G$140="acoes"))*Inputs!$B$1+((Inputs!$G$5:$G$140&lt;&gt;"moeda")*(Inputs!$G$5:$G$140&lt;&gt;"acoes")))*INDEX(Inputs!$K$5:$AJ$140,0,MATCH(AK$2,Inputs!$K$4:$AJ$4,0)))+SUMPRODUCT((Inputs!$E$5:$E$140=$B62)*Inputs!$F$5:$F$140*(((Inputs!$G$5:$G$140="moeda")+(Inputs!$G$5:$G$140="acoes"))*Inputs!$B$1+((Inputs!$G$5:$G$140&lt;&gt;"moeda")*(Inputs!$G$5:$G$140&lt;&gt;"acoes")))*INDEX(Inputs!$K$5:$AJ$140,0,MATCH(AK$2,Inputs!$K$4:$AJ$4,0)))))</f>
        <v>#N/A</v>
      </c>
      <c r="AL62" s="264" t="e">
        <f>SUM(AH62:AK62)</f>
        <v>#N/A</v>
      </c>
    </row>
    <row r="63">
      <c r="B63" s="46" t="n">
        <v>55</v>
      </c>
      <c r="C63" s="29" t="inlineStr">
        <is>
          <t>Segmento Compute &amp; Networking - receita (USD)</t>
        </is>
      </c>
      <c r="D63" s="263">
        <f>IF(ISNA(MATCH(D$2,Inputs!$K$4:$AJ$4,0)),NA(),IF(SUMPRODUCT((Inputs!$A$5:$A$140=$B63)*ISNUMBER(INDEX(Inputs!$K$5:$AJ$140,0,MATCH(D$2,Inputs!$K$4:$AJ$4,0))))+SUMPRODUCT((Inputs!$C$5:$C$140=$B63)*ISNUMBER(INDEX(Inputs!$K$5:$AJ$140,0,MATCH(D$2,Inputs!$K$4:$AJ$4,0))))+SUMPRODUCT((Inputs!$E$5:$E$140=$B63)*ISNUMBER(INDEX(Inputs!$K$5:$AJ$140,0,MATCH(D$2,Inputs!$K$4:$AJ$4,0))))=0,NA(),SUMPRODUCT((Inputs!$A$5:$A$140=$B63)*Inputs!$B$5:$B$140*(((Inputs!$G$5:$G$140="moeda")+(Inputs!$G$5:$G$140="acoes"))*Inputs!$B$1+((Inputs!$G$5:$G$140&lt;&gt;"moeda")*(Inputs!$G$5:$G$140&lt;&gt;"acoes")))*INDEX(Inputs!$K$5:$AJ$140,0,MATCH(D$2,Inputs!$K$4:$AJ$4,0)))+SUMPRODUCT((Inputs!$C$5:$C$140=$B63)*Inputs!$D$5:$D$140*(((Inputs!$G$5:$G$140="moeda")+(Inputs!$G$5:$G$140="acoes"))*Inputs!$B$1+((Inputs!$G$5:$G$140&lt;&gt;"moeda")*(Inputs!$G$5:$G$140&lt;&gt;"acoes")))*INDEX(Inputs!$K$5:$AJ$140,0,MATCH(D$2,Inputs!$K$4:$AJ$4,0)))+SUMPRODUCT((Inputs!$E$5:$E$140=$B63)*Inputs!$F$5:$F$140*(((Inputs!$G$5:$G$140="moeda")+(Inputs!$G$5:$G$140="acoes"))*Inputs!$B$1+((Inputs!$G$5:$G$140&lt;&gt;"moeda")*(Inputs!$G$5:$G$140&lt;&gt;"acoes")))*INDEX(Inputs!$K$5:$AJ$140,0,MATCH(D$2,Inputs!$K$4:$AJ$4,0)))))</f>
        <v>2210</v>
      </c>
      <c r="E63" s="263">
        <f>IF(ISNA(MATCH(E$2,Inputs!$K$4:$AJ$4,0)),NA(),IF(SUMPRODUCT((Inputs!$A$5:$A$140=$B63)*ISNUMBER(INDEX(Inputs!$K$5:$AJ$140,0,MATCH(E$2,Inputs!$K$4:$AJ$4,0))))+SUMPRODUCT((Inputs!$C$5:$C$140=$B63)*ISNUMBER(INDEX(Inputs!$K$5:$AJ$140,0,MATCH(E$2,Inputs!$K$4:$AJ$4,0))))+SUMPRODUCT((Inputs!$E$5:$E$140=$B63)*ISNUMBER(INDEX(Inputs!$K$5:$AJ$140,0,MATCH(E$2,Inputs!$K$4:$AJ$4,0))))=0,NA(),SUMPRODUCT((Inputs!$A$5:$A$140=$B63)*Inputs!$B$5:$B$140*(((Inputs!$G$5:$G$140="moeda")+(Inputs!$G$5:$G$140="acoes"))*Inputs!$B$1+((Inputs!$G$5:$G$140&lt;&gt;"moeda")*(Inputs!$G$5:$G$140&lt;&gt;"acoes")))*INDEX(Inputs!$K$5:$AJ$140,0,MATCH(E$2,Inputs!$K$4:$AJ$4,0)))+SUMPRODUCT((Inputs!$C$5:$C$140=$B63)*Inputs!$D$5:$D$140*(((Inputs!$G$5:$G$140="moeda")+(Inputs!$G$5:$G$140="acoes"))*Inputs!$B$1+((Inputs!$G$5:$G$140&lt;&gt;"moeda")*(Inputs!$G$5:$G$140&lt;&gt;"acoes")))*INDEX(Inputs!$K$5:$AJ$140,0,MATCH(E$2,Inputs!$K$4:$AJ$4,0)))+SUMPRODUCT((Inputs!$E$5:$E$140=$B63)*Inputs!$F$5:$F$140*(((Inputs!$G$5:$G$140="moeda")+(Inputs!$G$5:$G$140="acoes"))*Inputs!$B$1+((Inputs!$G$5:$G$140&lt;&gt;"moeda")*(Inputs!$G$5:$G$140&lt;&gt;"acoes")))*INDEX(Inputs!$K$5:$AJ$140,0,MATCH(E$2,Inputs!$K$4:$AJ$4,0)))))</f>
        <v>2600</v>
      </c>
      <c r="F63" s="263">
        <f>IF(ISNA(MATCH(F$2,Inputs!$K$4:$AJ$4,0)),NA(),IF(SUMPRODUCT((Inputs!$A$5:$A$140=$B63)*ISNUMBER(INDEX(Inputs!$K$5:$AJ$140,0,MATCH(F$2,Inputs!$K$4:$AJ$4,0))))+SUMPRODUCT((Inputs!$C$5:$C$140=$B63)*ISNUMBER(INDEX(Inputs!$K$5:$AJ$140,0,MATCH(F$2,Inputs!$K$4:$AJ$4,0))))+SUMPRODUCT((Inputs!$E$5:$E$140=$B63)*ISNUMBER(INDEX(Inputs!$K$5:$AJ$140,0,MATCH(F$2,Inputs!$K$4:$AJ$4,0))))=0,NA(),SUMPRODUCT((Inputs!$A$5:$A$140=$B63)*Inputs!$B$5:$B$140*(((Inputs!$G$5:$G$140="moeda")+(Inputs!$G$5:$G$140="acoes"))*Inputs!$B$1+((Inputs!$G$5:$G$140&lt;&gt;"moeda")*(Inputs!$G$5:$G$140&lt;&gt;"acoes")))*INDEX(Inputs!$K$5:$AJ$140,0,MATCH(F$2,Inputs!$K$4:$AJ$4,0)))+SUMPRODUCT((Inputs!$C$5:$C$140=$B63)*Inputs!$D$5:$D$140*(((Inputs!$G$5:$G$140="moeda")+(Inputs!$G$5:$G$140="acoes"))*Inputs!$B$1+((Inputs!$G$5:$G$140&lt;&gt;"moeda")*(Inputs!$G$5:$G$140&lt;&gt;"acoes")))*INDEX(Inputs!$K$5:$AJ$140,0,MATCH(F$2,Inputs!$K$4:$AJ$4,0)))+SUMPRODUCT((Inputs!$E$5:$E$140=$B63)*Inputs!$F$5:$F$140*(((Inputs!$G$5:$G$140="moeda")+(Inputs!$G$5:$G$140="acoes"))*Inputs!$B$1+((Inputs!$G$5:$G$140&lt;&gt;"moeda")*(Inputs!$G$5:$G$140&lt;&gt;"acoes")))*INDEX(Inputs!$K$5:$AJ$140,0,MATCH(F$2,Inputs!$K$4:$AJ$4,0)))))</f>
        <v>3011</v>
      </c>
      <c r="G63" s="263">
        <f>IF(ISNA(MATCH(G$2,Inputs!$K$4:$AJ$4,0)),NA(),IF(SUMPRODUCT((Inputs!$A$5:$A$140=$B63)*ISNUMBER(INDEX(Inputs!$K$5:$AJ$140,0,MATCH(G$2,Inputs!$K$4:$AJ$4,0))))+SUMPRODUCT((Inputs!$C$5:$C$140=$B63)*ISNUMBER(INDEX(Inputs!$K$5:$AJ$140,0,MATCH(G$2,Inputs!$K$4:$AJ$4,0))))+SUMPRODUCT((Inputs!$E$5:$E$140=$B63)*ISNUMBER(INDEX(Inputs!$K$5:$AJ$140,0,MATCH(G$2,Inputs!$K$4:$AJ$4,0))))=0,NA(),SUMPRODUCT((Inputs!$A$5:$A$140=$B63)*Inputs!$B$5:$B$140*(((Inputs!$G$5:$G$140="moeda")+(Inputs!$G$5:$G$140="acoes"))*Inputs!$B$1+((Inputs!$G$5:$G$140&lt;&gt;"moeda")*(Inputs!$G$5:$G$140&lt;&gt;"acoes")))*INDEX(Inputs!$K$5:$AJ$140,0,MATCH(G$2,Inputs!$K$4:$AJ$4,0)))+SUMPRODUCT((Inputs!$C$5:$C$140=$B63)*Inputs!$D$5:$D$140*(((Inputs!$G$5:$G$140="moeda")+(Inputs!$G$5:$G$140="acoes"))*Inputs!$B$1+((Inputs!$G$5:$G$140&lt;&gt;"moeda")*(Inputs!$G$5:$G$140&lt;&gt;"acoes")))*INDEX(Inputs!$K$5:$AJ$140,0,MATCH(G$2,Inputs!$K$4:$AJ$4,0)))+SUMPRODUCT((Inputs!$E$5:$E$140=$B63)*Inputs!$F$5:$F$140*(((Inputs!$G$5:$G$140="moeda")+(Inputs!$G$5:$G$140="acoes"))*Inputs!$B$1+((Inputs!$G$5:$G$140&lt;&gt;"moeda")*(Inputs!$G$5:$G$140&lt;&gt;"acoes")))*INDEX(Inputs!$K$5:$AJ$140,0,MATCH(G$2,Inputs!$K$4:$AJ$4,0)))))</f>
        <v>3225</v>
      </c>
      <c r="H63" s="264">
        <f>SUM(D63:G63)</f>
        <v>11046</v>
      </c>
      <c r="I63" s="263">
        <f>IF(ISNA(MATCH(I$2,Inputs!$K$4:$AJ$4,0)),NA(),IF(SUMPRODUCT((Inputs!$A$5:$A$140=$B63)*ISNUMBER(INDEX(Inputs!$K$5:$AJ$140,0,MATCH(I$2,Inputs!$K$4:$AJ$4,0))))+SUMPRODUCT((Inputs!$C$5:$C$140=$B63)*ISNUMBER(INDEX(Inputs!$K$5:$AJ$140,0,MATCH(I$2,Inputs!$K$4:$AJ$4,0))))+SUMPRODUCT((Inputs!$E$5:$E$140=$B63)*ISNUMBER(INDEX(Inputs!$K$5:$AJ$140,0,MATCH(I$2,Inputs!$K$4:$AJ$4,0))))=0,NA(),SUMPRODUCT((Inputs!$A$5:$A$140=$B63)*Inputs!$B$5:$B$140*(((Inputs!$G$5:$G$140="moeda")+(Inputs!$G$5:$G$140="acoes"))*Inputs!$B$1+((Inputs!$G$5:$G$140&lt;&gt;"moeda")*(Inputs!$G$5:$G$140&lt;&gt;"acoes")))*INDEX(Inputs!$K$5:$AJ$140,0,MATCH(I$2,Inputs!$K$4:$AJ$4,0)))+SUMPRODUCT((Inputs!$C$5:$C$140=$B63)*Inputs!$D$5:$D$140*(((Inputs!$G$5:$G$140="moeda")+(Inputs!$G$5:$G$140="acoes"))*Inputs!$B$1+((Inputs!$G$5:$G$140&lt;&gt;"moeda")*(Inputs!$G$5:$G$140&lt;&gt;"acoes")))*INDEX(Inputs!$K$5:$AJ$140,0,MATCH(I$2,Inputs!$K$4:$AJ$4,0)))+SUMPRODUCT((Inputs!$E$5:$E$140=$B63)*Inputs!$F$5:$F$140*(((Inputs!$G$5:$G$140="moeda")+(Inputs!$G$5:$G$140="acoes"))*Inputs!$B$1+((Inputs!$G$5:$G$140&lt;&gt;"moeda")*(Inputs!$G$5:$G$140&lt;&gt;"acoes")))*INDEX(Inputs!$K$5:$AJ$140,0,MATCH(I$2,Inputs!$K$4:$AJ$4,0)))))</f>
        <v>3672</v>
      </c>
      <c r="J63" s="263">
        <f>IF(ISNA(MATCH(J$2,Inputs!$K$4:$AJ$4,0)),NA(),IF(SUMPRODUCT((Inputs!$A$5:$A$140=$B63)*ISNUMBER(INDEX(Inputs!$K$5:$AJ$140,0,MATCH(J$2,Inputs!$K$4:$AJ$4,0))))+SUMPRODUCT((Inputs!$C$5:$C$140=$B63)*ISNUMBER(INDEX(Inputs!$K$5:$AJ$140,0,MATCH(J$2,Inputs!$K$4:$AJ$4,0))))+SUMPRODUCT((Inputs!$E$5:$E$140=$B63)*ISNUMBER(INDEX(Inputs!$K$5:$AJ$140,0,MATCH(J$2,Inputs!$K$4:$AJ$4,0))))=0,NA(),SUMPRODUCT((Inputs!$A$5:$A$140=$B63)*Inputs!$B$5:$B$140*(((Inputs!$G$5:$G$140="moeda")+(Inputs!$G$5:$G$140="acoes"))*Inputs!$B$1+((Inputs!$G$5:$G$140&lt;&gt;"moeda")*(Inputs!$G$5:$G$140&lt;&gt;"acoes")))*INDEX(Inputs!$K$5:$AJ$140,0,MATCH(J$2,Inputs!$K$4:$AJ$4,0)))+SUMPRODUCT((Inputs!$C$5:$C$140=$B63)*Inputs!$D$5:$D$140*(((Inputs!$G$5:$G$140="moeda")+(Inputs!$G$5:$G$140="acoes"))*Inputs!$B$1+((Inputs!$G$5:$G$140&lt;&gt;"moeda")*(Inputs!$G$5:$G$140&lt;&gt;"acoes")))*INDEX(Inputs!$K$5:$AJ$140,0,MATCH(J$2,Inputs!$K$4:$AJ$4,0)))+SUMPRODUCT((Inputs!$E$5:$E$140=$B63)*Inputs!$F$5:$F$140*(((Inputs!$G$5:$G$140="moeda")+(Inputs!$G$5:$G$140="acoes"))*Inputs!$B$1+((Inputs!$G$5:$G$140&lt;&gt;"moeda")*(Inputs!$G$5:$G$140&lt;&gt;"acoes")))*INDEX(Inputs!$K$5:$AJ$140,0,MATCH(J$2,Inputs!$K$4:$AJ$4,0)))))</f>
        <v>3907</v>
      </c>
      <c r="K63" s="263">
        <f>IF(ISNA(MATCH(K$2,Inputs!$K$4:$AJ$4,0)),NA(),IF(SUMPRODUCT((Inputs!$A$5:$A$140=$B63)*ISNUMBER(INDEX(Inputs!$K$5:$AJ$140,0,MATCH(K$2,Inputs!$K$4:$AJ$4,0))))+SUMPRODUCT((Inputs!$C$5:$C$140=$B63)*ISNUMBER(INDEX(Inputs!$K$5:$AJ$140,0,MATCH(K$2,Inputs!$K$4:$AJ$4,0))))+SUMPRODUCT((Inputs!$E$5:$E$140=$B63)*ISNUMBER(INDEX(Inputs!$K$5:$AJ$140,0,MATCH(K$2,Inputs!$K$4:$AJ$4,0))))=0,NA(),SUMPRODUCT((Inputs!$A$5:$A$140=$B63)*Inputs!$B$5:$B$140*(((Inputs!$G$5:$G$140="moeda")+(Inputs!$G$5:$G$140="acoes"))*Inputs!$B$1+((Inputs!$G$5:$G$140&lt;&gt;"moeda")*(Inputs!$G$5:$G$140&lt;&gt;"acoes")))*INDEX(Inputs!$K$5:$AJ$140,0,MATCH(K$2,Inputs!$K$4:$AJ$4,0)))+SUMPRODUCT((Inputs!$C$5:$C$140=$B63)*Inputs!$D$5:$D$140*(((Inputs!$G$5:$G$140="moeda")+(Inputs!$G$5:$G$140="acoes"))*Inputs!$B$1+((Inputs!$G$5:$G$140&lt;&gt;"moeda")*(Inputs!$G$5:$G$140&lt;&gt;"acoes")))*INDEX(Inputs!$K$5:$AJ$140,0,MATCH(K$2,Inputs!$K$4:$AJ$4,0)))+SUMPRODUCT((Inputs!$E$5:$E$140=$B63)*Inputs!$F$5:$F$140*(((Inputs!$G$5:$G$140="moeda")+(Inputs!$G$5:$G$140="acoes"))*Inputs!$B$1+((Inputs!$G$5:$G$140&lt;&gt;"moeda")*(Inputs!$G$5:$G$140&lt;&gt;"acoes")))*INDEX(Inputs!$K$5:$AJ$140,0,MATCH(K$2,Inputs!$K$4:$AJ$4,0)))))</f>
        <v>3816</v>
      </c>
      <c r="L63" s="263">
        <f>IF(ISNA(MATCH(L$2,Inputs!$K$4:$AJ$4,0)),NA(),IF(SUMPRODUCT((Inputs!$A$5:$A$140=$B63)*ISNUMBER(INDEX(Inputs!$K$5:$AJ$140,0,MATCH(L$2,Inputs!$K$4:$AJ$4,0))))+SUMPRODUCT((Inputs!$C$5:$C$140=$B63)*ISNUMBER(INDEX(Inputs!$K$5:$AJ$140,0,MATCH(L$2,Inputs!$K$4:$AJ$4,0))))+SUMPRODUCT((Inputs!$E$5:$E$140=$B63)*ISNUMBER(INDEX(Inputs!$K$5:$AJ$140,0,MATCH(L$2,Inputs!$K$4:$AJ$4,0))))=0,NA(),SUMPRODUCT((Inputs!$A$5:$A$140=$B63)*Inputs!$B$5:$B$140*(((Inputs!$G$5:$G$140="moeda")+(Inputs!$G$5:$G$140="acoes"))*Inputs!$B$1+((Inputs!$G$5:$G$140&lt;&gt;"moeda")*(Inputs!$G$5:$G$140&lt;&gt;"acoes")))*INDEX(Inputs!$K$5:$AJ$140,0,MATCH(L$2,Inputs!$K$4:$AJ$4,0)))+SUMPRODUCT((Inputs!$C$5:$C$140=$B63)*Inputs!$D$5:$D$140*(((Inputs!$G$5:$G$140="moeda")+(Inputs!$G$5:$G$140="acoes"))*Inputs!$B$1+((Inputs!$G$5:$G$140&lt;&gt;"moeda")*(Inputs!$G$5:$G$140&lt;&gt;"acoes")))*INDEX(Inputs!$K$5:$AJ$140,0,MATCH(L$2,Inputs!$K$4:$AJ$4,0)))+SUMPRODUCT((Inputs!$E$5:$E$140=$B63)*Inputs!$F$5:$F$140*(((Inputs!$G$5:$G$140="moeda")+(Inputs!$G$5:$G$140="acoes"))*Inputs!$B$1+((Inputs!$G$5:$G$140&lt;&gt;"moeda")*(Inputs!$G$5:$G$140&lt;&gt;"acoes")))*INDEX(Inputs!$K$5:$AJ$140,0,MATCH(L$2,Inputs!$K$4:$AJ$4,0)))))</f>
        <v>3673</v>
      </c>
      <c r="M63" s="264">
        <f>SUM(I63:L63)</f>
        <v>15068</v>
      </c>
      <c r="N63" s="263">
        <f>IF(ISNA(MATCH(N$2,Inputs!$K$4:$AJ$4,0)),NA(),IF(SUMPRODUCT((Inputs!$A$5:$A$140=$B63)*ISNUMBER(INDEX(Inputs!$K$5:$AJ$140,0,MATCH(N$2,Inputs!$K$4:$AJ$4,0))))+SUMPRODUCT((Inputs!$C$5:$C$140=$B63)*ISNUMBER(INDEX(Inputs!$K$5:$AJ$140,0,MATCH(N$2,Inputs!$K$4:$AJ$4,0))))+SUMPRODUCT((Inputs!$E$5:$E$140=$B63)*ISNUMBER(INDEX(Inputs!$K$5:$AJ$140,0,MATCH(N$2,Inputs!$K$4:$AJ$4,0))))=0,NA(),SUMPRODUCT((Inputs!$A$5:$A$140=$B63)*Inputs!$B$5:$B$140*(((Inputs!$G$5:$G$140="moeda")+(Inputs!$G$5:$G$140="acoes"))*Inputs!$B$1+((Inputs!$G$5:$G$140&lt;&gt;"moeda")*(Inputs!$G$5:$G$140&lt;&gt;"acoes")))*INDEX(Inputs!$K$5:$AJ$140,0,MATCH(N$2,Inputs!$K$4:$AJ$4,0)))+SUMPRODUCT((Inputs!$C$5:$C$140=$B63)*Inputs!$D$5:$D$140*(((Inputs!$G$5:$G$140="moeda")+(Inputs!$G$5:$G$140="acoes"))*Inputs!$B$1+((Inputs!$G$5:$G$140&lt;&gt;"moeda")*(Inputs!$G$5:$G$140&lt;&gt;"acoes")))*INDEX(Inputs!$K$5:$AJ$140,0,MATCH(N$2,Inputs!$K$4:$AJ$4,0)))+SUMPRODUCT((Inputs!$E$5:$E$140=$B63)*Inputs!$F$5:$F$140*(((Inputs!$G$5:$G$140="moeda")+(Inputs!$G$5:$G$140="acoes"))*Inputs!$B$1+((Inputs!$G$5:$G$140&lt;&gt;"moeda")*(Inputs!$G$5:$G$140&lt;&gt;"acoes")))*INDEX(Inputs!$K$5:$AJ$140,0,MATCH(N$2,Inputs!$K$4:$AJ$4,0)))))</f>
        <v>4460</v>
      </c>
      <c r="O63" s="263">
        <f>IF(ISNA(MATCH(O$2,Inputs!$K$4:$AJ$4,0)),NA(),IF(SUMPRODUCT((Inputs!$A$5:$A$140=$B63)*ISNUMBER(INDEX(Inputs!$K$5:$AJ$140,0,MATCH(O$2,Inputs!$K$4:$AJ$4,0))))+SUMPRODUCT((Inputs!$C$5:$C$140=$B63)*ISNUMBER(INDEX(Inputs!$K$5:$AJ$140,0,MATCH(O$2,Inputs!$K$4:$AJ$4,0))))+SUMPRODUCT((Inputs!$E$5:$E$140=$B63)*ISNUMBER(INDEX(Inputs!$K$5:$AJ$140,0,MATCH(O$2,Inputs!$K$4:$AJ$4,0))))=0,NA(),SUMPRODUCT((Inputs!$A$5:$A$140=$B63)*Inputs!$B$5:$B$140*(((Inputs!$G$5:$G$140="moeda")+(Inputs!$G$5:$G$140="acoes"))*Inputs!$B$1+((Inputs!$G$5:$G$140&lt;&gt;"moeda")*(Inputs!$G$5:$G$140&lt;&gt;"acoes")))*INDEX(Inputs!$K$5:$AJ$140,0,MATCH(O$2,Inputs!$K$4:$AJ$4,0)))+SUMPRODUCT((Inputs!$C$5:$C$140=$B63)*Inputs!$D$5:$D$140*(((Inputs!$G$5:$G$140="moeda")+(Inputs!$G$5:$G$140="acoes"))*Inputs!$B$1+((Inputs!$G$5:$G$140&lt;&gt;"moeda")*(Inputs!$G$5:$G$140&lt;&gt;"acoes")))*INDEX(Inputs!$K$5:$AJ$140,0,MATCH(O$2,Inputs!$K$4:$AJ$4,0)))+SUMPRODUCT((Inputs!$E$5:$E$140=$B63)*Inputs!$F$5:$F$140*(((Inputs!$G$5:$G$140="moeda")+(Inputs!$G$5:$G$140="acoes"))*Inputs!$B$1+((Inputs!$G$5:$G$140&lt;&gt;"moeda")*(Inputs!$G$5:$G$140&lt;&gt;"acoes")))*INDEX(Inputs!$K$5:$AJ$140,0,MATCH(O$2,Inputs!$K$4:$AJ$4,0)))))</f>
        <v>10402</v>
      </c>
      <c r="P63" s="263">
        <f>IF(ISNA(MATCH(P$2,Inputs!$K$4:$AJ$4,0)),NA(),IF(SUMPRODUCT((Inputs!$A$5:$A$140=$B63)*ISNUMBER(INDEX(Inputs!$K$5:$AJ$140,0,MATCH(P$2,Inputs!$K$4:$AJ$4,0))))+SUMPRODUCT((Inputs!$C$5:$C$140=$B63)*ISNUMBER(INDEX(Inputs!$K$5:$AJ$140,0,MATCH(P$2,Inputs!$K$4:$AJ$4,0))))+SUMPRODUCT((Inputs!$E$5:$E$140=$B63)*ISNUMBER(INDEX(Inputs!$K$5:$AJ$140,0,MATCH(P$2,Inputs!$K$4:$AJ$4,0))))=0,NA(),SUMPRODUCT((Inputs!$A$5:$A$140=$B63)*Inputs!$B$5:$B$140*(((Inputs!$G$5:$G$140="moeda")+(Inputs!$G$5:$G$140="acoes"))*Inputs!$B$1+((Inputs!$G$5:$G$140&lt;&gt;"moeda")*(Inputs!$G$5:$G$140&lt;&gt;"acoes")))*INDEX(Inputs!$K$5:$AJ$140,0,MATCH(P$2,Inputs!$K$4:$AJ$4,0)))+SUMPRODUCT((Inputs!$C$5:$C$140=$B63)*Inputs!$D$5:$D$140*(((Inputs!$G$5:$G$140="moeda")+(Inputs!$G$5:$G$140="acoes"))*Inputs!$B$1+((Inputs!$G$5:$G$140&lt;&gt;"moeda")*(Inputs!$G$5:$G$140&lt;&gt;"acoes")))*INDEX(Inputs!$K$5:$AJ$140,0,MATCH(P$2,Inputs!$K$4:$AJ$4,0)))+SUMPRODUCT((Inputs!$E$5:$E$140=$B63)*Inputs!$F$5:$F$140*(((Inputs!$G$5:$G$140="moeda")+(Inputs!$G$5:$G$140="acoes"))*Inputs!$B$1+((Inputs!$G$5:$G$140&lt;&gt;"moeda")*(Inputs!$G$5:$G$140&lt;&gt;"acoes")))*INDEX(Inputs!$K$5:$AJ$140,0,MATCH(P$2,Inputs!$K$4:$AJ$4,0)))))</f>
        <v>14645</v>
      </c>
      <c r="Q63" s="263">
        <f>IF(ISNA(MATCH(Q$2,Inputs!$K$4:$AJ$4,0)),NA(),IF(SUMPRODUCT((Inputs!$A$5:$A$140=$B63)*ISNUMBER(INDEX(Inputs!$K$5:$AJ$140,0,MATCH(Q$2,Inputs!$K$4:$AJ$4,0))))+SUMPRODUCT((Inputs!$C$5:$C$140=$B63)*ISNUMBER(INDEX(Inputs!$K$5:$AJ$140,0,MATCH(Q$2,Inputs!$K$4:$AJ$4,0))))+SUMPRODUCT((Inputs!$E$5:$E$140=$B63)*ISNUMBER(INDEX(Inputs!$K$5:$AJ$140,0,MATCH(Q$2,Inputs!$K$4:$AJ$4,0))))=0,NA(),SUMPRODUCT((Inputs!$A$5:$A$140=$B63)*Inputs!$B$5:$B$140*(((Inputs!$G$5:$G$140="moeda")+(Inputs!$G$5:$G$140="acoes"))*Inputs!$B$1+((Inputs!$G$5:$G$140&lt;&gt;"moeda")*(Inputs!$G$5:$G$140&lt;&gt;"acoes")))*INDEX(Inputs!$K$5:$AJ$140,0,MATCH(Q$2,Inputs!$K$4:$AJ$4,0)))+SUMPRODUCT((Inputs!$C$5:$C$140=$B63)*Inputs!$D$5:$D$140*(((Inputs!$G$5:$G$140="moeda")+(Inputs!$G$5:$G$140="acoes"))*Inputs!$B$1+((Inputs!$G$5:$G$140&lt;&gt;"moeda")*(Inputs!$G$5:$G$140&lt;&gt;"acoes")))*INDEX(Inputs!$K$5:$AJ$140,0,MATCH(Q$2,Inputs!$K$4:$AJ$4,0)))+SUMPRODUCT((Inputs!$E$5:$E$140=$B63)*Inputs!$F$5:$F$140*(((Inputs!$G$5:$G$140="moeda")+(Inputs!$G$5:$G$140="acoes"))*Inputs!$B$1+((Inputs!$G$5:$G$140&lt;&gt;"moeda")*(Inputs!$G$5:$G$140&lt;&gt;"acoes")))*INDEX(Inputs!$K$5:$AJ$140,0,MATCH(Q$2,Inputs!$K$4:$AJ$4,0)))))</f>
        <v>17898</v>
      </c>
      <c r="R63" s="264">
        <f>SUM(N63:Q63)</f>
        <v>47405</v>
      </c>
      <c r="S63" s="263">
        <f>IF(ISNA(MATCH(S$2,Inputs!$K$4:$AJ$4,0)),NA(),IF(SUMPRODUCT((Inputs!$A$5:$A$140=$B63)*ISNUMBER(INDEX(Inputs!$K$5:$AJ$140,0,MATCH(S$2,Inputs!$K$4:$AJ$4,0))))+SUMPRODUCT((Inputs!$C$5:$C$140=$B63)*ISNUMBER(INDEX(Inputs!$K$5:$AJ$140,0,MATCH(S$2,Inputs!$K$4:$AJ$4,0))))+SUMPRODUCT((Inputs!$E$5:$E$140=$B63)*ISNUMBER(INDEX(Inputs!$K$5:$AJ$140,0,MATCH(S$2,Inputs!$K$4:$AJ$4,0))))=0,NA(),SUMPRODUCT((Inputs!$A$5:$A$140=$B63)*Inputs!$B$5:$B$140*(((Inputs!$G$5:$G$140="moeda")+(Inputs!$G$5:$G$140="acoes"))*Inputs!$B$1+((Inputs!$G$5:$G$140&lt;&gt;"moeda")*(Inputs!$G$5:$G$140&lt;&gt;"acoes")))*INDEX(Inputs!$K$5:$AJ$140,0,MATCH(S$2,Inputs!$K$4:$AJ$4,0)))+SUMPRODUCT((Inputs!$C$5:$C$140=$B63)*Inputs!$D$5:$D$140*(((Inputs!$G$5:$G$140="moeda")+(Inputs!$G$5:$G$140="acoes"))*Inputs!$B$1+((Inputs!$G$5:$G$140&lt;&gt;"moeda")*(Inputs!$G$5:$G$140&lt;&gt;"acoes")))*INDEX(Inputs!$K$5:$AJ$140,0,MATCH(S$2,Inputs!$K$4:$AJ$4,0)))+SUMPRODUCT((Inputs!$E$5:$E$140=$B63)*Inputs!$F$5:$F$140*(((Inputs!$G$5:$G$140="moeda")+(Inputs!$G$5:$G$140="acoes"))*Inputs!$B$1+((Inputs!$G$5:$G$140&lt;&gt;"moeda")*(Inputs!$G$5:$G$140&lt;&gt;"acoes")))*INDEX(Inputs!$K$5:$AJ$140,0,MATCH(S$2,Inputs!$K$4:$AJ$4,0)))))</f>
        <v>22675</v>
      </c>
      <c r="T63" s="263">
        <f>IF(ISNA(MATCH(T$2,Inputs!$K$4:$AJ$4,0)),NA(),IF(SUMPRODUCT((Inputs!$A$5:$A$140=$B63)*ISNUMBER(INDEX(Inputs!$K$5:$AJ$140,0,MATCH(T$2,Inputs!$K$4:$AJ$4,0))))+SUMPRODUCT((Inputs!$C$5:$C$140=$B63)*ISNUMBER(INDEX(Inputs!$K$5:$AJ$140,0,MATCH(T$2,Inputs!$K$4:$AJ$4,0))))+SUMPRODUCT((Inputs!$E$5:$E$140=$B63)*ISNUMBER(INDEX(Inputs!$K$5:$AJ$140,0,MATCH(T$2,Inputs!$K$4:$AJ$4,0))))=0,NA(),SUMPRODUCT((Inputs!$A$5:$A$140=$B63)*Inputs!$B$5:$B$140*(((Inputs!$G$5:$G$140="moeda")+(Inputs!$G$5:$G$140="acoes"))*Inputs!$B$1+((Inputs!$G$5:$G$140&lt;&gt;"moeda")*(Inputs!$G$5:$G$140&lt;&gt;"acoes")))*INDEX(Inputs!$K$5:$AJ$140,0,MATCH(T$2,Inputs!$K$4:$AJ$4,0)))+SUMPRODUCT((Inputs!$C$5:$C$140=$B63)*Inputs!$D$5:$D$140*(((Inputs!$G$5:$G$140="moeda")+(Inputs!$G$5:$G$140="acoes"))*Inputs!$B$1+((Inputs!$G$5:$G$140&lt;&gt;"moeda")*(Inputs!$G$5:$G$140&lt;&gt;"acoes")))*INDEX(Inputs!$K$5:$AJ$140,0,MATCH(T$2,Inputs!$K$4:$AJ$4,0)))+SUMPRODUCT((Inputs!$E$5:$E$140=$B63)*Inputs!$F$5:$F$140*(((Inputs!$G$5:$G$140="moeda")+(Inputs!$G$5:$G$140="acoes"))*Inputs!$B$1+((Inputs!$G$5:$G$140&lt;&gt;"moeda")*(Inputs!$G$5:$G$140&lt;&gt;"acoes")))*INDEX(Inputs!$K$5:$AJ$140,0,MATCH(T$2,Inputs!$K$4:$AJ$4,0)))))</f>
        <v>26446</v>
      </c>
      <c r="U63" s="263">
        <f>IF(ISNA(MATCH(U$2,Inputs!$K$4:$AJ$4,0)),NA(),IF(SUMPRODUCT((Inputs!$A$5:$A$140=$B63)*ISNUMBER(INDEX(Inputs!$K$5:$AJ$140,0,MATCH(U$2,Inputs!$K$4:$AJ$4,0))))+SUMPRODUCT((Inputs!$C$5:$C$140=$B63)*ISNUMBER(INDEX(Inputs!$K$5:$AJ$140,0,MATCH(U$2,Inputs!$K$4:$AJ$4,0))))+SUMPRODUCT((Inputs!$E$5:$E$140=$B63)*ISNUMBER(INDEX(Inputs!$K$5:$AJ$140,0,MATCH(U$2,Inputs!$K$4:$AJ$4,0))))=0,NA(),SUMPRODUCT((Inputs!$A$5:$A$140=$B63)*Inputs!$B$5:$B$140*(((Inputs!$G$5:$G$140="moeda")+(Inputs!$G$5:$G$140="acoes"))*Inputs!$B$1+((Inputs!$G$5:$G$140&lt;&gt;"moeda")*(Inputs!$G$5:$G$140&lt;&gt;"acoes")))*INDEX(Inputs!$K$5:$AJ$140,0,MATCH(U$2,Inputs!$K$4:$AJ$4,0)))+SUMPRODUCT((Inputs!$C$5:$C$140=$B63)*Inputs!$D$5:$D$140*(((Inputs!$G$5:$G$140="moeda")+(Inputs!$G$5:$G$140="acoes"))*Inputs!$B$1+((Inputs!$G$5:$G$140&lt;&gt;"moeda")*(Inputs!$G$5:$G$140&lt;&gt;"acoes")))*INDEX(Inputs!$K$5:$AJ$140,0,MATCH(U$2,Inputs!$K$4:$AJ$4,0)))+SUMPRODUCT((Inputs!$E$5:$E$140=$B63)*Inputs!$F$5:$F$140*(((Inputs!$G$5:$G$140="moeda")+(Inputs!$G$5:$G$140="acoes"))*Inputs!$B$1+((Inputs!$G$5:$G$140&lt;&gt;"moeda")*(Inputs!$G$5:$G$140&lt;&gt;"acoes")))*INDEX(Inputs!$K$5:$AJ$140,0,MATCH(U$2,Inputs!$K$4:$AJ$4,0)))))</f>
        <v>31036</v>
      </c>
      <c r="V63" s="263">
        <f>IF(ISNA(MATCH(V$2,Inputs!$K$4:$AJ$4,0)),NA(),IF(SUMPRODUCT((Inputs!$A$5:$A$140=$B63)*ISNUMBER(INDEX(Inputs!$K$5:$AJ$140,0,MATCH(V$2,Inputs!$K$4:$AJ$4,0))))+SUMPRODUCT((Inputs!$C$5:$C$140=$B63)*ISNUMBER(INDEX(Inputs!$K$5:$AJ$140,0,MATCH(V$2,Inputs!$K$4:$AJ$4,0))))+SUMPRODUCT((Inputs!$E$5:$E$140=$B63)*ISNUMBER(INDEX(Inputs!$K$5:$AJ$140,0,MATCH(V$2,Inputs!$K$4:$AJ$4,0))))=0,NA(),SUMPRODUCT((Inputs!$A$5:$A$140=$B63)*Inputs!$B$5:$B$140*(((Inputs!$G$5:$G$140="moeda")+(Inputs!$G$5:$G$140="acoes"))*Inputs!$B$1+((Inputs!$G$5:$G$140&lt;&gt;"moeda")*(Inputs!$G$5:$G$140&lt;&gt;"acoes")))*INDEX(Inputs!$K$5:$AJ$140,0,MATCH(V$2,Inputs!$K$4:$AJ$4,0)))+SUMPRODUCT((Inputs!$C$5:$C$140=$B63)*Inputs!$D$5:$D$140*(((Inputs!$G$5:$G$140="moeda")+(Inputs!$G$5:$G$140="acoes"))*Inputs!$B$1+((Inputs!$G$5:$G$140&lt;&gt;"moeda")*(Inputs!$G$5:$G$140&lt;&gt;"acoes")))*INDEX(Inputs!$K$5:$AJ$140,0,MATCH(V$2,Inputs!$K$4:$AJ$4,0)))+SUMPRODUCT((Inputs!$E$5:$E$140=$B63)*Inputs!$F$5:$F$140*(((Inputs!$G$5:$G$140="moeda")+(Inputs!$G$5:$G$140="acoes"))*Inputs!$B$1+((Inputs!$G$5:$G$140&lt;&gt;"moeda")*(Inputs!$G$5:$G$140&lt;&gt;"acoes")))*INDEX(Inputs!$K$5:$AJ$140,0,MATCH(V$2,Inputs!$K$4:$AJ$4,0)))))</f>
        <v>36036</v>
      </c>
      <c r="W63" s="264">
        <f>SUM(S63:V63)</f>
        <v>116193</v>
      </c>
      <c r="X63" s="263">
        <f>IF(ISNA(MATCH(X$2,Inputs!$K$4:$AJ$4,0)),NA(),IF(SUMPRODUCT((Inputs!$A$5:$A$140=$B63)*ISNUMBER(INDEX(Inputs!$K$5:$AJ$140,0,MATCH(X$2,Inputs!$K$4:$AJ$4,0))))+SUMPRODUCT((Inputs!$C$5:$C$140=$B63)*ISNUMBER(INDEX(Inputs!$K$5:$AJ$140,0,MATCH(X$2,Inputs!$K$4:$AJ$4,0))))+SUMPRODUCT((Inputs!$E$5:$E$140=$B63)*ISNUMBER(INDEX(Inputs!$K$5:$AJ$140,0,MATCH(X$2,Inputs!$K$4:$AJ$4,0))))=0,NA(),SUMPRODUCT((Inputs!$A$5:$A$140=$B63)*Inputs!$B$5:$B$140*(((Inputs!$G$5:$G$140="moeda")+(Inputs!$G$5:$G$140="acoes"))*Inputs!$B$1+((Inputs!$G$5:$G$140&lt;&gt;"moeda")*(Inputs!$G$5:$G$140&lt;&gt;"acoes")))*INDEX(Inputs!$K$5:$AJ$140,0,MATCH(X$2,Inputs!$K$4:$AJ$4,0)))+SUMPRODUCT((Inputs!$C$5:$C$140=$B63)*Inputs!$D$5:$D$140*(((Inputs!$G$5:$G$140="moeda")+(Inputs!$G$5:$G$140="acoes"))*Inputs!$B$1+((Inputs!$G$5:$G$140&lt;&gt;"moeda")*(Inputs!$G$5:$G$140&lt;&gt;"acoes")))*INDEX(Inputs!$K$5:$AJ$140,0,MATCH(X$2,Inputs!$K$4:$AJ$4,0)))+SUMPRODUCT((Inputs!$E$5:$E$140=$B63)*Inputs!$F$5:$F$140*(((Inputs!$G$5:$G$140="moeda")+(Inputs!$G$5:$G$140="acoes"))*Inputs!$B$1+((Inputs!$G$5:$G$140&lt;&gt;"moeda")*(Inputs!$G$5:$G$140&lt;&gt;"acoes")))*INDEX(Inputs!$K$5:$AJ$140,0,MATCH(X$2,Inputs!$K$4:$AJ$4,0)))))</f>
        <v>39589</v>
      </c>
      <c r="Y63" s="263">
        <f>IF(ISNA(MATCH(Y$2,Inputs!$K$4:$AJ$4,0)),NA(),IF(SUMPRODUCT((Inputs!$A$5:$A$140=$B63)*ISNUMBER(INDEX(Inputs!$K$5:$AJ$140,0,MATCH(Y$2,Inputs!$K$4:$AJ$4,0))))+SUMPRODUCT((Inputs!$C$5:$C$140=$B63)*ISNUMBER(INDEX(Inputs!$K$5:$AJ$140,0,MATCH(Y$2,Inputs!$K$4:$AJ$4,0))))+SUMPRODUCT((Inputs!$E$5:$E$140=$B63)*ISNUMBER(INDEX(Inputs!$K$5:$AJ$140,0,MATCH(Y$2,Inputs!$K$4:$AJ$4,0))))=0,NA(),SUMPRODUCT((Inputs!$A$5:$A$140=$B63)*Inputs!$B$5:$B$140*(((Inputs!$G$5:$G$140="moeda")+(Inputs!$G$5:$G$140="acoes"))*Inputs!$B$1+((Inputs!$G$5:$G$140&lt;&gt;"moeda")*(Inputs!$G$5:$G$140&lt;&gt;"acoes")))*INDEX(Inputs!$K$5:$AJ$140,0,MATCH(Y$2,Inputs!$K$4:$AJ$4,0)))+SUMPRODUCT((Inputs!$C$5:$C$140=$B63)*Inputs!$D$5:$D$140*(((Inputs!$G$5:$G$140="moeda")+(Inputs!$G$5:$G$140="acoes"))*Inputs!$B$1+((Inputs!$G$5:$G$140&lt;&gt;"moeda")*(Inputs!$G$5:$G$140&lt;&gt;"acoes")))*INDEX(Inputs!$K$5:$AJ$140,0,MATCH(Y$2,Inputs!$K$4:$AJ$4,0)))+SUMPRODUCT((Inputs!$E$5:$E$140=$B63)*Inputs!$F$5:$F$140*(((Inputs!$G$5:$G$140="moeda")+(Inputs!$G$5:$G$140="acoes"))*Inputs!$B$1+((Inputs!$G$5:$G$140&lt;&gt;"moeda")*(Inputs!$G$5:$G$140&lt;&gt;"acoes")))*INDEX(Inputs!$K$5:$AJ$140,0,MATCH(Y$2,Inputs!$K$4:$AJ$4,0)))))</f>
        <v>41331</v>
      </c>
      <c r="Z63" s="263">
        <f>IF(ISNA(MATCH(Z$2,Inputs!$K$4:$AJ$4,0)),NA(),IF(SUMPRODUCT((Inputs!$A$5:$A$140=$B63)*ISNUMBER(INDEX(Inputs!$K$5:$AJ$140,0,MATCH(Z$2,Inputs!$K$4:$AJ$4,0))))+SUMPRODUCT((Inputs!$C$5:$C$140=$B63)*ISNUMBER(INDEX(Inputs!$K$5:$AJ$140,0,MATCH(Z$2,Inputs!$K$4:$AJ$4,0))))+SUMPRODUCT((Inputs!$E$5:$E$140=$B63)*ISNUMBER(INDEX(Inputs!$K$5:$AJ$140,0,MATCH(Z$2,Inputs!$K$4:$AJ$4,0))))=0,NA(),SUMPRODUCT((Inputs!$A$5:$A$140=$B63)*Inputs!$B$5:$B$140*(((Inputs!$G$5:$G$140="moeda")+(Inputs!$G$5:$G$140="acoes"))*Inputs!$B$1+((Inputs!$G$5:$G$140&lt;&gt;"moeda")*(Inputs!$G$5:$G$140&lt;&gt;"acoes")))*INDEX(Inputs!$K$5:$AJ$140,0,MATCH(Z$2,Inputs!$K$4:$AJ$4,0)))+SUMPRODUCT((Inputs!$C$5:$C$140=$B63)*Inputs!$D$5:$D$140*(((Inputs!$G$5:$G$140="moeda")+(Inputs!$G$5:$G$140="acoes"))*Inputs!$B$1+((Inputs!$G$5:$G$140&lt;&gt;"moeda")*(Inputs!$G$5:$G$140&lt;&gt;"acoes")))*INDEX(Inputs!$K$5:$AJ$140,0,MATCH(Z$2,Inputs!$K$4:$AJ$4,0)))+SUMPRODUCT((Inputs!$E$5:$E$140=$B63)*Inputs!$F$5:$F$140*(((Inputs!$G$5:$G$140="moeda")+(Inputs!$G$5:$G$140="acoes"))*Inputs!$B$1+((Inputs!$G$5:$G$140&lt;&gt;"moeda")*(Inputs!$G$5:$G$140&lt;&gt;"acoes")))*INDEX(Inputs!$K$5:$AJ$140,0,MATCH(Z$2,Inputs!$K$4:$AJ$4,0)))))</f>
        <v>50908</v>
      </c>
      <c r="AA63" s="263">
        <f>IF(ISNA(MATCH(AA$2,Inputs!$K$4:$AJ$4,0)),NA(),IF(SUMPRODUCT((Inputs!$A$5:$A$140=$B63)*ISNUMBER(INDEX(Inputs!$K$5:$AJ$140,0,MATCH(AA$2,Inputs!$K$4:$AJ$4,0))))+SUMPRODUCT((Inputs!$C$5:$C$140=$B63)*ISNUMBER(INDEX(Inputs!$K$5:$AJ$140,0,MATCH(AA$2,Inputs!$K$4:$AJ$4,0))))+SUMPRODUCT((Inputs!$E$5:$E$140=$B63)*ISNUMBER(INDEX(Inputs!$K$5:$AJ$140,0,MATCH(AA$2,Inputs!$K$4:$AJ$4,0))))=0,NA(),SUMPRODUCT((Inputs!$A$5:$A$140=$B63)*Inputs!$B$5:$B$140*(((Inputs!$G$5:$G$140="moeda")+(Inputs!$G$5:$G$140="acoes"))*Inputs!$B$1+((Inputs!$G$5:$G$140&lt;&gt;"moeda")*(Inputs!$G$5:$G$140&lt;&gt;"acoes")))*INDEX(Inputs!$K$5:$AJ$140,0,MATCH(AA$2,Inputs!$K$4:$AJ$4,0)))+SUMPRODUCT((Inputs!$C$5:$C$140=$B63)*Inputs!$D$5:$D$140*(((Inputs!$G$5:$G$140="moeda")+(Inputs!$G$5:$G$140="acoes"))*Inputs!$B$1+((Inputs!$G$5:$G$140&lt;&gt;"moeda")*(Inputs!$G$5:$G$140&lt;&gt;"acoes")))*INDEX(Inputs!$K$5:$AJ$140,0,MATCH(AA$2,Inputs!$K$4:$AJ$4,0)))+SUMPRODUCT((Inputs!$E$5:$E$140=$B63)*Inputs!$F$5:$F$140*(((Inputs!$G$5:$G$140="moeda")+(Inputs!$G$5:$G$140="acoes"))*Inputs!$B$1+((Inputs!$G$5:$G$140&lt;&gt;"moeda")*(Inputs!$G$5:$G$140&lt;&gt;"acoes")))*INDEX(Inputs!$K$5:$AJ$140,0,MATCH(AA$2,Inputs!$K$4:$AJ$4,0)))))</f>
        <v>61651</v>
      </c>
      <c r="AB63" s="264">
        <f>SUM(X63:AA63)</f>
        <v>193479</v>
      </c>
      <c r="AC63" s="263">
        <f>IF(ISNA(MATCH(AC$2,Inputs!$K$4:$AJ$4,0)),NA(),IF(SUMPRODUCT((Inputs!$A$5:$A$140=$B63)*ISNUMBER(INDEX(Inputs!$K$5:$AJ$140,0,MATCH(AC$2,Inputs!$K$4:$AJ$4,0))))+SUMPRODUCT((Inputs!$C$5:$C$140=$B63)*ISNUMBER(INDEX(Inputs!$K$5:$AJ$140,0,MATCH(AC$2,Inputs!$K$4:$AJ$4,0))))+SUMPRODUCT((Inputs!$E$5:$E$140=$B63)*ISNUMBER(INDEX(Inputs!$K$5:$AJ$140,0,MATCH(AC$2,Inputs!$K$4:$AJ$4,0))))=0,NA(),SUMPRODUCT((Inputs!$A$5:$A$140=$B63)*Inputs!$B$5:$B$140*(((Inputs!$G$5:$G$140="moeda")+(Inputs!$G$5:$G$140="acoes"))*Inputs!$B$1+((Inputs!$G$5:$G$140&lt;&gt;"moeda")*(Inputs!$G$5:$G$140&lt;&gt;"acoes")))*INDEX(Inputs!$K$5:$AJ$140,0,MATCH(AC$2,Inputs!$K$4:$AJ$4,0)))+SUMPRODUCT((Inputs!$C$5:$C$140=$B63)*Inputs!$D$5:$D$140*(((Inputs!$G$5:$G$140="moeda")+(Inputs!$G$5:$G$140="acoes"))*Inputs!$B$1+((Inputs!$G$5:$G$140&lt;&gt;"moeda")*(Inputs!$G$5:$G$140&lt;&gt;"acoes")))*INDEX(Inputs!$K$5:$AJ$140,0,MATCH(AC$2,Inputs!$K$4:$AJ$4,0)))+SUMPRODUCT((Inputs!$E$5:$E$140=$B63)*Inputs!$F$5:$F$140*(((Inputs!$G$5:$G$140="moeda")+(Inputs!$G$5:$G$140="acoes"))*Inputs!$B$1+((Inputs!$G$5:$G$140&lt;&gt;"moeda")*(Inputs!$G$5:$G$140&lt;&gt;"acoes")))*INDEX(Inputs!$K$5:$AJ$140,0,MATCH(AC$2,Inputs!$K$4:$AJ$4,0)))))</f>
        <v>74550</v>
      </c>
      <c r="AD63" s="263">
        <f>IF(ISNA(MATCH(AD$2,Inputs!$K$4:$AJ$4,0)),NA(),IF(SUMPRODUCT((Inputs!$A$5:$A$140=$B63)*ISNUMBER(INDEX(Inputs!$K$5:$AJ$140,0,MATCH(AD$2,Inputs!$K$4:$AJ$4,0))))+SUMPRODUCT((Inputs!$C$5:$C$140=$B63)*ISNUMBER(INDEX(Inputs!$K$5:$AJ$140,0,MATCH(AD$2,Inputs!$K$4:$AJ$4,0))))+SUMPRODUCT((Inputs!$E$5:$E$140=$B63)*ISNUMBER(INDEX(Inputs!$K$5:$AJ$140,0,MATCH(AD$2,Inputs!$K$4:$AJ$4,0))))=0,NA(),SUMPRODUCT((Inputs!$A$5:$A$140=$B63)*Inputs!$B$5:$B$140*(((Inputs!$G$5:$G$140="moeda")+(Inputs!$G$5:$G$140="acoes"))*Inputs!$B$1+((Inputs!$G$5:$G$140&lt;&gt;"moeda")*(Inputs!$G$5:$G$140&lt;&gt;"acoes")))*INDEX(Inputs!$K$5:$AJ$140,0,MATCH(AD$2,Inputs!$K$4:$AJ$4,0)))+SUMPRODUCT((Inputs!$C$5:$C$140=$B63)*Inputs!$D$5:$D$140*(((Inputs!$G$5:$G$140="moeda")+(Inputs!$G$5:$G$140="acoes"))*Inputs!$B$1+((Inputs!$G$5:$G$140&lt;&gt;"moeda")*(Inputs!$G$5:$G$140&lt;&gt;"acoes")))*INDEX(Inputs!$K$5:$AJ$140,0,MATCH(AD$2,Inputs!$K$4:$AJ$4,0)))+SUMPRODUCT((Inputs!$E$5:$E$140=$B63)*Inputs!$F$5:$F$140*(((Inputs!$G$5:$G$140="moeda")+(Inputs!$G$5:$G$140="acoes"))*Inputs!$B$1+((Inputs!$G$5:$G$140&lt;&gt;"moeda")*(Inputs!$G$5:$G$140&lt;&gt;"acoes")))*INDEX(Inputs!$K$5:$AJ$140,0,MATCH(AD$2,Inputs!$K$4:$AJ$4,0)))))</f>
        <v>88299</v>
      </c>
      <c r="AE63" s="263" t="e">
        <f>IF(ISNA(MATCH(AE$2,Inputs!$K$4:$AJ$4,0)),NA(),IF(SUMPRODUCT((Inputs!$A$5:$A$140=$B63)*ISNUMBER(INDEX(Inputs!$K$5:$AJ$140,0,MATCH(AE$2,Inputs!$K$4:$AJ$4,0))))+SUMPRODUCT((Inputs!$C$5:$C$140=$B63)*ISNUMBER(INDEX(Inputs!$K$5:$AJ$140,0,MATCH(AE$2,Inputs!$K$4:$AJ$4,0))))+SUMPRODUCT((Inputs!$E$5:$E$140=$B63)*ISNUMBER(INDEX(Inputs!$K$5:$AJ$140,0,MATCH(AE$2,Inputs!$K$4:$AJ$4,0))))=0,NA(),SUMPRODUCT((Inputs!$A$5:$A$140=$B63)*Inputs!$B$5:$B$140*(((Inputs!$G$5:$G$140="moeda")+(Inputs!$G$5:$G$140="acoes"))*Inputs!$B$1+((Inputs!$G$5:$G$140&lt;&gt;"moeda")*(Inputs!$G$5:$G$140&lt;&gt;"acoes")))*INDEX(Inputs!$K$5:$AJ$140,0,MATCH(AE$2,Inputs!$K$4:$AJ$4,0)))+SUMPRODUCT((Inputs!$C$5:$C$140=$B63)*Inputs!$D$5:$D$140*(((Inputs!$G$5:$G$140="moeda")+(Inputs!$G$5:$G$140="acoes"))*Inputs!$B$1+((Inputs!$G$5:$G$140&lt;&gt;"moeda")*(Inputs!$G$5:$G$140&lt;&gt;"acoes")))*INDEX(Inputs!$K$5:$AJ$140,0,MATCH(AE$2,Inputs!$K$4:$AJ$4,0)))+SUMPRODUCT((Inputs!$E$5:$E$140=$B63)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63" s="263" t="e">
        <f>IF(ISNA(MATCH(AF$2,Inputs!$K$4:$AJ$4,0)),NA(),IF(SUMPRODUCT((Inputs!$A$5:$A$140=$B63)*ISNUMBER(INDEX(Inputs!$K$5:$AJ$140,0,MATCH(AF$2,Inputs!$K$4:$AJ$4,0))))+SUMPRODUCT((Inputs!$C$5:$C$140=$B63)*ISNUMBER(INDEX(Inputs!$K$5:$AJ$140,0,MATCH(AF$2,Inputs!$K$4:$AJ$4,0))))+SUMPRODUCT((Inputs!$E$5:$E$140=$B63)*ISNUMBER(INDEX(Inputs!$K$5:$AJ$140,0,MATCH(AF$2,Inputs!$K$4:$AJ$4,0))))=0,NA(),SUMPRODUCT((Inputs!$A$5:$A$140=$B63)*Inputs!$B$5:$B$140*(((Inputs!$G$5:$G$140="moeda")+(Inputs!$G$5:$G$140="acoes"))*Inputs!$B$1+((Inputs!$G$5:$G$140&lt;&gt;"moeda")*(Inputs!$G$5:$G$140&lt;&gt;"acoes")))*INDEX(Inputs!$K$5:$AJ$140,0,MATCH(AF$2,Inputs!$K$4:$AJ$4,0)))+SUMPRODUCT((Inputs!$C$5:$C$140=$B63)*Inputs!$D$5:$D$140*(((Inputs!$G$5:$G$140="moeda")+(Inputs!$G$5:$G$140="acoes"))*Inputs!$B$1+((Inputs!$G$5:$G$140&lt;&gt;"moeda")*(Inputs!$G$5:$G$140&lt;&gt;"acoes")))*INDEX(Inputs!$K$5:$AJ$140,0,MATCH(AF$2,Inputs!$K$4:$AJ$4,0)))+SUMPRODUCT((Inputs!$E$5:$E$140=$B63)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63" s="264" t="e">
        <f>SUM(AC63:AF63)</f>
        <v>#N/A</v>
      </c>
      <c r="AH63" s="263">
        <f>IF(ISNA(MATCH(AH$2,Inputs!$K$4:$AJ$4,0)),NA(),IF(SUMPRODUCT((Inputs!$A$5:$A$140=$B63)*ISNUMBER(INDEX(Inputs!$K$5:$AJ$140,0,MATCH(AH$2,Inputs!$K$4:$AJ$4,0))))+SUMPRODUCT((Inputs!$C$5:$C$140=$B63)*ISNUMBER(INDEX(Inputs!$K$5:$AJ$140,0,MATCH(AH$2,Inputs!$K$4:$AJ$4,0))))+SUMPRODUCT((Inputs!$E$5:$E$140=$B63)*ISNUMBER(INDEX(Inputs!$K$5:$AJ$140,0,MATCH(AH$2,Inputs!$K$4:$AJ$4,0))))=0,NA(),SUMPRODUCT((Inputs!$A$5:$A$140=$B63)*Inputs!$B$5:$B$140*(((Inputs!$G$5:$G$140="moeda")+(Inputs!$G$5:$G$140="acoes"))*Inputs!$B$1+((Inputs!$G$5:$G$140&lt;&gt;"moeda")*(Inputs!$G$5:$G$140&lt;&gt;"acoes")))*INDEX(Inputs!$K$5:$AJ$140,0,MATCH(AH$2,Inputs!$K$4:$AJ$4,0)))+SUMPRODUCT((Inputs!$C$5:$C$140=$B63)*Inputs!$D$5:$D$140*(((Inputs!$G$5:$G$140="moeda")+(Inputs!$G$5:$G$140="acoes"))*Inputs!$B$1+((Inputs!$G$5:$G$140&lt;&gt;"moeda")*(Inputs!$G$5:$G$140&lt;&gt;"acoes")))*INDEX(Inputs!$K$5:$AJ$140,0,MATCH(AH$2,Inputs!$K$4:$AJ$4,0)))+SUMPRODUCT((Inputs!$E$5:$E$140=$B63)*Inputs!$F$5:$F$140*(((Inputs!$G$5:$G$140="moeda")+(Inputs!$G$5:$G$140="acoes"))*Inputs!$B$1+((Inputs!$G$5:$G$140&lt;&gt;"moeda")*(Inputs!$G$5:$G$140&lt;&gt;"acoes")))*INDEX(Inputs!$K$5:$AJ$140,0,MATCH(AH$2,Inputs!$K$4:$AJ$4,0)))))</f>
        <v>1174</v>
      </c>
      <c r="AI63" s="263">
        <f>IF(ISNA(MATCH(AI$2,Inputs!$K$4:$AJ$4,0)),NA(),IF(SUMPRODUCT((Inputs!$A$5:$A$140=$B63)*ISNUMBER(INDEX(Inputs!$K$5:$AJ$140,0,MATCH(AI$2,Inputs!$K$4:$AJ$4,0))))+SUMPRODUCT((Inputs!$C$5:$C$140=$B63)*ISNUMBER(INDEX(Inputs!$K$5:$AJ$140,0,MATCH(AI$2,Inputs!$K$4:$AJ$4,0))))+SUMPRODUCT((Inputs!$E$5:$E$140=$B63)*ISNUMBER(INDEX(Inputs!$K$5:$AJ$140,0,MATCH(AI$2,Inputs!$K$4:$AJ$4,0))))=0,NA(),SUMPRODUCT((Inputs!$A$5:$A$140=$B63)*Inputs!$B$5:$B$140*(((Inputs!$G$5:$G$140="moeda")+(Inputs!$G$5:$G$140="acoes"))*Inputs!$B$1+((Inputs!$G$5:$G$140&lt;&gt;"moeda")*(Inputs!$G$5:$G$140&lt;&gt;"acoes")))*INDEX(Inputs!$K$5:$AJ$140,0,MATCH(AI$2,Inputs!$K$4:$AJ$4,0)))+SUMPRODUCT((Inputs!$C$5:$C$140=$B63)*Inputs!$D$5:$D$140*(((Inputs!$G$5:$G$140="moeda")+(Inputs!$G$5:$G$140="acoes"))*Inputs!$B$1+((Inputs!$G$5:$G$140&lt;&gt;"moeda")*(Inputs!$G$5:$G$140&lt;&gt;"acoes")))*INDEX(Inputs!$K$5:$AJ$140,0,MATCH(AI$2,Inputs!$K$4:$AJ$4,0)))+SUMPRODUCT((Inputs!$E$5:$E$140=$B63)*Inputs!$F$5:$F$140*(((Inputs!$G$5:$G$140="moeda")+(Inputs!$G$5:$G$140="acoes"))*Inputs!$B$1+((Inputs!$G$5:$G$140&lt;&gt;"moeda")*(Inputs!$G$5:$G$140&lt;&gt;"acoes")))*INDEX(Inputs!$K$5:$AJ$140,0,MATCH(AI$2,Inputs!$K$4:$AJ$4,0)))))</f>
        <v>1781</v>
      </c>
      <c r="AJ63" s="263">
        <f>IF(ISNA(MATCH(AJ$2,Inputs!$K$4:$AJ$4,0)),NA(),IF(SUMPRODUCT((Inputs!$A$5:$A$140=$B63)*ISNUMBER(INDEX(Inputs!$K$5:$AJ$140,0,MATCH(AJ$2,Inputs!$K$4:$AJ$4,0))))+SUMPRODUCT((Inputs!$C$5:$C$140=$B63)*ISNUMBER(INDEX(Inputs!$K$5:$AJ$140,0,MATCH(AJ$2,Inputs!$K$4:$AJ$4,0))))+SUMPRODUCT((Inputs!$E$5:$E$140=$B63)*ISNUMBER(INDEX(Inputs!$K$5:$AJ$140,0,MATCH(AJ$2,Inputs!$K$4:$AJ$4,0))))=0,NA(),SUMPRODUCT((Inputs!$A$5:$A$140=$B63)*Inputs!$B$5:$B$140*(((Inputs!$G$5:$G$140="moeda")+(Inputs!$G$5:$G$140="acoes"))*Inputs!$B$1+((Inputs!$G$5:$G$140&lt;&gt;"moeda")*(Inputs!$G$5:$G$140&lt;&gt;"acoes")))*INDEX(Inputs!$K$5:$AJ$140,0,MATCH(AJ$2,Inputs!$K$4:$AJ$4,0)))+SUMPRODUCT((Inputs!$C$5:$C$140=$B63)*Inputs!$D$5:$D$140*(((Inputs!$G$5:$G$140="moeda")+(Inputs!$G$5:$G$140="acoes"))*Inputs!$B$1+((Inputs!$G$5:$G$140&lt;&gt;"moeda")*(Inputs!$G$5:$G$140&lt;&gt;"acoes")))*INDEX(Inputs!$K$5:$AJ$140,0,MATCH(AJ$2,Inputs!$K$4:$AJ$4,0)))+SUMPRODUCT((Inputs!$E$5:$E$140=$B63)*Inputs!$F$5:$F$140*(((Inputs!$G$5:$G$140="moeda")+(Inputs!$G$5:$G$140="acoes"))*Inputs!$B$1+((Inputs!$G$5:$G$140&lt;&gt;"moeda")*(Inputs!$G$5:$G$140&lt;&gt;"acoes")))*INDEX(Inputs!$K$5:$AJ$140,0,MATCH(AJ$2,Inputs!$K$4:$AJ$4,0)))))</f>
        <v>1939</v>
      </c>
      <c r="AK63" s="263">
        <f>IF(ISNA(MATCH(AK$2,Inputs!$K$4:$AJ$4,0)),NA(),IF(SUMPRODUCT((Inputs!$A$5:$A$140=$B63)*ISNUMBER(INDEX(Inputs!$K$5:$AJ$140,0,MATCH(AK$2,Inputs!$K$4:$AJ$4,0))))+SUMPRODUCT((Inputs!$C$5:$C$140=$B63)*ISNUMBER(INDEX(Inputs!$K$5:$AJ$140,0,MATCH(AK$2,Inputs!$K$4:$AJ$4,0))))+SUMPRODUCT((Inputs!$E$5:$E$140=$B63)*ISNUMBER(INDEX(Inputs!$K$5:$AJ$140,0,MATCH(AK$2,Inputs!$K$4:$AJ$4,0))))=0,NA(),SUMPRODUCT((Inputs!$A$5:$A$140=$B63)*Inputs!$B$5:$B$140*(((Inputs!$G$5:$G$140="moeda")+(Inputs!$G$5:$G$140="acoes"))*Inputs!$B$1+((Inputs!$G$5:$G$140&lt;&gt;"moeda")*(Inputs!$G$5:$G$140&lt;&gt;"acoes")))*INDEX(Inputs!$K$5:$AJ$140,0,MATCH(AK$2,Inputs!$K$4:$AJ$4,0)))+SUMPRODUCT((Inputs!$C$5:$C$140=$B63)*Inputs!$D$5:$D$140*(((Inputs!$G$5:$G$140="moeda")+(Inputs!$G$5:$G$140="acoes"))*Inputs!$B$1+((Inputs!$G$5:$G$140&lt;&gt;"moeda")*(Inputs!$G$5:$G$140&lt;&gt;"acoes")))*INDEX(Inputs!$K$5:$AJ$140,0,MATCH(AK$2,Inputs!$K$4:$AJ$4,0)))+SUMPRODUCT((Inputs!$E$5:$E$140=$B63)*Inputs!$F$5:$F$140*(((Inputs!$G$5:$G$140="moeda")+(Inputs!$G$5:$G$140="acoes"))*Inputs!$B$1+((Inputs!$G$5:$G$140&lt;&gt;"moeda")*(Inputs!$G$5:$G$140&lt;&gt;"acoes")))*INDEX(Inputs!$K$5:$AJ$140,0,MATCH(AK$2,Inputs!$K$4:$AJ$4,0)))))</f>
        <v>1947</v>
      </c>
      <c r="AL63" s="264">
        <f>SUM(AH63:AK63)</f>
        <v>6841</v>
      </c>
    </row>
    <row r="64">
      <c r="B64" s="46" t="n">
        <v>56</v>
      </c>
      <c r="C64" s="29" t="inlineStr">
        <is>
          <t>Segmento Graphics - receita (USD)</t>
        </is>
      </c>
      <c r="D64" s="263">
        <f>IF(ISNA(MATCH(D$2,Inputs!$K$4:$AJ$4,0)),NA(),IF(SUMPRODUCT((Inputs!$A$5:$A$140=$B64)*ISNUMBER(INDEX(Inputs!$K$5:$AJ$140,0,MATCH(D$2,Inputs!$K$4:$AJ$4,0))))+SUMPRODUCT((Inputs!$C$5:$C$140=$B64)*ISNUMBER(INDEX(Inputs!$K$5:$AJ$140,0,MATCH(D$2,Inputs!$K$4:$AJ$4,0))))+SUMPRODUCT((Inputs!$E$5:$E$140=$B64)*ISNUMBER(INDEX(Inputs!$K$5:$AJ$140,0,MATCH(D$2,Inputs!$K$4:$AJ$4,0))))=0,NA(),SUMPRODUCT((Inputs!$A$5:$A$140=$B64)*Inputs!$B$5:$B$140*(((Inputs!$G$5:$G$140="moeda")+(Inputs!$G$5:$G$140="acoes"))*Inputs!$B$1+((Inputs!$G$5:$G$140&lt;&gt;"moeda")*(Inputs!$G$5:$G$140&lt;&gt;"acoes")))*INDEX(Inputs!$K$5:$AJ$140,0,MATCH(D$2,Inputs!$K$4:$AJ$4,0)))+SUMPRODUCT((Inputs!$C$5:$C$140=$B64)*Inputs!$D$5:$D$140*(((Inputs!$G$5:$G$140="moeda")+(Inputs!$G$5:$G$140="acoes"))*Inputs!$B$1+((Inputs!$G$5:$G$140&lt;&gt;"moeda")*(Inputs!$G$5:$G$140&lt;&gt;"acoes")))*INDEX(Inputs!$K$5:$AJ$140,0,MATCH(D$2,Inputs!$K$4:$AJ$4,0)))+SUMPRODUCT((Inputs!$E$5:$E$140=$B64)*Inputs!$F$5:$F$140*(((Inputs!$G$5:$G$140="moeda")+(Inputs!$G$5:$G$140="acoes"))*Inputs!$B$1+((Inputs!$G$5:$G$140&lt;&gt;"moeda")*(Inputs!$G$5:$G$140&lt;&gt;"acoes")))*INDEX(Inputs!$K$5:$AJ$140,0,MATCH(D$2,Inputs!$K$4:$AJ$4,0)))))</f>
        <v>3451</v>
      </c>
      <c r="E64" s="263">
        <f>IF(ISNA(MATCH(E$2,Inputs!$K$4:$AJ$4,0)),NA(),IF(SUMPRODUCT((Inputs!$A$5:$A$140=$B64)*ISNUMBER(INDEX(Inputs!$K$5:$AJ$140,0,MATCH(E$2,Inputs!$K$4:$AJ$4,0))))+SUMPRODUCT((Inputs!$C$5:$C$140=$B64)*ISNUMBER(INDEX(Inputs!$K$5:$AJ$140,0,MATCH(E$2,Inputs!$K$4:$AJ$4,0))))+SUMPRODUCT((Inputs!$E$5:$E$140=$B64)*ISNUMBER(INDEX(Inputs!$K$5:$AJ$140,0,MATCH(E$2,Inputs!$K$4:$AJ$4,0))))=0,NA(),SUMPRODUCT((Inputs!$A$5:$A$140=$B64)*Inputs!$B$5:$B$140*(((Inputs!$G$5:$G$140="moeda")+(Inputs!$G$5:$G$140="acoes"))*Inputs!$B$1+((Inputs!$G$5:$G$140&lt;&gt;"moeda")*(Inputs!$G$5:$G$140&lt;&gt;"acoes")))*INDEX(Inputs!$K$5:$AJ$140,0,MATCH(E$2,Inputs!$K$4:$AJ$4,0)))+SUMPRODUCT((Inputs!$C$5:$C$140=$B64)*Inputs!$D$5:$D$140*(((Inputs!$G$5:$G$140="moeda")+(Inputs!$G$5:$G$140="acoes"))*Inputs!$B$1+((Inputs!$G$5:$G$140&lt;&gt;"moeda")*(Inputs!$G$5:$G$140&lt;&gt;"acoes")))*INDEX(Inputs!$K$5:$AJ$140,0,MATCH(E$2,Inputs!$K$4:$AJ$4,0)))+SUMPRODUCT((Inputs!$E$5:$E$140=$B64)*Inputs!$F$5:$F$140*(((Inputs!$G$5:$G$140="moeda")+(Inputs!$G$5:$G$140="acoes"))*Inputs!$B$1+((Inputs!$G$5:$G$140&lt;&gt;"moeda")*(Inputs!$G$5:$G$140&lt;&gt;"acoes")))*INDEX(Inputs!$K$5:$AJ$140,0,MATCH(E$2,Inputs!$K$4:$AJ$4,0)))))</f>
        <v>3907</v>
      </c>
      <c r="F64" s="263">
        <f>IF(ISNA(MATCH(F$2,Inputs!$K$4:$AJ$4,0)),NA(),IF(SUMPRODUCT((Inputs!$A$5:$A$140=$B64)*ISNUMBER(INDEX(Inputs!$K$5:$AJ$140,0,MATCH(F$2,Inputs!$K$4:$AJ$4,0))))+SUMPRODUCT((Inputs!$C$5:$C$140=$B64)*ISNUMBER(INDEX(Inputs!$K$5:$AJ$140,0,MATCH(F$2,Inputs!$K$4:$AJ$4,0))))+SUMPRODUCT((Inputs!$E$5:$E$140=$B64)*ISNUMBER(INDEX(Inputs!$K$5:$AJ$140,0,MATCH(F$2,Inputs!$K$4:$AJ$4,0))))=0,NA(),SUMPRODUCT((Inputs!$A$5:$A$140=$B64)*Inputs!$B$5:$B$140*(((Inputs!$G$5:$G$140="moeda")+(Inputs!$G$5:$G$140="acoes"))*Inputs!$B$1+((Inputs!$G$5:$G$140&lt;&gt;"moeda")*(Inputs!$G$5:$G$140&lt;&gt;"acoes")))*INDEX(Inputs!$K$5:$AJ$140,0,MATCH(F$2,Inputs!$K$4:$AJ$4,0)))+SUMPRODUCT((Inputs!$C$5:$C$140=$B64)*Inputs!$D$5:$D$140*(((Inputs!$G$5:$G$140="moeda")+(Inputs!$G$5:$G$140="acoes"))*Inputs!$B$1+((Inputs!$G$5:$G$140&lt;&gt;"moeda")*(Inputs!$G$5:$G$140&lt;&gt;"acoes")))*INDEX(Inputs!$K$5:$AJ$140,0,MATCH(F$2,Inputs!$K$4:$AJ$4,0)))+SUMPRODUCT((Inputs!$E$5:$E$140=$B64)*Inputs!$F$5:$F$140*(((Inputs!$G$5:$G$140="moeda")+(Inputs!$G$5:$G$140="acoes"))*Inputs!$B$1+((Inputs!$G$5:$G$140&lt;&gt;"moeda")*(Inputs!$G$5:$G$140&lt;&gt;"acoes")))*INDEX(Inputs!$K$5:$AJ$140,0,MATCH(F$2,Inputs!$K$4:$AJ$4,0)))))</f>
        <v>4092</v>
      </c>
      <c r="G64" s="263">
        <f>IF(ISNA(MATCH(G$2,Inputs!$K$4:$AJ$4,0)),NA(),IF(SUMPRODUCT((Inputs!$A$5:$A$140=$B64)*ISNUMBER(INDEX(Inputs!$K$5:$AJ$140,0,MATCH(G$2,Inputs!$K$4:$AJ$4,0))))+SUMPRODUCT((Inputs!$C$5:$C$140=$B64)*ISNUMBER(INDEX(Inputs!$K$5:$AJ$140,0,MATCH(G$2,Inputs!$K$4:$AJ$4,0))))+SUMPRODUCT((Inputs!$E$5:$E$140=$B64)*ISNUMBER(INDEX(Inputs!$K$5:$AJ$140,0,MATCH(G$2,Inputs!$K$4:$AJ$4,0))))=0,NA(),SUMPRODUCT((Inputs!$A$5:$A$140=$B64)*Inputs!$B$5:$B$140*(((Inputs!$G$5:$G$140="moeda")+(Inputs!$G$5:$G$140="acoes"))*Inputs!$B$1+((Inputs!$G$5:$G$140&lt;&gt;"moeda")*(Inputs!$G$5:$G$140&lt;&gt;"acoes")))*INDEX(Inputs!$K$5:$AJ$140,0,MATCH(G$2,Inputs!$K$4:$AJ$4,0)))+SUMPRODUCT((Inputs!$C$5:$C$140=$B64)*Inputs!$D$5:$D$140*(((Inputs!$G$5:$G$140="moeda")+(Inputs!$G$5:$G$140="acoes"))*Inputs!$B$1+((Inputs!$G$5:$G$140&lt;&gt;"moeda")*(Inputs!$G$5:$G$140&lt;&gt;"acoes")))*INDEX(Inputs!$K$5:$AJ$140,0,MATCH(G$2,Inputs!$K$4:$AJ$4,0)))+SUMPRODUCT((Inputs!$E$5:$E$140=$B64)*Inputs!$F$5:$F$140*(((Inputs!$G$5:$G$140="moeda")+(Inputs!$G$5:$G$140="acoes"))*Inputs!$B$1+((Inputs!$G$5:$G$140&lt;&gt;"moeda")*(Inputs!$G$5:$G$140&lt;&gt;"acoes")))*INDEX(Inputs!$K$5:$AJ$140,0,MATCH(G$2,Inputs!$K$4:$AJ$4,0)))))</f>
        <v>4418</v>
      </c>
      <c r="H64" s="264">
        <f>SUM(D64:G64)</f>
        <v>15868</v>
      </c>
      <c r="I64" s="263">
        <f>IF(ISNA(MATCH(I$2,Inputs!$K$4:$AJ$4,0)),NA(),IF(SUMPRODUCT((Inputs!$A$5:$A$140=$B64)*ISNUMBER(INDEX(Inputs!$K$5:$AJ$140,0,MATCH(I$2,Inputs!$K$4:$AJ$4,0))))+SUMPRODUCT((Inputs!$C$5:$C$140=$B64)*ISNUMBER(INDEX(Inputs!$K$5:$AJ$140,0,MATCH(I$2,Inputs!$K$4:$AJ$4,0))))+SUMPRODUCT((Inputs!$E$5:$E$140=$B64)*ISNUMBER(INDEX(Inputs!$K$5:$AJ$140,0,MATCH(I$2,Inputs!$K$4:$AJ$4,0))))=0,NA(),SUMPRODUCT((Inputs!$A$5:$A$140=$B64)*Inputs!$B$5:$B$140*(((Inputs!$G$5:$G$140="moeda")+(Inputs!$G$5:$G$140="acoes"))*Inputs!$B$1+((Inputs!$G$5:$G$140&lt;&gt;"moeda")*(Inputs!$G$5:$G$140&lt;&gt;"acoes")))*INDEX(Inputs!$K$5:$AJ$140,0,MATCH(I$2,Inputs!$K$4:$AJ$4,0)))+SUMPRODUCT((Inputs!$C$5:$C$140=$B64)*Inputs!$D$5:$D$140*(((Inputs!$G$5:$G$140="moeda")+(Inputs!$G$5:$G$140="acoes"))*Inputs!$B$1+((Inputs!$G$5:$G$140&lt;&gt;"moeda")*(Inputs!$G$5:$G$140&lt;&gt;"acoes")))*INDEX(Inputs!$K$5:$AJ$140,0,MATCH(I$2,Inputs!$K$4:$AJ$4,0)))+SUMPRODUCT((Inputs!$E$5:$E$140=$B64)*Inputs!$F$5:$F$140*(((Inputs!$G$5:$G$140="moeda")+(Inputs!$G$5:$G$140="acoes"))*Inputs!$B$1+((Inputs!$G$5:$G$140&lt;&gt;"moeda")*(Inputs!$G$5:$G$140&lt;&gt;"acoes")))*INDEX(Inputs!$K$5:$AJ$140,0,MATCH(I$2,Inputs!$K$4:$AJ$4,0)))))</f>
        <v>4616</v>
      </c>
      <c r="J64" s="263">
        <f>IF(ISNA(MATCH(J$2,Inputs!$K$4:$AJ$4,0)),NA(),IF(SUMPRODUCT((Inputs!$A$5:$A$140=$B64)*ISNUMBER(INDEX(Inputs!$K$5:$AJ$140,0,MATCH(J$2,Inputs!$K$4:$AJ$4,0))))+SUMPRODUCT((Inputs!$C$5:$C$140=$B64)*ISNUMBER(INDEX(Inputs!$K$5:$AJ$140,0,MATCH(J$2,Inputs!$K$4:$AJ$4,0))))+SUMPRODUCT((Inputs!$E$5:$E$140=$B64)*ISNUMBER(INDEX(Inputs!$K$5:$AJ$140,0,MATCH(J$2,Inputs!$K$4:$AJ$4,0))))=0,NA(),SUMPRODUCT((Inputs!$A$5:$A$140=$B64)*Inputs!$B$5:$B$140*(((Inputs!$G$5:$G$140="moeda")+(Inputs!$G$5:$G$140="acoes"))*Inputs!$B$1+((Inputs!$G$5:$G$140&lt;&gt;"moeda")*(Inputs!$G$5:$G$140&lt;&gt;"acoes")))*INDEX(Inputs!$K$5:$AJ$140,0,MATCH(J$2,Inputs!$K$4:$AJ$4,0)))+SUMPRODUCT((Inputs!$C$5:$C$140=$B64)*Inputs!$D$5:$D$140*(((Inputs!$G$5:$G$140="moeda")+(Inputs!$G$5:$G$140="acoes"))*Inputs!$B$1+((Inputs!$G$5:$G$140&lt;&gt;"moeda")*(Inputs!$G$5:$G$140&lt;&gt;"acoes")))*INDEX(Inputs!$K$5:$AJ$140,0,MATCH(J$2,Inputs!$K$4:$AJ$4,0)))+SUMPRODUCT((Inputs!$E$5:$E$140=$B64)*Inputs!$F$5:$F$140*(((Inputs!$G$5:$G$140="moeda")+(Inputs!$G$5:$G$140="acoes"))*Inputs!$B$1+((Inputs!$G$5:$G$140&lt;&gt;"moeda")*(Inputs!$G$5:$G$140&lt;&gt;"acoes")))*INDEX(Inputs!$K$5:$AJ$140,0,MATCH(J$2,Inputs!$K$4:$AJ$4,0)))))</f>
        <v>2797</v>
      </c>
      <c r="K64" s="263">
        <f>IF(ISNA(MATCH(K$2,Inputs!$K$4:$AJ$4,0)),NA(),IF(SUMPRODUCT((Inputs!$A$5:$A$140=$B64)*ISNUMBER(INDEX(Inputs!$K$5:$AJ$140,0,MATCH(K$2,Inputs!$K$4:$AJ$4,0))))+SUMPRODUCT((Inputs!$C$5:$C$140=$B64)*ISNUMBER(INDEX(Inputs!$K$5:$AJ$140,0,MATCH(K$2,Inputs!$K$4:$AJ$4,0))))+SUMPRODUCT((Inputs!$E$5:$E$140=$B64)*ISNUMBER(INDEX(Inputs!$K$5:$AJ$140,0,MATCH(K$2,Inputs!$K$4:$AJ$4,0))))=0,NA(),SUMPRODUCT((Inputs!$A$5:$A$140=$B64)*Inputs!$B$5:$B$140*(((Inputs!$G$5:$G$140="moeda")+(Inputs!$G$5:$G$140="acoes"))*Inputs!$B$1+((Inputs!$G$5:$G$140&lt;&gt;"moeda")*(Inputs!$G$5:$G$140&lt;&gt;"acoes")))*INDEX(Inputs!$K$5:$AJ$140,0,MATCH(K$2,Inputs!$K$4:$AJ$4,0)))+SUMPRODUCT((Inputs!$C$5:$C$140=$B64)*Inputs!$D$5:$D$140*(((Inputs!$G$5:$G$140="moeda")+(Inputs!$G$5:$G$140="acoes"))*Inputs!$B$1+((Inputs!$G$5:$G$140&lt;&gt;"moeda")*(Inputs!$G$5:$G$140&lt;&gt;"acoes")))*INDEX(Inputs!$K$5:$AJ$140,0,MATCH(K$2,Inputs!$K$4:$AJ$4,0)))+SUMPRODUCT((Inputs!$E$5:$E$140=$B64)*Inputs!$F$5:$F$140*(((Inputs!$G$5:$G$140="moeda")+(Inputs!$G$5:$G$140="acoes"))*Inputs!$B$1+((Inputs!$G$5:$G$140&lt;&gt;"moeda")*(Inputs!$G$5:$G$140&lt;&gt;"acoes")))*INDEX(Inputs!$K$5:$AJ$140,0,MATCH(K$2,Inputs!$K$4:$AJ$4,0)))))</f>
        <v>2115</v>
      </c>
      <c r="L64" s="263">
        <f>IF(ISNA(MATCH(L$2,Inputs!$K$4:$AJ$4,0)),NA(),IF(SUMPRODUCT((Inputs!$A$5:$A$140=$B64)*ISNUMBER(INDEX(Inputs!$K$5:$AJ$140,0,MATCH(L$2,Inputs!$K$4:$AJ$4,0))))+SUMPRODUCT((Inputs!$C$5:$C$140=$B64)*ISNUMBER(INDEX(Inputs!$K$5:$AJ$140,0,MATCH(L$2,Inputs!$K$4:$AJ$4,0))))+SUMPRODUCT((Inputs!$E$5:$E$140=$B64)*ISNUMBER(INDEX(Inputs!$K$5:$AJ$140,0,MATCH(L$2,Inputs!$K$4:$AJ$4,0))))=0,NA(),SUMPRODUCT((Inputs!$A$5:$A$140=$B64)*Inputs!$B$5:$B$140*(((Inputs!$G$5:$G$140="moeda")+(Inputs!$G$5:$G$140="acoes"))*Inputs!$B$1+((Inputs!$G$5:$G$140&lt;&gt;"moeda")*(Inputs!$G$5:$G$140&lt;&gt;"acoes")))*INDEX(Inputs!$K$5:$AJ$140,0,MATCH(L$2,Inputs!$K$4:$AJ$4,0)))+SUMPRODUCT((Inputs!$C$5:$C$140=$B64)*Inputs!$D$5:$D$140*(((Inputs!$G$5:$G$140="moeda")+(Inputs!$G$5:$G$140="acoes"))*Inputs!$B$1+((Inputs!$G$5:$G$140&lt;&gt;"moeda")*(Inputs!$G$5:$G$140&lt;&gt;"acoes")))*INDEX(Inputs!$K$5:$AJ$140,0,MATCH(L$2,Inputs!$K$4:$AJ$4,0)))+SUMPRODUCT((Inputs!$E$5:$E$140=$B64)*Inputs!$F$5:$F$140*(((Inputs!$G$5:$G$140="moeda")+(Inputs!$G$5:$G$140="acoes"))*Inputs!$B$1+((Inputs!$G$5:$G$140&lt;&gt;"moeda")*(Inputs!$G$5:$G$140&lt;&gt;"acoes")))*INDEX(Inputs!$K$5:$AJ$140,0,MATCH(L$2,Inputs!$K$4:$AJ$4,0)))))</f>
        <v>2378</v>
      </c>
      <c r="M64" s="264">
        <f>SUM(I64:L64)</f>
        <v>11906</v>
      </c>
      <c r="N64" s="263">
        <f>IF(ISNA(MATCH(N$2,Inputs!$K$4:$AJ$4,0)),NA(),IF(SUMPRODUCT((Inputs!$A$5:$A$140=$B64)*ISNUMBER(INDEX(Inputs!$K$5:$AJ$140,0,MATCH(N$2,Inputs!$K$4:$AJ$4,0))))+SUMPRODUCT((Inputs!$C$5:$C$140=$B64)*ISNUMBER(INDEX(Inputs!$K$5:$AJ$140,0,MATCH(N$2,Inputs!$K$4:$AJ$4,0))))+SUMPRODUCT((Inputs!$E$5:$E$140=$B64)*ISNUMBER(INDEX(Inputs!$K$5:$AJ$140,0,MATCH(N$2,Inputs!$K$4:$AJ$4,0))))=0,NA(),SUMPRODUCT((Inputs!$A$5:$A$140=$B64)*Inputs!$B$5:$B$140*(((Inputs!$G$5:$G$140="moeda")+(Inputs!$G$5:$G$140="acoes"))*Inputs!$B$1+((Inputs!$G$5:$G$140&lt;&gt;"moeda")*(Inputs!$G$5:$G$140&lt;&gt;"acoes")))*INDEX(Inputs!$K$5:$AJ$140,0,MATCH(N$2,Inputs!$K$4:$AJ$4,0)))+SUMPRODUCT((Inputs!$C$5:$C$140=$B64)*Inputs!$D$5:$D$140*(((Inputs!$G$5:$G$140="moeda")+(Inputs!$G$5:$G$140="acoes"))*Inputs!$B$1+((Inputs!$G$5:$G$140&lt;&gt;"moeda")*(Inputs!$G$5:$G$140&lt;&gt;"acoes")))*INDEX(Inputs!$K$5:$AJ$140,0,MATCH(N$2,Inputs!$K$4:$AJ$4,0)))+SUMPRODUCT((Inputs!$E$5:$E$140=$B64)*Inputs!$F$5:$F$140*(((Inputs!$G$5:$G$140="moeda")+(Inputs!$G$5:$G$140="acoes"))*Inputs!$B$1+((Inputs!$G$5:$G$140&lt;&gt;"moeda")*(Inputs!$G$5:$G$140&lt;&gt;"acoes")))*INDEX(Inputs!$K$5:$AJ$140,0,MATCH(N$2,Inputs!$K$4:$AJ$4,0)))))</f>
        <v>2732</v>
      </c>
      <c r="O64" s="263">
        <f>IF(ISNA(MATCH(O$2,Inputs!$K$4:$AJ$4,0)),NA(),IF(SUMPRODUCT((Inputs!$A$5:$A$140=$B64)*ISNUMBER(INDEX(Inputs!$K$5:$AJ$140,0,MATCH(O$2,Inputs!$K$4:$AJ$4,0))))+SUMPRODUCT((Inputs!$C$5:$C$140=$B64)*ISNUMBER(INDEX(Inputs!$K$5:$AJ$140,0,MATCH(O$2,Inputs!$K$4:$AJ$4,0))))+SUMPRODUCT((Inputs!$E$5:$E$140=$B64)*ISNUMBER(INDEX(Inputs!$K$5:$AJ$140,0,MATCH(O$2,Inputs!$K$4:$AJ$4,0))))=0,NA(),SUMPRODUCT((Inputs!$A$5:$A$140=$B64)*Inputs!$B$5:$B$140*(((Inputs!$G$5:$G$140="moeda")+(Inputs!$G$5:$G$140="acoes"))*Inputs!$B$1+((Inputs!$G$5:$G$140&lt;&gt;"moeda")*(Inputs!$G$5:$G$140&lt;&gt;"acoes")))*INDEX(Inputs!$K$5:$AJ$140,0,MATCH(O$2,Inputs!$K$4:$AJ$4,0)))+SUMPRODUCT((Inputs!$C$5:$C$140=$B64)*Inputs!$D$5:$D$140*(((Inputs!$G$5:$G$140="moeda")+(Inputs!$G$5:$G$140="acoes"))*Inputs!$B$1+((Inputs!$G$5:$G$140&lt;&gt;"moeda")*(Inputs!$G$5:$G$140&lt;&gt;"acoes")))*INDEX(Inputs!$K$5:$AJ$140,0,MATCH(O$2,Inputs!$K$4:$AJ$4,0)))+SUMPRODUCT((Inputs!$E$5:$E$140=$B64)*Inputs!$F$5:$F$140*(((Inputs!$G$5:$G$140="moeda")+(Inputs!$G$5:$G$140="acoes"))*Inputs!$B$1+((Inputs!$G$5:$G$140&lt;&gt;"moeda")*(Inputs!$G$5:$G$140&lt;&gt;"acoes")))*INDEX(Inputs!$K$5:$AJ$140,0,MATCH(O$2,Inputs!$K$4:$AJ$4,0)))))</f>
        <v>3105</v>
      </c>
      <c r="P64" s="263">
        <f>IF(ISNA(MATCH(P$2,Inputs!$K$4:$AJ$4,0)),NA(),IF(SUMPRODUCT((Inputs!$A$5:$A$140=$B64)*ISNUMBER(INDEX(Inputs!$K$5:$AJ$140,0,MATCH(P$2,Inputs!$K$4:$AJ$4,0))))+SUMPRODUCT((Inputs!$C$5:$C$140=$B64)*ISNUMBER(INDEX(Inputs!$K$5:$AJ$140,0,MATCH(P$2,Inputs!$K$4:$AJ$4,0))))+SUMPRODUCT((Inputs!$E$5:$E$140=$B64)*ISNUMBER(INDEX(Inputs!$K$5:$AJ$140,0,MATCH(P$2,Inputs!$K$4:$AJ$4,0))))=0,NA(),SUMPRODUCT((Inputs!$A$5:$A$140=$B64)*Inputs!$B$5:$B$140*(((Inputs!$G$5:$G$140="moeda")+(Inputs!$G$5:$G$140="acoes"))*Inputs!$B$1+((Inputs!$G$5:$G$140&lt;&gt;"moeda")*(Inputs!$G$5:$G$140&lt;&gt;"acoes")))*INDEX(Inputs!$K$5:$AJ$140,0,MATCH(P$2,Inputs!$K$4:$AJ$4,0)))+SUMPRODUCT((Inputs!$C$5:$C$140=$B64)*Inputs!$D$5:$D$140*(((Inputs!$G$5:$G$140="moeda")+(Inputs!$G$5:$G$140="acoes"))*Inputs!$B$1+((Inputs!$G$5:$G$140&lt;&gt;"moeda")*(Inputs!$G$5:$G$140&lt;&gt;"acoes")))*INDEX(Inputs!$K$5:$AJ$140,0,MATCH(P$2,Inputs!$K$4:$AJ$4,0)))+SUMPRODUCT((Inputs!$E$5:$E$140=$B64)*Inputs!$F$5:$F$140*(((Inputs!$G$5:$G$140="moeda")+(Inputs!$G$5:$G$140="acoes"))*Inputs!$B$1+((Inputs!$G$5:$G$140&lt;&gt;"moeda")*(Inputs!$G$5:$G$140&lt;&gt;"acoes")))*INDEX(Inputs!$K$5:$AJ$140,0,MATCH(P$2,Inputs!$K$4:$AJ$4,0)))))</f>
        <v>3475</v>
      </c>
      <c r="Q64" s="263">
        <f>IF(ISNA(MATCH(Q$2,Inputs!$K$4:$AJ$4,0)),NA(),IF(SUMPRODUCT((Inputs!$A$5:$A$140=$B64)*ISNUMBER(INDEX(Inputs!$K$5:$AJ$140,0,MATCH(Q$2,Inputs!$K$4:$AJ$4,0))))+SUMPRODUCT((Inputs!$C$5:$C$140=$B64)*ISNUMBER(INDEX(Inputs!$K$5:$AJ$140,0,MATCH(Q$2,Inputs!$K$4:$AJ$4,0))))+SUMPRODUCT((Inputs!$E$5:$E$140=$B64)*ISNUMBER(INDEX(Inputs!$K$5:$AJ$140,0,MATCH(Q$2,Inputs!$K$4:$AJ$4,0))))=0,NA(),SUMPRODUCT((Inputs!$A$5:$A$140=$B64)*Inputs!$B$5:$B$140*(((Inputs!$G$5:$G$140="moeda")+(Inputs!$G$5:$G$140="acoes"))*Inputs!$B$1+((Inputs!$G$5:$G$140&lt;&gt;"moeda")*(Inputs!$G$5:$G$140&lt;&gt;"acoes")))*INDEX(Inputs!$K$5:$AJ$140,0,MATCH(Q$2,Inputs!$K$4:$AJ$4,0)))+SUMPRODUCT((Inputs!$C$5:$C$140=$B64)*Inputs!$D$5:$D$140*(((Inputs!$G$5:$G$140="moeda")+(Inputs!$G$5:$G$140="acoes"))*Inputs!$B$1+((Inputs!$G$5:$G$140&lt;&gt;"moeda")*(Inputs!$G$5:$G$140&lt;&gt;"acoes")))*INDEX(Inputs!$K$5:$AJ$140,0,MATCH(Q$2,Inputs!$K$4:$AJ$4,0)))+SUMPRODUCT((Inputs!$E$5:$E$140=$B64)*Inputs!$F$5:$F$140*(((Inputs!$G$5:$G$140="moeda")+(Inputs!$G$5:$G$140="acoes"))*Inputs!$B$1+((Inputs!$G$5:$G$140&lt;&gt;"moeda")*(Inputs!$G$5:$G$140&lt;&gt;"acoes")))*INDEX(Inputs!$K$5:$AJ$140,0,MATCH(Q$2,Inputs!$K$4:$AJ$4,0)))))</f>
        <v>4205</v>
      </c>
      <c r="R64" s="264">
        <f>SUM(N64:Q64)</f>
        <v>13517</v>
      </c>
      <c r="S64" s="263">
        <f>IF(ISNA(MATCH(S$2,Inputs!$K$4:$AJ$4,0)),NA(),IF(SUMPRODUCT((Inputs!$A$5:$A$140=$B64)*ISNUMBER(INDEX(Inputs!$K$5:$AJ$140,0,MATCH(S$2,Inputs!$K$4:$AJ$4,0))))+SUMPRODUCT((Inputs!$C$5:$C$140=$B64)*ISNUMBER(INDEX(Inputs!$K$5:$AJ$140,0,MATCH(S$2,Inputs!$K$4:$AJ$4,0))))+SUMPRODUCT((Inputs!$E$5:$E$140=$B64)*ISNUMBER(INDEX(Inputs!$K$5:$AJ$140,0,MATCH(S$2,Inputs!$K$4:$AJ$4,0))))=0,NA(),SUMPRODUCT((Inputs!$A$5:$A$140=$B64)*Inputs!$B$5:$B$140*(((Inputs!$G$5:$G$140="moeda")+(Inputs!$G$5:$G$140="acoes"))*Inputs!$B$1+((Inputs!$G$5:$G$140&lt;&gt;"moeda")*(Inputs!$G$5:$G$140&lt;&gt;"acoes")))*INDEX(Inputs!$K$5:$AJ$140,0,MATCH(S$2,Inputs!$K$4:$AJ$4,0)))+SUMPRODUCT((Inputs!$C$5:$C$140=$B64)*Inputs!$D$5:$D$140*(((Inputs!$G$5:$G$140="moeda")+(Inputs!$G$5:$G$140="acoes"))*Inputs!$B$1+((Inputs!$G$5:$G$140&lt;&gt;"moeda")*(Inputs!$G$5:$G$140&lt;&gt;"acoes")))*INDEX(Inputs!$K$5:$AJ$140,0,MATCH(S$2,Inputs!$K$4:$AJ$4,0)))+SUMPRODUCT((Inputs!$E$5:$E$140=$B64)*Inputs!$F$5:$F$140*(((Inputs!$G$5:$G$140="moeda")+(Inputs!$G$5:$G$140="acoes"))*Inputs!$B$1+((Inputs!$G$5:$G$140&lt;&gt;"moeda")*(Inputs!$G$5:$G$140&lt;&gt;"acoes")))*INDEX(Inputs!$K$5:$AJ$140,0,MATCH(S$2,Inputs!$K$4:$AJ$4,0)))))</f>
        <v>3369</v>
      </c>
      <c r="T64" s="263">
        <f>IF(ISNA(MATCH(T$2,Inputs!$K$4:$AJ$4,0)),NA(),IF(SUMPRODUCT((Inputs!$A$5:$A$140=$B64)*ISNUMBER(INDEX(Inputs!$K$5:$AJ$140,0,MATCH(T$2,Inputs!$K$4:$AJ$4,0))))+SUMPRODUCT((Inputs!$C$5:$C$140=$B64)*ISNUMBER(INDEX(Inputs!$K$5:$AJ$140,0,MATCH(T$2,Inputs!$K$4:$AJ$4,0))))+SUMPRODUCT((Inputs!$E$5:$E$140=$B64)*ISNUMBER(INDEX(Inputs!$K$5:$AJ$140,0,MATCH(T$2,Inputs!$K$4:$AJ$4,0))))=0,NA(),SUMPRODUCT((Inputs!$A$5:$A$140=$B64)*Inputs!$B$5:$B$140*(((Inputs!$G$5:$G$140="moeda")+(Inputs!$G$5:$G$140="acoes"))*Inputs!$B$1+((Inputs!$G$5:$G$140&lt;&gt;"moeda")*(Inputs!$G$5:$G$140&lt;&gt;"acoes")))*INDEX(Inputs!$K$5:$AJ$140,0,MATCH(T$2,Inputs!$K$4:$AJ$4,0)))+SUMPRODUCT((Inputs!$C$5:$C$140=$B64)*Inputs!$D$5:$D$140*(((Inputs!$G$5:$G$140="moeda")+(Inputs!$G$5:$G$140="acoes"))*Inputs!$B$1+((Inputs!$G$5:$G$140&lt;&gt;"moeda")*(Inputs!$G$5:$G$140&lt;&gt;"acoes")))*INDEX(Inputs!$K$5:$AJ$140,0,MATCH(T$2,Inputs!$K$4:$AJ$4,0)))+SUMPRODUCT((Inputs!$E$5:$E$140=$B64)*Inputs!$F$5:$F$140*(((Inputs!$G$5:$G$140="moeda")+(Inputs!$G$5:$G$140="acoes"))*Inputs!$B$1+((Inputs!$G$5:$G$140&lt;&gt;"moeda")*(Inputs!$G$5:$G$140&lt;&gt;"acoes")))*INDEX(Inputs!$K$5:$AJ$140,0,MATCH(T$2,Inputs!$K$4:$AJ$4,0)))))</f>
        <v>3594</v>
      </c>
      <c r="U64" s="263">
        <f>IF(ISNA(MATCH(U$2,Inputs!$K$4:$AJ$4,0)),NA(),IF(SUMPRODUCT((Inputs!$A$5:$A$140=$B64)*ISNUMBER(INDEX(Inputs!$K$5:$AJ$140,0,MATCH(U$2,Inputs!$K$4:$AJ$4,0))))+SUMPRODUCT((Inputs!$C$5:$C$140=$B64)*ISNUMBER(INDEX(Inputs!$K$5:$AJ$140,0,MATCH(U$2,Inputs!$K$4:$AJ$4,0))))+SUMPRODUCT((Inputs!$E$5:$E$140=$B64)*ISNUMBER(INDEX(Inputs!$K$5:$AJ$140,0,MATCH(U$2,Inputs!$K$4:$AJ$4,0))))=0,NA(),SUMPRODUCT((Inputs!$A$5:$A$140=$B64)*Inputs!$B$5:$B$140*(((Inputs!$G$5:$G$140="moeda")+(Inputs!$G$5:$G$140="acoes"))*Inputs!$B$1+((Inputs!$G$5:$G$140&lt;&gt;"moeda")*(Inputs!$G$5:$G$140&lt;&gt;"acoes")))*INDEX(Inputs!$K$5:$AJ$140,0,MATCH(U$2,Inputs!$K$4:$AJ$4,0)))+SUMPRODUCT((Inputs!$C$5:$C$140=$B64)*Inputs!$D$5:$D$140*(((Inputs!$G$5:$G$140="moeda")+(Inputs!$G$5:$G$140="acoes"))*Inputs!$B$1+((Inputs!$G$5:$G$140&lt;&gt;"moeda")*(Inputs!$G$5:$G$140&lt;&gt;"acoes")))*INDEX(Inputs!$K$5:$AJ$140,0,MATCH(U$2,Inputs!$K$4:$AJ$4,0)))+SUMPRODUCT((Inputs!$E$5:$E$140=$B64)*Inputs!$F$5:$F$140*(((Inputs!$G$5:$G$140="moeda")+(Inputs!$G$5:$G$140="acoes"))*Inputs!$B$1+((Inputs!$G$5:$G$140&lt;&gt;"moeda")*(Inputs!$G$5:$G$140&lt;&gt;"acoes")))*INDEX(Inputs!$K$5:$AJ$140,0,MATCH(U$2,Inputs!$K$4:$AJ$4,0)))))</f>
        <v>4046</v>
      </c>
      <c r="V64" s="263">
        <f>IF(ISNA(MATCH(V$2,Inputs!$K$4:$AJ$4,0)),NA(),IF(SUMPRODUCT((Inputs!$A$5:$A$140=$B64)*ISNUMBER(INDEX(Inputs!$K$5:$AJ$140,0,MATCH(V$2,Inputs!$K$4:$AJ$4,0))))+SUMPRODUCT((Inputs!$C$5:$C$140=$B64)*ISNUMBER(INDEX(Inputs!$K$5:$AJ$140,0,MATCH(V$2,Inputs!$K$4:$AJ$4,0))))+SUMPRODUCT((Inputs!$E$5:$E$140=$B64)*ISNUMBER(INDEX(Inputs!$K$5:$AJ$140,0,MATCH(V$2,Inputs!$K$4:$AJ$4,0))))=0,NA(),SUMPRODUCT((Inputs!$A$5:$A$140=$B64)*Inputs!$B$5:$B$140*(((Inputs!$G$5:$G$140="moeda")+(Inputs!$G$5:$G$140="acoes"))*Inputs!$B$1+((Inputs!$G$5:$G$140&lt;&gt;"moeda")*(Inputs!$G$5:$G$140&lt;&gt;"acoes")))*INDEX(Inputs!$K$5:$AJ$140,0,MATCH(V$2,Inputs!$K$4:$AJ$4,0)))+SUMPRODUCT((Inputs!$C$5:$C$140=$B64)*Inputs!$D$5:$D$140*(((Inputs!$G$5:$G$140="moeda")+(Inputs!$G$5:$G$140="acoes"))*Inputs!$B$1+((Inputs!$G$5:$G$140&lt;&gt;"moeda")*(Inputs!$G$5:$G$140&lt;&gt;"acoes")))*INDEX(Inputs!$K$5:$AJ$140,0,MATCH(V$2,Inputs!$K$4:$AJ$4,0)))+SUMPRODUCT((Inputs!$E$5:$E$140=$B64)*Inputs!$F$5:$F$140*(((Inputs!$G$5:$G$140="moeda")+(Inputs!$G$5:$G$140="acoes"))*Inputs!$B$1+((Inputs!$G$5:$G$140&lt;&gt;"moeda")*(Inputs!$G$5:$G$140&lt;&gt;"acoes")))*INDEX(Inputs!$K$5:$AJ$140,0,MATCH(V$2,Inputs!$K$4:$AJ$4,0)))))</f>
        <v>3295</v>
      </c>
      <c r="W64" s="264">
        <f>SUM(S64:V64)</f>
        <v>14304</v>
      </c>
      <c r="X64" s="263">
        <f>IF(ISNA(MATCH(X$2,Inputs!$K$4:$AJ$4,0)),NA(),IF(SUMPRODUCT((Inputs!$A$5:$A$140=$B64)*ISNUMBER(INDEX(Inputs!$K$5:$AJ$140,0,MATCH(X$2,Inputs!$K$4:$AJ$4,0))))+SUMPRODUCT((Inputs!$C$5:$C$140=$B64)*ISNUMBER(INDEX(Inputs!$K$5:$AJ$140,0,MATCH(X$2,Inputs!$K$4:$AJ$4,0))))+SUMPRODUCT((Inputs!$E$5:$E$140=$B64)*ISNUMBER(INDEX(Inputs!$K$5:$AJ$140,0,MATCH(X$2,Inputs!$K$4:$AJ$4,0))))=0,NA(),SUMPRODUCT((Inputs!$A$5:$A$140=$B64)*Inputs!$B$5:$B$140*(((Inputs!$G$5:$G$140="moeda")+(Inputs!$G$5:$G$140="acoes"))*Inputs!$B$1+((Inputs!$G$5:$G$140&lt;&gt;"moeda")*(Inputs!$G$5:$G$140&lt;&gt;"acoes")))*INDEX(Inputs!$K$5:$AJ$140,0,MATCH(X$2,Inputs!$K$4:$AJ$4,0)))+SUMPRODUCT((Inputs!$C$5:$C$140=$B64)*Inputs!$D$5:$D$140*(((Inputs!$G$5:$G$140="moeda")+(Inputs!$G$5:$G$140="acoes"))*Inputs!$B$1+((Inputs!$G$5:$G$140&lt;&gt;"moeda")*(Inputs!$G$5:$G$140&lt;&gt;"acoes")))*INDEX(Inputs!$K$5:$AJ$140,0,MATCH(X$2,Inputs!$K$4:$AJ$4,0)))+SUMPRODUCT((Inputs!$E$5:$E$140=$B64)*Inputs!$F$5:$F$140*(((Inputs!$G$5:$G$140="moeda")+(Inputs!$G$5:$G$140="acoes"))*Inputs!$B$1+((Inputs!$G$5:$G$140&lt;&gt;"moeda")*(Inputs!$G$5:$G$140&lt;&gt;"acoes")))*INDEX(Inputs!$K$5:$AJ$140,0,MATCH(X$2,Inputs!$K$4:$AJ$4,0)))))</f>
        <v>4473</v>
      </c>
      <c r="Y64" s="263">
        <f>IF(ISNA(MATCH(Y$2,Inputs!$K$4:$AJ$4,0)),NA(),IF(SUMPRODUCT((Inputs!$A$5:$A$140=$B64)*ISNUMBER(INDEX(Inputs!$K$5:$AJ$140,0,MATCH(Y$2,Inputs!$K$4:$AJ$4,0))))+SUMPRODUCT((Inputs!$C$5:$C$140=$B64)*ISNUMBER(INDEX(Inputs!$K$5:$AJ$140,0,MATCH(Y$2,Inputs!$K$4:$AJ$4,0))))+SUMPRODUCT((Inputs!$E$5:$E$140=$B64)*ISNUMBER(INDEX(Inputs!$K$5:$AJ$140,0,MATCH(Y$2,Inputs!$K$4:$AJ$4,0))))=0,NA(),SUMPRODUCT((Inputs!$A$5:$A$140=$B64)*Inputs!$B$5:$B$140*(((Inputs!$G$5:$G$140="moeda")+(Inputs!$G$5:$G$140="acoes"))*Inputs!$B$1+((Inputs!$G$5:$G$140&lt;&gt;"moeda")*(Inputs!$G$5:$G$140&lt;&gt;"acoes")))*INDEX(Inputs!$K$5:$AJ$140,0,MATCH(Y$2,Inputs!$K$4:$AJ$4,0)))+SUMPRODUCT((Inputs!$C$5:$C$140=$B64)*Inputs!$D$5:$D$140*(((Inputs!$G$5:$G$140="moeda")+(Inputs!$G$5:$G$140="acoes"))*Inputs!$B$1+((Inputs!$G$5:$G$140&lt;&gt;"moeda")*(Inputs!$G$5:$G$140&lt;&gt;"acoes")))*INDEX(Inputs!$K$5:$AJ$140,0,MATCH(Y$2,Inputs!$K$4:$AJ$4,0)))+SUMPRODUCT((Inputs!$E$5:$E$140=$B64)*Inputs!$F$5:$F$140*(((Inputs!$G$5:$G$140="moeda")+(Inputs!$G$5:$G$140="acoes"))*Inputs!$B$1+((Inputs!$G$5:$G$140&lt;&gt;"moeda")*(Inputs!$G$5:$G$140&lt;&gt;"acoes")))*INDEX(Inputs!$K$5:$AJ$140,0,MATCH(Y$2,Inputs!$K$4:$AJ$4,0)))))</f>
        <v>5412</v>
      </c>
      <c r="Z64" s="263">
        <f>IF(ISNA(MATCH(Z$2,Inputs!$K$4:$AJ$4,0)),NA(),IF(SUMPRODUCT((Inputs!$A$5:$A$140=$B64)*ISNUMBER(INDEX(Inputs!$K$5:$AJ$140,0,MATCH(Z$2,Inputs!$K$4:$AJ$4,0))))+SUMPRODUCT((Inputs!$C$5:$C$140=$B64)*ISNUMBER(INDEX(Inputs!$K$5:$AJ$140,0,MATCH(Z$2,Inputs!$K$4:$AJ$4,0))))+SUMPRODUCT((Inputs!$E$5:$E$140=$B64)*ISNUMBER(INDEX(Inputs!$K$5:$AJ$140,0,MATCH(Z$2,Inputs!$K$4:$AJ$4,0))))=0,NA(),SUMPRODUCT((Inputs!$A$5:$A$140=$B64)*Inputs!$B$5:$B$140*(((Inputs!$G$5:$G$140="moeda")+(Inputs!$G$5:$G$140="acoes"))*Inputs!$B$1+((Inputs!$G$5:$G$140&lt;&gt;"moeda")*(Inputs!$G$5:$G$140&lt;&gt;"acoes")))*INDEX(Inputs!$K$5:$AJ$140,0,MATCH(Z$2,Inputs!$K$4:$AJ$4,0)))+SUMPRODUCT((Inputs!$C$5:$C$140=$B64)*Inputs!$D$5:$D$140*(((Inputs!$G$5:$G$140="moeda")+(Inputs!$G$5:$G$140="acoes"))*Inputs!$B$1+((Inputs!$G$5:$G$140&lt;&gt;"moeda")*(Inputs!$G$5:$G$140&lt;&gt;"acoes")))*INDEX(Inputs!$K$5:$AJ$140,0,MATCH(Z$2,Inputs!$K$4:$AJ$4,0)))+SUMPRODUCT((Inputs!$E$5:$E$140=$B64)*Inputs!$F$5:$F$140*(((Inputs!$G$5:$G$140="moeda")+(Inputs!$G$5:$G$140="acoes"))*Inputs!$B$1+((Inputs!$G$5:$G$140&lt;&gt;"moeda")*(Inputs!$G$5:$G$140&lt;&gt;"acoes")))*INDEX(Inputs!$K$5:$AJ$140,0,MATCH(Z$2,Inputs!$K$4:$AJ$4,0)))))</f>
        <v>6098</v>
      </c>
      <c r="AA64" s="263">
        <f>IF(ISNA(MATCH(AA$2,Inputs!$K$4:$AJ$4,0)),NA(),IF(SUMPRODUCT((Inputs!$A$5:$A$140=$B64)*ISNUMBER(INDEX(Inputs!$K$5:$AJ$140,0,MATCH(AA$2,Inputs!$K$4:$AJ$4,0))))+SUMPRODUCT((Inputs!$C$5:$C$140=$B64)*ISNUMBER(INDEX(Inputs!$K$5:$AJ$140,0,MATCH(AA$2,Inputs!$K$4:$AJ$4,0))))+SUMPRODUCT((Inputs!$E$5:$E$140=$B64)*ISNUMBER(INDEX(Inputs!$K$5:$AJ$140,0,MATCH(AA$2,Inputs!$K$4:$AJ$4,0))))=0,NA(),SUMPRODUCT((Inputs!$A$5:$A$140=$B64)*Inputs!$B$5:$B$140*(((Inputs!$G$5:$G$140="moeda")+(Inputs!$G$5:$G$140="acoes"))*Inputs!$B$1+((Inputs!$G$5:$G$140&lt;&gt;"moeda")*(Inputs!$G$5:$G$140&lt;&gt;"acoes")))*INDEX(Inputs!$K$5:$AJ$140,0,MATCH(AA$2,Inputs!$K$4:$AJ$4,0)))+SUMPRODUCT((Inputs!$C$5:$C$140=$B64)*Inputs!$D$5:$D$140*(((Inputs!$G$5:$G$140="moeda")+(Inputs!$G$5:$G$140="acoes"))*Inputs!$B$1+((Inputs!$G$5:$G$140&lt;&gt;"moeda")*(Inputs!$G$5:$G$140&lt;&gt;"acoes")))*INDEX(Inputs!$K$5:$AJ$140,0,MATCH(AA$2,Inputs!$K$4:$AJ$4,0)))+SUMPRODUCT((Inputs!$E$5:$E$140=$B64)*Inputs!$F$5:$F$140*(((Inputs!$G$5:$G$140="moeda")+(Inputs!$G$5:$G$140="acoes"))*Inputs!$B$1+((Inputs!$G$5:$G$140&lt;&gt;"moeda")*(Inputs!$G$5:$G$140&lt;&gt;"acoes")))*INDEX(Inputs!$K$5:$AJ$140,0,MATCH(AA$2,Inputs!$K$4:$AJ$4,0)))))</f>
        <v>6476</v>
      </c>
      <c r="AB64" s="264">
        <f>SUM(X64:AA64)</f>
        <v>22459</v>
      </c>
      <c r="AC64" s="263">
        <f>IF(ISNA(MATCH(AC$2,Inputs!$K$4:$AJ$4,0)),NA(),IF(SUMPRODUCT((Inputs!$A$5:$A$140=$B64)*ISNUMBER(INDEX(Inputs!$K$5:$AJ$140,0,MATCH(AC$2,Inputs!$K$4:$AJ$4,0))))+SUMPRODUCT((Inputs!$C$5:$C$140=$B64)*ISNUMBER(INDEX(Inputs!$K$5:$AJ$140,0,MATCH(AC$2,Inputs!$K$4:$AJ$4,0))))+SUMPRODUCT((Inputs!$E$5:$E$140=$B64)*ISNUMBER(INDEX(Inputs!$K$5:$AJ$140,0,MATCH(AC$2,Inputs!$K$4:$AJ$4,0))))=0,NA(),SUMPRODUCT((Inputs!$A$5:$A$140=$B64)*Inputs!$B$5:$B$140*(((Inputs!$G$5:$G$140="moeda")+(Inputs!$G$5:$G$140="acoes"))*Inputs!$B$1+((Inputs!$G$5:$G$140&lt;&gt;"moeda")*(Inputs!$G$5:$G$140&lt;&gt;"acoes")))*INDEX(Inputs!$K$5:$AJ$140,0,MATCH(AC$2,Inputs!$K$4:$AJ$4,0)))+SUMPRODUCT((Inputs!$C$5:$C$140=$B64)*Inputs!$D$5:$D$140*(((Inputs!$G$5:$G$140="moeda")+(Inputs!$G$5:$G$140="acoes"))*Inputs!$B$1+((Inputs!$G$5:$G$140&lt;&gt;"moeda")*(Inputs!$G$5:$G$140&lt;&gt;"acoes")))*INDEX(Inputs!$K$5:$AJ$140,0,MATCH(AC$2,Inputs!$K$4:$AJ$4,0)))+SUMPRODUCT((Inputs!$E$5:$E$140=$B64)*Inputs!$F$5:$F$140*(((Inputs!$G$5:$G$140="moeda")+(Inputs!$G$5:$G$140="acoes"))*Inputs!$B$1+((Inputs!$G$5:$G$140&lt;&gt;"moeda")*(Inputs!$G$5:$G$140&lt;&gt;"acoes")))*INDEX(Inputs!$K$5:$AJ$140,0,MATCH(AC$2,Inputs!$K$4:$AJ$4,0)))))</f>
        <v>7065</v>
      </c>
      <c r="AD64" s="263">
        <f>IF(ISNA(MATCH(AD$2,Inputs!$K$4:$AJ$4,0)),NA(),IF(SUMPRODUCT((Inputs!$A$5:$A$140=$B64)*ISNUMBER(INDEX(Inputs!$K$5:$AJ$140,0,MATCH(AD$2,Inputs!$K$4:$AJ$4,0))))+SUMPRODUCT((Inputs!$C$5:$C$140=$B64)*ISNUMBER(INDEX(Inputs!$K$5:$AJ$140,0,MATCH(AD$2,Inputs!$K$4:$AJ$4,0))))+SUMPRODUCT((Inputs!$E$5:$E$140=$B64)*ISNUMBER(INDEX(Inputs!$K$5:$AJ$140,0,MATCH(AD$2,Inputs!$K$4:$AJ$4,0))))=0,NA(),SUMPRODUCT((Inputs!$A$5:$A$140=$B64)*Inputs!$B$5:$B$140*(((Inputs!$G$5:$G$140="moeda")+(Inputs!$G$5:$G$140="acoes"))*Inputs!$B$1+((Inputs!$G$5:$G$140&lt;&gt;"moeda")*(Inputs!$G$5:$G$140&lt;&gt;"acoes")))*INDEX(Inputs!$K$5:$AJ$140,0,MATCH(AD$2,Inputs!$K$4:$AJ$4,0)))+SUMPRODUCT((Inputs!$C$5:$C$140=$B64)*Inputs!$D$5:$D$140*(((Inputs!$G$5:$G$140="moeda")+(Inputs!$G$5:$G$140="acoes"))*Inputs!$B$1+((Inputs!$G$5:$G$140&lt;&gt;"moeda")*(Inputs!$G$5:$G$140&lt;&gt;"acoes")))*INDEX(Inputs!$K$5:$AJ$140,0,MATCH(AD$2,Inputs!$K$4:$AJ$4,0)))+SUMPRODUCT((Inputs!$E$5:$E$140=$B64)*Inputs!$F$5:$F$140*(((Inputs!$G$5:$G$140="moeda")+(Inputs!$G$5:$G$140="acoes"))*Inputs!$B$1+((Inputs!$G$5:$G$140&lt;&gt;"moeda")*(Inputs!$G$5:$G$140&lt;&gt;"acoes")))*INDEX(Inputs!$K$5:$AJ$140,0,MATCH(AD$2,Inputs!$K$4:$AJ$4,0)))))</f>
        <v>7922</v>
      </c>
      <c r="AE64" s="263" t="e">
        <f>IF(ISNA(MATCH(AE$2,Inputs!$K$4:$AJ$4,0)),NA(),IF(SUMPRODUCT((Inputs!$A$5:$A$140=$B64)*ISNUMBER(INDEX(Inputs!$K$5:$AJ$140,0,MATCH(AE$2,Inputs!$K$4:$AJ$4,0))))+SUMPRODUCT((Inputs!$C$5:$C$140=$B64)*ISNUMBER(INDEX(Inputs!$K$5:$AJ$140,0,MATCH(AE$2,Inputs!$K$4:$AJ$4,0))))+SUMPRODUCT((Inputs!$E$5:$E$140=$B64)*ISNUMBER(INDEX(Inputs!$K$5:$AJ$140,0,MATCH(AE$2,Inputs!$K$4:$AJ$4,0))))=0,NA(),SUMPRODUCT((Inputs!$A$5:$A$140=$B64)*Inputs!$B$5:$B$140*(((Inputs!$G$5:$G$140="moeda")+(Inputs!$G$5:$G$140="acoes"))*Inputs!$B$1+((Inputs!$G$5:$G$140&lt;&gt;"moeda")*(Inputs!$G$5:$G$140&lt;&gt;"acoes")))*INDEX(Inputs!$K$5:$AJ$140,0,MATCH(AE$2,Inputs!$K$4:$AJ$4,0)))+SUMPRODUCT((Inputs!$C$5:$C$140=$B64)*Inputs!$D$5:$D$140*(((Inputs!$G$5:$G$140="moeda")+(Inputs!$G$5:$G$140="acoes"))*Inputs!$B$1+((Inputs!$G$5:$G$140&lt;&gt;"moeda")*(Inputs!$G$5:$G$140&lt;&gt;"acoes")))*INDEX(Inputs!$K$5:$AJ$140,0,MATCH(AE$2,Inputs!$K$4:$AJ$4,0)))+SUMPRODUCT((Inputs!$E$5:$E$140=$B64)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64" s="263" t="e">
        <f>IF(ISNA(MATCH(AF$2,Inputs!$K$4:$AJ$4,0)),NA(),IF(SUMPRODUCT((Inputs!$A$5:$A$140=$B64)*ISNUMBER(INDEX(Inputs!$K$5:$AJ$140,0,MATCH(AF$2,Inputs!$K$4:$AJ$4,0))))+SUMPRODUCT((Inputs!$C$5:$C$140=$B64)*ISNUMBER(INDEX(Inputs!$K$5:$AJ$140,0,MATCH(AF$2,Inputs!$K$4:$AJ$4,0))))+SUMPRODUCT((Inputs!$E$5:$E$140=$B64)*ISNUMBER(INDEX(Inputs!$K$5:$AJ$140,0,MATCH(AF$2,Inputs!$K$4:$AJ$4,0))))=0,NA(),SUMPRODUCT((Inputs!$A$5:$A$140=$B64)*Inputs!$B$5:$B$140*(((Inputs!$G$5:$G$140="moeda")+(Inputs!$G$5:$G$140="acoes"))*Inputs!$B$1+((Inputs!$G$5:$G$140&lt;&gt;"moeda")*(Inputs!$G$5:$G$140&lt;&gt;"acoes")))*INDEX(Inputs!$K$5:$AJ$140,0,MATCH(AF$2,Inputs!$K$4:$AJ$4,0)))+SUMPRODUCT((Inputs!$C$5:$C$140=$B64)*Inputs!$D$5:$D$140*(((Inputs!$G$5:$G$140="moeda")+(Inputs!$G$5:$G$140="acoes"))*Inputs!$B$1+((Inputs!$G$5:$G$140&lt;&gt;"moeda")*(Inputs!$G$5:$G$140&lt;&gt;"acoes")))*INDEX(Inputs!$K$5:$AJ$140,0,MATCH(AF$2,Inputs!$K$4:$AJ$4,0)))+SUMPRODUCT((Inputs!$E$5:$E$140=$B64)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64" s="264" t="e">
        <f>SUM(AC64:AF64)</f>
        <v>#N/A</v>
      </c>
      <c r="AH64" s="263">
        <f>IF(ISNA(MATCH(AH$2,Inputs!$K$4:$AJ$4,0)),NA(),IF(SUMPRODUCT((Inputs!$A$5:$A$140=$B64)*ISNUMBER(INDEX(Inputs!$K$5:$AJ$140,0,MATCH(AH$2,Inputs!$K$4:$AJ$4,0))))+SUMPRODUCT((Inputs!$C$5:$C$140=$B64)*ISNUMBER(INDEX(Inputs!$K$5:$AJ$140,0,MATCH(AH$2,Inputs!$K$4:$AJ$4,0))))+SUMPRODUCT((Inputs!$E$5:$E$140=$B64)*ISNUMBER(INDEX(Inputs!$K$5:$AJ$140,0,MATCH(AH$2,Inputs!$K$4:$AJ$4,0))))=0,NA(),SUMPRODUCT((Inputs!$A$5:$A$140=$B64)*Inputs!$B$5:$B$140*(((Inputs!$G$5:$G$140="moeda")+(Inputs!$G$5:$G$140="acoes"))*Inputs!$B$1+((Inputs!$G$5:$G$140&lt;&gt;"moeda")*(Inputs!$G$5:$G$140&lt;&gt;"acoes")))*INDEX(Inputs!$K$5:$AJ$140,0,MATCH(AH$2,Inputs!$K$4:$AJ$4,0)))+SUMPRODUCT((Inputs!$C$5:$C$140=$B64)*Inputs!$D$5:$D$140*(((Inputs!$G$5:$G$140="moeda")+(Inputs!$G$5:$G$140="acoes"))*Inputs!$B$1+((Inputs!$G$5:$G$140&lt;&gt;"moeda")*(Inputs!$G$5:$G$140&lt;&gt;"acoes")))*INDEX(Inputs!$K$5:$AJ$140,0,MATCH(AH$2,Inputs!$K$4:$AJ$4,0)))+SUMPRODUCT((Inputs!$E$5:$E$140=$B64)*Inputs!$F$5:$F$140*(((Inputs!$G$5:$G$140="moeda")+(Inputs!$G$5:$G$140="acoes"))*Inputs!$B$1+((Inputs!$G$5:$G$140&lt;&gt;"moeda")*(Inputs!$G$5:$G$140&lt;&gt;"acoes")))*INDEX(Inputs!$K$5:$AJ$140,0,MATCH(AH$2,Inputs!$K$4:$AJ$4,0)))))</f>
        <v>1906</v>
      </c>
      <c r="AI64" s="263">
        <f>IF(ISNA(MATCH(AI$2,Inputs!$K$4:$AJ$4,0)),NA(),IF(SUMPRODUCT((Inputs!$A$5:$A$140=$B64)*ISNUMBER(INDEX(Inputs!$K$5:$AJ$140,0,MATCH(AI$2,Inputs!$K$4:$AJ$4,0))))+SUMPRODUCT((Inputs!$C$5:$C$140=$B64)*ISNUMBER(INDEX(Inputs!$K$5:$AJ$140,0,MATCH(AI$2,Inputs!$K$4:$AJ$4,0))))+SUMPRODUCT((Inputs!$E$5:$E$140=$B64)*ISNUMBER(INDEX(Inputs!$K$5:$AJ$140,0,MATCH(AI$2,Inputs!$K$4:$AJ$4,0))))=0,NA(),SUMPRODUCT((Inputs!$A$5:$A$140=$B64)*Inputs!$B$5:$B$140*(((Inputs!$G$5:$G$140="moeda")+(Inputs!$G$5:$G$140="acoes"))*Inputs!$B$1+((Inputs!$G$5:$G$140&lt;&gt;"moeda")*(Inputs!$G$5:$G$140&lt;&gt;"acoes")))*INDEX(Inputs!$K$5:$AJ$140,0,MATCH(AI$2,Inputs!$K$4:$AJ$4,0)))+SUMPRODUCT((Inputs!$C$5:$C$140=$B64)*Inputs!$D$5:$D$140*(((Inputs!$G$5:$G$140="moeda")+(Inputs!$G$5:$G$140="acoes"))*Inputs!$B$1+((Inputs!$G$5:$G$140&lt;&gt;"moeda")*(Inputs!$G$5:$G$140&lt;&gt;"acoes")))*INDEX(Inputs!$K$5:$AJ$140,0,MATCH(AI$2,Inputs!$K$4:$AJ$4,0)))+SUMPRODUCT((Inputs!$E$5:$E$140=$B64)*Inputs!$F$5:$F$140*(((Inputs!$G$5:$G$140="moeda")+(Inputs!$G$5:$G$140="acoes"))*Inputs!$B$1+((Inputs!$G$5:$G$140&lt;&gt;"moeda")*(Inputs!$G$5:$G$140&lt;&gt;"acoes")))*INDEX(Inputs!$K$5:$AJ$140,0,MATCH(AI$2,Inputs!$K$4:$AJ$4,0)))))</f>
        <v>2085</v>
      </c>
      <c r="AJ64" s="263">
        <f>IF(ISNA(MATCH(AJ$2,Inputs!$K$4:$AJ$4,0)),NA(),IF(SUMPRODUCT((Inputs!$A$5:$A$140=$B64)*ISNUMBER(INDEX(Inputs!$K$5:$AJ$140,0,MATCH(AJ$2,Inputs!$K$4:$AJ$4,0))))+SUMPRODUCT((Inputs!$C$5:$C$140=$B64)*ISNUMBER(INDEX(Inputs!$K$5:$AJ$140,0,MATCH(AJ$2,Inputs!$K$4:$AJ$4,0))))+SUMPRODUCT((Inputs!$E$5:$E$140=$B64)*ISNUMBER(INDEX(Inputs!$K$5:$AJ$140,0,MATCH(AJ$2,Inputs!$K$4:$AJ$4,0))))=0,NA(),SUMPRODUCT((Inputs!$A$5:$A$140=$B64)*Inputs!$B$5:$B$140*(((Inputs!$G$5:$G$140="moeda")+(Inputs!$G$5:$G$140="acoes"))*Inputs!$B$1+((Inputs!$G$5:$G$140&lt;&gt;"moeda")*(Inputs!$G$5:$G$140&lt;&gt;"acoes")))*INDEX(Inputs!$K$5:$AJ$140,0,MATCH(AJ$2,Inputs!$K$4:$AJ$4,0)))+SUMPRODUCT((Inputs!$C$5:$C$140=$B64)*Inputs!$D$5:$D$140*(((Inputs!$G$5:$G$140="moeda")+(Inputs!$G$5:$G$140="acoes"))*Inputs!$B$1+((Inputs!$G$5:$G$140&lt;&gt;"moeda")*(Inputs!$G$5:$G$140&lt;&gt;"acoes")))*INDEX(Inputs!$K$5:$AJ$140,0,MATCH(AJ$2,Inputs!$K$4:$AJ$4,0)))+SUMPRODUCT((Inputs!$E$5:$E$140=$B64)*Inputs!$F$5:$F$140*(((Inputs!$G$5:$G$140="moeda")+(Inputs!$G$5:$G$140="acoes"))*Inputs!$B$1+((Inputs!$G$5:$G$140&lt;&gt;"moeda")*(Inputs!$G$5:$G$140&lt;&gt;"acoes")))*INDEX(Inputs!$K$5:$AJ$140,0,MATCH(AJ$2,Inputs!$K$4:$AJ$4,0)))))</f>
        <v>2787</v>
      </c>
      <c r="AK64" s="263">
        <f>IF(ISNA(MATCH(AK$2,Inputs!$K$4:$AJ$4,0)),NA(),IF(SUMPRODUCT((Inputs!$A$5:$A$140=$B64)*ISNUMBER(INDEX(Inputs!$K$5:$AJ$140,0,MATCH(AK$2,Inputs!$K$4:$AJ$4,0))))+SUMPRODUCT((Inputs!$C$5:$C$140=$B64)*ISNUMBER(INDEX(Inputs!$K$5:$AJ$140,0,MATCH(AK$2,Inputs!$K$4:$AJ$4,0))))+SUMPRODUCT((Inputs!$E$5:$E$140=$B64)*ISNUMBER(INDEX(Inputs!$K$5:$AJ$140,0,MATCH(AK$2,Inputs!$K$4:$AJ$4,0))))=0,NA(),SUMPRODUCT((Inputs!$A$5:$A$140=$B64)*Inputs!$B$5:$B$140*(((Inputs!$G$5:$G$140="moeda")+(Inputs!$G$5:$G$140="acoes"))*Inputs!$B$1+((Inputs!$G$5:$G$140&lt;&gt;"moeda")*(Inputs!$G$5:$G$140&lt;&gt;"acoes")))*INDEX(Inputs!$K$5:$AJ$140,0,MATCH(AK$2,Inputs!$K$4:$AJ$4,0)))+SUMPRODUCT((Inputs!$C$5:$C$140=$B64)*Inputs!$D$5:$D$140*(((Inputs!$G$5:$G$140="moeda")+(Inputs!$G$5:$G$140="acoes"))*Inputs!$B$1+((Inputs!$G$5:$G$140&lt;&gt;"moeda")*(Inputs!$G$5:$G$140&lt;&gt;"acoes")))*INDEX(Inputs!$K$5:$AJ$140,0,MATCH(AK$2,Inputs!$K$4:$AJ$4,0)))+SUMPRODUCT((Inputs!$E$5:$E$140=$B64)*Inputs!$F$5:$F$140*(((Inputs!$G$5:$G$140="moeda")+(Inputs!$G$5:$G$140="acoes"))*Inputs!$B$1+((Inputs!$G$5:$G$140&lt;&gt;"moeda")*(Inputs!$G$5:$G$140&lt;&gt;"acoes")))*INDEX(Inputs!$K$5:$AJ$140,0,MATCH(AK$2,Inputs!$K$4:$AJ$4,0)))))</f>
        <v>3056</v>
      </c>
      <c r="AL64" s="264">
        <f>SUM(AH64:AK64)</f>
        <v>9834</v>
      </c>
    </row>
    <row r="65">
      <c r="B65" s="46" t="n">
        <v>57</v>
      </c>
      <c r="C65" s="29" t="inlineStr">
        <is>
          <t>Segmento Compute &amp; Networking - lucro operacional (USD)</t>
        </is>
      </c>
      <c r="D65" s="263">
        <f>IF(ISNA(MATCH(D$2,Inputs!$K$4:$AJ$4,0)),NA(),IF(SUMPRODUCT((Inputs!$A$5:$A$140=$B65)*ISNUMBER(INDEX(Inputs!$K$5:$AJ$140,0,MATCH(D$2,Inputs!$K$4:$AJ$4,0))))+SUMPRODUCT((Inputs!$C$5:$C$140=$B65)*ISNUMBER(INDEX(Inputs!$K$5:$AJ$140,0,MATCH(D$2,Inputs!$K$4:$AJ$4,0))))+SUMPRODUCT((Inputs!$E$5:$E$140=$B65)*ISNUMBER(INDEX(Inputs!$K$5:$AJ$140,0,MATCH(D$2,Inputs!$K$4:$AJ$4,0))))=0,NA(),SUMPRODUCT((Inputs!$A$5:$A$140=$B65)*Inputs!$B$5:$B$140*(((Inputs!$G$5:$G$140="moeda")+(Inputs!$G$5:$G$140="acoes"))*Inputs!$B$1+((Inputs!$G$5:$G$140&lt;&gt;"moeda")*(Inputs!$G$5:$G$140&lt;&gt;"acoes")))*INDEX(Inputs!$K$5:$AJ$140,0,MATCH(D$2,Inputs!$K$4:$AJ$4,0)))+SUMPRODUCT((Inputs!$C$5:$C$140=$B65)*Inputs!$D$5:$D$140*(((Inputs!$G$5:$G$140="moeda")+(Inputs!$G$5:$G$140="acoes"))*Inputs!$B$1+((Inputs!$G$5:$G$140&lt;&gt;"moeda")*(Inputs!$G$5:$G$140&lt;&gt;"acoes")))*INDEX(Inputs!$K$5:$AJ$140,0,MATCH(D$2,Inputs!$K$4:$AJ$4,0)))+SUMPRODUCT((Inputs!$E$5:$E$140=$B65)*Inputs!$F$5:$F$140*(((Inputs!$G$5:$G$140="moeda")+(Inputs!$G$5:$G$140="acoes"))*Inputs!$B$1+((Inputs!$G$5:$G$140&lt;&gt;"moeda")*(Inputs!$G$5:$G$140&lt;&gt;"acoes")))*INDEX(Inputs!$K$5:$AJ$140,0,MATCH(D$2,Inputs!$K$4:$AJ$4,0)))))</f>
        <v>861</v>
      </c>
      <c r="E65" s="263">
        <f>IF(ISNA(MATCH(E$2,Inputs!$K$4:$AJ$4,0)),NA(),IF(SUMPRODUCT((Inputs!$A$5:$A$140=$B65)*ISNUMBER(INDEX(Inputs!$K$5:$AJ$140,0,MATCH(E$2,Inputs!$K$4:$AJ$4,0))))+SUMPRODUCT((Inputs!$C$5:$C$140=$B65)*ISNUMBER(INDEX(Inputs!$K$5:$AJ$140,0,MATCH(E$2,Inputs!$K$4:$AJ$4,0))))+SUMPRODUCT((Inputs!$E$5:$E$140=$B65)*ISNUMBER(INDEX(Inputs!$K$5:$AJ$140,0,MATCH(E$2,Inputs!$K$4:$AJ$4,0))))=0,NA(),SUMPRODUCT((Inputs!$A$5:$A$140=$B65)*Inputs!$B$5:$B$140*(((Inputs!$G$5:$G$140="moeda")+(Inputs!$G$5:$G$140="acoes"))*Inputs!$B$1+((Inputs!$G$5:$G$140&lt;&gt;"moeda")*(Inputs!$G$5:$G$140&lt;&gt;"acoes")))*INDEX(Inputs!$K$5:$AJ$140,0,MATCH(E$2,Inputs!$K$4:$AJ$4,0)))+SUMPRODUCT((Inputs!$C$5:$C$140=$B65)*Inputs!$D$5:$D$140*(((Inputs!$G$5:$G$140="moeda")+(Inputs!$G$5:$G$140="acoes"))*Inputs!$B$1+((Inputs!$G$5:$G$140&lt;&gt;"moeda")*(Inputs!$G$5:$G$140&lt;&gt;"acoes")))*INDEX(Inputs!$K$5:$AJ$140,0,MATCH(E$2,Inputs!$K$4:$AJ$4,0)))+SUMPRODUCT((Inputs!$E$5:$E$140=$B65)*Inputs!$F$5:$F$140*(((Inputs!$G$5:$G$140="moeda")+(Inputs!$G$5:$G$140="acoes"))*Inputs!$B$1+((Inputs!$G$5:$G$140&lt;&gt;"moeda")*(Inputs!$G$5:$G$140&lt;&gt;"acoes")))*INDEX(Inputs!$K$5:$AJ$140,0,MATCH(E$2,Inputs!$K$4:$AJ$4,0)))))</f>
        <v>1034</v>
      </c>
      <c r="F65" s="263">
        <f>IF(ISNA(MATCH(F$2,Inputs!$K$4:$AJ$4,0)),NA(),IF(SUMPRODUCT((Inputs!$A$5:$A$140=$B65)*ISNUMBER(INDEX(Inputs!$K$5:$AJ$140,0,MATCH(F$2,Inputs!$K$4:$AJ$4,0))))+SUMPRODUCT((Inputs!$C$5:$C$140=$B65)*ISNUMBER(INDEX(Inputs!$K$5:$AJ$140,0,MATCH(F$2,Inputs!$K$4:$AJ$4,0))))+SUMPRODUCT((Inputs!$E$5:$E$140=$B65)*ISNUMBER(INDEX(Inputs!$K$5:$AJ$140,0,MATCH(F$2,Inputs!$K$4:$AJ$4,0))))=0,NA(),SUMPRODUCT((Inputs!$A$5:$A$140=$B65)*Inputs!$B$5:$B$140*(((Inputs!$G$5:$G$140="moeda")+(Inputs!$G$5:$G$140="acoes"))*Inputs!$B$1+((Inputs!$G$5:$G$140&lt;&gt;"moeda")*(Inputs!$G$5:$G$140&lt;&gt;"acoes")))*INDEX(Inputs!$K$5:$AJ$140,0,MATCH(F$2,Inputs!$K$4:$AJ$4,0)))+SUMPRODUCT((Inputs!$C$5:$C$140=$B65)*Inputs!$D$5:$D$140*(((Inputs!$G$5:$G$140="moeda")+(Inputs!$G$5:$G$140="acoes"))*Inputs!$B$1+((Inputs!$G$5:$G$140&lt;&gt;"moeda")*(Inputs!$G$5:$G$140&lt;&gt;"acoes")))*INDEX(Inputs!$K$5:$AJ$140,0,MATCH(F$2,Inputs!$K$4:$AJ$4,0)))+SUMPRODUCT((Inputs!$E$5:$E$140=$B65)*Inputs!$F$5:$F$140*(((Inputs!$G$5:$G$140="moeda")+(Inputs!$G$5:$G$140="acoes"))*Inputs!$B$1+((Inputs!$G$5:$G$140&lt;&gt;"moeda")*(Inputs!$G$5:$G$140&lt;&gt;"acoes")))*INDEX(Inputs!$K$5:$AJ$140,0,MATCH(F$2,Inputs!$K$4:$AJ$4,0)))))</f>
        <v>1332</v>
      </c>
      <c r="G65" s="263">
        <f>IF(ISNA(MATCH(G$2,Inputs!$K$4:$AJ$4,0)),NA(),IF(SUMPRODUCT((Inputs!$A$5:$A$140=$B65)*ISNUMBER(INDEX(Inputs!$K$5:$AJ$140,0,MATCH(G$2,Inputs!$K$4:$AJ$4,0))))+SUMPRODUCT((Inputs!$C$5:$C$140=$B65)*ISNUMBER(INDEX(Inputs!$K$5:$AJ$140,0,MATCH(G$2,Inputs!$K$4:$AJ$4,0))))+SUMPRODUCT((Inputs!$E$5:$E$140=$B65)*ISNUMBER(INDEX(Inputs!$K$5:$AJ$140,0,MATCH(G$2,Inputs!$K$4:$AJ$4,0))))=0,NA(),SUMPRODUCT((Inputs!$A$5:$A$140=$B65)*Inputs!$B$5:$B$140*(((Inputs!$G$5:$G$140="moeda")+(Inputs!$G$5:$G$140="acoes"))*Inputs!$B$1+((Inputs!$G$5:$G$140&lt;&gt;"moeda")*(Inputs!$G$5:$G$140&lt;&gt;"acoes")))*INDEX(Inputs!$K$5:$AJ$140,0,MATCH(G$2,Inputs!$K$4:$AJ$4,0)))+SUMPRODUCT((Inputs!$C$5:$C$140=$B65)*Inputs!$D$5:$D$140*(((Inputs!$G$5:$G$140="moeda")+(Inputs!$G$5:$G$140="acoes"))*Inputs!$B$1+((Inputs!$G$5:$G$140&lt;&gt;"moeda")*(Inputs!$G$5:$G$140&lt;&gt;"acoes")))*INDEX(Inputs!$K$5:$AJ$140,0,MATCH(G$2,Inputs!$K$4:$AJ$4,0)))+SUMPRODUCT((Inputs!$E$5:$E$140=$B65)*Inputs!$F$5:$F$140*(((Inputs!$G$5:$G$140="moeda")+(Inputs!$G$5:$G$140="acoes"))*Inputs!$B$1+((Inputs!$G$5:$G$140&lt;&gt;"moeda")*(Inputs!$G$5:$G$140&lt;&gt;"acoes")))*INDEX(Inputs!$K$5:$AJ$140,0,MATCH(G$2,Inputs!$K$4:$AJ$4,0)))))</f>
        <v>1371</v>
      </c>
      <c r="H65" s="264">
        <f>SUM(D65:G65)</f>
        <v>4598</v>
      </c>
      <c r="I65" s="263">
        <f>IF(ISNA(MATCH(I$2,Inputs!$K$4:$AJ$4,0)),NA(),IF(SUMPRODUCT((Inputs!$A$5:$A$140=$B65)*ISNUMBER(INDEX(Inputs!$K$5:$AJ$140,0,MATCH(I$2,Inputs!$K$4:$AJ$4,0))))+SUMPRODUCT((Inputs!$C$5:$C$140=$B65)*ISNUMBER(INDEX(Inputs!$K$5:$AJ$140,0,MATCH(I$2,Inputs!$K$4:$AJ$4,0))))+SUMPRODUCT((Inputs!$E$5:$E$140=$B65)*ISNUMBER(INDEX(Inputs!$K$5:$AJ$140,0,MATCH(I$2,Inputs!$K$4:$AJ$4,0))))=0,NA(),SUMPRODUCT((Inputs!$A$5:$A$140=$B65)*Inputs!$B$5:$B$140*(((Inputs!$G$5:$G$140="moeda")+(Inputs!$G$5:$G$140="acoes"))*Inputs!$B$1+((Inputs!$G$5:$G$140&lt;&gt;"moeda")*(Inputs!$G$5:$G$140&lt;&gt;"acoes")))*INDEX(Inputs!$K$5:$AJ$140,0,MATCH(I$2,Inputs!$K$4:$AJ$4,0)))+SUMPRODUCT((Inputs!$C$5:$C$140=$B65)*Inputs!$D$5:$D$140*(((Inputs!$G$5:$G$140="moeda")+(Inputs!$G$5:$G$140="acoes"))*Inputs!$B$1+((Inputs!$G$5:$G$140&lt;&gt;"moeda")*(Inputs!$G$5:$G$140&lt;&gt;"acoes")))*INDEX(Inputs!$K$5:$AJ$140,0,MATCH(I$2,Inputs!$K$4:$AJ$4,0)))+SUMPRODUCT((Inputs!$E$5:$E$140=$B65)*Inputs!$F$5:$F$140*(((Inputs!$G$5:$G$140="moeda")+(Inputs!$G$5:$G$140="acoes"))*Inputs!$B$1+((Inputs!$G$5:$G$140&lt;&gt;"moeda")*(Inputs!$G$5:$G$140&lt;&gt;"acoes")))*INDEX(Inputs!$K$5:$AJ$140,0,MATCH(I$2,Inputs!$K$4:$AJ$4,0)))))</f>
        <v>1606</v>
      </c>
      <c r="J65" s="263">
        <f>IF(ISNA(MATCH(J$2,Inputs!$K$4:$AJ$4,0)),NA(),IF(SUMPRODUCT((Inputs!$A$5:$A$140=$B65)*ISNUMBER(INDEX(Inputs!$K$5:$AJ$140,0,MATCH(J$2,Inputs!$K$4:$AJ$4,0))))+SUMPRODUCT((Inputs!$C$5:$C$140=$B65)*ISNUMBER(INDEX(Inputs!$K$5:$AJ$140,0,MATCH(J$2,Inputs!$K$4:$AJ$4,0))))+SUMPRODUCT((Inputs!$E$5:$E$140=$B65)*ISNUMBER(INDEX(Inputs!$K$5:$AJ$140,0,MATCH(J$2,Inputs!$K$4:$AJ$4,0))))=0,NA(),SUMPRODUCT((Inputs!$A$5:$A$140=$B65)*Inputs!$B$5:$B$140*(((Inputs!$G$5:$G$140="moeda")+(Inputs!$G$5:$G$140="acoes"))*Inputs!$B$1+((Inputs!$G$5:$G$140&lt;&gt;"moeda")*(Inputs!$G$5:$G$140&lt;&gt;"acoes")))*INDEX(Inputs!$K$5:$AJ$140,0,MATCH(J$2,Inputs!$K$4:$AJ$4,0)))+SUMPRODUCT((Inputs!$C$5:$C$140=$B65)*Inputs!$D$5:$D$140*(((Inputs!$G$5:$G$140="moeda")+(Inputs!$G$5:$G$140="acoes"))*Inputs!$B$1+((Inputs!$G$5:$G$140&lt;&gt;"moeda")*(Inputs!$G$5:$G$140&lt;&gt;"acoes")))*INDEX(Inputs!$K$5:$AJ$140,0,MATCH(J$2,Inputs!$K$4:$AJ$4,0)))+SUMPRODUCT((Inputs!$E$5:$E$140=$B65)*Inputs!$F$5:$F$140*(((Inputs!$G$5:$G$140="moeda")+(Inputs!$G$5:$G$140="acoes"))*Inputs!$B$1+((Inputs!$G$5:$G$140&lt;&gt;"moeda")*(Inputs!$G$5:$G$140&lt;&gt;"acoes")))*INDEX(Inputs!$K$5:$AJ$140,0,MATCH(J$2,Inputs!$K$4:$AJ$4,0)))))</f>
        <v>816</v>
      </c>
      <c r="K65" s="263">
        <f>IF(ISNA(MATCH(K$2,Inputs!$K$4:$AJ$4,0)),NA(),IF(SUMPRODUCT((Inputs!$A$5:$A$140=$B65)*ISNUMBER(INDEX(Inputs!$K$5:$AJ$140,0,MATCH(K$2,Inputs!$K$4:$AJ$4,0))))+SUMPRODUCT((Inputs!$C$5:$C$140=$B65)*ISNUMBER(INDEX(Inputs!$K$5:$AJ$140,0,MATCH(K$2,Inputs!$K$4:$AJ$4,0))))+SUMPRODUCT((Inputs!$E$5:$E$140=$B65)*ISNUMBER(INDEX(Inputs!$K$5:$AJ$140,0,MATCH(K$2,Inputs!$K$4:$AJ$4,0))))=0,NA(),SUMPRODUCT((Inputs!$A$5:$A$140=$B65)*Inputs!$B$5:$B$140*(((Inputs!$G$5:$G$140="moeda")+(Inputs!$G$5:$G$140="acoes"))*Inputs!$B$1+((Inputs!$G$5:$G$140&lt;&gt;"moeda")*(Inputs!$G$5:$G$140&lt;&gt;"acoes")))*INDEX(Inputs!$K$5:$AJ$140,0,MATCH(K$2,Inputs!$K$4:$AJ$4,0)))+SUMPRODUCT((Inputs!$C$5:$C$140=$B65)*Inputs!$D$5:$D$140*(((Inputs!$G$5:$G$140="moeda")+(Inputs!$G$5:$G$140="acoes"))*Inputs!$B$1+((Inputs!$G$5:$G$140&lt;&gt;"moeda")*(Inputs!$G$5:$G$140&lt;&gt;"acoes")))*INDEX(Inputs!$K$5:$AJ$140,0,MATCH(K$2,Inputs!$K$4:$AJ$4,0)))+SUMPRODUCT((Inputs!$E$5:$E$140=$B65)*Inputs!$F$5:$F$140*(((Inputs!$G$5:$G$140="moeda")+(Inputs!$G$5:$G$140="acoes"))*Inputs!$B$1+((Inputs!$G$5:$G$140&lt;&gt;"moeda")*(Inputs!$G$5:$G$140&lt;&gt;"acoes")))*INDEX(Inputs!$K$5:$AJ$140,0,MATCH(K$2,Inputs!$K$4:$AJ$4,0)))))</f>
        <v>1086</v>
      </c>
      <c r="L65" s="263">
        <f>IF(ISNA(MATCH(L$2,Inputs!$K$4:$AJ$4,0)),NA(),IF(SUMPRODUCT((Inputs!$A$5:$A$140=$B65)*ISNUMBER(INDEX(Inputs!$K$5:$AJ$140,0,MATCH(L$2,Inputs!$K$4:$AJ$4,0))))+SUMPRODUCT((Inputs!$C$5:$C$140=$B65)*ISNUMBER(INDEX(Inputs!$K$5:$AJ$140,0,MATCH(L$2,Inputs!$K$4:$AJ$4,0))))+SUMPRODUCT((Inputs!$E$5:$E$140=$B65)*ISNUMBER(INDEX(Inputs!$K$5:$AJ$140,0,MATCH(L$2,Inputs!$K$4:$AJ$4,0))))=0,NA(),SUMPRODUCT((Inputs!$A$5:$A$140=$B65)*Inputs!$B$5:$B$140*(((Inputs!$G$5:$G$140="moeda")+(Inputs!$G$5:$G$140="acoes"))*Inputs!$B$1+((Inputs!$G$5:$G$140&lt;&gt;"moeda")*(Inputs!$G$5:$G$140&lt;&gt;"acoes")))*INDEX(Inputs!$K$5:$AJ$140,0,MATCH(L$2,Inputs!$K$4:$AJ$4,0)))+SUMPRODUCT((Inputs!$C$5:$C$140=$B65)*Inputs!$D$5:$D$140*(((Inputs!$G$5:$G$140="moeda")+(Inputs!$G$5:$G$140="acoes"))*Inputs!$B$1+((Inputs!$G$5:$G$140&lt;&gt;"moeda")*(Inputs!$G$5:$G$140&lt;&gt;"acoes")))*INDEX(Inputs!$K$5:$AJ$140,0,MATCH(L$2,Inputs!$K$4:$AJ$4,0)))+SUMPRODUCT((Inputs!$E$5:$E$140=$B65)*Inputs!$F$5:$F$140*(((Inputs!$G$5:$G$140="moeda")+(Inputs!$G$5:$G$140="acoes"))*Inputs!$B$1+((Inputs!$G$5:$G$140&lt;&gt;"moeda")*(Inputs!$G$5:$G$140&lt;&gt;"acoes")))*INDEX(Inputs!$K$5:$AJ$140,0,MATCH(L$2,Inputs!$K$4:$AJ$4,0)))))</f>
        <v>1574</v>
      </c>
      <c r="M65" s="264">
        <f>SUM(I65:L65)</f>
        <v>5082</v>
      </c>
      <c r="N65" s="263">
        <f>IF(ISNA(MATCH(N$2,Inputs!$K$4:$AJ$4,0)),NA(),IF(SUMPRODUCT((Inputs!$A$5:$A$140=$B65)*ISNUMBER(INDEX(Inputs!$K$5:$AJ$140,0,MATCH(N$2,Inputs!$K$4:$AJ$4,0))))+SUMPRODUCT((Inputs!$C$5:$C$140=$B65)*ISNUMBER(INDEX(Inputs!$K$5:$AJ$140,0,MATCH(N$2,Inputs!$K$4:$AJ$4,0))))+SUMPRODUCT((Inputs!$E$5:$E$140=$B65)*ISNUMBER(INDEX(Inputs!$K$5:$AJ$140,0,MATCH(N$2,Inputs!$K$4:$AJ$4,0))))=0,NA(),SUMPRODUCT((Inputs!$A$5:$A$140=$B65)*Inputs!$B$5:$B$140*(((Inputs!$G$5:$G$140="moeda")+(Inputs!$G$5:$G$140="acoes"))*Inputs!$B$1+((Inputs!$G$5:$G$140&lt;&gt;"moeda")*(Inputs!$G$5:$G$140&lt;&gt;"acoes")))*INDEX(Inputs!$K$5:$AJ$140,0,MATCH(N$2,Inputs!$K$4:$AJ$4,0)))+SUMPRODUCT((Inputs!$C$5:$C$140=$B65)*Inputs!$D$5:$D$140*(((Inputs!$G$5:$G$140="moeda")+(Inputs!$G$5:$G$140="acoes"))*Inputs!$B$1+((Inputs!$G$5:$G$140&lt;&gt;"moeda")*(Inputs!$G$5:$G$140&lt;&gt;"acoes")))*INDEX(Inputs!$K$5:$AJ$140,0,MATCH(N$2,Inputs!$K$4:$AJ$4,0)))+SUMPRODUCT((Inputs!$E$5:$E$140=$B65)*Inputs!$F$5:$F$140*(((Inputs!$G$5:$G$140="moeda")+(Inputs!$G$5:$G$140="acoes"))*Inputs!$B$1+((Inputs!$G$5:$G$140&lt;&gt;"moeda")*(Inputs!$G$5:$G$140&lt;&gt;"acoes")))*INDEX(Inputs!$K$5:$AJ$140,0,MATCH(N$2,Inputs!$K$4:$AJ$4,0)))))</f>
        <v>2160</v>
      </c>
      <c r="O65" s="263">
        <f>IF(ISNA(MATCH(O$2,Inputs!$K$4:$AJ$4,0)),NA(),IF(SUMPRODUCT((Inputs!$A$5:$A$140=$B65)*ISNUMBER(INDEX(Inputs!$K$5:$AJ$140,0,MATCH(O$2,Inputs!$K$4:$AJ$4,0))))+SUMPRODUCT((Inputs!$C$5:$C$140=$B65)*ISNUMBER(INDEX(Inputs!$K$5:$AJ$140,0,MATCH(O$2,Inputs!$K$4:$AJ$4,0))))+SUMPRODUCT((Inputs!$E$5:$E$140=$B65)*ISNUMBER(INDEX(Inputs!$K$5:$AJ$140,0,MATCH(O$2,Inputs!$K$4:$AJ$4,0))))=0,NA(),SUMPRODUCT((Inputs!$A$5:$A$140=$B65)*Inputs!$B$5:$B$140*(((Inputs!$G$5:$G$140="moeda")+(Inputs!$G$5:$G$140="acoes"))*Inputs!$B$1+((Inputs!$G$5:$G$140&lt;&gt;"moeda")*(Inputs!$G$5:$G$140&lt;&gt;"acoes")))*INDEX(Inputs!$K$5:$AJ$140,0,MATCH(O$2,Inputs!$K$4:$AJ$4,0)))+SUMPRODUCT((Inputs!$C$5:$C$140=$B65)*Inputs!$D$5:$D$140*(((Inputs!$G$5:$G$140="moeda")+(Inputs!$G$5:$G$140="acoes"))*Inputs!$B$1+((Inputs!$G$5:$G$140&lt;&gt;"moeda")*(Inputs!$G$5:$G$140&lt;&gt;"acoes")))*INDEX(Inputs!$K$5:$AJ$140,0,MATCH(O$2,Inputs!$K$4:$AJ$4,0)))+SUMPRODUCT((Inputs!$E$5:$E$140=$B65)*Inputs!$F$5:$F$140*(((Inputs!$G$5:$G$140="moeda")+(Inputs!$G$5:$G$140="acoes"))*Inputs!$B$1+((Inputs!$G$5:$G$140&lt;&gt;"moeda")*(Inputs!$G$5:$G$140&lt;&gt;"acoes")))*INDEX(Inputs!$K$5:$AJ$140,0,MATCH(O$2,Inputs!$K$4:$AJ$4,0)))))</f>
        <v>6728</v>
      </c>
      <c r="P65" s="263">
        <f>IF(ISNA(MATCH(P$2,Inputs!$K$4:$AJ$4,0)),NA(),IF(SUMPRODUCT((Inputs!$A$5:$A$140=$B65)*ISNUMBER(INDEX(Inputs!$K$5:$AJ$140,0,MATCH(P$2,Inputs!$K$4:$AJ$4,0))))+SUMPRODUCT((Inputs!$C$5:$C$140=$B65)*ISNUMBER(INDEX(Inputs!$K$5:$AJ$140,0,MATCH(P$2,Inputs!$K$4:$AJ$4,0))))+SUMPRODUCT((Inputs!$E$5:$E$140=$B65)*ISNUMBER(INDEX(Inputs!$K$5:$AJ$140,0,MATCH(P$2,Inputs!$K$4:$AJ$4,0))))=0,NA(),SUMPRODUCT((Inputs!$A$5:$A$140=$B65)*Inputs!$B$5:$B$140*(((Inputs!$G$5:$G$140="moeda")+(Inputs!$G$5:$G$140="acoes"))*Inputs!$B$1+((Inputs!$G$5:$G$140&lt;&gt;"moeda")*(Inputs!$G$5:$G$140&lt;&gt;"acoes")))*INDEX(Inputs!$K$5:$AJ$140,0,MATCH(P$2,Inputs!$K$4:$AJ$4,0)))+SUMPRODUCT((Inputs!$C$5:$C$140=$B65)*Inputs!$D$5:$D$140*(((Inputs!$G$5:$G$140="moeda")+(Inputs!$G$5:$G$140="acoes"))*Inputs!$B$1+((Inputs!$G$5:$G$140&lt;&gt;"moeda")*(Inputs!$G$5:$G$140&lt;&gt;"acoes")))*INDEX(Inputs!$K$5:$AJ$140,0,MATCH(P$2,Inputs!$K$4:$AJ$4,0)))+SUMPRODUCT((Inputs!$E$5:$E$140=$B65)*Inputs!$F$5:$F$140*(((Inputs!$G$5:$G$140="moeda")+(Inputs!$G$5:$G$140="acoes"))*Inputs!$B$1+((Inputs!$G$5:$G$140&lt;&gt;"moeda")*(Inputs!$G$5:$G$140&lt;&gt;"acoes")))*INDEX(Inputs!$K$5:$AJ$140,0,MATCH(P$2,Inputs!$K$4:$AJ$4,0)))))</f>
        <v>10262</v>
      </c>
      <c r="Q65" s="263">
        <f>IF(ISNA(MATCH(Q$2,Inputs!$K$4:$AJ$4,0)),NA(),IF(SUMPRODUCT((Inputs!$A$5:$A$140=$B65)*ISNUMBER(INDEX(Inputs!$K$5:$AJ$140,0,MATCH(Q$2,Inputs!$K$4:$AJ$4,0))))+SUMPRODUCT((Inputs!$C$5:$C$140=$B65)*ISNUMBER(INDEX(Inputs!$K$5:$AJ$140,0,MATCH(Q$2,Inputs!$K$4:$AJ$4,0))))+SUMPRODUCT((Inputs!$E$5:$E$140=$B65)*ISNUMBER(INDEX(Inputs!$K$5:$AJ$140,0,MATCH(Q$2,Inputs!$K$4:$AJ$4,0))))=0,NA(),SUMPRODUCT((Inputs!$A$5:$A$140=$B65)*Inputs!$B$5:$B$140*(((Inputs!$G$5:$G$140="moeda")+(Inputs!$G$5:$G$140="acoes"))*Inputs!$B$1+((Inputs!$G$5:$G$140&lt;&gt;"moeda")*(Inputs!$G$5:$G$140&lt;&gt;"acoes")))*INDEX(Inputs!$K$5:$AJ$140,0,MATCH(Q$2,Inputs!$K$4:$AJ$4,0)))+SUMPRODUCT((Inputs!$C$5:$C$140=$B65)*Inputs!$D$5:$D$140*(((Inputs!$G$5:$G$140="moeda")+(Inputs!$G$5:$G$140="acoes"))*Inputs!$B$1+((Inputs!$G$5:$G$140&lt;&gt;"moeda")*(Inputs!$G$5:$G$140&lt;&gt;"acoes")))*INDEX(Inputs!$K$5:$AJ$140,0,MATCH(Q$2,Inputs!$K$4:$AJ$4,0)))+SUMPRODUCT((Inputs!$E$5:$E$140=$B65)*Inputs!$F$5:$F$140*(((Inputs!$G$5:$G$140="moeda")+(Inputs!$G$5:$G$140="acoes"))*Inputs!$B$1+((Inputs!$G$5:$G$140&lt;&gt;"moeda")*(Inputs!$G$5:$G$140&lt;&gt;"acoes")))*INDEX(Inputs!$K$5:$AJ$140,0,MATCH(Q$2,Inputs!$K$4:$AJ$4,0)))))</f>
        <v>12867</v>
      </c>
      <c r="R65" s="264">
        <f>SUM(N65:Q65)</f>
        <v>32017</v>
      </c>
      <c r="S65" s="263">
        <f>IF(ISNA(MATCH(S$2,Inputs!$K$4:$AJ$4,0)),NA(),IF(SUMPRODUCT((Inputs!$A$5:$A$140=$B65)*ISNUMBER(INDEX(Inputs!$K$5:$AJ$140,0,MATCH(S$2,Inputs!$K$4:$AJ$4,0))))+SUMPRODUCT((Inputs!$C$5:$C$140=$B65)*ISNUMBER(INDEX(Inputs!$K$5:$AJ$140,0,MATCH(S$2,Inputs!$K$4:$AJ$4,0))))+SUMPRODUCT((Inputs!$E$5:$E$140=$B65)*ISNUMBER(INDEX(Inputs!$K$5:$AJ$140,0,MATCH(S$2,Inputs!$K$4:$AJ$4,0))))=0,NA(),SUMPRODUCT((Inputs!$A$5:$A$140=$B65)*Inputs!$B$5:$B$140*(((Inputs!$G$5:$G$140="moeda")+(Inputs!$G$5:$G$140="acoes"))*Inputs!$B$1+((Inputs!$G$5:$G$140&lt;&gt;"moeda")*(Inputs!$G$5:$G$140&lt;&gt;"acoes")))*INDEX(Inputs!$K$5:$AJ$140,0,MATCH(S$2,Inputs!$K$4:$AJ$4,0)))+SUMPRODUCT((Inputs!$C$5:$C$140=$B65)*Inputs!$D$5:$D$140*(((Inputs!$G$5:$G$140="moeda")+(Inputs!$G$5:$G$140="acoes"))*Inputs!$B$1+((Inputs!$G$5:$G$140&lt;&gt;"moeda")*(Inputs!$G$5:$G$140&lt;&gt;"acoes")))*INDEX(Inputs!$K$5:$AJ$140,0,MATCH(S$2,Inputs!$K$4:$AJ$4,0)))+SUMPRODUCT((Inputs!$E$5:$E$140=$B65)*Inputs!$F$5:$F$140*(((Inputs!$G$5:$G$140="moeda")+(Inputs!$G$5:$G$140="acoes"))*Inputs!$B$1+((Inputs!$G$5:$G$140&lt;&gt;"moeda")*(Inputs!$G$5:$G$140&lt;&gt;"acoes")))*INDEX(Inputs!$K$5:$AJ$140,0,MATCH(S$2,Inputs!$K$4:$AJ$4,0)))))</f>
        <v>17047</v>
      </c>
      <c r="T65" s="263">
        <f>IF(ISNA(MATCH(T$2,Inputs!$K$4:$AJ$4,0)),NA(),IF(SUMPRODUCT((Inputs!$A$5:$A$140=$B65)*ISNUMBER(INDEX(Inputs!$K$5:$AJ$140,0,MATCH(T$2,Inputs!$K$4:$AJ$4,0))))+SUMPRODUCT((Inputs!$C$5:$C$140=$B65)*ISNUMBER(INDEX(Inputs!$K$5:$AJ$140,0,MATCH(T$2,Inputs!$K$4:$AJ$4,0))))+SUMPRODUCT((Inputs!$E$5:$E$140=$B65)*ISNUMBER(INDEX(Inputs!$K$5:$AJ$140,0,MATCH(T$2,Inputs!$K$4:$AJ$4,0))))=0,NA(),SUMPRODUCT((Inputs!$A$5:$A$140=$B65)*Inputs!$B$5:$B$140*(((Inputs!$G$5:$G$140="moeda")+(Inputs!$G$5:$G$140="acoes"))*Inputs!$B$1+((Inputs!$G$5:$G$140&lt;&gt;"moeda")*(Inputs!$G$5:$G$140&lt;&gt;"acoes")))*INDEX(Inputs!$K$5:$AJ$140,0,MATCH(T$2,Inputs!$K$4:$AJ$4,0)))+SUMPRODUCT((Inputs!$C$5:$C$140=$B65)*Inputs!$D$5:$D$140*(((Inputs!$G$5:$G$140="moeda")+(Inputs!$G$5:$G$140="acoes"))*Inputs!$B$1+((Inputs!$G$5:$G$140&lt;&gt;"moeda")*(Inputs!$G$5:$G$140&lt;&gt;"acoes")))*INDEX(Inputs!$K$5:$AJ$140,0,MATCH(T$2,Inputs!$K$4:$AJ$4,0)))+SUMPRODUCT((Inputs!$E$5:$E$140=$B65)*Inputs!$F$5:$F$140*(((Inputs!$G$5:$G$140="moeda")+(Inputs!$G$5:$G$140="acoes"))*Inputs!$B$1+((Inputs!$G$5:$G$140&lt;&gt;"moeda")*(Inputs!$G$5:$G$140&lt;&gt;"acoes")))*INDEX(Inputs!$K$5:$AJ$140,0,MATCH(T$2,Inputs!$K$4:$AJ$4,0)))))</f>
        <v>18848</v>
      </c>
      <c r="U65" s="263">
        <f>IF(ISNA(MATCH(U$2,Inputs!$K$4:$AJ$4,0)),NA(),IF(SUMPRODUCT((Inputs!$A$5:$A$140=$B65)*ISNUMBER(INDEX(Inputs!$K$5:$AJ$140,0,MATCH(U$2,Inputs!$K$4:$AJ$4,0))))+SUMPRODUCT((Inputs!$C$5:$C$140=$B65)*ISNUMBER(INDEX(Inputs!$K$5:$AJ$140,0,MATCH(U$2,Inputs!$K$4:$AJ$4,0))))+SUMPRODUCT((Inputs!$E$5:$E$140=$B65)*ISNUMBER(INDEX(Inputs!$K$5:$AJ$140,0,MATCH(U$2,Inputs!$K$4:$AJ$4,0))))=0,NA(),SUMPRODUCT((Inputs!$A$5:$A$140=$B65)*Inputs!$B$5:$B$140*(((Inputs!$G$5:$G$140="moeda")+(Inputs!$G$5:$G$140="acoes"))*Inputs!$B$1+((Inputs!$G$5:$G$140&lt;&gt;"moeda")*(Inputs!$G$5:$G$140&lt;&gt;"acoes")))*INDEX(Inputs!$K$5:$AJ$140,0,MATCH(U$2,Inputs!$K$4:$AJ$4,0)))+SUMPRODUCT((Inputs!$C$5:$C$140=$B65)*Inputs!$D$5:$D$140*(((Inputs!$G$5:$G$140="moeda")+(Inputs!$G$5:$G$140="acoes"))*Inputs!$B$1+((Inputs!$G$5:$G$140&lt;&gt;"moeda")*(Inputs!$G$5:$G$140&lt;&gt;"acoes")))*INDEX(Inputs!$K$5:$AJ$140,0,MATCH(U$2,Inputs!$K$4:$AJ$4,0)))+SUMPRODUCT((Inputs!$E$5:$E$140=$B65)*Inputs!$F$5:$F$140*(((Inputs!$G$5:$G$140="moeda")+(Inputs!$G$5:$G$140="acoes"))*Inputs!$B$1+((Inputs!$G$5:$G$140&lt;&gt;"moeda")*(Inputs!$G$5:$G$140&lt;&gt;"acoes")))*INDEX(Inputs!$K$5:$AJ$140,0,MATCH(U$2,Inputs!$K$4:$AJ$4,0)))))</f>
        <v>22081</v>
      </c>
      <c r="V65" s="263">
        <f>IF(ISNA(MATCH(V$2,Inputs!$K$4:$AJ$4,0)),NA(),IF(SUMPRODUCT((Inputs!$A$5:$A$140=$B65)*ISNUMBER(INDEX(Inputs!$K$5:$AJ$140,0,MATCH(V$2,Inputs!$K$4:$AJ$4,0))))+SUMPRODUCT((Inputs!$C$5:$C$140=$B65)*ISNUMBER(INDEX(Inputs!$K$5:$AJ$140,0,MATCH(V$2,Inputs!$K$4:$AJ$4,0))))+SUMPRODUCT((Inputs!$E$5:$E$140=$B65)*ISNUMBER(INDEX(Inputs!$K$5:$AJ$140,0,MATCH(V$2,Inputs!$K$4:$AJ$4,0))))=0,NA(),SUMPRODUCT((Inputs!$A$5:$A$140=$B65)*Inputs!$B$5:$B$140*(((Inputs!$G$5:$G$140="moeda")+(Inputs!$G$5:$G$140="acoes"))*Inputs!$B$1+((Inputs!$G$5:$G$140&lt;&gt;"moeda")*(Inputs!$G$5:$G$140&lt;&gt;"acoes")))*INDEX(Inputs!$K$5:$AJ$140,0,MATCH(V$2,Inputs!$K$4:$AJ$4,0)))+SUMPRODUCT((Inputs!$C$5:$C$140=$B65)*Inputs!$D$5:$D$140*(((Inputs!$G$5:$G$140="moeda")+(Inputs!$G$5:$G$140="acoes"))*Inputs!$B$1+((Inputs!$G$5:$G$140&lt;&gt;"moeda")*(Inputs!$G$5:$G$140&lt;&gt;"acoes")))*INDEX(Inputs!$K$5:$AJ$140,0,MATCH(V$2,Inputs!$K$4:$AJ$4,0)))+SUMPRODUCT((Inputs!$E$5:$E$140=$B65)*Inputs!$F$5:$F$140*(((Inputs!$G$5:$G$140="moeda")+(Inputs!$G$5:$G$140="acoes"))*Inputs!$B$1+((Inputs!$G$5:$G$140&lt;&gt;"moeda")*(Inputs!$G$5:$G$140&lt;&gt;"acoes")))*INDEX(Inputs!$K$5:$AJ$140,0,MATCH(V$2,Inputs!$K$4:$AJ$4,0)))))</f>
        <v>24898</v>
      </c>
      <c r="W65" s="264">
        <f>SUM(S65:V65)</f>
        <v>82874</v>
      </c>
      <c r="X65" s="263">
        <f>IF(ISNA(MATCH(X$2,Inputs!$K$4:$AJ$4,0)),NA(),IF(SUMPRODUCT((Inputs!$A$5:$A$140=$B65)*ISNUMBER(INDEX(Inputs!$K$5:$AJ$140,0,MATCH(X$2,Inputs!$K$4:$AJ$4,0))))+SUMPRODUCT((Inputs!$C$5:$C$140=$B65)*ISNUMBER(INDEX(Inputs!$K$5:$AJ$140,0,MATCH(X$2,Inputs!$K$4:$AJ$4,0))))+SUMPRODUCT((Inputs!$E$5:$E$140=$B65)*ISNUMBER(INDEX(Inputs!$K$5:$AJ$140,0,MATCH(X$2,Inputs!$K$4:$AJ$4,0))))=0,NA(),SUMPRODUCT((Inputs!$A$5:$A$140=$B65)*Inputs!$B$5:$B$140*(((Inputs!$G$5:$G$140="moeda")+(Inputs!$G$5:$G$140="acoes"))*Inputs!$B$1+((Inputs!$G$5:$G$140&lt;&gt;"moeda")*(Inputs!$G$5:$G$140&lt;&gt;"acoes")))*INDEX(Inputs!$K$5:$AJ$140,0,MATCH(X$2,Inputs!$K$4:$AJ$4,0)))+SUMPRODUCT((Inputs!$C$5:$C$140=$B65)*Inputs!$D$5:$D$140*(((Inputs!$G$5:$G$140="moeda")+(Inputs!$G$5:$G$140="acoes"))*Inputs!$B$1+((Inputs!$G$5:$G$140&lt;&gt;"moeda")*(Inputs!$G$5:$G$140&lt;&gt;"acoes")))*INDEX(Inputs!$K$5:$AJ$140,0,MATCH(X$2,Inputs!$K$4:$AJ$4,0)))+SUMPRODUCT((Inputs!$E$5:$E$140=$B65)*Inputs!$F$5:$F$140*(((Inputs!$G$5:$G$140="moeda")+(Inputs!$G$5:$G$140="acoes"))*Inputs!$B$1+((Inputs!$G$5:$G$140&lt;&gt;"moeda")*(Inputs!$G$5:$G$140&lt;&gt;"acoes")))*INDEX(Inputs!$K$5:$AJ$140,0,MATCH(X$2,Inputs!$K$4:$AJ$4,0)))))</f>
        <v>22054</v>
      </c>
      <c r="Y65" s="263">
        <f>IF(ISNA(MATCH(Y$2,Inputs!$K$4:$AJ$4,0)),NA(),IF(SUMPRODUCT((Inputs!$A$5:$A$140=$B65)*ISNUMBER(INDEX(Inputs!$K$5:$AJ$140,0,MATCH(Y$2,Inputs!$K$4:$AJ$4,0))))+SUMPRODUCT((Inputs!$C$5:$C$140=$B65)*ISNUMBER(INDEX(Inputs!$K$5:$AJ$140,0,MATCH(Y$2,Inputs!$K$4:$AJ$4,0))))+SUMPRODUCT((Inputs!$E$5:$E$140=$B65)*ISNUMBER(INDEX(Inputs!$K$5:$AJ$140,0,MATCH(Y$2,Inputs!$K$4:$AJ$4,0))))=0,NA(),SUMPRODUCT((Inputs!$A$5:$A$140=$B65)*Inputs!$B$5:$B$140*(((Inputs!$G$5:$G$140="moeda")+(Inputs!$G$5:$G$140="acoes"))*Inputs!$B$1+((Inputs!$G$5:$G$140&lt;&gt;"moeda")*(Inputs!$G$5:$G$140&lt;&gt;"acoes")))*INDEX(Inputs!$K$5:$AJ$140,0,MATCH(Y$2,Inputs!$K$4:$AJ$4,0)))+SUMPRODUCT((Inputs!$C$5:$C$140=$B65)*Inputs!$D$5:$D$140*(((Inputs!$G$5:$G$140="moeda")+(Inputs!$G$5:$G$140="acoes"))*Inputs!$B$1+((Inputs!$G$5:$G$140&lt;&gt;"moeda")*(Inputs!$G$5:$G$140&lt;&gt;"acoes")))*INDEX(Inputs!$K$5:$AJ$140,0,MATCH(Y$2,Inputs!$K$4:$AJ$4,0)))+SUMPRODUCT((Inputs!$E$5:$E$140=$B65)*Inputs!$F$5:$F$140*(((Inputs!$G$5:$G$140="moeda")+(Inputs!$G$5:$G$140="acoes"))*Inputs!$B$1+((Inputs!$G$5:$G$140&lt;&gt;"moeda")*(Inputs!$G$5:$G$140&lt;&gt;"acoes")))*INDEX(Inputs!$K$5:$AJ$140,0,MATCH(Y$2,Inputs!$K$4:$AJ$4,0)))))</f>
        <v>28363</v>
      </c>
      <c r="Z65" s="263">
        <f>IF(ISNA(MATCH(Z$2,Inputs!$K$4:$AJ$4,0)),NA(),IF(SUMPRODUCT((Inputs!$A$5:$A$140=$B65)*ISNUMBER(INDEX(Inputs!$K$5:$AJ$140,0,MATCH(Z$2,Inputs!$K$4:$AJ$4,0))))+SUMPRODUCT((Inputs!$C$5:$C$140=$B65)*ISNUMBER(INDEX(Inputs!$K$5:$AJ$140,0,MATCH(Z$2,Inputs!$K$4:$AJ$4,0))))+SUMPRODUCT((Inputs!$E$5:$E$140=$B65)*ISNUMBER(INDEX(Inputs!$K$5:$AJ$140,0,MATCH(Z$2,Inputs!$K$4:$AJ$4,0))))=0,NA(),SUMPRODUCT((Inputs!$A$5:$A$140=$B65)*Inputs!$B$5:$B$140*(((Inputs!$G$5:$G$140="moeda")+(Inputs!$G$5:$G$140="acoes"))*Inputs!$B$1+((Inputs!$G$5:$G$140&lt;&gt;"moeda")*(Inputs!$G$5:$G$140&lt;&gt;"acoes")))*INDEX(Inputs!$K$5:$AJ$140,0,MATCH(Z$2,Inputs!$K$4:$AJ$4,0)))+SUMPRODUCT((Inputs!$C$5:$C$140=$B65)*Inputs!$D$5:$D$140*(((Inputs!$G$5:$G$140="moeda")+(Inputs!$G$5:$G$140="acoes"))*Inputs!$B$1+((Inputs!$G$5:$G$140&lt;&gt;"moeda")*(Inputs!$G$5:$G$140&lt;&gt;"acoes")))*INDEX(Inputs!$K$5:$AJ$140,0,MATCH(Z$2,Inputs!$K$4:$AJ$4,0)))+SUMPRODUCT((Inputs!$E$5:$E$140=$B65)*Inputs!$F$5:$F$140*(((Inputs!$G$5:$G$140="moeda")+(Inputs!$G$5:$G$140="acoes"))*Inputs!$B$1+((Inputs!$G$5:$G$140&lt;&gt;"moeda")*(Inputs!$G$5:$G$140&lt;&gt;"acoes")))*INDEX(Inputs!$K$5:$AJ$140,0,MATCH(Z$2,Inputs!$K$4:$AJ$4,0)))))</f>
        <v>35721</v>
      </c>
      <c r="AA65" s="263">
        <f>IF(ISNA(MATCH(AA$2,Inputs!$K$4:$AJ$4,0)),NA(),IF(SUMPRODUCT((Inputs!$A$5:$A$140=$B65)*ISNUMBER(INDEX(Inputs!$K$5:$AJ$140,0,MATCH(AA$2,Inputs!$K$4:$AJ$4,0))))+SUMPRODUCT((Inputs!$C$5:$C$140=$B65)*ISNUMBER(INDEX(Inputs!$K$5:$AJ$140,0,MATCH(AA$2,Inputs!$K$4:$AJ$4,0))))+SUMPRODUCT((Inputs!$E$5:$E$140=$B65)*ISNUMBER(INDEX(Inputs!$K$5:$AJ$140,0,MATCH(AA$2,Inputs!$K$4:$AJ$4,0))))=0,NA(),SUMPRODUCT((Inputs!$A$5:$A$140=$B65)*Inputs!$B$5:$B$140*(((Inputs!$G$5:$G$140="moeda")+(Inputs!$G$5:$G$140="acoes"))*Inputs!$B$1+((Inputs!$G$5:$G$140&lt;&gt;"moeda")*(Inputs!$G$5:$G$140&lt;&gt;"acoes")))*INDEX(Inputs!$K$5:$AJ$140,0,MATCH(AA$2,Inputs!$K$4:$AJ$4,0)))+SUMPRODUCT((Inputs!$C$5:$C$140=$B65)*Inputs!$D$5:$D$140*(((Inputs!$G$5:$G$140="moeda")+(Inputs!$G$5:$G$140="acoes"))*Inputs!$B$1+((Inputs!$G$5:$G$140&lt;&gt;"moeda")*(Inputs!$G$5:$G$140&lt;&gt;"acoes")))*INDEX(Inputs!$K$5:$AJ$140,0,MATCH(AA$2,Inputs!$K$4:$AJ$4,0)))+SUMPRODUCT((Inputs!$E$5:$E$140=$B65)*Inputs!$F$5:$F$140*(((Inputs!$G$5:$G$140="moeda")+(Inputs!$G$5:$G$140="acoes"))*Inputs!$B$1+((Inputs!$G$5:$G$140&lt;&gt;"moeda")*(Inputs!$G$5:$G$140&lt;&gt;"acoes")))*INDEX(Inputs!$K$5:$AJ$140,0,MATCH(AA$2,Inputs!$K$4:$AJ$4,0)))))</f>
        <v>44002</v>
      </c>
      <c r="AB65" s="264">
        <f>SUM(X65:AA65)</f>
        <v>130140</v>
      </c>
      <c r="AC65" s="263">
        <f>IF(ISNA(MATCH(AC$2,Inputs!$K$4:$AJ$4,0)),NA(),IF(SUMPRODUCT((Inputs!$A$5:$A$140=$B65)*ISNUMBER(INDEX(Inputs!$K$5:$AJ$140,0,MATCH(AC$2,Inputs!$K$4:$AJ$4,0))))+SUMPRODUCT((Inputs!$C$5:$C$140=$B65)*ISNUMBER(INDEX(Inputs!$K$5:$AJ$140,0,MATCH(AC$2,Inputs!$K$4:$AJ$4,0))))+SUMPRODUCT((Inputs!$E$5:$E$140=$B65)*ISNUMBER(INDEX(Inputs!$K$5:$AJ$140,0,MATCH(AC$2,Inputs!$K$4:$AJ$4,0))))=0,NA(),SUMPRODUCT((Inputs!$A$5:$A$140=$B65)*Inputs!$B$5:$B$140*(((Inputs!$G$5:$G$140="moeda")+(Inputs!$G$5:$G$140="acoes"))*Inputs!$B$1+((Inputs!$G$5:$G$140&lt;&gt;"moeda")*(Inputs!$G$5:$G$140&lt;&gt;"acoes")))*INDEX(Inputs!$K$5:$AJ$140,0,MATCH(AC$2,Inputs!$K$4:$AJ$4,0)))+SUMPRODUCT((Inputs!$C$5:$C$140=$B65)*Inputs!$D$5:$D$140*(((Inputs!$G$5:$G$140="moeda")+(Inputs!$G$5:$G$140="acoes"))*Inputs!$B$1+((Inputs!$G$5:$G$140&lt;&gt;"moeda")*(Inputs!$G$5:$G$140&lt;&gt;"acoes")))*INDEX(Inputs!$K$5:$AJ$140,0,MATCH(AC$2,Inputs!$K$4:$AJ$4,0)))+SUMPRODUCT((Inputs!$E$5:$E$140=$B65)*Inputs!$F$5:$F$140*(((Inputs!$G$5:$G$140="moeda")+(Inputs!$G$5:$G$140="acoes"))*Inputs!$B$1+((Inputs!$G$5:$G$140&lt;&gt;"moeda")*(Inputs!$G$5:$G$140&lt;&gt;"acoes")))*INDEX(Inputs!$K$5:$AJ$140,0,MATCH(AC$2,Inputs!$K$4:$AJ$4,0)))))</f>
        <v>53335</v>
      </c>
      <c r="AD65" s="263">
        <f>IF(ISNA(MATCH(AD$2,Inputs!$K$4:$AJ$4,0)),NA(),IF(SUMPRODUCT((Inputs!$A$5:$A$140=$B65)*ISNUMBER(INDEX(Inputs!$K$5:$AJ$140,0,MATCH(AD$2,Inputs!$K$4:$AJ$4,0))))+SUMPRODUCT((Inputs!$C$5:$C$140=$B65)*ISNUMBER(INDEX(Inputs!$K$5:$AJ$140,0,MATCH(AD$2,Inputs!$K$4:$AJ$4,0))))+SUMPRODUCT((Inputs!$E$5:$E$140=$B65)*ISNUMBER(INDEX(Inputs!$K$5:$AJ$140,0,MATCH(AD$2,Inputs!$K$4:$AJ$4,0))))=0,NA(),SUMPRODUCT((Inputs!$A$5:$A$140=$B65)*Inputs!$B$5:$B$140*(((Inputs!$G$5:$G$140="moeda")+(Inputs!$G$5:$G$140="acoes"))*Inputs!$B$1+((Inputs!$G$5:$G$140&lt;&gt;"moeda")*(Inputs!$G$5:$G$140&lt;&gt;"acoes")))*INDEX(Inputs!$K$5:$AJ$140,0,MATCH(AD$2,Inputs!$K$4:$AJ$4,0)))+SUMPRODUCT((Inputs!$C$5:$C$140=$B65)*Inputs!$D$5:$D$140*(((Inputs!$G$5:$G$140="moeda")+(Inputs!$G$5:$G$140="acoes"))*Inputs!$B$1+((Inputs!$G$5:$G$140&lt;&gt;"moeda")*(Inputs!$G$5:$G$140&lt;&gt;"acoes")))*INDEX(Inputs!$K$5:$AJ$140,0,MATCH(AD$2,Inputs!$K$4:$AJ$4,0)))+SUMPRODUCT((Inputs!$E$5:$E$140=$B65)*Inputs!$F$5:$F$140*(((Inputs!$G$5:$G$140="moeda")+(Inputs!$G$5:$G$140="acoes"))*Inputs!$B$1+((Inputs!$G$5:$G$140&lt;&gt;"moeda")*(Inputs!$G$5:$G$140&lt;&gt;"acoes")))*INDEX(Inputs!$K$5:$AJ$140,0,MATCH(AD$2,Inputs!$K$4:$AJ$4,0)))))</f>
        <v>62696</v>
      </c>
      <c r="AE65" s="263" t="e">
        <f>IF(ISNA(MATCH(AE$2,Inputs!$K$4:$AJ$4,0)),NA(),IF(SUMPRODUCT((Inputs!$A$5:$A$140=$B65)*ISNUMBER(INDEX(Inputs!$K$5:$AJ$140,0,MATCH(AE$2,Inputs!$K$4:$AJ$4,0))))+SUMPRODUCT((Inputs!$C$5:$C$140=$B65)*ISNUMBER(INDEX(Inputs!$K$5:$AJ$140,0,MATCH(AE$2,Inputs!$K$4:$AJ$4,0))))+SUMPRODUCT((Inputs!$E$5:$E$140=$B65)*ISNUMBER(INDEX(Inputs!$K$5:$AJ$140,0,MATCH(AE$2,Inputs!$K$4:$AJ$4,0))))=0,NA(),SUMPRODUCT((Inputs!$A$5:$A$140=$B65)*Inputs!$B$5:$B$140*(((Inputs!$G$5:$G$140="moeda")+(Inputs!$G$5:$G$140="acoes"))*Inputs!$B$1+((Inputs!$G$5:$G$140&lt;&gt;"moeda")*(Inputs!$G$5:$G$140&lt;&gt;"acoes")))*INDEX(Inputs!$K$5:$AJ$140,0,MATCH(AE$2,Inputs!$K$4:$AJ$4,0)))+SUMPRODUCT((Inputs!$C$5:$C$140=$B65)*Inputs!$D$5:$D$140*(((Inputs!$G$5:$G$140="moeda")+(Inputs!$G$5:$G$140="acoes"))*Inputs!$B$1+((Inputs!$G$5:$G$140&lt;&gt;"moeda")*(Inputs!$G$5:$G$140&lt;&gt;"acoes")))*INDEX(Inputs!$K$5:$AJ$140,0,MATCH(AE$2,Inputs!$K$4:$AJ$4,0)))+SUMPRODUCT((Inputs!$E$5:$E$140=$B65)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65" s="263" t="e">
        <f>IF(ISNA(MATCH(AF$2,Inputs!$K$4:$AJ$4,0)),NA(),IF(SUMPRODUCT((Inputs!$A$5:$A$140=$B65)*ISNUMBER(INDEX(Inputs!$K$5:$AJ$140,0,MATCH(AF$2,Inputs!$K$4:$AJ$4,0))))+SUMPRODUCT((Inputs!$C$5:$C$140=$B65)*ISNUMBER(INDEX(Inputs!$K$5:$AJ$140,0,MATCH(AF$2,Inputs!$K$4:$AJ$4,0))))+SUMPRODUCT((Inputs!$E$5:$E$140=$B65)*ISNUMBER(INDEX(Inputs!$K$5:$AJ$140,0,MATCH(AF$2,Inputs!$K$4:$AJ$4,0))))=0,NA(),SUMPRODUCT((Inputs!$A$5:$A$140=$B65)*Inputs!$B$5:$B$140*(((Inputs!$G$5:$G$140="moeda")+(Inputs!$G$5:$G$140="acoes"))*Inputs!$B$1+((Inputs!$G$5:$G$140&lt;&gt;"moeda")*(Inputs!$G$5:$G$140&lt;&gt;"acoes")))*INDEX(Inputs!$K$5:$AJ$140,0,MATCH(AF$2,Inputs!$K$4:$AJ$4,0)))+SUMPRODUCT((Inputs!$C$5:$C$140=$B65)*Inputs!$D$5:$D$140*(((Inputs!$G$5:$G$140="moeda")+(Inputs!$G$5:$G$140="acoes"))*Inputs!$B$1+((Inputs!$G$5:$G$140&lt;&gt;"moeda")*(Inputs!$G$5:$G$140&lt;&gt;"acoes")))*INDEX(Inputs!$K$5:$AJ$140,0,MATCH(AF$2,Inputs!$K$4:$AJ$4,0)))+SUMPRODUCT((Inputs!$E$5:$E$140=$B65)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65" s="264" t="e">
        <f>SUM(AC65:AF65)</f>
        <v>#N/A</v>
      </c>
      <c r="AH65" s="263">
        <f>IF(ISNA(MATCH(AH$2,Inputs!$K$4:$AJ$4,0)),NA(),IF(SUMPRODUCT((Inputs!$A$5:$A$140=$B65)*ISNUMBER(INDEX(Inputs!$K$5:$AJ$140,0,MATCH(AH$2,Inputs!$K$4:$AJ$4,0))))+SUMPRODUCT((Inputs!$C$5:$C$140=$B65)*ISNUMBER(INDEX(Inputs!$K$5:$AJ$140,0,MATCH(AH$2,Inputs!$K$4:$AJ$4,0))))+SUMPRODUCT((Inputs!$E$5:$E$140=$B65)*ISNUMBER(INDEX(Inputs!$K$5:$AJ$140,0,MATCH(AH$2,Inputs!$K$4:$AJ$4,0))))=0,NA(),SUMPRODUCT((Inputs!$A$5:$A$140=$B65)*Inputs!$B$5:$B$140*(((Inputs!$G$5:$G$140="moeda")+(Inputs!$G$5:$G$140="acoes"))*Inputs!$B$1+((Inputs!$G$5:$G$140&lt;&gt;"moeda")*(Inputs!$G$5:$G$140&lt;&gt;"acoes")))*INDEX(Inputs!$K$5:$AJ$140,0,MATCH(AH$2,Inputs!$K$4:$AJ$4,0)))+SUMPRODUCT((Inputs!$C$5:$C$140=$B65)*Inputs!$D$5:$D$140*(((Inputs!$G$5:$G$140="moeda")+(Inputs!$G$5:$G$140="acoes"))*Inputs!$B$1+((Inputs!$G$5:$G$140&lt;&gt;"moeda")*(Inputs!$G$5:$G$140&lt;&gt;"acoes")))*INDEX(Inputs!$K$5:$AJ$140,0,MATCH(AH$2,Inputs!$K$4:$AJ$4,0)))+SUMPRODUCT((Inputs!$E$5:$E$140=$B65)*Inputs!$F$5:$F$140*(((Inputs!$G$5:$G$140="moeda")+(Inputs!$G$5:$G$140="acoes"))*Inputs!$B$1+((Inputs!$G$5:$G$140&lt;&gt;"moeda")*(Inputs!$G$5:$G$140&lt;&gt;"acoes")))*INDEX(Inputs!$K$5:$AJ$140,0,MATCH(AH$2,Inputs!$K$4:$AJ$4,0)))))</f>
        <v>451</v>
      </c>
      <c r="AI65" s="263">
        <f>IF(ISNA(MATCH(AI$2,Inputs!$K$4:$AJ$4,0)),NA(),IF(SUMPRODUCT((Inputs!$A$5:$A$140=$B65)*ISNUMBER(INDEX(Inputs!$K$5:$AJ$140,0,MATCH(AI$2,Inputs!$K$4:$AJ$4,0))))+SUMPRODUCT((Inputs!$C$5:$C$140=$B65)*ISNUMBER(INDEX(Inputs!$K$5:$AJ$140,0,MATCH(AI$2,Inputs!$K$4:$AJ$4,0))))+SUMPRODUCT((Inputs!$E$5:$E$140=$B65)*ISNUMBER(INDEX(Inputs!$K$5:$AJ$140,0,MATCH(AI$2,Inputs!$K$4:$AJ$4,0))))=0,NA(),SUMPRODUCT((Inputs!$A$5:$A$140=$B65)*Inputs!$B$5:$B$140*(((Inputs!$G$5:$G$140="moeda")+(Inputs!$G$5:$G$140="acoes"))*Inputs!$B$1+((Inputs!$G$5:$G$140&lt;&gt;"moeda")*(Inputs!$G$5:$G$140&lt;&gt;"acoes")))*INDEX(Inputs!$K$5:$AJ$140,0,MATCH(AI$2,Inputs!$K$4:$AJ$4,0)))+SUMPRODUCT((Inputs!$C$5:$C$140=$B65)*Inputs!$D$5:$D$140*(((Inputs!$G$5:$G$140="moeda")+(Inputs!$G$5:$G$140="acoes"))*Inputs!$B$1+((Inputs!$G$5:$G$140&lt;&gt;"moeda")*(Inputs!$G$5:$G$140&lt;&gt;"acoes")))*INDEX(Inputs!$K$5:$AJ$140,0,MATCH(AI$2,Inputs!$K$4:$AJ$4,0)))+SUMPRODUCT((Inputs!$E$5:$E$140=$B65)*Inputs!$F$5:$F$140*(((Inputs!$G$5:$G$140="moeda")+(Inputs!$G$5:$G$140="acoes"))*Inputs!$B$1+((Inputs!$G$5:$G$140&lt;&gt;"moeda")*(Inputs!$G$5:$G$140&lt;&gt;"acoes")))*INDEX(Inputs!$K$5:$AJ$140,0,MATCH(AI$2,Inputs!$K$4:$AJ$4,0)))))</f>
        <v>691</v>
      </c>
      <c r="AJ65" s="263">
        <f>IF(ISNA(MATCH(AJ$2,Inputs!$K$4:$AJ$4,0)),NA(),IF(SUMPRODUCT((Inputs!$A$5:$A$140=$B65)*ISNUMBER(INDEX(Inputs!$K$5:$AJ$140,0,MATCH(AJ$2,Inputs!$K$4:$AJ$4,0))))+SUMPRODUCT((Inputs!$C$5:$C$140=$B65)*ISNUMBER(INDEX(Inputs!$K$5:$AJ$140,0,MATCH(AJ$2,Inputs!$K$4:$AJ$4,0))))+SUMPRODUCT((Inputs!$E$5:$E$140=$B65)*ISNUMBER(INDEX(Inputs!$K$5:$AJ$140,0,MATCH(AJ$2,Inputs!$K$4:$AJ$4,0))))=0,NA(),SUMPRODUCT((Inputs!$A$5:$A$140=$B65)*Inputs!$B$5:$B$140*(((Inputs!$G$5:$G$140="moeda")+(Inputs!$G$5:$G$140="acoes"))*Inputs!$B$1+((Inputs!$G$5:$G$140&lt;&gt;"moeda")*(Inputs!$G$5:$G$140&lt;&gt;"acoes")))*INDEX(Inputs!$K$5:$AJ$140,0,MATCH(AJ$2,Inputs!$K$4:$AJ$4,0)))+SUMPRODUCT((Inputs!$C$5:$C$140=$B65)*Inputs!$D$5:$D$140*(((Inputs!$G$5:$G$140="moeda")+(Inputs!$G$5:$G$140="acoes"))*Inputs!$B$1+((Inputs!$G$5:$G$140&lt;&gt;"moeda")*(Inputs!$G$5:$G$140&lt;&gt;"acoes")))*INDEX(Inputs!$K$5:$AJ$140,0,MATCH(AJ$2,Inputs!$K$4:$AJ$4,0)))+SUMPRODUCT((Inputs!$E$5:$E$140=$B65)*Inputs!$F$5:$F$140*(((Inputs!$G$5:$G$140="moeda")+(Inputs!$G$5:$G$140="acoes"))*Inputs!$B$1+((Inputs!$G$5:$G$140&lt;&gt;"moeda")*(Inputs!$G$5:$G$140&lt;&gt;"acoes")))*INDEX(Inputs!$K$5:$AJ$140,0,MATCH(AJ$2,Inputs!$K$4:$AJ$4,0)))))</f>
        <v>738</v>
      </c>
      <c r="AK65" s="263">
        <f>IF(ISNA(MATCH(AK$2,Inputs!$K$4:$AJ$4,0)),NA(),IF(SUMPRODUCT((Inputs!$A$5:$A$140=$B65)*ISNUMBER(INDEX(Inputs!$K$5:$AJ$140,0,MATCH(AK$2,Inputs!$K$4:$AJ$4,0))))+SUMPRODUCT((Inputs!$C$5:$C$140=$B65)*ISNUMBER(INDEX(Inputs!$K$5:$AJ$140,0,MATCH(AK$2,Inputs!$K$4:$AJ$4,0))))+SUMPRODUCT((Inputs!$E$5:$E$140=$B65)*ISNUMBER(INDEX(Inputs!$K$5:$AJ$140,0,MATCH(AK$2,Inputs!$K$4:$AJ$4,0))))=0,NA(),SUMPRODUCT((Inputs!$A$5:$A$140=$B65)*Inputs!$B$5:$B$140*(((Inputs!$G$5:$G$140="moeda")+(Inputs!$G$5:$G$140="acoes"))*Inputs!$B$1+((Inputs!$G$5:$G$140&lt;&gt;"moeda")*(Inputs!$G$5:$G$140&lt;&gt;"acoes")))*INDEX(Inputs!$K$5:$AJ$140,0,MATCH(AK$2,Inputs!$K$4:$AJ$4,0)))+SUMPRODUCT((Inputs!$C$5:$C$140=$B65)*Inputs!$D$5:$D$140*(((Inputs!$G$5:$G$140="moeda")+(Inputs!$G$5:$G$140="acoes"))*Inputs!$B$1+((Inputs!$G$5:$G$140&lt;&gt;"moeda")*(Inputs!$G$5:$G$140&lt;&gt;"acoes")))*INDEX(Inputs!$K$5:$AJ$140,0,MATCH(AK$2,Inputs!$K$4:$AJ$4,0)))+SUMPRODUCT((Inputs!$E$5:$E$140=$B65)*Inputs!$F$5:$F$140*(((Inputs!$G$5:$G$140="moeda")+(Inputs!$G$5:$G$140="acoes"))*Inputs!$B$1+((Inputs!$G$5:$G$140&lt;&gt;"moeda")*(Inputs!$G$5:$G$140&lt;&gt;"acoes")))*INDEX(Inputs!$K$5:$AJ$140,0,MATCH(AK$2,Inputs!$K$4:$AJ$4,0)))))</f>
        <v>668</v>
      </c>
      <c r="AL65" s="264">
        <f>SUM(AH65:AK65)</f>
        <v>2548</v>
      </c>
    </row>
    <row r="66">
      <c r="B66" s="46" t="n">
        <v>58</v>
      </c>
      <c r="C66" s="29" t="inlineStr">
        <is>
          <t>Segmento Graphics - lucro operacional (USD)</t>
        </is>
      </c>
      <c r="D66" s="263">
        <f>IF(ISNA(MATCH(D$2,Inputs!$K$4:$AJ$4,0)),NA(),IF(SUMPRODUCT((Inputs!$A$5:$A$140=$B66)*ISNUMBER(INDEX(Inputs!$K$5:$AJ$140,0,MATCH(D$2,Inputs!$K$4:$AJ$4,0))))+SUMPRODUCT((Inputs!$C$5:$C$140=$B66)*ISNUMBER(INDEX(Inputs!$K$5:$AJ$140,0,MATCH(D$2,Inputs!$K$4:$AJ$4,0))))+SUMPRODUCT((Inputs!$E$5:$E$140=$B66)*ISNUMBER(INDEX(Inputs!$K$5:$AJ$140,0,MATCH(D$2,Inputs!$K$4:$AJ$4,0))))=0,NA(),SUMPRODUCT((Inputs!$A$5:$A$140=$B66)*Inputs!$B$5:$B$140*(((Inputs!$G$5:$G$140="moeda")+(Inputs!$G$5:$G$140="acoes"))*Inputs!$B$1+((Inputs!$G$5:$G$140&lt;&gt;"moeda")*(Inputs!$G$5:$G$140&lt;&gt;"acoes")))*INDEX(Inputs!$K$5:$AJ$140,0,MATCH(D$2,Inputs!$K$4:$AJ$4,0)))+SUMPRODUCT((Inputs!$C$5:$C$140=$B66)*Inputs!$D$5:$D$140*(((Inputs!$G$5:$G$140="moeda")+(Inputs!$G$5:$G$140="acoes"))*Inputs!$B$1+((Inputs!$G$5:$G$140&lt;&gt;"moeda")*(Inputs!$G$5:$G$140&lt;&gt;"acoes")))*INDEX(Inputs!$K$5:$AJ$140,0,MATCH(D$2,Inputs!$K$4:$AJ$4,0)))+SUMPRODUCT((Inputs!$E$5:$E$140=$B66)*Inputs!$F$5:$F$140*(((Inputs!$G$5:$G$140="moeda")+(Inputs!$G$5:$G$140="acoes"))*Inputs!$B$1+((Inputs!$G$5:$G$140&lt;&gt;"moeda")*(Inputs!$G$5:$G$140&lt;&gt;"acoes")))*INDEX(Inputs!$K$5:$AJ$140,0,MATCH(D$2,Inputs!$K$4:$AJ$4,0)))))</f>
        <v>1786</v>
      </c>
      <c r="E66" s="263">
        <f>IF(ISNA(MATCH(E$2,Inputs!$K$4:$AJ$4,0)),NA(),IF(SUMPRODUCT((Inputs!$A$5:$A$140=$B66)*ISNUMBER(INDEX(Inputs!$K$5:$AJ$140,0,MATCH(E$2,Inputs!$K$4:$AJ$4,0))))+SUMPRODUCT((Inputs!$C$5:$C$140=$B66)*ISNUMBER(INDEX(Inputs!$K$5:$AJ$140,0,MATCH(E$2,Inputs!$K$4:$AJ$4,0))))+SUMPRODUCT((Inputs!$E$5:$E$140=$B66)*ISNUMBER(INDEX(Inputs!$K$5:$AJ$140,0,MATCH(E$2,Inputs!$K$4:$AJ$4,0))))=0,NA(),SUMPRODUCT((Inputs!$A$5:$A$140=$B66)*Inputs!$B$5:$B$140*(((Inputs!$G$5:$G$140="moeda")+(Inputs!$G$5:$G$140="acoes"))*Inputs!$B$1+((Inputs!$G$5:$G$140&lt;&gt;"moeda")*(Inputs!$G$5:$G$140&lt;&gt;"acoes")))*INDEX(Inputs!$K$5:$AJ$140,0,MATCH(E$2,Inputs!$K$4:$AJ$4,0)))+SUMPRODUCT((Inputs!$C$5:$C$140=$B66)*Inputs!$D$5:$D$140*(((Inputs!$G$5:$G$140="moeda")+(Inputs!$G$5:$G$140="acoes"))*Inputs!$B$1+((Inputs!$G$5:$G$140&lt;&gt;"moeda")*(Inputs!$G$5:$G$140&lt;&gt;"acoes")))*INDEX(Inputs!$K$5:$AJ$140,0,MATCH(E$2,Inputs!$K$4:$AJ$4,0)))+SUMPRODUCT((Inputs!$E$5:$E$140=$B66)*Inputs!$F$5:$F$140*(((Inputs!$G$5:$G$140="moeda")+(Inputs!$G$5:$G$140="acoes"))*Inputs!$B$1+((Inputs!$G$5:$G$140&lt;&gt;"moeda")*(Inputs!$G$5:$G$140&lt;&gt;"acoes")))*INDEX(Inputs!$K$5:$AJ$140,0,MATCH(E$2,Inputs!$K$4:$AJ$4,0)))))</f>
        <v>2127</v>
      </c>
      <c r="F66" s="263">
        <f>IF(ISNA(MATCH(F$2,Inputs!$K$4:$AJ$4,0)),NA(),IF(SUMPRODUCT((Inputs!$A$5:$A$140=$B66)*ISNUMBER(INDEX(Inputs!$K$5:$AJ$140,0,MATCH(F$2,Inputs!$K$4:$AJ$4,0))))+SUMPRODUCT((Inputs!$C$5:$C$140=$B66)*ISNUMBER(INDEX(Inputs!$K$5:$AJ$140,0,MATCH(F$2,Inputs!$K$4:$AJ$4,0))))+SUMPRODUCT((Inputs!$E$5:$E$140=$B66)*ISNUMBER(INDEX(Inputs!$K$5:$AJ$140,0,MATCH(F$2,Inputs!$K$4:$AJ$4,0))))=0,NA(),SUMPRODUCT((Inputs!$A$5:$A$140=$B66)*Inputs!$B$5:$B$140*(((Inputs!$G$5:$G$140="moeda")+(Inputs!$G$5:$G$140="acoes"))*Inputs!$B$1+((Inputs!$G$5:$G$140&lt;&gt;"moeda")*(Inputs!$G$5:$G$140&lt;&gt;"acoes")))*INDEX(Inputs!$K$5:$AJ$140,0,MATCH(F$2,Inputs!$K$4:$AJ$4,0)))+SUMPRODUCT((Inputs!$C$5:$C$140=$B66)*Inputs!$D$5:$D$140*(((Inputs!$G$5:$G$140="moeda")+(Inputs!$G$5:$G$140="acoes"))*Inputs!$B$1+((Inputs!$G$5:$G$140&lt;&gt;"moeda")*(Inputs!$G$5:$G$140&lt;&gt;"acoes")))*INDEX(Inputs!$K$5:$AJ$140,0,MATCH(F$2,Inputs!$K$4:$AJ$4,0)))+SUMPRODUCT((Inputs!$E$5:$E$140=$B66)*Inputs!$F$5:$F$140*(((Inputs!$G$5:$G$140="moeda")+(Inputs!$G$5:$G$140="acoes"))*Inputs!$B$1+((Inputs!$G$5:$G$140&lt;&gt;"moeda")*(Inputs!$G$5:$G$140&lt;&gt;"acoes")))*INDEX(Inputs!$K$5:$AJ$140,0,MATCH(F$2,Inputs!$K$4:$AJ$4,0)))))</f>
        <v>2160</v>
      </c>
      <c r="G66" s="263">
        <f>IF(ISNA(MATCH(G$2,Inputs!$K$4:$AJ$4,0)),NA(),IF(SUMPRODUCT((Inputs!$A$5:$A$140=$B66)*ISNUMBER(INDEX(Inputs!$K$5:$AJ$140,0,MATCH(G$2,Inputs!$K$4:$AJ$4,0))))+SUMPRODUCT((Inputs!$C$5:$C$140=$B66)*ISNUMBER(INDEX(Inputs!$K$5:$AJ$140,0,MATCH(G$2,Inputs!$K$4:$AJ$4,0))))+SUMPRODUCT((Inputs!$E$5:$E$140=$B66)*ISNUMBER(INDEX(Inputs!$K$5:$AJ$140,0,MATCH(G$2,Inputs!$K$4:$AJ$4,0))))=0,NA(),SUMPRODUCT((Inputs!$A$5:$A$140=$B66)*Inputs!$B$5:$B$140*(((Inputs!$G$5:$G$140="moeda")+(Inputs!$G$5:$G$140="acoes"))*Inputs!$B$1+((Inputs!$G$5:$G$140&lt;&gt;"moeda")*(Inputs!$G$5:$G$140&lt;&gt;"acoes")))*INDEX(Inputs!$K$5:$AJ$140,0,MATCH(G$2,Inputs!$K$4:$AJ$4,0)))+SUMPRODUCT((Inputs!$C$5:$C$140=$B66)*Inputs!$D$5:$D$140*(((Inputs!$G$5:$G$140="moeda")+(Inputs!$G$5:$G$140="acoes"))*Inputs!$B$1+((Inputs!$G$5:$G$140&lt;&gt;"moeda")*(Inputs!$G$5:$G$140&lt;&gt;"acoes")))*INDEX(Inputs!$K$5:$AJ$140,0,MATCH(G$2,Inputs!$K$4:$AJ$4,0)))+SUMPRODUCT((Inputs!$E$5:$E$140=$B66)*Inputs!$F$5:$F$140*(((Inputs!$G$5:$G$140="moeda")+(Inputs!$G$5:$G$140="acoes"))*Inputs!$B$1+((Inputs!$G$5:$G$140&lt;&gt;"moeda")*(Inputs!$G$5:$G$140&lt;&gt;"acoes")))*INDEX(Inputs!$K$5:$AJ$140,0,MATCH(G$2,Inputs!$K$4:$AJ$4,0)))))</f>
        <v>2419</v>
      </c>
      <c r="H66" s="264">
        <f>SUM(D66:G66)</f>
        <v>8492</v>
      </c>
      <c r="I66" s="263">
        <f>IF(ISNA(MATCH(I$2,Inputs!$K$4:$AJ$4,0)),NA(),IF(SUMPRODUCT((Inputs!$A$5:$A$140=$B66)*ISNUMBER(INDEX(Inputs!$K$5:$AJ$140,0,MATCH(I$2,Inputs!$K$4:$AJ$4,0))))+SUMPRODUCT((Inputs!$C$5:$C$140=$B66)*ISNUMBER(INDEX(Inputs!$K$5:$AJ$140,0,MATCH(I$2,Inputs!$K$4:$AJ$4,0))))+SUMPRODUCT((Inputs!$E$5:$E$140=$B66)*ISNUMBER(INDEX(Inputs!$K$5:$AJ$140,0,MATCH(I$2,Inputs!$K$4:$AJ$4,0))))=0,NA(),SUMPRODUCT((Inputs!$A$5:$A$140=$B66)*Inputs!$B$5:$B$140*(((Inputs!$G$5:$G$140="moeda")+(Inputs!$G$5:$G$140="acoes"))*Inputs!$B$1+((Inputs!$G$5:$G$140&lt;&gt;"moeda")*(Inputs!$G$5:$G$140&lt;&gt;"acoes")))*INDEX(Inputs!$K$5:$AJ$140,0,MATCH(I$2,Inputs!$K$4:$AJ$4,0)))+SUMPRODUCT((Inputs!$C$5:$C$140=$B66)*Inputs!$D$5:$D$140*(((Inputs!$G$5:$G$140="moeda")+(Inputs!$G$5:$G$140="acoes"))*Inputs!$B$1+((Inputs!$G$5:$G$140&lt;&gt;"moeda")*(Inputs!$G$5:$G$140&lt;&gt;"acoes")))*INDEX(Inputs!$K$5:$AJ$140,0,MATCH(I$2,Inputs!$K$4:$AJ$4,0)))+SUMPRODUCT((Inputs!$E$5:$E$140=$B66)*Inputs!$F$5:$F$140*(((Inputs!$G$5:$G$140="moeda")+(Inputs!$G$5:$G$140="acoes"))*Inputs!$B$1+((Inputs!$G$5:$G$140&lt;&gt;"moeda")*(Inputs!$G$5:$G$140&lt;&gt;"acoes")))*INDEX(Inputs!$K$5:$AJ$140,0,MATCH(I$2,Inputs!$K$4:$AJ$4,0)))))</f>
        <v>2476</v>
      </c>
      <c r="J66" s="263">
        <f>IF(ISNA(MATCH(J$2,Inputs!$K$4:$AJ$4,0)),NA(),IF(SUMPRODUCT((Inputs!$A$5:$A$140=$B66)*ISNUMBER(INDEX(Inputs!$K$5:$AJ$140,0,MATCH(J$2,Inputs!$K$4:$AJ$4,0))))+SUMPRODUCT((Inputs!$C$5:$C$140=$B66)*ISNUMBER(INDEX(Inputs!$K$5:$AJ$140,0,MATCH(J$2,Inputs!$K$4:$AJ$4,0))))+SUMPRODUCT((Inputs!$E$5:$E$140=$B66)*ISNUMBER(INDEX(Inputs!$K$5:$AJ$140,0,MATCH(J$2,Inputs!$K$4:$AJ$4,0))))=0,NA(),SUMPRODUCT((Inputs!$A$5:$A$140=$B66)*Inputs!$B$5:$B$140*(((Inputs!$G$5:$G$140="moeda")+(Inputs!$G$5:$G$140="acoes"))*Inputs!$B$1+((Inputs!$G$5:$G$140&lt;&gt;"moeda")*(Inputs!$G$5:$G$140&lt;&gt;"acoes")))*INDEX(Inputs!$K$5:$AJ$140,0,MATCH(J$2,Inputs!$K$4:$AJ$4,0)))+SUMPRODUCT((Inputs!$C$5:$C$140=$B66)*Inputs!$D$5:$D$140*(((Inputs!$G$5:$G$140="moeda")+(Inputs!$G$5:$G$140="acoes"))*Inputs!$B$1+((Inputs!$G$5:$G$140&lt;&gt;"moeda")*(Inputs!$G$5:$G$140&lt;&gt;"acoes")))*INDEX(Inputs!$K$5:$AJ$140,0,MATCH(J$2,Inputs!$K$4:$AJ$4,0)))+SUMPRODUCT((Inputs!$E$5:$E$140=$B66)*Inputs!$F$5:$F$140*(((Inputs!$G$5:$G$140="moeda")+(Inputs!$G$5:$G$140="acoes"))*Inputs!$B$1+((Inputs!$G$5:$G$140&lt;&gt;"moeda")*(Inputs!$G$5:$G$140&lt;&gt;"acoes")))*INDEX(Inputs!$K$5:$AJ$140,0,MATCH(J$2,Inputs!$K$4:$AJ$4,0)))))</f>
        <v>657</v>
      </c>
      <c r="K66" s="263">
        <f>IF(ISNA(MATCH(K$2,Inputs!$K$4:$AJ$4,0)),NA(),IF(SUMPRODUCT((Inputs!$A$5:$A$140=$B66)*ISNUMBER(INDEX(Inputs!$K$5:$AJ$140,0,MATCH(K$2,Inputs!$K$4:$AJ$4,0))))+SUMPRODUCT((Inputs!$C$5:$C$140=$B66)*ISNUMBER(INDEX(Inputs!$K$5:$AJ$140,0,MATCH(K$2,Inputs!$K$4:$AJ$4,0))))+SUMPRODUCT((Inputs!$E$5:$E$140=$B66)*ISNUMBER(INDEX(Inputs!$K$5:$AJ$140,0,MATCH(K$2,Inputs!$K$4:$AJ$4,0))))=0,NA(),SUMPRODUCT((Inputs!$A$5:$A$140=$B66)*Inputs!$B$5:$B$140*(((Inputs!$G$5:$G$140="moeda")+(Inputs!$G$5:$G$140="acoes"))*Inputs!$B$1+((Inputs!$G$5:$G$140&lt;&gt;"moeda")*(Inputs!$G$5:$G$140&lt;&gt;"acoes")))*INDEX(Inputs!$K$5:$AJ$140,0,MATCH(K$2,Inputs!$K$4:$AJ$4,0)))+SUMPRODUCT((Inputs!$C$5:$C$140=$B66)*Inputs!$D$5:$D$140*(((Inputs!$G$5:$G$140="moeda")+(Inputs!$G$5:$G$140="acoes"))*Inputs!$B$1+((Inputs!$G$5:$G$140&lt;&gt;"moeda")*(Inputs!$G$5:$G$140&lt;&gt;"acoes")))*INDEX(Inputs!$K$5:$AJ$140,0,MATCH(K$2,Inputs!$K$4:$AJ$4,0)))+SUMPRODUCT((Inputs!$E$5:$E$140=$B66)*Inputs!$F$5:$F$140*(((Inputs!$G$5:$G$140="moeda")+(Inputs!$G$5:$G$140="acoes"))*Inputs!$B$1+((Inputs!$G$5:$G$140&lt;&gt;"moeda")*(Inputs!$G$5:$G$140&lt;&gt;"acoes")))*INDEX(Inputs!$K$5:$AJ$140,0,MATCH(K$2,Inputs!$K$4:$AJ$4,0)))))</f>
        <v>606</v>
      </c>
      <c r="L66" s="263">
        <f>IF(ISNA(MATCH(L$2,Inputs!$K$4:$AJ$4,0)),NA(),IF(SUMPRODUCT((Inputs!$A$5:$A$140=$B66)*ISNUMBER(INDEX(Inputs!$K$5:$AJ$140,0,MATCH(L$2,Inputs!$K$4:$AJ$4,0))))+SUMPRODUCT((Inputs!$C$5:$C$140=$B66)*ISNUMBER(INDEX(Inputs!$K$5:$AJ$140,0,MATCH(L$2,Inputs!$K$4:$AJ$4,0))))+SUMPRODUCT((Inputs!$E$5:$E$140=$B66)*ISNUMBER(INDEX(Inputs!$K$5:$AJ$140,0,MATCH(L$2,Inputs!$K$4:$AJ$4,0))))=0,NA(),SUMPRODUCT((Inputs!$A$5:$A$140=$B66)*Inputs!$B$5:$B$140*(((Inputs!$G$5:$G$140="moeda")+(Inputs!$G$5:$G$140="acoes"))*Inputs!$B$1+((Inputs!$G$5:$G$140&lt;&gt;"moeda")*(Inputs!$G$5:$G$140&lt;&gt;"acoes")))*INDEX(Inputs!$K$5:$AJ$140,0,MATCH(L$2,Inputs!$K$4:$AJ$4,0)))+SUMPRODUCT((Inputs!$C$5:$C$140=$B66)*Inputs!$D$5:$D$140*(((Inputs!$G$5:$G$140="moeda")+(Inputs!$G$5:$G$140="acoes"))*Inputs!$B$1+((Inputs!$G$5:$G$140&lt;&gt;"moeda")*(Inputs!$G$5:$G$140&lt;&gt;"acoes")))*INDEX(Inputs!$K$5:$AJ$140,0,MATCH(L$2,Inputs!$K$4:$AJ$4,0)))+SUMPRODUCT((Inputs!$E$5:$E$140=$B66)*Inputs!$F$5:$F$140*(((Inputs!$G$5:$G$140="moeda")+(Inputs!$G$5:$G$140="acoes"))*Inputs!$B$1+((Inputs!$G$5:$G$140&lt;&gt;"moeda")*(Inputs!$G$5:$G$140&lt;&gt;"acoes")))*INDEX(Inputs!$K$5:$AJ$140,0,MATCH(L$2,Inputs!$K$4:$AJ$4,0)))))</f>
        <v>813</v>
      </c>
      <c r="M66" s="264">
        <f>SUM(I66:L66)</f>
        <v>4552</v>
      </c>
      <c r="N66" s="263">
        <f>IF(ISNA(MATCH(N$2,Inputs!$K$4:$AJ$4,0)),NA(),IF(SUMPRODUCT((Inputs!$A$5:$A$140=$B66)*ISNUMBER(INDEX(Inputs!$K$5:$AJ$140,0,MATCH(N$2,Inputs!$K$4:$AJ$4,0))))+SUMPRODUCT((Inputs!$C$5:$C$140=$B66)*ISNUMBER(INDEX(Inputs!$K$5:$AJ$140,0,MATCH(N$2,Inputs!$K$4:$AJ$4,0))))+SUMPRODUCT((Inputs!$E$5:$E$140=$B66)*ISNUMBER(INDEX(Inputs!$K$5:$AJ$140,0,MATCH(N$2,Inputs!$K$4:$AJ$4,0))))=0,NA(),SUMPRODUCT((Inputs!$A$5:$A$140=$B66)*Inputs!$B$5:$B$140*(((Inputs!$G$5:$G$140="moeda")+(Inputs!$G$5:$G$140="acoes"))*Inputs!$B$1+((Inputs!$G$5:$G$140&lt;&gt;"moeda")*(Inputs!$G$5:$G$140&lt;&gt;"acoes")))*INDEX(Inputs!$K$5:$AJ$140,0,MATCH(N$2,Inputs!$K$4:$AJ$4,0)))+SUMPRODUCT((Inputs!$C$5:$C$140=$B66)*Inputs!$D$5:$D$140*(((Inputs!$G$5:$G$140="moeda")+(Inputs!$G$5:$G$140="acoes"))*Inputs!$B$1+((Inputs!$G$5:$G$140&lt;&gt;"moeda")*(Inputs!$G$5:$G$140&lt;&gt;"acoes")))*INDEX(Inputs!$K$5:$AJ$140,0,MATCH(N$2,Inputs!$K$4:$AJ$4,0)))+SUMPRODUCT((Inputs!$E$5:$E$140=$B66)*Inputs!$F$5:$F$140*(((Inputs!$G$5:$G$140="moeda")+(Inputs!$G$5:$G$140="acoes"))*Inputs!$B$1+((Inputs!$G$5:$G$140&lt;&gt;"moeda")*(Inputs!$G$5:$G$140&lt;&gt;"acoes")))*INDEX(Inputs!$K$5:$AJ$140,0,MATCH(N$2,Inputs!$K$4:$AJ$4,0)))))</f>
        <v>1046</v>
      </c>
      <c r="O66" s="263">
        <f>IF(ISNA(MATCH(O$2,Inputs!$K$4:$AJ$4,0)),NA(),IF(SUMPRODUCT((Inputs!$A$5:$A$140=$B66)*ISNUMBER(INDEX(Inputs!$K$5:$AJ$140,0,MATCH(O$2,Inputs!$K$4:$AJ$4,0))))+SUMPRODUCT((Inputs!$C$5:$C$140=$B66)*ISNUMBER(INDEX(Inputs!$K$5:$AJ$140,0,MATCH(O$2,Inputs!$K$4:$AJ$4,0))))+SUMPRODUCT((Inputs!$E$5:$E$140=$B66)*ISNUMBER(INDEX(Inputs!$K$5:$AJ$140,0,MATCH(O$2,Inputs!$K$4:$AJ$4,0))))=0,NA(),SUMPRODUCT((Inputs!$A$5:$A$140=$B66)*Inputs!$B$5:$B$140*(((Inputs!$G$5:$G$140="moeda")+(Inputs!$G$5:$G$140="acoes"))*Inputs!$B$1+((Inputs!$G$5:$G$140&lt;&gt;"moeda")*(Inputs!$G$5:$G$140&lt;&gt;"acoes")))*INDEX(Inputs!$K$5:$AJ$140,0,MATCH(O$2,Inputs!$K$4:$AJ$4,0)))+SUMPRODUCT((Inputs!$C$5:$C$140=$B66)*Inputs!$D$5:$D$140*(((Inputs!$G$5:$G$140="moeda")+(Inputs!$G$5:$G$140="acoes"))*Inputs!$B$1+((Inputs!$G$5:$G$140&lt;&gt;"moeda")*(Inputs!$G$5:$G$140&lt;&gt;"acoes")))*INDEX(Inputs!$K$5:$AJ$140,0,MATCH(O$2,Inputs!$K$4:$AJ$4,0)))+SUMPRODUCT((Inputs!$E$5:$E$140=$B66)*Inputs!$F$5:$F$140*(((Inputs!$G$5:$G$140="moeda")+(Inputs!$G$5:$G$140="acoes"))*Inputs!$B$1+((Inputs!$G$5:$G$140&lt;&gt;"moeda")*(Inputs!$G$5:$G$140&lt;&gt;"acoes")))*INDEX(Inputs!$K$5:$AJ$140,0,MATCH(O$2,Inputs!$K$4:$AJ$4,0)))))</f>
        <v>1211</v>
      </c>
      <c r="P66" s="263">
        <f>IF(ISNA(MATCH(P$2,Inputs!$K$4:$AJ$4,0)),NA(),IF(SUMPRODUCT((Inputs!$A$5:$A$140=$B66)*ISNUMBER(INDEX(Inputs!$K$5:$AJ$140,0,MATCH(P$2,Inputs!$K$4:$AJ$4,0))))+SUMPRODUCT((Inputs!$C$5:$C$140=$B66)*ISNUMBER(INDEX(Inputs!$K$5:$AJ$140,0,MATCH(P$2,Inputs!$K$4:$AJ$4,0))))+SUMPRODUCT((Inputs!$E$5:$E$140=$B66)*ISNUMBER(INDEX(Inputs!$K$5:$AJ$140,0,MATCH(P$2,Inputs!$K$4:$AJ$4,0))))=0,NA(),SUMPRODUCT((Inputs!$A$5:$A$140=$B66)*Inputs!$B$5:$B$140*(((Inputs!$G$5:$G$140="moeda")+(Inputs!$G$5:$G$140="acoes"))*Inputs!$B$1+((Inputs!$G$5:$G$140&lt;&gt;"moeda")*(Inputs!$G$5:$G$140&lt;&gt;"acoes")))*INDEX(Inputs!$K$5:$AJ$140,0,MATCH(P$2,Inputs!$K$4:$AJ$4,0)))+SUMPRODUCT((Inputs!$C$5:$C$140=$B66)*Inputs!$D$5:$D$140*(((Inputs!$G$5:$G$140="moeda")+(Inputs!$G$5:$G$140="acoes"))*Inputs!$B$1+((Inputs!$G$5:$G$140&lt;&gt;"moeda")*(Inputs!$G$5:$G$140&lt;&gt;"acoes")))*INDEX(Inputs!$K$5:$AJ$140,0,MATCH(P$2,Inputs!$K$4:$AJ$4,0)))+SUMPRODUCT((Inputs!$E$5:$E$140=$B66)*Inputs!$F$5:$F$140*(((Inputs!$G$5:$G$140="moeda")+(Inputs!$G$5:$G$140="acoes"))*Inputs!$B$1+((Inputs!$G$5:$G$140&lt;&gt;"moeda")*(Inputs!$G$5:$G$140&lt;&gt;"acoes")))*INDEX(Inputs!$K$5:$AJ$140,0,MATCH(P$2,Inputs!$K$4:$AJ$4,0)))))</f>
        <v>1493</v>
      </c>
      <c r="Q66" s="263">
        <f>IF(ISNA(MATCH(Q$2,Inputs!$K$4:$AJ$4,0)),NA(),IF(SUMPRODUCT((Inputs!$A$5:$A$140=$B66)*ISNUMBER(INDEX(Inputs!$K$5:$AJ$140,0,MATCH(Q$2,Inputs!$K$4:$AJ$4,0))))+SUMPRODUCT((Inputs!$C$5:$C$140=$B66)*ISNUMBER(INDEX(Inputs!$K$5:$AJ$140,0,MATCH(Q$2,Inputs!$K$4:$AJ$4,0))))+SUMPRODUCT((Inputs!$E$5:$E$140=$B66)*ISNUMBER(INDEX(Inputs!$K$5:$AJ$140,0,MATCH(Q$2,Inputs!$K$4:$AJ$4,0))))=0,NA(),SUMPRODUCT((Inputs!$A$5:$A$140=$B66)*Inputs!$B$5:$B$140*(((Inputs!$G$5:$G$140="moeda")+(Inputs!$G$5:$G$140="acoes"))*Inputs!$B$1+((Inputs!$G$5:$G$140&lt;&gt;"moeda")*(Inputs!$G$5:$G$140&lt;&gt;"acoes")))*INDEX(Inputs!$K$5:$AJ$140,0,MATCH(Q$2,Inputs!$K$4:$AJ$4,0)))+SUMPRODUCT((Inputs!$C$5:$C$140=$B66)*Inputs!$D$5:$D$140*(((Inputs!$G$5:$G$140="moeda")+(Inputs!$G$5:$G$140="acoes"))*Inputs!$B$1+((Inputs!$G$5:$G$140&lt;&gt;"moeda")*(Inputs!$G$5:$G$140&lt;&gt;"acoes")))*INDEX(Inputs!$K$5:$AJ$140,0,MATCH(Q$2,Inputs!$K$4:$AJ$4,0)))+SUMPRODUCT((Inputs!$E$5:$E$140=$B66)*Inputs!$F$5:$F$140*(((Inputs!$G$5:$G$140="moeda")+(Inputs!$G$5:$G$140="acoes"))*Inputs!$B$1+((Inputs!$G$5:$G$140&lt;&gt;"moeda")*(Inputs!$G$5:$G$140&lt;&gt;"acoes")))*INDEX(Inputs!$K$5:$AJ$140,0,MATCH(Q$2,Inputs!$K$4:$AJ$4,0)))))</f>
        <v>2095</v>
      </c>
      <c r="R66" s="264">
        <f>SUM(N66:Q66)</f>
        <v>5845</v>
      </c>
      <c r="S66" s="263">
        <f>IF(ISNA(MATCH(S$2,Inputs!$K$4:$AJ$4,0)),NA(),IF(SUMPRODUCT((Inputs!$A$5:$A$140=$B66)*ISNUMBER(INDEX(Inputs!$K$5:$AJ$140,0,MATCH(S$2,Inputs!$K$4:$AJ$4,0))))+SUMPRODUCT((Inputs!$C$5:$C$140=$B66)*ISNUMBER(INDEX(Inputs!$K$5:$AJ$140,0,MATCH(S$2,Inputs!$K$4:$AJ$4,0))))+SUMPRODUCT((Inputs!$E$5:$E$140=$B66)*ISNUMBER(INDEX(Inputs!$K$5:$AJ$140,0,MATCH(S$2,Inputs!$K$4:$AJ$4,0))))=0,NA(),SUMPRODUCT((Inputs!$A$5:$A$140=$B66)*Inputs!$B$5:$B$140*(((Inputs!$G$5:$G$140="moeda")+(Inputs!$G$5:$G$140="acoes"))*Inputs!$B$1+((Inputs!$G$5:$G$140&lt;&gt;"moeda")*(Inputs!$G$5:$G$140&lt;&gt;"acoes")))*INDEX(Inputs!$K$5:$AJ$140,0,MATCH(S$2,Inputs!$K$4:$AJ$4,0)))+SUMPRODUCT((Inputs!$C$5:$C$140=$B66)*Inputs!$D$5:$D$140*(((Inputs!$G$5:$G$140="moeda")+(Inputs!$G$5:$G$140="acoes"))*Inputs!$B$1+((Inputs!$G$5:$G$140&lt;&gt;"moeda")*(Inputs!$G$5:$G$140&lt;&gt;"acoes")))*INDEX(Inputs!$K$5:$AJ$140,0,MATCH(S$2,Inputs!$K$4:$AJ$4,0)))+SUMPRODUCT((Inputs!$E$5:$E$140=$B66)*Inputs!$F$5:$F$140*(((Inputs!$G$5:$G$140="moeda")+(Inputs!$G$5:$G$140="acoes"))*Inputs!$B$1+((Inputs!$G$5:$G$140&lt;&gt;"moeda")*(Inputs!$G$5:$G$140&lt;&gt;"acoes")))*INDEX(Inputs!$K$5:$AJ$140,0,MATCH(S$2,Inputs!$K$4:$AJ$4,0)))))</f>
        <v>1241</v>
      </c>
      <c r="T66" s="263">
        <f>IF(ISNA(MATCH(T$2,Inputs!$K$4:$AJ$4,0)),NA(),IF(SUMPRODUCT((Inputs!$A$5:$A$140=$B66)*ISNUMBER(INDEX(Inputs!$K$5:$AJ$140,0,MATCH(T$2,Inputs!$K$4:$AJ$4,0))))+SUMPRODUCT((Inputs!$C$5:$C$140=$B66)*ISNUMBER(INDEX(Inputs!$K$5:$AJ$140,0,MATCH(T$2,Inputs!$K$4:$AJ$4,0))))+SUMPRODUCT((Inputs!$E$5:$E$140=$B66)*ISNUMBER(INDEX(Inputs!$K$5:$AJ$140,0,MATCH(T$2,Inputs!$K$4:$AJ$4,0))))=0,NA(),SUMPRODUCT((Inputs!$A$5:$A$140=$B66)*Inputs!$B$5:$B$140*(((Inputs!$G$5:$G$140="moeda")+(Inputs!$G$5:$G$140="acoes"))*Inputs!$B$1+((Inputs!$G$5:$G$140&lt;&gt;"moeda")*(Inputs!$G$5:$G$140&lt;&gt;"acoes")))*INDEX(Inputs!$K$5:$AJ$140,0,MATCH(T$2,Inputs!$K$4:$AJ$4,0)))+SUMPRODUCT((Inputs!$C$5:$C$140=$B66)*Inputs!$D$5:$D$140*(((Inputs!$G$5:$G$140="moeda")+(Inputs!$G$5:$G$140="acoes"))*Inputs!$B$1+((Inputs!$G$5:$G$140&lt;&gt;"moeda")*(Inputs!$G$5:$G$140&lt;&gt;"acoes")))*INDEX(Inputs!$K$5:$AJ$140,0,MATCH(T$2,Inputs!$K$4:$AJ$4,0)))+SUMPRODUCT((Inputs!$E$5:$E$140=$B66)*Inputs!$F$5:$F$140*(((Inputs!$G$5:$G$140="moeda")+(Inputs!$G$5:$G$140="acoes"))*Inputs!$B$1+((Inputs!$G$5:$G$140&lt;&gt;"moeda")*(Inputs!$G$5:$G$140&lt;&gt;"acoes")))*INDEX(Inputs!$K$5:$AJ$140,0,MATCH(T$2,Inputs!$K$4:$AJ$4,0)))))</f>
        <v>1369</v>
      </c>
      <c r="U66" s="263">
        <f>IF(ISNA(MATCH(U$2,Inputs!$K$4:$AJ$4,0)),NA(),IF(SUMPRODUCT((Inputs!$A$5:$A$140=$B66)*ISNUMBER(INDEX(Inputs!$K$5:$AJ$140,0,MATCH(U$2,Inputs!$K$4:$AJ$4,0))))+SUMPRODUCT((Inputs!$C$5:$C$140=$B66)*ISNUMBER(INDEX(Inputs!$K$5:$AJ$140,0,MATCH(U$2,Inputs!$K$4:$AJ$4,0))))+SUMPRODUCT((Inputs!$E$5:$E$140=$B66)*ISNUMBER(INDEX(Inputs!$K$5:$AJ$140,0,MATCH(U$2,Inputs!$K$4:$AJ$4,0))))=0,NA(),SUMPRODUCT((Inputs!$A$5:$A$140=$B66)*Inputs!$B$5:$B$140*(((Inputs!$G$5:$G$140="moeda")+(Inputs!$G$5:$G$140="acoes"))*Inputs!$B$1+((Inputs!$G$5:$G$140&lt;&gt;"moeda")*(Inputs!$G$5:$G$140&lt;&gt;"acoes")))*INDEX(Inputs!$K$5:$AJ$140,0,MATCH(U$2,Inputs!$K$4:$AJ$4,0)))+SUMPRODUCT((Inputs!$C$5:$C$140=$B66)*Inputs!$D$5:$D$140*(((Inputs!$G$5:$G$140="moeda")+(Inputs!$G$5:$G$140="acoes"))*Inputs!$B$1+((Inputs!$G$5:$G$140&lt;&gt;"moeda")*(Inputs!$G$5:$G$140&lt;&gt;"acoes")))*INDEX(Inputs!$K$5:$AJ$140,0,MATCH(U$2,Inputs!$K$4:$AJ$4,0)))+SUMPRODUCT((Inputs!$E$5:$E$140=$B66)*Inputs!$F$5:$F$140*(((Inputs!$G$5:$G$140="moeda")+(Inputs!$G$5:$G$140="acoes"))*Inputs!$B$1+((Inputs!$G$5:$G$140&lt;&gt;"moeda")*(Inputs!$G$5:$G$140&lt;&gt;"acoes")))*INDEX(Inputs!$K$5:$AJ$140,0,MATCH(U$2,Inputs!$K$4:$AJ$4,0)))))</f>
        <v>1502</v>
      </c>
      <c r="V66" s="263">
        <f>IF(ISNA(MATCH(V$2,Inputs!$K$4:$AJ$4,0)),NA(),IF(SUMPRODUCT((Inputs!$A$5:$A$140=$B66)*ISNUMBER(INDEX(Inputs!$K$5:$AJ$140,0,MATCH(V$2,Inputs!$K$4:$AJ$4,0))))+SUMPRODUCT((Inputs!$C$5:$C$140=$B66)*ISNUMBER(INDEX(Inputs!$K$5:$AJ$140,0,MATCH(V$2,Inputs!$K$4:$AJ$4,0))))+SUMPRODUCT((Inputs!$E$5:$E$140=$B66)*ISNUMBER(INDEX(Inputs!$K$5:$AJ$140,0,MATCH(V$2,Inputs!$K$4:$AJ$4,0))))=0,NA(),SUMPRODUCT((Inputs!$A$5:$A$140=$B66)*Inputs!$B$5:$B$140*(((Inputs!$G$5:$G$140="moeda")+(Inputs!$G$5:$G$140="acoes"))*Inputs!$B$1+((Inputs!$G$5:$G$140&lt;&gt;"moeda")*(Inputs!$G$5:$G$140&lt;&gt;"acoes")))*INDEX(Inputs!$K$5:$AJ$140,0,MATCH(V$2,Inputs!$K$4:$AJ$4,0)))+SUMPRODUCT((Inputs!$C$5:$C$140=$B66)*Inputs!$D$5:$D$140*(((Inputs!$G$5:$G$140="moeda")+(Inputs!$G$5:$G$140="acoes"))*Inputs!$B$1+((Inputs!$G$5:$G$140&lt;&gt;"moeda")*(Inputs!$G$5:$G$140&lt;&gt;"acoes")))*INDEX(Inputs!$K$5:$AJ$140,0,MATCH(V$2,Inputs!$K$4:$AJ$4,0)))+SUMPRODUCT((Inputs!$E$5:$E$140=$B66)*Inputs!$F$5:$F$140*(((Inputs!$G$5:$G$140="moeda")+(Inputs!$G$5:$G$140="acoes"))*Inputs!$B$1+((Inputs!$G$5:$G$140&lt;&gt;"moeda")*(Inputs!$G$5:$G$140&lt;&gt;"acoes")))*INDEX(Inputs!$K$5:$AJ$140,0,MATCH(V$2,Inputs!$K$4:$AJ$4,0)))))</f>
        <v>974</v>
      </c>
      <c r="W66" s="264">
        <f>SUM(S66:V66)</f>
        <v>5086</v>
      </c>
      <c r="X66" s="263">
        <f>IF(ISNA(MATCH(X$2,Inputs!$K$4:$AJ$4,0)),NA(),IF(SUMPRODUCT((Inputs!$A$5:$A$140=$B66)*ISNUMBER(INDEX(Inputs!$K$5:$AJ$140,0,MATCH(X$2,Inputs!$K$4:$AJ$4,0))))+SUMPRODUCT((Inputs!$C$5:$C$140=$B66)*ISNUMBER(INDEX(Inputs!$K$5:$AJ$140,0,MATCH(X$2,Inputs!$K$4:$AJ$4,0))))+SUMPRODUCT((Inputs!$E$5:$E$140=$B66)*ISNUMBER(INDEX(Inputs!$K$5:$AJ$140,0,MATCH(X$2,Inputs!$K$4:$AJ$4,0))))=0,NA(),SUMPRODUCT((Inputs!$A$5:$A$140=$B66)*Inputs!$B$5:$B$140*(((Inputs!$G$5:$G$140="moeda")+(Inputs!$G$5:$G$140="acoes"))*Inputs!$B$1+((Inputs!$G$5:$G$140&lt;&gt;"moeda")*(Inputs!$G$5:$G$140&lt;&gt;"acoes")))*INDEX(Inputs!$K$5:$AJ$140,0,MATCH(X$2,Inputs!$K$4:$AJ$4,0)))+SUMPRODUCT((Inputs!$C$5:$C$140=$B66)*Inputs!$D$5:$D$140*(((Inputs!$G$5:$G$140="moeda")+(Inputs!$G$5:$G$140="acoes"))*Inputs!$B$1+((Inputs!$G$5:$G$140&lt;&gt;"moeda")*(Inputs!$G$5:$G$140&lt;&gt;"acoes")))*INDEX(Inputs!$K$5:$AJ$140,0,MATCH(X$2,Inputs!$K$4:$AJ$4,0)))+SUMPRODUCT((Inputs!$E$5:$E$140=$B66)*Inputs!$F$5:$F$140*(((Inputs!$G$5:$G$140="moeda")+(Inputs!$G$5:$G$140="acoes"))*Inputs!$B$1+((Inputs!$G$5:$G$140&lt;&gt;"moeda")*(Inputs!$G$5:$G$140&lt;&gt;"acoes")))*INDEX(Inputs!$K$5:$AJ$140,0,MATCH(X$2,Inputs!$K$4:$AJ$4,0)))))</f>
        <v>1640</v>
      </c>
      <c r="Y66" s="263">
        <f>IF(ISNA(MATCH(Y$2,Inputs!$K$4:$AJ$4,0)),NA(),IF(SUMPRODUCT((Inputs!$A$5:$A$140=$B66)*ISNUMBER(INDEX(Inputs!$K$5:$AJ$140,0,MATCH(Y$2,Inputs!$K$4:$AJ$4,0))))+SUMPRODUCT((Inputs!$C$5:$C$140=$B66)*ISNUMBER(INDEX(Inputs!$K$5:$AJ$140,0,MATCH(Y$2,Inputs!$K$4:$AJ$4,0))))+SUMPRODUCT((Inputs!$E$5:$E$140=$B66)*ISNUMBER(INDEX(Inputs!$K$5:$AJ$140,0,MATCH(Y$2,Inputs!$K$4:$AJ$4,0))))=0,NA(),SUMPRODUCT((Inputs!$A$5:$A$140=$B66)*Inputs!$B$5:$B$140*(((Inputs!$G$5:$G$140="moeda")+(Inputs!$G$5:$G$140="acoes"))*Inputs!$B$1+((Inputs!$G$5:$G$140&lt;&gt;"moeda")*(Inputs!$G$5:$G$140&lt;&gt;"acoes")))*INDEX(Inputs!$K$5:$AJ$140,0,MATCH(Y$2,Inputs!$K$4:$AJ$4,0)))+SUMPRODUCT((Inputs!$C$5:$C$140=$B66)*Inputs!$D$5:$D$140*(((Inputs!$G$5:$G$140="moeda")+(Inputs!$G$5:$G$140="acoes"))*Inputs!$B$1+((Inputs!$G$5:$G$140&lt;&gt;"moeda")*(Inputs!$G$5:$G$140&lt;&gt;"acoes")))*INDEX(Inputs!$K$5:$AJ$140,0,MATCH(Y$2,Inputs!$K$4:$AJ$4,0)))+SUMPRODUCT((Inputs!$E$5:$E$140=$B66)*Inputs!$F$5:$F$140*(((Inputs!$G$5:$G$140="moeda")+(Inputs!$G$5:$G$140="acoes"))*Inputs!$B$1+((Inputs!$G$5:$G$140&lt;&gt;"moeda")*(Inputs!$G$5:$G$140&lt;&gt;"acoes")))*INDEX(Inputs!$K$5:$AJ$140,0,MATCH(Y$2,Inputs!$K$4:$AJ$4,0)))))</f>
        <v>2242</v>
      </c>
      <c r="Z66" s="263">
        <f>IF(ISNA(MATCH(Z$2,Inputs!$K$4:$AJ$4,0)),NA(),IF(SUMPRODUCT((Inputs!$A$5:$A$140=$B66)*ISNUMBER(INDEX(Inputs!$K$5:$AJ$140,0,MATCH(Z$2,Inputs!$K$4:$AJ$4,0))))+SUMPRODUCT((Inputs!$C$5:$C$140=$B66)*ISNUMBER(INDEX(Inputs!$K$5:$AJ$140,0,MATCH(Z$2,Inputs!$K$4:$AJ$4,0))))+SUMPRODUCT((Inputs!$E$5:$E$140=$B66)*ISNUMBER(INDEX(Inputs!$K$5:$AJ$140,0,MATCH(Z$2,Inputs!$K$4:$AJ$4,0))))=0,NA(),SUMPRODUCT((Inputs!$A$5:$A$140=$B66)*Inputs!$B$5:$B$140*(((Inputs!$G$5:$G$140="moeda")+(Inputs!$G$5:$G$140="acoes"))*Inputs!$B$1+((Inputs!$G$5:$G$140&lt;&gt;"moeda")*(Inputs!$G$5:$G$140&lt;&gt;"acoes")))*INDEX(Inputs!$K$5:$AJ$140,0,MATCH(Z$2,Inputs!$K$4:$AJ$4,0)))+SUMPRODUCT((Inputs!$C$5:$C$140=$B66)*Inputs!$D$5:$D$140*(((Inputs!$G$5:$G$140="moeda")+(Inputs!$G$5:$G$140="acoes"))*Inputs!$B$1+((Inputs!$G$5:$G$140&lt;&gt;"moeda")*(Inputs!$G$5:$G$140&lt;&gt;"acoes")))*INDEX(Inputs!$K$5:$AJ$140,0,MATCH(Z$2,Inputs!$K$4:$AJ$4,0)))+SUMPRODUCT((Inputs!$E$5:$E$140=$B66)*Inputs!$F$5:$F$140*(((Inputs!$G$5:$G$140="moeda")+(Inputs!$G$5:$G$140="acoes"))*Inputs!$B$1+((Inputs!$G$5:$G$140&lt;&gt;"moeda")*(Inputs!$G$5:$G$140&lt;&gt;"acoes")))*INDEX(Inputs!$K$5:$AJ$140,0,MATCH(Z$2,Inputs!$K$4:$AJ$4,0)))))</f>
        <v>2546</v>
      </c>
      <c r="AA66" s="263">
        <f>IF(ISNA(MATCH(AA$2,Inputs!$K$4:$AJ$4,0)),NA(),IF(SUMPRODUCT((Inputs!$A$5:$A$140=$B66)*ISNUMBER(INDEX(Inputs!$K$5:$AJ$140,0,MATCH(AA$2,Inputs!$K$4:$AJ$4,0))))+SUMPRODUCT((Inputs!$C$5:$C$140=$B66)*ISNUMBER(INDEX(Inputs!$K$5:$AJ$140,0,MATCH(AA$2,Inputs!$K$4:$AJ$4,0))))+SUMPRODUCT((Inputs!$E$5:$E$140=$B66)*ISNUMBER(INDEX(Inputs!$K$5:$AJ$140,0,MATCH(AA$2,Inputs!$K$4:$AJ$4,0))))=0,NA(),SUMPRODUCT((Inputs!$A$5:$A$140=$B66)*Inputs!$B$5:$B$140*(((Inputs!$G$5:$G$140="moeda")+(Inputs!$G$5:$G$140="acoes"))*Inputs!$B$1+((Inputs!$G$5:$G$140&lt;&gt;"moeda")*(Inputs!$G$5:$G$140&lt;&gt;"acoes")))*INDEX(Inputs!$K$5:$AJ$140,0,MATCH(AA$2,Inputs!$K$4:$AJ$4,0)))+SUMPRODUCT((Inputs!$C$5:$C$140=$B66)*Inputs!$D$5:$D$140*(((Inputs!$G$5:$G$140="moeda")+(Inputs!$G$5:$G$140="acoes"))*Inputs!$B$1+((Inputs!$G$5:$G$140&lt;&gt;"moeda")*(Inputs!$G$5:$G$140&lt;&gt;"acoes")))*INDEX(Inputs!$K$5:$AJ$140,0,MATCH(AA$2,Inputs!$K$4:$AJ$4,0)))+SUMPRODUCT((Inputs!$E$5:$E$140=$B66)*Inputs!$F$5:$F$140*(((Inputs!$G$5:$G$140="moeda")+(Inputs!$G$5:$G$140="acoes"))*Inputs!$B$1+((Inputs!$G$5:$G$140&lt;&gt;"moeda")*(Inputs!$G$5:$G$140&lt;&gt;"acoes")))*INDEX(Inputs!$K$5:$AJ$140,0,MATCH(AA$2,Inputs!$K$4:$AJ$4,0)))))</f>
        <v>2728</v>
      </c>
      <c r="AB66" s="264">
        <f>SUM(X66:AA66)</f>
        <v>9156</v>
      </c>
      <c r="AC66" s="263">
        <f>IF(ISNA(MATCH(AC$2,Inputs!$K$4:$AJ$4,0)),NA(),IF(SUMPRODUCT((Inputs!$A$5:$A$140=$B66)*ISNUMBER(INDEX(Inputs!$K$5:$AJ$140,0,MATCH(AC$2,Inputs!$K$4:$AJ$4,0))))+SUMPRODUCT((Inputs!$C$5:$C$140=$B66)*ISNUMBER(INDEX(Inputs!$K$5:$AJ$140,0,MATCH(AC$2,Inputs!$K$4:$AJ$4,0))))+SUMPRODUCT((Inputs!$E$5:$E$140=$B66)*ISNUMBER(INDEX(Inputs!$K$5:$AJ$140,0,MATCH(AC$2,Inputs!$K$4:$AJ$4,0))))=0,NA(),SUMPRODUCT((Inputs!$A$5:$A$140=$B66)*Inputs!$B$5:$B$140*(((Inputs!$G$5:$G$140="moeda")+(Inputs!$G$5:$G$140="acoes"))*Inputs!$B$1+((Inputs!$G$5:$G$140&lt;&gt;"moeda")*(Inputs!$G$5:$G$140&lt;&gt;"acoes")))*INDEX(Inputs!$K$5:$AJ$140,0,MATCH(AC$2,Inputs!$K$4:$AJ$4,0)))+SUMPRODUCT((Inputs!$C$5:$C$140=$B66)*Inputs!$D$5:$D$140*(((Inputs!$G$5:$G$140="moeda")+(Inputs!$G$5:$G$140="acoes"))*Inputs!$B$1+((Inputs!$G$5:$G$140&lt;&gt;"moeda")*(Inputs!$G$5:$G$140&lt;&gt;"acoes")))*INDEX(Inputs!$K$5:$AJ$140,0,MATCH(AC$2,Inputs!$K$4:$AJ$4,0)))+SUMPRODUCT((Inputs!$E$5:$E$140=$B66)*Inputs!$F$5:$F$140*(((Inputs!$G$5:$G$140="moeda")+(Inputs!$G$5:$G$140="acoes"))*Inputs!$B$1+((Inputs!$G$5:$G$140&lt;&gt;"moeda")*(Inputs!$G$5:$G$140&lt;&gt;"acoes")))*INDEX(Inputs!$K$5:$AJ$140,0,MATCH(AC$2,Inputs!$K$4:$AJ$4,0)))))</f>
        <v>2941</v>
      </c>
      <c r="AD66" s="263">
        <f>IF(ISNA(MATCH(AD$2,Inputs!$K$4:$AJ$4,0)),NA(),IF(SUMPRODUCT((Inputs!$A$5:$A$140=$B66)*ISNUMBER(INDEX(Inputs!$K$5:$AJ$140,0,MATCH(AD$2,Inputs!$K$4:$AJ$4,0))))+SUMPRODUCT((Inputs!$C$5:$C$140=$B66)*ISNUMBER(INDEX(Inputs!$K$5:$AJ$140,0,MATCH(AD$2,Inputs!$K$4:$AJ$4,0))))+SUMPRODUCT((Inputs!$E$5:$E$140=$B66)*ISNUMBER(INDEX(Inputs!$K$5:$AJ$140,0,MATCH(AD$2,Inputs!$K$4:$AJ$4,0))))=0,NA(),SUMPRODUCT((Inputs!$A$5:$A$140=$B66)*Inputs!$B$5:$B$140*(((Inputs!$G$5:$G$140="moeda")+(Inputs!$G$5:$G$140="acoes"))*Inputs!$B$1+((Inputs!$G$5:$G$140&lt;&gt;"moeda")*(Inputs!$G$5:$G$140&lt;&gt;"acoes")))*INDEX(Inputs!$K$5:$AJ$140,0,MATCH(AD$2,Inputs!$K$4:$AJ$4,0)))+SUMPRODUCT((Inputs!$C$5:$C$140=$B66)*Inputs!$D$5:$D$140*(((Inputs!$G$5:$G$140="moeda")+(Inputs!$G$5:$G$140="acoes"))*Inputs!$B$1+((Inputs!$G$5:$G$140&lt;&gt;"moeda")*(Inputs!$G$5:$G$140&lt;&gt;"acoes")))*INDEX(Inputs!$K$5:$AJ$140,0,MATCH(AD$2,Inputs!$K$4:$AJ$4,0)))+SUMPRODUCT((Inputs!$E$5:$E$140=$B66)*Inputs!$F$5:$F$140*(((Inputs!$G$5:$G$140="moeda")+(Inputs!$G$5:$G$140="acoes"))*Inputs!$B$1+((Inputs!$G$5:$G$140&lt;&gt;"moeda")*(Inputs!$G$5:$G$140&lt;&gt;"acoes")))*INDEX(Inputs!$K$5:$AJ$140,0,MATCH(AD$2,Inputs!$K$4:$AJ$4,0)))))</f>
        <v>3899</v>
      </c>
      <c r="AE66" s="263" t="e">
        <f>IF(ISNA(MATCH(AE$2,Inputs!$K$4:$AJ$4,0)),NA(),IF(SUMPRODUCT((Inputs!$A$5:$A$140=$B66)*ISNUMBER(INDEX(Inputs!$K$5:$AJ$140,0,MATCH(AE$2,Inputs!$K$4:$AJ$4,0))))+SUMPRODUCT((Inputs!$C$5:$C$140=$B66)*ISNUMBER(INDEX(Inputs!$K$5:$AJ$140,0,MATCH(AE$2,Inputs!$K$4:$AJ$4,0))))+SUMPRODUCT((Inputs!$E$5:$E$140=$B66)*ISNUMBER(INDEX(Inputs!$K$5:$AJ$140,0,MATCH(AE$2,Inputs!$K$4:$AJ$4,0))))=0,NA(),SUMPRODUCT((Inputs!$A$5:$A$140=$B66)*Inputs!$B$5:$B$140*(((Inputs!$G$5:$G$140="moeda")+(Inputs!$G$5:$G$140="acoes"))*Inputs!$B$1+((Inputs!$G$5:$G$140&lt;&gt;"moeda")*(Inputs!$G$5:$G$140&lt;&gt;"acoes")))*INDEX(Inputs!$K$5:$AJ$140,0,MATCH(AE$2,Inputs!$K$4:$AJ$4,0)))+SUMPRODUCT((Inputs!$C$5:$C$140=$B66)*Inputs!$D$5:$D$140*(((Inputs!$G$5:$G$140="moeda")+(Inputs!$G$5:$G$140="acoes"))*Inputs!$B$1+((Inputs!$G$5:$G$140&lt;&gt;"moeda")*(Inputs!$G$5:$G$140&lt;&gt;"acoes")))*INDEX(Inputs!$K$5:$AJ$140,0,MATCH(AE$2,Inputs!$K$4:$AJ$4,0)))+SUMPRODUCT((Inputs!$E$5:$E$140=$B66)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66" s="263" t="e">
        <f>IF(ISNA(MATCH(AF$2,Inputs!$K$4:$AJ$4,0)),NA(),IF(SUMPRODUCT((Inputs!$A$5:$A$140=$B66)*ISNUMBER(INDEX(Inputs!$K$5:$AJ$140,0,MATCH(AF$2,Inputs!$K$4:$AJ$4,0))))+SUMPRODUCT((Inputs!$C$5:$C$140=$B66)*ISNUMBER(INDEX(Inputs!$K$5:$AJ$140,0,MATCH(AF$2,Inputs!$K$4:$AJ$4,0))))+SUMPRODUCT((Inputs!$E$5:$E$140=$B66)*ISNUMBER(INDEX(Inputs!$K$5:$AJ$140,0,MATCH(AF$2,Inputs!$K$4:$AJ$4,0))))=0,NA(),SUMPRODUCT((Inputs!$A$5:$A$140=$B66)*Inputs!$B$5:$B$140*(((Inputs!$G$5:$G$140="moeda")+(Inputs!$G$5:$G$140="acoes"))*Inputs!$B$1+((Inputs!$G$5:$G$140&lt;&gt;"moeda")*(Inputs!$G$5:$G$140&lt;&gt;"acoes")))*INDEX(Inputs!$K$5:$AJ$140,0,MATCH(AF$2,Inputs!$K$4:$AJ$4,0)))+SUMPRODUCT((Inputs!$C$5:$C$140=$B66)*Inputs!$D$5:$D$140*(((Inputs!$G$5:$G$140="moeda")+(Inputs!$G$5:$G$140="acoes"))*Inputs!$B$1+((Inputs!$G$5:$G$140&lt;&gt;"moeda")*(Inputs!$G$5:$G$140&lt;&gt;"acoes")))*INDEX(Inputs!$K$5:$AJ$140,0,MATCH(AF$2,Inputs!$K$4:$AJ$4,0)))+SUMPRODUCT((Inputs!$E$5:$E$140=$B66)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66" s="264" t="e">
        <f>SUM(AC66:AF66)</f>
        <v>#N/A</v>
      </c>
      <c r="AH66" s="263">
        <f>IF(ISNA(MATCH(AH$2,Inputs!$K$4:$AJ$4,0)),NA(),IF(SUMPRODUCT((Inputs!$A$5:$A$140=$B66)*ISNUMBER(INDEX(Inputs!$K$5:$AJ$140,0,MATCH(AH$2,Inputs!$K$4:$AJ$4,0))))+SUMPRODUCT((Inputs!$C$5:$C$140=$B66)*ISNUMBER(INDEX(Inputs!$K$5:$AJ$140,0,MATCH(AH$2,Inputs!$K$4:$AJ$4,0))))+SUMPRODUCT((Inputs!$E$5:$E$140=$B66)*ISNUMBER(INDEX(Inputs!$K$5:$AJ$140,0,MATCH(AH$2,Inputs!$K$4:$AJ$4,0))))=0,NA(),SUMPRODUCT((Inputs!$A$5:$A$140=$B66)*Inputs!$B$5:$B$140*(((Inputs!$G$5:$G$140="moeda")+(Inputs!$G$5:$G$140="acoes"))*Inputs!$B$1+((Inputs!$G$5:$G$140&lt;&gt;"moeda")*(Inputs!$G$5:$G$140&lt;&gt;"acoes")))*INDEX(Inputs!$K$5:$AJ$140,0,MATCH(AH$2,Inputs!$K$4:$AJ$4,0)))+SUMPRODUCT((Inputs!$C$5:$C$140=$B66)*Inputs!$D$5:$D$140*(((Inputs!$G$5:$G$140="moeda")+(Inputs!$G$5:$G$140="acoes"))*Inputs!$B$1+((Inputs!$G$5:$G$140&lt;&gt;"moeda")*(Inputs!$G$5:$G$140&lt;&gt;"acoes")))*INDEX(Inputs!$K$5:$AJ$140,0,MATCH(AH$2,Inputs!$K$4:$AJ$4,0)))+SUMPRODUCT((Inputs!$E$5:$E$140=$B66)*Inputs!$F$5:$F$140*(((Inputs!$G$5:$G$140="moeda")+(Inputs!$G$5:$G$140="acoes"))*Inputs!$B$1+((Inputs!$G$5:$G$140&lt;&gt;"moeda")*(Inputs!$G$5:$G$140&lt;&gt;"acoes")))*INDEX(Inputs!$K$5:$AJ$140,0,MATCH(AH$2,Inputs!$K$4:$AJ$4,0)))))</f>
        <v>836</v>
      </c>
      <c r="AI66" s="263">
        <f>IF(ISNA(MATCH(AI$2,Inputs!$K$4:$AJ$4,0)),NA(),IF(SUMPRODUCT((Inputs!$A$5:$A$140=$B66)*ISNUMBER(INDEX(Inputs!$K$5:$AJ$140,0,MATCH(AI$2,Inputs!$K$4:$AJ$4,0))))+SUMPRODUCT((Inputs!$C$5:$C$140=$B66)*ISNUMBER(INDEX(Inputs!$K$5:$AJ$140,0,MATCH(AI$2,Inputs!$K$4:$AJ$4,0))))+SUMPRODUCT((Inputs!$E$5:$E$140=$B66)*ISNUMBER(INDEX(Inputs!$K$5:$AJ$140,0,MATCH(AI$2,Inputs!$K$4:$AJ$4,0))))=0,NA(),SUMPRODUCT((Inputs!$A$5:$A$140=$B66)*Inputs!$B$5:$B$140*(((Inputs!$G$5:$G$140="moeda")+(Inputs!$G$5:$G$140="acoes"))*Inputs!$B$1+((Inputs!$G$5:$G$140&lt;&gt;"moeda")*(Inputs!$G$5:$G$140&lt;&gt;"acoes")))*INDEX(Inputs!$K$5:$AJ$140,0,MATCH(AI$2,Inputs!$K$4:$AJ$4,0)))+SUMPRODUCT((Inputs!$C$5:$C$140=$B66)*Inputs!$D$5:$D$140*(((Inputs!$G$5:$G$140="moeda")+(Inputs!$G$5:$G$140="acoes"))*Inputs!$B$1+((Inputs!$G$5:$G$140&lt;&gt;"moeda")*(Inputs!$G$5:$G$140&lt;&gt;"acoes")))*INDEX(Inputs!$K$5:$AJ$140,0,MATCH(AI$2,Inputs!$K$4:$AJ$4,0)))+SUMPRODUCT((Inputs!$E$5:$E$140=$B66)*Inputs!$F$5:$F$140*(((Inputs!$G$5:$G$140="moeda")+(Inputs!$G$5:$G$140="acoes"))*Inputs!$B$1+((Inputs!$G$5:$G$140&lt;&gt;"moeda")*(Inputs!$G$5:$G$140&lt;&gt;"acoes")))*INDEX(Inputs!$K$5:$AJ$140,0,MATCH(AI$2,Inputs!$K$4:$AJ$4,0)))))</f>
        <v>911</v>
      </c>
      <c r="AJ66" s="263">
        <f>IF(ISNA(MATCH(AJ$2,Inputs!$K$4:$AJ$4,0)),NA(),IF(SUMPRODUCT((Inputs!$A$5:$A$140=$B66)*ISNUMBER(INDEX(Inputs!$K$5:$AJ$140,0,MATCH(AJ$2,Inputs!$K$4:$AJ$4,0))))+SUMPRODUCT((Inputs!$C$5:$C$140=$B66)*ISNUMBER(INDEX(Inputs!$K$5:$AJ$140,0,MATCH(AJ$2,Inputs!$K$4:$AJ$4,0))))+SUMPRODUCT((Inputs!$E$5:$E$140=$B66)*ISNUMBER(INDEX(Inputs!$K$5:$AJ$140,0,MATCH(AJ$2,Inputs!$K$4:$AJ$4,0))))=0,NA(),SUMPRODUCT((Inputs!$A$5:$A$140=$B66)*Inputs!$B$5:$B$140*(((Inputs!$G$5:$G$140="moeda")+(Inputs!$G$5:$G$140="acoes"))*Inputs!$B$1+((Inputs!$G$5:$G$140&lt;&gt;"moeda")*(Inputs!$G$5:$G$140&lt;&gt;"acoes")))*INDEX(Inputs!$K$5:$AJ$140,0,MATCH(AJ$2,Inputs!$K$4:$AJ$4,0)))+SUMPRODUCT((Inputs!$C$5:$C$140=$B66)*Inputs!$D$5:$D$140*(((Inputs!$G$5:$G$140="moeda")+(Inputs!$G$5:$G$140="acoes"))*Inputs!$B$1+((Inputs!$G$5:$G$140&lt;&gt;"moeda")*(Inputs!$G$5:$G$140&lt;&gt;"acoes")))*INDEX(Inputs!$K$5:$AJ$140,0,MATCH(AJ$2,Inputs!$K$4:$AJ$4,0)))+SUMPRODUCT((Inputs!$E$5:$E$140=$B66)*Inputs!$F$5:$F$140*(((Inputs!$G$5:$G$140="moeda")+(Inputs!$G$5:$G$140="acoes"))*Inputs!$B$1+((Inputs!$G$5:$G$140&lt;&gt;"moeda")*(Inputs!$G$5:$G$140&lt;&gt;"acoes")))*INDEX(Inputs!$K$5:$AJ$140,0,MATCH(AJ$2,Inputs!$K$4:$AJ$4,0)))))</f>
        <v>1345</v>
      </c>
      <c r="AK66" s="263">
        <f>IF(ISNA(MATCH(AK$2,Inputs!$K$4:$AJ$4,0)),NA(),IF(SUMPRODUCT((Inputs!$A$5:$A$140=$B66)*ISNUMBER(INDEX(Inputs!$K$5:$AJ$140,0,MATCH(AK$2,Inputs!$K$4:$AJ$4,0))))+SUMPRODUCT((Inputs!$C$5:$C$140=$B66)*ISNUMBER(INDEX(Inputs!$K$5:$AJ$140,0,MATCH(AK$2,Inputs!$K$4:$AJ$4,0))))+SUMPRODUCT((Inputs!$E$5:$E$140=$B66)*ISNUMBER(INDEX(Inputs!$K$5:$AJ$140,0,MATCH(AK$2,Inputs!$K$4:$AJ$4,0))))=0,NA(),SUMPRODUCT((Inputs!$A$5:$A$140=$B66)*Inputs!$B$5:$B$140*(((Inputs!$G$5:$G$140="moeda")+(Inputs!$G$5:$G$140="acoes"))*Inputs!$B$1+((Inputs!$G$5:$G$140&lt;&gt;"moeda")*(Inputs!$G$5:$G$140&lt;&gt;"acoes")))*INDEX(Inputs!$K$5:$AJ$140,0,MATCH(AK$2,Inputs!$K$4:$AJ$4,0)))+SUMPRODUCT((Inputs!$C$5:$C$140=$B66)*Inputs!$D$5:$D$140*(((Inputs!$G$5:$G$140="moeda")+(Inputs!$G$5:$G$140="acoes"))*Inputs!$B$1+((Inputs!$G$5:$G$140&lt;&gt;"moeda")*(Inputs!$G$5:$G$140&lt;&gt;"acoes")))*INDEX(Inputs!$K$5:$AJ$140,0,MATCH(AK$2,Inputs!$K$4:$AJ$4,0)))+SUMPRODUCT((Inputs!$E$5:$E$140=$B66)*Inputs!$F$5:$F$140*(((Inputs!$G$5:$G$140="moeda")+(Inputs!$G$5:$G$140="acoes"))*Inputs!$B$1+((Inputs!$G$5:$G$140&lt;&gt;"moeda")*(Inputs!$G$5:$G$140&lt;&gt;"acoes")))*INDEX(Inputs!$K$5:$AJ$140,0,MATCH(AK$2,Inputs!$K$4:$AJ$4,0)))))</f>
        <v>1520</v>
      </c>
      <c r="AL66" s="264">
        <f>SUM(AH66:AK66)</f>
        <v>4612</v>
      </c>
    </row>
    <row r="67">
      <c r="B67" s="46" t="n">
        <v>59</v>
      </c>
      <c r="C67" s="29" t="inlineStr">
        <is>
          <t>Receita por local de faturamento - Estados Unidos (USD; como divulgado originalmente: os 10-Qs do FY26 reapresentaram a abertura geográfica de 3T24-2T25 e o modelo mantém a base original para o 4T = ano - 9M ficar coerente)</t>
        </is>
      </c>
      <c r="D67" s="263">
        <f>IF(ISNA(MATCH(D$2,Inputs!$K$4:$AJ$4,0)),NA(),IF(SUMPRODUCT((Inputs!$A$5:$A$140=$B67)*ISNUMBER(INDEX(Inputs!$K$5:$AJ$140,0,MATCH(D$2,Inputs!$K$4:$AJ$4,0))))+SUMPRODUCT((Inputs!$C$5:$C$140=$B67)*ISNUMBER(INDEX(Inputs!$K$5:$AJ$140,0,MATCH(D$2,Inputs!$K$4:$AJ$4,0))))+SUMPRODUCT((Inputs!$E$5:$E$140=$B67)*ISNUMBER(INDEX(Inputs!$K$5:$AJ$140,0,MATCH(D$2,Inputs!$K$4:$AJ$4,0))))=0,NA(),SUMPRODUCT((Inputs!$A$5:$A$140=$B67)*Inputs!$B$5:$B$140*(((Inputs!$G$5:$G$140="moeda")+(Inputs!$G$5:$G$140="acoes"))*Inputs!$B$1+((Inputs!$G$5:$G$140&lt;&gt;"moeda")*(Inputs!$G$5:$G$140&lt;&gt;"acoes")))*INDEX(Inputs!$K$5:$AJ$140,0,MATCH(D$2,Inputs!$K$4:$AJ$4,0)))+SUMPRODUCT((Inputs!$C$5:$C$140=$B67)*Inputs!$D$5:$D$140*(((Inputs!$G$5:$G$140="moeda")+(Inputs!$G$5:$G$140="acoes"))*Inputs!$B$1+((Inputs!$G$5:$G$140&lt;&gt;"moeda")*(Inputs!$G$5:$G$140&lt;&gt;"acoes")))*INDEX(Inputs!$K$5:$AJ$140,0,MATCH(D$2,Inputs!$K$4:$AJ$4,0)))+SUMPRODUCT((Inputs!$E$5:$E$140=$B67)*Inputs!$F$5:$F$140*(((Inputs!$G$5:$G$140="moeda")+(Inputs!$G$5:$G$140="acoes"))*Inputs!$B$1+((Inputs!$G$5:$G$140&lt;&gt;"moeda")*(Inputs!$G$5:$G$140&lt;&gt;"acoes")))*INDEX(Inputs!$K$5:$AJ$140,0,MATCH(D$2,Inputs!$K$4:$AJ$4,0)))))</f>
        <v>768</v>
      </c>
      <c r="E67" s="263">
        <f>IF(ISNA(MATCH(E$2,Inputs!$K$4:$AJ$4,0)),NA(),IF(SUMPRODUCT((Inputs!$A$5:$A$140=$B67)*ISNUMBER(INDEX(Inputs!$K$5:$AJ$140,0,MATCH(E$2,Inputs!$K$4:$AJ$4,0))))+SUMPRODUCT((Inputs!$C$5:$C$140=$B67)*ISNUMBER(INDEX(Inputs!$K$5:$AJ$140,0,MATCH(E$2,Inputs!$K$4:$AJ$4,0))))+SUMPRODUCT((Inputs!$E$5:$E$140=$B67)*ISNUMBER(INDEX(Inputs!$K$5:$AJ$140,0,MATCH(E$2,Inputs!$K$4:$AJ$4,0))))=0,NA(),SUMPRODUCT((Inputs!$A$5:$A$140=$B67)*Inputs!$B$5:$B$140*(((Inputs!$G$5:$G$140="moeda")+(Inputs!$G$5:$G$140="acoes"))*Inputs!$B$1+((Inputs!$G$5:$G$140&lt;&gt;"moeda")*(Inputs!$G$5:$G$140&lt;&gt;"acoes")))*INDEX(Inputs!$K$5:$AJ$140,0,MATCH(E$2,Inputs!$K$4:$AJ$4,0)))+SUMPRODUCT((Inputs!$C$5:$C$140=$B67)*Inputs!$D$5:$D$140*(((Inputs!$G$5:$G$140="moeda")+(Inputs!$G$5:$G$140="acoes"))*Inputs!$B$1+((Inputs!$G$5:$G$140&lt;&gt;"moeda")*(Inputs!$G$5:$G$140&lt;&gt;"acoes")))*INDEX(Inputs!$K$5:$AJ$140,0,MATCH(E$2,Inputs!$K$4:$AJ$4,0)))+SUMPRODUCT((Inputs!$E$5:$E$140=$B67)*Inputs!$F$5:$F$140*(((Inputs!$G$5:$G$140="moeda")+(Inputs!$G$5:$G$140="acoes"))*Inputs!$B$1+((Inputs!$G$5:$G$140&lt;&gt;"moeda")*(Inputs!$G$5:$G$140&lt;&gt;"acoes")))*INDEX(Inputs!$K$5:$AJ$140,0,MATCH(E$2,Inputs!$K$4:$AJ$4,0)))))</f>
        <v>996</v>
      </c>
      <c r="F67" s="263">
        <f>IF(ISNA(MATCH(F$2,Inputs!$K$4:$AJ$4,0)),NA(),IF(SUMPRODUCT((Inputs!$A$5:$A$140=$B67)*ISNUMBER(INDEX(Inputs!$K$5:$AJ$140,0,MATCH(F$2,Inputs!$K$4:$AJ$4,0))))+SUMPRODUCT((Inputs!$C$5:$C$140=$B67)*ISNUMBER(INDEX(Inputs!$K$5:$AJ$140,0,MATCH(F$2,Inputs!$K$4:$AJ$4,0))))+SUMPRODUCT((Inputs!$E$5:$E$140=$B67)*ISNUMBER(INDEX(Inputs!$K$5:$AJ$140,0,MATCH(F$2,Inputs!$K$4:$AJ$4,0))))=0,NA(),SUMPRODUCT((Inputs!$A$5:$A$140=$B67)*Inputs!$B$5:$B$140*(((Inputs!$G$5:$G$140="moeda")+(Inputs!$G$5:$G$140="acoes"))*Inputs!$B$1+((Inputs!$G$5:$G$140&lt;&gt;"moeda")*(Inputs!$G$5:$G$140&lt;&gt;"acoes")))*INDEX(Inputs!$K$5:$AJ$140,0,MATCH(F$2,Inputs!$K$4:$AJ$4,0)))+SUMPRODUCT((Inputs!$C$5:$C$140=$B67)*Inputs!$D$5:$D$140*(((Inputs!$G$5:$G$140="moeda")+(Inputs!$G$5:$G$140="acoes"))*Inputs!$B$1+((Inputs!$G$5:$G$140&lt;&gt;"moeda")*(Inputs!$G$5:$G$140&lt;&gt;"acoes")))*INDEX(Inputs!$K$5:$AJ$140,0,MATCH(F$2,Inputs!$K$4:$AJ$4,0)))+SUMPRODUCT((Inputs!$E$5:$E$140=$B67)*Inputs!$F$5:$F$140*(((Inputs!$G$5:$G$140="moeda")+(Inputs!$G$5:$G$140="acoes"))*Inputs!$B$1+((Inputs!$G$5:$G$140&lt;&gt;"moeda")*(Inputs!$G$5:$G$140&lt;&gt;"acoes")))*INDEX(Inputs!$K$5:$AJ$140,0,MATCH(F$2,Inputs!$K$4:$AJ$4,0)))))</f>
        <v>1126</v>
      </c>
      <c r="G67" s="263">
        <f>IF(ISNA(MATCH(G$2,Inputs!$K$4:$AJ$4,0)),NA(),IF(SUMPRODUCT((Inputs!$A$5:$A$140=$B67)*ISNUMBER(INDEX(Inputs!$K$5:$AJ$140,0,MATCH(G$2,Inputs!$K$4:$AJ$4,0))))+SUMPRODUCT((Inputs!$C$5:$C$140=$B67)*ISNUMBER(INDEX(Inputs!$K$5:$AJ$140,0,MATCH(G$2,Inputs!$K$4:$AJ$4,0))))+SUMPRODUCT((Inputs!$E$5:$E$140=$B67)*ISNUMBER(INDEX(Inputs!$K$5:$AJ$140,0,MATCH(G$2,Inputs!$K$4:$AJ$4,0))))=0,NA(),SUMPRODUCT((Inputs!$A$5:$A$140=$B67)*Inputs!$B$5:$B$140*(((Inputs!$G$5:$G$140="moeda")+(Inputs!$G$5:$G$140="acoes"))*Inputs!$B$1+((Inputs!$G$5:$G$140&lt;&gt;"moeda")*(Inputs!$G$5:$G$140&lt;&gt;"acoes")))*INDEX(Inputs!$K$5:$AJ$140,0,MATCH(G$2,Inputs!$K$4:$AJ$4,0)))+SUMPRODUCT((Inputs!$C$5:$C$140=$B67)*Inputs!$D$5:$D$140*(((Inputs!$G$5:$G$140="moeda")+(Inputs!$G$5:$G$140="acoes"))*Inputs!$B$1+((Inputs!$G$5:$G$140&lt;&gt;"moeda")*(Inputs!$G$5:$G$140&lt;&gt;"acoes")))*INDEX(Inputs!$K$5:$AJ$140,0,MATCH(G$2,Inputs!$K$4:$AJ$4,0)))+SUMPRODUCT((Inputs!$E$5:$E$140=$B67)*Inputs!$F$5:$F$140*(((Inputs!$G$5:$G$140="moeda")+(Inputs!$G$5:$G$140="acoes"))*Inputs!$B$1+((Inputs!$G$5:$G$140&lt;&gt;"moeda")*(Inputs!$G$5:$G$140&lt;&gt;"acoes")))*INDEX(Inputs!$K$5:$AJ$140,0,MATCH(G$2,Inputs!$K$4:$AJ$4,0)))))</f>
        <v>1459</v>
      </c>
      <c r="H67" s="264">
        <f>SUM(D67:G67)</f>
        <v>4349</v>
      </c>
      <c r="I67" s="263">
        <f>IF(ISNA(MATCH(I$2,Inputs!$K$4:$AJ$4,0)),NA(),IF(SUMPRODUCT((Inputs!$A$5:$A$140=$B67)*ISNUMBER(INDEX(Inputs!$K$5:$AJ$140,0,MATCH(I$2,Inputs!$K$4:$AJ$4,0))))+SUMPRODUCT((Inputs!$C$5:$C$140=$B67)*ISNUMBER(INDEX(Inputs!$K$5:$AJ$140,0,MATCH(I$2,Inputs!$K$4:$AJ$4,0))))+SUMPRODUCT((Inputs!$E$5:$E$140=$B67)*ISNUMBER(INDEX(Inputs!$K$5:$AJ$140,0,MATCH(I$2,Inputs!$K$4:$AJ$4,0))))=0,NA(),SUMPRODUCT((Inputs!$A$5:$A$140=$B67)*Inputs!$B$5:$B$140*(((Inputs!$G$5:$G$140="moeda")+(Inputs!$G$5:$G$140="acoes"))*Inputs!$B$1+((Inputs!$G$5:$G$140&lt;&gt;"moeda")*(Inputs!$G$5:$G$140&lt;&gt;"acoes")))*INDEX(Inputs!$K$5:$AJ$140,0,MATCH(I$2,Inputs!$K$4:$AJ$4,0)))+SUMPRODUCT((Inputs!$C$5:$C$140=$B67)*Inputs!$D$5:$D$140*(((Inputs!$G$5:$G$140="moeda")+(Inputs!$G$5:$G$140="acoes"))*Inputs!$B$1+((Inputs!$G$5:$G$140&lt;&gt;"moeda")*(Inputs!$G$5:$G$140&lt;&gt;"acoes")))*INDEX(Inputs!$K$5:$AJ$140,0,MATCH(I$2,Inputs!$K$4:$AJ$4,0)))+SUMPRODUCT((Inputs!$E$5:$E$140=$B67)*Inputs!$F$5:$F$140*(((Inputs!$G$5:$G$140="moeda")+(Inputs!$G$5:$G$140="acoes"))*Inputs!$B$1+((Inputs!$G$5:$G$140&lt;&gt;"moeda")*(Inputs!$G$5:$G$140&lt;&gt;"acoes")))*INDEX(Inputs!$K$5:$AJ$140,0,MATCH(I$2,Inputs!$K$4:$AJ$4,0)))))</f>
        <v>1932</v>
      </c>
      <c r="J67" s="263">
        <f>IF(ISNA(MATCH(J$2,Inputs!$K$4:$AJ$4,0)),NA(),IF(SUMPRODUCT((Inputs!$A$5:$A$140=$B67)*ISNUMBER(INDEX(Inputs!$K$5:$AJ$140,0,MATCH(J$2,Inputs!$K$4:$AJ$4,0))))+SUMPRODUCT((Inputs!$C$5:$C$140=$B67)*ISNUMBER(INDEX(Inputs!$K$5:$AJ$140,0,MATCH(J$2,Inputs!$K$4:$AJ$4,0))))+SUMPRODUCT((Inputs!$E$5:$E$140=$B67)*ISNUMBER(INDEX(Inputs!$K$5:$AJ$140,0,MATCH(J$2,Inputs!$K$4:$AJ$4,0))))=0,NA(),SUMPRODUCT((Inputs!$A$5:$A$140=$B67)*Inputs!$B$5:$B$140*(((Inputs!$G$5:$G$140="moeda")+(Inputs!$G$5:$G$140="acoes"))*Inputs!$B$1+((Inputs!$G$5:$G$140&lt;&gt;"moeda")*(Inputs!$G$5:$G$140&lt;&gt;"acoes")))*INDEX(Inputs!$K$5:$AJ$140,0,MATCH(J$2,Inputs!$K$4:$AJ$4,0)))+SUMPRODUCT((Inputs!$C$5:$C$140=$B67)*Inputs!$D$5:$D$140*(((Inputs!$G$5:$G$140="moeda")+(Inputs!$G$5:$G$140="acoes"))*Inputs!$B$1+((Inputs!$G$5:$G$140&lt;&gt;"moeda")*(Inputs!$G$5:$G$140&lt;&gt;"acoes")))*INDEX(Inputs!$K$5:$AJ$140,0,MATCH(J$2,Inputs!$K$4:$AJ$4,0)))+SUMPRODUCT((Inputs!$E$5:$E$140=$B67)*Inputs!$F$5:$F$140*(((Inputs!$G$5:$G$140="moeda")+(Inputs!$G$5:$G$140="acoes"))*Inputs!$B$1+((Inputs!$G$5:$G$140&lt;&gt;"moeda")*(Inputs!$G$5:$G$140&lt;&gt;"acoes")))*INDEX(Inputs!$K$5:$AJ$140,0,MATCH(J$2,Inputs!$K$4:$AJ$4,0)))))</f>
        <v>1988</v>
      </c>
      <c r="K67" s="263">
        <f>IF(ISNA(MATCH(K$2,Inputs!$K$4:$AJ$4,0)),NA(),IF(SUMPRODUCT((Inputs!$A$5:$A$140=$B67)*ISNUMBER(INDEX(Inputs!$K$5:$AJ$140,0,MATCH(K$2,Inputs!$K$4:$AJ$4,0))))+SUMPRODUCT((Inputs!$C$5:$C$140=$B67)*ISNUMBER(INDEX(Inputs!$K$5:$AJ$140,0,MATCH(K$2,Inputs!$K$4:$AJ$4,0))))+SUMPRODUCT((Inputs!$E$5:$E$140=$B67)*ISNUMBER(INDEX(Inputs!$K$5:$AJ$140,0,MATCH(K$2,Inputs!$K$4:$AJ$4,0))))=0,NA(),SUMPRODUCT((Inputs!$A$5:$A$140=$B67)*Inputs!$B$5:$B$140*(((Inputs!$G$5:$G$140="moeda")+(Inputs!$G$5:$G$140="acoes"))*Inputs!$B$1+((Inputs!$G$5:$G$140&lt;&gt;"moeda")*(Inputs!$G$5:$G$140&lt;&gt;"acoes")))*INDEX(Inputs!$K$5:$AJ$140,0,MATCH(K$2,Inputs!$K$4:$AJ$4,0)))+SUMPRODUCT((Inputs!$C$5:$C$140=$B67)*Inputs!$D$5:$D$140*(((Inputs!$G$5:$G$140="moeda")+(Inputs!$G$5:$G$140="acoes"))*Inputs!$B$1+((Inputs!$G$5:$G$140&lt;&gt;"moeda")*(Inputs!$G$5:$G$140&lt;&gt;"acoes")))*INDEX(Inputs!$K$5:$AJ$140,0,MATCH(K$2,Inputs!$K$4:$AJ$4,0)))+SUMPRODUCT((Inputs!$E$5:$E$140=$B67)*Inputs!$F$5:$F$140*(((Inputs!$G$5:$G$140="moeda")+(Inputs!$G$5:$G$140="acoes"))*Inputs!$B$1+((Inputs!$G$5:$G$140&lt;&gt;"moeda")*(Inputs!$G$5:$G$140&lt;&gt;"acoes")))*INDEX(Inputs!$K$5:$AJ$140,0,MATCH(K$2,Inputs!$K$4:$AJ$4,0)))))</f>
        <v>2148</v>
      </c>
      <c r="L67" s="263">
        <f>IF(ISNA(MATCH(L$2,Inputs!$K$4:$AJ$4,0)),NA(),IF(SUMPRODUCT((Inputs!$A$5:$A$140=$B67)*ISNUMBER(INDEX(Inputs!$K$5:$AJ$140,0,MATCH(L$2,Inputs!$K$4:$AJ$4,0))))+SUMPRODUCT((Inputs!$C$5:$C$140=$B67)*ISNUMBER(INDEX(Inputs!$K$5:$AJ$140,0,MATCH(L$2,Inputs!$K$4:$AJ$4,0))))+SUMPRODUCT((Inputs!$E$5:$E$140=$B67)*ISNUMBER(INDEX(Inputs!$K$5:$AJ$140,0,MATCH(L$2,Inputs!$K$4:$AJ$4,0))))=0,NA(),SUMPRODUCT((Inputs!$A$5:$A$140=$B67)*Inputs!$B$5:$B$140*(((Inputs!$G$5:$G$140="moeda")+(Inputs!$G$5:$G$140="acoes"))*Inputs!$B$1+((Inputs!$G$5:$G$140&lt;&gt;"moeda")*(Inputs!$G$5:$G$140&lt;&gt;"acoes")))*INDEX(Inputs!$K$5:$AJ$140,0,MATCH(L$2,Inputs!$K$4:$AJ$4,0)))+SUMPRODUCT((Inputs!$C$5:$C$140=$B67)*Inputs!$D$5:$D$140*(((Inputs!$G$5:$G$140="moeda")+(Inputs!$G$5:$G$140="acoes"))*Inputs!$B$1+((Inputs!$G$5:$G$140&lt;&gt;"moeda")*(Inputs!$G$5:$G$140&lt;&gt;"acoes")))*INDEX(Inputs!$K$5:$AJ$140,0,MATCH(L$2,Inputs!$K$4:$AJ$4,0)))+SUMPRODUCT((Inputs!$E$5:$E$140=$B67)*Inputs!$F$5:$F$140*(((Inputs!$G$5:$G$140="moeda")+(Inputs!$G$5:$G$140="acoes"))*Inputs!$B$1+((Inputs!$G$5:$G$140&lt;&gt;"moeda")*(Inputs!$G$5:$G$140&lt;&gt;"acoes")))*INDEX(Inputs!$K$5:$AJ$140,0,MATCH(L$2,Inputs!$K$4:$AJ$4,0)))))</f>
        <v>2223</v>
      </c>
      <c r="M67" s="264">
        <f>SUM(I67:L67)</f>
        <v>8291</v>
      </c>
      <c r="N67" s="263">
        <f>IF(ISNA(MATCH(N$2,Inputs!$K$4:$AJ$4,0)),NA(),IF(SUMPRODUCT((Inputs!$A$5:$A$140=$B67)*ISNUMBER(INDEX(Inputs!$K$5:$AJ$140,0,MATCH(N$2,Inputs!$K$4:$AJ$4,0))))+SUMPRODUCT((Inputs!$C$5:$C$140=$B67)*ISNUMBER(INDEX(Inputs!$K$5:$AJ$140,0,MATCH(N$2,Inputs!$K$4:$AJ$4,0))))+SUMPRODUCT((Inputs!$E$5:$E$140=$B67)*ISNUMBER(INDEX(Inputs!$K$5:$AJ$140,0,MATCH(N$2,Inputs!$K$4:$AJ$4,0))))=0,NA(),SUMPRODUCT((Inputs!$A$5:$A$140=$B67)*Inputs!$B$5:$B$140*(((Inputs!$G$5:$G$140="moeda")+(Inputs!$G$5:$G$140="acoes"))*Inputs!$B$1+((Inputs!$G$5:$G$140&lt;&gt;"moeda")*(Inputs!$G$5:$G$140&lt;&gt;"acoes")))*INDEX(Inputs!$K$5:$AJ$140,0,MATCH(N$2,Inputs!$K$4:$AJ$4,0)))+SUMPRODUCT((Inputs!$C$5:$C$140=$B67)*Inputs!$D$5:$D$140*(((Inputs!$G$5:$G$140="moeda")+(Inputs!$G$5:$G$140="acoes"))*Inputs!$B$1+((Inputs!$G$5:$G$140&lt;&gt;"moeda")*(Inputs!$G$5:$G$140&lt;&gt;"acoes")))*INDEX(Inputs!$K$5:$AJ$140,0,MATCH(N$2,Inputs!$K$4:$AJ$4,0)))+SUMPRODUCT((Inputs!$E$5:$E$140=$B67)*Inputs!$F$5:$F$140*(((Inputs!$G$5:$G$140="moeda")+(Inputs!$G$5:$G$140="acoes"))*Inputs!$B$1+((Inputs!$G$5:$G$140&lt;&gt;"moeda")*(Inputs!$G$5:$G$140&lt;&gt;"acoes")))*INDEX(Inputs!$K$5:$AJ$140,0,MATCH(N$2,Inputs!$K$4:$AJ$4,0)))))</f>
        <v>2385</v>
      </c>
      <c r="O67" s="263">
        <f>IF(ISNA(MATCH(O$2,Inputs!$K$4:$AJ$4,0)),NA(),IF(SUMPRODUCT((Inputs!$A$5:$A$140=$B67)*ISNUMBER(INDEX(Inputs!$K$5:$AJ$140,0,MATCH(O$2,Inputs!$K$4:$AJ$4,0))))+SUMPRODUCT((Inputs!$C$5:$C$140=$B67)*ISNUMBER(INDEX(Inputs!$K$5:$AJ$140,0,MATCH(O$2,Inputs!$K$4:$AJ$4,0))))+SUMPRODUCT((Inputs!$E$5:$E$140=$B67)*ISNUMBER(INDEX(Inputs!$K$5:$AJ$140,0,MATCH(O$2,Inputs!$K$4:$AJ$4,0))))=0,NA(),SUMPRODUCT((Inputs!$A$5:$A$140=$B67)*Inputs!$B$5:$B$140*(((Inputs!$G$5:$G$140="moeda")+(Inputs!$G$5:$G$140="acoes"))*Inputs!$B$1+((Inputs!$G$5:$G$140&lt;&gt;"moeda")*(Inputs!$G$5:$G$140&lt;&gt;"acoes")))*INDEX(Inputs!$K$5:$AJ$140,0,MATCH(O$2,Inputs!$K$4:$AJ$4,0)))+SUMPRODUCT((Inputs!$C$5:$C$140=$B67)*Inputs!$D$5:$D$140*(((Inputs!$G$5:$G$140="moeda")+(Inputs!$G$5:$G$140="acoes"))*Inputs!$B$1+((Inputs!$G$5:$G$140&lt;&gt;"moeda")*(Inputs!$G$5:$G$140&lt;&gt;"acoes")))*INDEX(Inputs!$K$5:$AJ$140,0,MATCH(O$2,Inputs!$K$4:$AJ$4,0)))+SUMPRODUCT((Inputs!$E$5:$E$140=$B67)*Inputs!$F$5:$F$140*(((Inputs!$G$5:$G$140="moeda")+(Inputs!$G$5:$G$140="acoes"))*Inputs!$B$1+((Inputs!$G$5:$G$140&lt;&gt;"moeda")*(Inputs!$G$5:$G$140&lt;&gt;"acoes")))*INDEX(Inputs!$K$5:$AJ$140,0,MATCH(O$2,Inputs!$K$4:$AJ$4,0)))))</f>
        <v>6043</v>
      </c>
      <c r="P67" s="263">
        <f>IF(ISNA(MATCH(P$2,Inputs!$K$4:$AJ$4,0)),NA(),IF(SUMPRODUCT((Inputs!$A$5:$A$140=$B67)*ISNUMBER(INDEX(Inputs!$K$5:$AJ$140,0,MATCH(P$2,Inputs!$K$4:$AJ$4,0))))+SUMPRODUCT((Inputs!$C$5:$C$140=$B67)*ISNUMBER(INDEX(Inputs!$K$5:$AJ$140,0,MATCH(P$2,Inputs!$K$4:$AJ$4,0))))+SUMPRODUCT((Inputs!$E$5:$E$140=$B67)*ISNUMBER(INDEX(Inputs!$K$5:$AJ$140,0,MATCH(P$2,Inputs!$K$4:$AJ$4,0))))=0,NA(),SUMPRODUCT((Inputs!$A$5:$A$140=$B67)*Inputs!$B$5:$B$140*(((Inputs!$G$5:$G$140="moeda")+(Inputs!$G$5:$G$140="acoes"))*Inputs!$B$1+((Inputs!$G$5:$G$140&lt;&gt;"moeda")*(Inputs!$G$5:$G$140&lt;&gt;"acoes")))*INDEX(Inputs!$K$5:$AJ$140,0,MATCH(P$2,Inputs!$K$4:$AJ$4,0)))+SUMPRODUCT((Inputs!$C$5:$C$140=$B67)*Inputs!$D$5:$D$140*(((Inputs!$G$5:$G$140="moeda")+(Inputs!$G$5:$G$140="acoes"))*Inputs!$B$1+((Inputs!$G$5:$G$140&lt;&gt;"moeda")*(Inputs!$G$5:$G$140&lt;&gt;"acoes")))*INDEX(Inputs!$K$5:$AJ$140,0,MATCH(P$2,Inputs!$K$4:$AJ$4,0)))+SUMPRODUCT((Inputs!$E$5:$E$140=$B67)*Inputs!$F$5:$F$140*(((Inputs!$G$5:$G$140="moeda")+(Inputs!$G$5:$G$140="acoes"))*Inputs!$B$1+((Inputs!$G$5:$G$140&lt;&gt;"moeda")*(Inputs!$G$5:$G$140&lt;&gt;"acoes")))*INDEX(Inputs!$K$5:$AJ$140,0,MATCH(P$2,Inputs!$K$4:$AJ$4,0)))))</f>
        <v>6302</v>
      </c>
      <c r="Q67" s="263">
        <f>IF(ISNA(MATCH(Q$2,Inputs!$K$4:$AJ$4,0)),NA(),IF(SUMPRODUCT((Inputs!$A$5:$A$140=$B67)*ISNUMBER(INDEX(Inputs!$K$5:$AJ$140,0,MATCH(Q$2,Inputs!$K$4:$AJ$4,0))))+SUMPRODUCT((Inputs!$C$5:$C$140=$B67)*ISNUMBER(INDEX(Inputs!$K$5:$AJ$140,0,MATCH(Q$2,Inputs!$K$4:$AJ$4,0))))+SUMPRODUCT((Inputs!$E$5:$E$140=$B67)*ISNUMBER(INDEX(Inputs!$K$5:$AJ$140,0,MATCH(Q$2,Inputs!$K$4:$AJ$4,0))))=0,NA(),SUMPRODUCT((Inputs!$A$5:$A$140=$B67)*Inputs!$B$5:$B$140*(((Inputs!$G$5:$G$140="moeda")+(Inputs!$G$5:$G$140="acoes"))*Inputs!$B$1+((Inputs!$G$5:$G$140&lt;&gt;"moeda")*(Inputs!$G$5:$G$140&lt;&gt;"acoes")))*INDEX(Inputs!$K$5:$AJ$140,0,MATCH(Q$2,Inputs!$K$4:$AJ$4,0)))+SUMPRODUCT((Inputs!$C$5:$C$140=$B67)*Inputs!$D$5:$D$140*(((Inputs!$G$5:$G$140="moeda")+(Inputs!$G$5:$G$140="acoes"))*Inputs!$B$1+((Inputs!$G$5:$G$140&lt;&gt;"moeda")*(Inputs!$G$5:$G$140&lt;&gt;"acoes")))*INDEX(Inputs!$K$5:$AJ$140,0,MATCH(Q$2,Inputs!$K$4:$AJ$4,0)))+SUMPRODUCT((Inputs!$E$5:$E$140=$B67)*Inputs!$F$5:$F$140*(((Inputs!$G$5:$G$140="moeda")+(Inputs!$G$5:$G$140="acoes"))*Inputs!$B$1+((Inputs!$G$5:$G$140&lt;&gt;"moeda")*(Inputs!$G$5:$G$140&lt;&gt;"acoes")))*INDEX(Inputs!$K$5:$AJ$140,0,MATCH(Q$2,Inputs!$K$4:$AJ$4,0)))))</f>
        <v>12236</v>
      </c>
      <c r="R67" s="264">
        <f>SUM(N67:Q67)</f>
        <v>26966</v>
      </c>
      <c r="S67" s="263">
        <f>IF(ISNA(MATCH(S$2,Inputs!$K$4:$AJ$4,0)),NA(),IF(SUMPRODUCT((Inputs!$A$5:$A$140=$B67)*ISNUMBER(INDEX(Inputs!$K$5:$AJ$140,0,MATCH(S$2,Inputs!$K$4:$AJ$4,0))))+SUMPRODUCT((Inputs!$C$5:$C$140=$B67)*ISNUMBER(INDEX(Inputs!$K$5:$AJ$140,0,MATCH(S$2,Inputs!$K$4:$AJ$4,0))))+SUMPRODUCT((Inputs!$E$5:$E$140=$B67)*ISNUMBER(INDEX(Inputs!$K$5:$AJ$140,0,MATCH(S$2,Inputs!$K$4:$AJ$4,0))))=0,NA(),SUMPRODUCT((Inputs!$A$5:$A$140=$B67)*Inputs!$B$5:$B$140*(((Inputs!$G$5:$G$140="moeda")+(Inputs!$G$5:$G$140="acoes"))*Inputs!$B$1+((Inputs!$G$5:$G$140&lt;&gt;"moeda")*(Inputs!$G$5:$G$140&lt;&gt;"acoes")))*INDEX(Inputs!$K$5:$AJ$140,0,MATCH(S$2,Inputs!$K$4:$AJ$4,0)))+SUMPRODUCT((Inputs!$C$5:$C$140=$B67)*Inputs!$D$5:$D$140*(((Inputs!$G$5:$G$140="moeda")+(Inputs!$G$5:$G$140="acoes"))*Inputs!$B$1+((Inputs!$G$5:$G$140&lt;&gt;"moeda")*(Inputs!$G$5:$G$140&lt;&gt;"acoes")))*INDEX(Inputs!$K$5:$AJ$140,0,MATCH(S$2,Inputs!$K$4:$AJ$4,0)))+SUMPRODUCT((Inputs!$E$5:$E$140=$B67)*Inputs!$F$5:$F$140*(((Inputs!$G$5:$G$140="moeda")+(Inputs!$G$5:$G$140="acoes"))*Inputs!$B$1+((Inputs!$G$5:$G$140&lt;&gt;"moeda")*(Inputs!$G$5:$G$140&lt;&gt;"acoes")))*INDEX(Inputs!$K$5:$AJ$140,0,MATCH(S$2,Inputs!$K$4:$AJ$4,0)))))</f>
        <v>13496</v>
      </c>
      <c r="T67" s="263">
        <f>IF(ISNA(MATCH(T$2,Inputs!$K$4:$AJ$4,0)),NA(),IF(SUMPRODUCT((Inputs!$A$5:$A$140=$B67)*ISNUMBER(INDEX(Inputs!$K$5:$AJ$140,0,MATCH(T$2,Inputs!$K$4:$AJ$4,0))))+SUMPRODUCT((Inputs!$C$5:$C$140=$B67)*ISNUMBER(INDEX(Inputs!$K$5:$AJ$140,0,MATCH(T$2,Inputs!$K$4:$AJ$4,0))))+SUMPRODUCT((Inputs!$E$5:$E$140=$B67)*ISNUMBER(INDEX(Inputs!$K$5:$AJ$140,0,MATCH(T$2,Inputs!$K$4:$AJ$4,0))))=0,NA(),SUMPRODUCT((Inputs!$A$5:$A$140=$B67)*Inputs!$B$5:$B$140*(((Inputs!$G$5:$G$140="moeda")+(Inputs!$G$5:$G$140="acoes"))*Inputs!$B$1+((Inputs!$G$5:$G$140&lt;&gt;"moeda")*(Inputs!$G$5:$G$140&lt;&gt;"acoes")))*INDEX(Inputs!$K$5:$AJ$140,0,MATCH(T$2,Inputs!$K$4:$AJ$4,0)))+SUMPRODUCT((Inputs!$C$5:$C$140=$B67)*Inputs!$D$5:$D$140*(((Inputs!$G$5:$G$140="moeda")+(Inputs!$G$5:$G$140="acoes"))*Inputs!$B$1+((Inputs!$G$5:$G$140&lt;&gt;"moeda")*(Inputs!$G$5:$G$140&lt;&gt;"acoes")))*INDEX(Inputs!$K$5:$AJ$140,0,MATCH(T$2,Inputs!$K$4:$AJ$4,0)))+SUMPRODUCT((Inputs!$E$5:$E$140=$B67)*Inputs!$F$5:$F$140*(((Inputs!$G$5:$G$140="moeda")+(Inputs!$G$5:$G$140="acoes"))*Inputs!$B$1+((Inputs!$G$5:$G$140&lt;&gt;"moeda")*(Inputs!$G$5:$G$140&lt;&gt;"acoes")))*INDEX(Inputs!$K$5:$AJ$140,0,MATCH(T$2,Inputs!$K$4:$AJ$4,0)))))</f>
        <v>13022</v>
      </c>
      <c r="U67" s="263">
        <f>IF(ISNA(MATCH(U$2,Inputs!$K$4:$AJ$4,0)),NA(),IF(SUMPRODUCT((Inputs!$A$5:$A$140=$B67)*ISNUMBER(INDEX(Inputs!$K$5:$AJ$140,0,MATCH(U$2,Inputs!$K$4:$AJ$4,0))))+SUMPRODUCT((Inputs!$C$5:$C$140=$B67)*ISNUMBER(INDEX(Inputs!$K$5:$AJ$140,0,MATCH(U$2,Inputs!$K$4:$AJ$4,0))))+SUMPRODUCT((Inputs!$E$5:$E$140=$B67)*ISNUMBER(INDEX(Inputs!$K$5:$AJ$140,0,MATCH(U$2,Inputs!$K$4:$AJ$4,0))))=0,NA(),SUMPRODUCT((Inputs!$A$5:$A$140=$B67)*Inputs!$B$5:$B$140*(((Inputs!$G$5:$G$140="moeda")+(Inputs!$G$5:$G$140="acoes"))*Inputs!$B$1+((Inputs!$G$5:$G$140&lt;&gt;"moeda")*(Inputs!$G$5:$G$140&lt;&gt;"acoes")))*INDEX(Inputs!$K$5:$AJ$140,0,MATCH(U$2,Inputs!$K$4:$AJ$4,0)))+SUMPRODUCT((Inputs!$C$5:$C$140=$B67)*Inputs!$D$5:$D$140*(((Inputs!$G$5:$G$140="moeda")+(Inputs!$G$5:$G$140="acoes"))*Inputs!$B$1+((Inputs!$G$5:$G$140&lt;&gt;"moeda")*(Inputs!$G$5:$G$140&lt;&gt;"acoes")))*INDEX(Inputs!$K$5:$AJ$140,0,MATCH(U$2,Inputs!$K$4:$AJ$4,0)))+SUMPRODUCT((Inputs!$E$5:$E$140=$B67)*Inputs!$F$5:$F$140*(((Inputs!$G$5:$G$140="moeda")+(Inputs!$G$5:$G$140="acoes"))*Inputs!$B$1+((Inputs!$G$5:$G$140&lt;&gt;"moeda")*(Inputs!$G$5:$G$140&lt;&gt;"acoes")))*INDEX(Inputs!$K$5:$AJ$140,0,MATCH(U$2,Inputs!$K$4:$AJ$4,0)))))</f>
        <v>14800</v>
      </c>
      <c r="V67" s="263">
        <f>IF(ISNA(MATCH(V$2,Inputs!$K$4:$AJ$4,0)),NA(),IF(SUMPRODUCT((Inputs!$A$5:$A$140=$B67)*ISNUMBER(INDEX(Inputs!$K$5:$AJ$140,0,MATCH(V$2,Inputs!$K$4:$AJ$4,0))))+SUMPRODUCT((Inputs!$C$5:$C$140=$B67)*ISNUMBER(INDEX(Inputs!$K$5:$AJ$140,0,MATCH(V$2,Inputs!$K$4:$AJ$4,0))))+SUMPRODUCT((Inputs!$E$5:$E$140=$B67)*ISNUMBER(INDEX(Inputs!$K$5:$AJ$140,0,MATCH(V$2,Inputs!$K$4:$AJ$4,0))))=0,NA(),SUMPRODUCT((Inputs!$A$5:$A$140=$B67)*Inputs!$B$5:$B$140*(((Inputs!$G$5:$G$140="moeda")+(Inputs!$G$5:$G$140="acoes"))*Inputs!$B$1+((Inputs!$G$5:$G$140&lt;&gt;"moeda")*(Inputs!$G$5:$G$140&lt;&gt;"acoes")))*INDEX(Inputs!$K$5:$AJ$140,0,MATCH(V$2,Inputs!$K$4:$AJ$4,0)))+SUMPRODUCT((Inputs!$C$5:$C$140=$B67)*Inputs!$D$5:$D$140*(((Inputs!$G$5:$G$140="moeda")+(Inputs!$G$5:$G$140="acoes"))*Inputs!$B$1+((Inputs!$G$5:$G$140&lt;&gt;"moeda")*(Inputs!$G$5:$G$140&lt;&gt;"acoes")))*INDEX(Inputs!$K$5:$AJ$140,0,MATCH(V$2,Inputs!$K$4:$AJ$4,0)))+SUMPRODUCT((Inputs!$E$5:$E$140=$B67)*Inputs!$F$5:$F$140*(((Inputs!$G$5:$G$140="moeda")+(Inputs!$G$5:$G$140="acoes"))*Inputs!$B$1+((Inputs!$G$5:$G$140&lt;&gt;"moeda")*(Inputs!$G$5:$G$140&lt;&gt;"acoes")))*INDEX(Inputs!$K$5:$AJ$140,0,MATCH(V$2,Inputs!$K$4:$AJ$4,0)))))</f>
        <v>19939</v>
      </c>
      <c r="W67" s="264">
        <f>SUM(S67:V67)</f>
        <v>61257</v>
      </c>
      <c r="X67" s="263">
        <f>IF(ISNA(MATCH(X$2,Inputs!$K$4:$AJ$4,0)),NA(),IF(SUMPRODUCT((Inputs!$A$5:$A$140=$B67)*ISNUMBER(INDEX(Inputs!$K$5:$AJ$140,0,MATCH(X$2,Inputs!$K$4:$AJ$4,0))))+SUMPRODUCT((Inputs!$C$5:$C$140=$B67)*ISNUMBER(INDEX(Inputs!$K$5:$AJ$140,0,MATCH(X$2,Inputs!$K$4:$AJ$4,0))))+SUMPRODUCT((Inputs!$E$5:$E$140=$B67)*ISNUMBER(INDEX(Inputs!$K$5:$AJ$140,0,MATCH(X$2,Inputs!$K$4:$AJ$4,0))))=0,NA(),SUMPRODUCT((Inputs!$A$5:$A$140=$B67)*Inputs!$B$5:$B$140*(((Inputs!$G$5:$G$140="moeda")+(Inputs!$G$5:$G$140="acoes"))*Inputs!$B$1+((Inputs!$G$5:$G$140&lt;&gt;"moeda")*(Inputs!$G$5:$G$140&lt;&gt;"acoes")))*INDEX(Inputs!$K$5:$AJ$140,0,MATCH(X$2,Inputs!$K$4:$AJ$4,0)))+SUMPRODUCT((Inputs!$C$5:$C$140=$B67)*Inputs!$D$5:$D$140*(((Inputs!$G$5:$G$140="moeda")+(Inputs!$G$5:$G$140="acoes"))*Inputs!$B$1+((Inputs!$G$5:$G$140&lt;&gt;"moeda")*(Inputs!$G$5:$G$140&lt;&gt;"acoes")))*INDEX(Inputs!$K$5:$AJ$140,0,MATCH(X$2,Inputs!$K$4:$AJ$4,0)))+SUMPRODUCT((Inputs!$E$5:$E$140=$B67)*Inputs!$F$5:$F$140*(((Inputs!$G$5:$G$140="moeda")+(Inputs!$G$5:$G$140="acoes"))*Inputs!$B$1+((Inputs!$G$5:$G$140&lt;&gt;"moeda")*(Inputs!$G$5:$G$140&lt;&gt;"acoes")))*INDEX(Inputs!$K$5:$AJ$140,0,MATCH(X$2,Inputs!$K$4:$AJ$4,0)))))</f>
        <v>20739</v>
      </c>
      <c r="Y67" s="263">
        <f>IF(ISNA(MATCH(Y$2,Inputs!$K$4:$AJ$4,0)),NA(),IF(SUMPRODUCT((Inputs!$A$5:$A$140=$B67)*ISNUMBER(INDEX(Inputs!$K$5:$AJ$140,0,MATCH(Y$2,Inputs!$K$4:$AJ$4,0))))+SUMPRODUCT((Inputs!$C$5:$C$140=$B67)*ISNUMBER(INDEX(Inputs!$K$5:$AJ$140,0,MATCH(Y$2,Inputs!$K$4:$AJ$4,0))))+SUMPRODUCT((Inputs!$E$5:$E$140=$B67)*ISNUMBER(INDEX(Inputs!$K$5:$AJ$140,0,MATCH(Y$2,Inputs!$K$4:$AJ$4,0))))=0,NA(),SUMPRODUCT((Inputs!$A$5:$A$140=$B67)*Inputs!$B$5:$B$140*(((Inputs!$G$5:$G$140="moeda")+(Inputs!$G$5:$G$140="acoes"))*Inputs!$B$1+((Inputs!$G$5:$G$140&lt;&gt;"moeda")*(Inputs!$G$5:$G$140&lt;&gt;"acoes")))*INDEX(Inputs!$K$5:$AJ$140,0,MATCH(Y$2,Inputs!$K$4:$AJ$4,0)))+SUMPRODUCT((Inputs!$C$5:$C$140=$B67)*Inputs!$D$5:$D$140*(((Inputs!$G$5:$G$140="moeda")+(Inputs!$G$5:$G$140="acoes"))*Inputs!$B$1+((Inputs!$G$5:$G$140&lt;&gt;"moeda")*(Inputs!$G$5:$G$140&lt;&gt;"acoes")))*INDEX(Inputs!$K$5:$AJ$140,0,MATCH(Y$2,Inputs!$K$4:$AJ$4,0)))+SUMPRODUCT((Inputs!$E$5:$E$140=$B67)*Inputs!$F$5:$F$140*(((Inputs!$G$5:$G$140="moeda")+(Inputs!$G$5:$G$140="acoes"))*Inputs!$B$1+((Inputs!$G$5:$G$140&lt;&gt;"moeda")*(Inputs!$G$5:$G$140&lt;&gt;"acoes")))*INDEX(Inputs!$K$5:$AJ$140,0,MATCH(Y$2,Inputs!$K$4:$AJ$4,0)))))</f>
        <v>23470</v>
      </c>
      <c r="Z67" s="263">
        <f>IF(ISNA(MATCH(Z$2,Inputs!$K$4:$AJ$4,0)),NA(),IF(SUMPRODUCT((Inputs!$A$5:$A$140=$B67)*ISNUMBER(INDEX(Inputs!$K$5:$AJ$140,0,MATCH(Z$2,Inputs!$K$4:$AJ$4,0))))+SUMPRODUCT((Inputs!$C$5:$C$140=$B67)*ISNUMBER(INDEX(Inputs!$K$5:$AJ$140,0,MATCH(Z$2,Inputs!$K$4:$AJ$4,0))))+SUMPRODUCT((Inputs!$E$5:$E$140=$B67)*ISNUMBER(INDEX(Inputs!$K$5:$AJ$140,0,MATCH(Z$2,Inputs!$K$4:$AJ$4,0))))=0,NA(),SUMPRODUCT((Inputs!$A$5:$A$140=$B67)*Inputs!$B$5:$B$140*(((Inputs!$G$5:$G$140="moeda")+(Inputs!$G$5:$G$140="acoes"))*Inputs!$B$1+((Inputs!$G$5:$G$140&lt;&gt;"moeda")*(Inputs!$G$5:$G$140&lt;&gt;"acoes")))*INDEX(Inputs!$K$5:$AJ$140,0,MATCH(Z$2,Inputs!$K$4:$AJ$4,0)))+SUMPRODUCT((Inputs!$C$5:$C$140=$B67)*Inputs!$D$5:$D$140*(((Inputs!$G$5:$G$140="moeda")+(Inputs!$G$5:$G$140="acoes"))*Inputs!$B$1+((Inputs!$G$5:$G$140&lt;&gt;"moeda")*(Inputs!$G$5:$G$140&lt;&gt;"acoes")))*INDEX(Inputs!$K$5:$AJ$140,0,MATCH(Z$2,Inputs!$K$4:$AJ$4,0)))+SUMPRODUCT((Inputs!$E$5:$E$140=$B67)*Inputs!$F$5:$F$140*(((Inputs!$G$5:$G$140="moeda")+(Inputs!$G$5:$G$140="acoes"))*Inputs!$B$1+((Inputs!$G$5:$G$140&lt;&gt;"moeda")*(Inputs!$G$5:$G$140&lt;&gt;"acoes")))*INDEX(Inputs!$K$5:$AJ$140,0,MATCH(Z$2,Inputs!$K$4:$AJ$4,0)))))</f>
        <v>39177</v>
      </c>
      <c r="AA67" s="263">
        <f>IF(ISNA(MATCH(AA$2,Inputs!$K$4:$AJ$4,0)),NA(),IF(SUMPRODUCT((Inputs!$A$5:$A$140=$B67)*ISNUMBER(INDEX(Inputs!$K$5:$AJ$140,0,MATCH(AA$2,Inputs!$K$4:$AJ$4,0))))+SUMPRODUCT((Inputs!$C$5:$C$140=$B67)*ISNUMBER(INDEX(Inputs!$K$5:$AJ$140,0,MATCH(AA$2,Inputs!$K$4:$AJ$4,0))))+SUMPRODUCT((Inputs!$E$5:$E$140=$B67)*ISNUMBER(INDEX(Inputs!$K$5:$AJ$140,0,MATCH(AA$2,Inputs!$K$4:$AJ$4,0))))=0,NA(),SUMPRODUCT((Inputs!$A$5:$A$140=$B67)*Inputs!$B$5:$B$140*(((Inputs!$G$5:$G$140="moeda")+(Inputs!$G$5:$G$140="acoes"))*Inputs!$B$1+((Inputs!$G$5:$G$140&lt;&gt;"moeda")*(Inputs!$G$5:$G$140&lt;&gt;"acoes")))*INDEX(Inputs!$K$5:$AJ$140,0,MATCH(AA$2,Inputs!$K$4:$AJ$4,0)))+SUMPRODUCT((Inputs!$C$5:$C$140=$B67)*Inputs!$D$5:$D$140*(((Inputs!$G$5:$G$140="moeda")+(Inputs!$G$5:$G$140="acoes"))*Inputs!$B$1+((Inputs!$G$5:$G$140&lt;&gt;"moeda")*(Inputs!$G$5:$G$140&lt;&gt;"acoes")))*INDEX(Inputs!$K$5:$AJ$140,0,MATCH(AA$2,Inputs!$K$4:$AJ$4,0)))+SUMPRODUCT((Inputs!$E$5:$E$140=$B67)*Inputs!$F$5:$F$140*(((Inputs!$G$5:$G$140="moeda")+(Inputs!$G$5:$G$140="acoes"))*Inputs!$B$1+((Inputs!$G$5:$G$140&lt;&gt;"moeda")*(Inputs!$G$5:$G$140&lt;&gt;"acoes")))*INDEX(Inputs!$K$5:$AJ$140,0,MATCH(AA$2,Inputs!$K$4:$AJ$4,0)))))</f>
        <v>51858</v>
      </c>
      <c r="AB67" s="264">
        <f>SUM(X67:AA67)</f>
        <v>135244</v>
      </c>
      <c r="AC67" s="263">
        <f>IF(ISNA(MATCH(AC$2,Inputs!$K$4:$AJ$4,0)),NA(),IF(SUMPRODUCT((Inputs!$A$5:$A$140=$B67)*ISNUMBER(INDEX(Inputs!$K$5:$AJ$140,0,MATCH(AC$2,Inputs!$K$4:$AJ$4,0))))+SUMPRODUCT((Inputs!$C$5:$C$140=$B67)*ISNUMBER(INDEX(Inputs!$K$5:$AJ$140,0,MATCH(AC$2,Inputs!$K$4:$AJ$4,0))))+SUMPRODUCT((Inputs!$E$5:$E$140=$B67)*ISNUMBER(INDEX(Inputs!$K$5:$AJ$140,0,MATCH(AC$2,Inputs!$K$4:$AJ$4,0))))=0,NA(),SUMPRODUCT((Inputs!$A$5:$A$140=$B67)*Inputs!$B$5:$B$140*(((Inputs!$G$5:$G$140="moeda")+(Inputs!$G$5:$G$140="acoes"))*Inputs!$B$1+((Inputs!$G$5:$G$140&lt;&gt;"moeda")*(Inputs!$G$5:$G$140&lt;&gt;"acoes")))*INDEX(Inputs!$K$5:$AJ$140,0,MATCH(AC$2,Inputs!$K$4:$AJ$4,0)))+SUMPRODUCT((Inputs!$C$5:$C$140=$B67)*Inputs!$D$5:$D$140*(((Inputs!$G$5:$G$140="moeda")+(Inputs!$G$5:$G$140="acoes"))*Inputs!$B$1+((Inputs!$G$5:$G$140&lt;&gt;"moeda")*(Inputs!$G$5:$G$140&lt;&gt;"acoes")))*INDEX(Inputs!$K$5:$AJ$140,0,MATCH(AC$2,Inputs!$K$4:$AJ$4,0)))+SUMPRODUCT((Inputs!$E$5:$E$140=$B67)*Inputs!$F$5:$F$140*(((Inputs!$G$5:$G$140="moeda")+(Inputs!$G$5:$G$140="acoes"))*Inputs!$B$1+((Inputs!$G$5:$G$140&lt;&gt;"moeda")*(Inputs!$G$5:$G$140&lt;&gt;"acoes")))*INDEX(Inputs!$K$5:$AJ$140,0,MATCH(AC$2,Inputs!$K$4:$AJ$4,0)))))</f>
        <v>63769</v>
      </c>
      <c r="AD67" s="263">
        <f>IF(ISNA(MATCH(AD$2,Inputs!$K$4:$AJ$4,0)),NA(),IF(SUMPRODUCT((Inputs!$A$5:$A$140=$B67)*ISNUMBER(INDEX(Inputs!$K$5:$AJ$140,0,MATCH(AD$2,Inputs!$K$4:$AJ$4,0))))+SUMPRODUCT((Inputs!$C$5:$C$140=$B67)*ISNUMBER(INDEX(Inputs!$K$5:$AJ$140,0,MATCH(AD$2,Inputs!$K$4:$AJ$4,0))))+SUMPRODUCT((Inputs!$E$5:$E$140=$B67)*ISNUMBER(INDEX(Inputs!$K$5:$AJ$140,0,MATCH(AD$2,Inputs!$K$4:$AJ$4,0))))=0,NA(),SUMPRODUCT((Inputs!$A$5:$A$140=$B67)*Inputs!$B$5:$B$140*(((Inputs!$G$5:$G$140="moeda")+(Inputs!$G$5:$G$140="acoes"))*Inputs!$B$1+((Inputs!$G$5:$G$140&lt;&gt;"moeda")*(Inputs!$G$5:$G$140&lt;&gt;"acoes")))*INDEX(Inputs!$K$5:$AJ$140,0,MATCH(AD$2,Inputs!$K$4:$AJ$4,0)))+SUMPRODUCT((Inputs!$C$5:$C$140=$B67)*Inputs!$D$5:$D$140*(((Inputs!$G$5:$G$140="moeda")+(Inputs!$G$5:$G$140="acoes"))*Inputs!$B$1+((Inputs!$G$5:$G$140&lt;&gt;"moeda")*(Inputs!$G$5:$G$140&lt;&gt;"acoes")))*INDEX(Inputs!$K$5:$AJ$140,0,MATCH(AD$2,Inputs!$K$4:$AJ$4,0)))+SUMPRODUCT((Inputs!$E$5:$E$140=$B67)*Inputs!$F$5:$F$140*(((Inputs!$G$5:$G$140="moeda")+(Inputs!$G$5:$G$140="acoes"))*Inputs!$B$1+((Inputs!$G$5:$G$140&lt;&gt;"moeda")*(Inputs!$G$5:$G$140&lt;&gt;"acoes")))*INDEX(Inputs!$K$5:$AJ$140,0,MATCH(AD$2,Inputs!$K$4:$AJ$4,0)))))</f>
        <v>60074</v>
      </c>
      <c r="AE67" s="263" t="e">
        <f>IF(ISNA(MATCH(AE$2,Inputs!$K$4:$AJ$4,0)),NA(),IF(SUMPRODUCT((Inputs!$A$5:$A$140=$B67)*ISNUMBER(INDEX(Inputs!$K$5:$AJ$140,0,MATCH(AE$2,Inputs!$K$4:$AJ$4,0))))+SUMPRODUCT((Inputs!$C$5:$C$140=$B67)*ISNUMBER(INDEX(Inputs!$K$5:$AJ$140,0,MATCH(AE$2,Inputs!$K$4:$AJ$4,0))))+SUMPRODUCT((Inputs!$E$5:$E$140=$B67)*ISNUMBER(INDEX(Inputs!$K$5:$AJ$140,0,MATCH(AE$2,Inputs!$K$4:$AJ$4,0))))=0,NA(),SUMPRODUCT((Inputs!$A$5:$A$140=$B67)*Inputs!$B$5:$B$140*(((Inputs!$G$5:$G$140="moeda")+(Inputs!$G$5:$G$140="acoes"))*Inputs!$B$1+((Inputs!$G$5:$G$140&lt;&gt;"moeda")*(Inputs!$G$5:$G$140&lt;&gt;"acoes")))*INDEX(Inputs!$K$5:$AJ$140,0,MATCH(AE$2,Inputs!$K$4:$AJ$4,0)))+SUMPRODUCT((Inputs!$C$5:$C$140=$B67)*Inputs!$D$5:$D$140*(((Inputs!$G$5:$G$140="moeda")+(Inputs!$G$5:$G$140="acoes"))*Inputs!$B$1+((Inputs!$G$5:$G$140&lt;&gt;"moeda")*(Inputs!$G$5:$G$140&lt;&gt;"acoes")))*INDEX(Inputs!$K$5:$AJ$140,0,MATCH(AE$2,Inputs!$K$4:$AJ$4,0)))+SUMPRODUCT((Inputs!$E$5:$E$140=$B67)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67" s="263" t="e">
        <f>IF(ISNA(MATCH(AF$2,Inputs!$K$4:$AJ$4,0)),NA(),IF(SUMPRODUCT((Inputs!$A$5:$A$140=$B67)*ISNUMBER(INDEX(Inputs!$K$5:$AJ$140,0,MATCH(AF$2,Inputs!$K$4:$AJ$4,0))))+SUMPRODUCT((Inputs!$C$5:$C$140=$B67)*ISNUMBER(INDEX(Inputs!$K$5:$AJ$140,0,MATCH(AF$2,Inputs!$K$4:$AJ$4,0))))+SUMPRODUCT((Inputs!$E$5:$E$140=$B67)*ISNUMBER(INDEX(Inputs!$K$5:$AJ$140,0,MATCH(AF$2,Inputs!$K$4:$AJ$4,0))))=0,NA(),SUMPRODUCT((Inputs!$A$5:$A$140=$B67)*Inputs!$B$5:$B$140*(((Inputs!$G$5:$G$140="moeda")+(Inputs!$G$5:$G$140="acoes"))*Inputs!$B$1+((Inputs!$G$5:$G$140&lt;&gt;"moeda")*(Inputs!$G$5:$G$140&lt;&gt;"acoes")))*INDEX(Inputs!$K$5:$AJ$140,0,MATCH(AF$2,Inputs!$K$4:$AJ$4,0)))+SUMPRODUCT((Inputs!$C$5:$C$140=$B67)*Inputs!$D$5:$D$140*(((Inputs!$G$5:$G$140="moeda")+(Inputs!$G$5:$G$140="acoes"))*Inputs!$B$1+((Inputs!$G$5:$G$140&lt;&gt;"moeda")*(Inputs!$G$5:$G$140&lt;&gt;"acoes")))*INDEX(Inputs!$K$5:$AJ$140,0,MATCH(AF$2,Inputs!$K$4:$AJ$4,0)))+SUMPRODUCT((Inputs!$E$5:$E$140=$B67)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67" s="264" t="e">
        <f>SUM(AC67:AF67)</f>
        <v>#N/A</v>
      </c>
      <c r="AH67" s="263">
        <f>IF(ISNA(MATCH(AH$2,Inputs!$K$4:$AJ$4,0)),NA(),IF(SUMPRODUCT((Inputs!$A$5:$A$140=$B67)*ISNUMBER(INDEX(Inputs!$K$5:$AJ$140,0,MATCH(AH$2,Inputs!$K$4:$AJ$4,0))))+SUMPRODUCT((Inputs!$C$5:$C$140=$B67)*ISNUMBER(INDEX(Inputs!$K$5:$AJ$140,0,MATCH(AH$2,Inputs!$K$4:$AJ$4,0))))+SUMPRODUCT((Inputs!$E$5:$E$140=$B67)*ISNUMBER(INDEX(Inputs!$K$5:$AJ$140,0,MATCH(AH$2,Inputs!$K$4:$AJ$4,0))))=0,NA(),SUMPRODUCT((Inputs!$A$5:$A$140=$B67)*Inputs!$B$5:$B$140*(((Inputs!$G$5:$G$140="moeda")+(Inputs!$G$5:$G$140="acoes"))*Inputs!$B$1+((Inputs!$G$5:$G$140&lt;&gt;"moeda")*(Inputs!$G$5:$G$140&lt;&gt;"acoes")))*INDEX(Inputs!$K$5:$AJ$140,0,MATCH(AH$2,Inputs!$K$4:$AJ$4,0)))+SUMPRODUCT((Inputs!$C$5:$C$140=$B67)*Inputs!$D$5:$D$140*(((Inputs!$G$5:$G$140="moeda")+(Inputs!$G$5:$G$140="acoes"))*Inputs!$B$1+((Inputs!$G$5:$G$140&lt;&gt;"moeda")*(Inputs!$G$5:$G$140&lt;&gt;"acoes")))*INDEX(Inputs!$K$5:$AJ$140,0,MATCH(AH$2,Inputs!$K$4:$AJ$4,0)))+SUMPRODUCT((Inputs!$E$5:$E$140=$B67)*Inputs!$F$5:$F$140*(((Inputs!$G$5:$G$140="moeda")+(Inputs!$G$5:$G$140="acoes"))*Inputs!$B$1+((Inputs!$G$5:$G$140&lt;&gt;"moeda")*(Inputs!$G$5:$G$140&lt;&gt;"acoes")))*INDEX(Inputs!$K$5:$AJ$140,0,MATCH(AH$2,Inputs!$K$4:$AJ$4,0)))))</f>
        <v>497</v>
      </c>
      <c r="AI67" s="263">
        <f>IF(ISNA(MATCH(AI$2,Inputs!$K$4:$AJ$4,0)),NA(),IF(SUMPRODUCT((Inputs!$A$5:$A$140=$B67)*ISNUMBER(INDEX(Inputs!$K$5:$AJ$140,0,MATCH(AI$2,Inputs!$K$4:$AJ$4,0))))+SUMPRODUCT((Inputs!$C$5:$C$140=$B67)*ISNUMBER(INDEX(Inputs!$K$5:$AJ$140,0,MATCH(AI$2,Inputs!$K$4:$AJ$4,0))))+SUMPRODUCT((Inputs!$E$5:$E$140=$B67)*ISNUMBER(INDEX(Inputs!$K$5:$AJ$140,0,MATCH(AI$2,Inputs!$K$4:$AJ$4,0))))=0,NA(),SUMPRODUCT((Inputs!$A$5:$A$140=$B67)*Inputs!$B$5:$B$140*(((Inputs!$G$5:$G$140="moeda")+(Inputs!$G$5:$G$140="acoes"))*Inputs!$B$1+((Inputs!$G$5:$G$140&lt;&gt;"moeda")*(Inputs!$G$5:$G$140&lt;&gt;"acoes")))*INDEX(Inputs!$K$5:$AJ$140,0,MATCH(AI$2,Inputs!$K$4:$AJ$4,0)))+SUMPRODUCT((Inputs!$C$5:$C$140=$B67)*Inputs!$D$5:$D$140*(((Inputs!$G$5:$G$140="moeda")+(Inputs!$G$5:$G$140="acoes"))*Inputs!$B$1+((Inputs!$G$5:$G$140&lt;&gt;"moeda")*(Inputs!$G$5:$G$140&lt;&gt;"acoes")))*INDEX(Inputs!$K$5:$AJ$140,0,MATCH(AI$2,Inputs!$K$4:$AJ$4,0)))+SUMPRODUCT((Inputs!$E$5:$E$140=$B67)*Inputs!$F$5:$F$140*(((Inputs!$G$5:$G$140="moeda")+(Inputs!$G$5:$G$140="acoes"))*Inputs!$B$1+((Inputs!$G$5:$G$140&lt;&gt;"moeda")*(Inputs!$G$5:$G$140&lt;&gt;"acoes")))*INDEX(Inputs!$K$5:$AJ$140,0,MATCH(AI$2,Inputs!$K$4:$AJ$4,0)))))</f>
        <v>944</v>
      </c>
      <c r="AJ67" s="263">
        <f>IF(ISNA(MATCH(AJ$2,Inputs!$K$4:$AJ$4,0)),NA(),IF(SUMPRODUCT((Inputs!$A$5:$A$140=$B67)*ISNUMBER(INDEX(Inputs!$K$5:$AJ$140,0,MATCH(AJ$2,Inputs!$K$4:$AJ$4,0))))+SUMPRODUCT((Inputs!$C$5:$C$140=$B67)*ISNUMBER(INDEX(Inputs!$K$5:$AJ$140,0,MATCH(AJ$2,Inputs!$K$4:$AJ$4,0))))+SUMPRODUCT((Inputs!$E$5:$E$140=$B67)*ISNUMBER(INDEX(Inputs!$K$5:$AJ$140,0,MATCH(AJ$2,Inputs!$K$4:$AJ$4,0))))=0,NA(),SUMPRODUCT((Inputs!$A$5:$A$140=$B67)*Inputs!$B$5:$B$140*(((Inputs!$G$5:$G$140="moeda")+(Inputs!$G$5:$G$140="acoes"))*Inputs!$B$1+((Inputs!$G$5:$G$140&lt;&gt;"moeda")*(Inputs!$G$5:$G$140&lt;&gt;"acoes")))*INDEX(Inputs!$K$5:$AJ$140,0,MATCH(AJ$2,Inputs!$K$4:$AJ$4,0)))+SUMPRODUCT((Inputs!$C$5:$C$140=$B67)*Inputs!$D$5:$D$140*(((Inputs!$G$5:$G$140="moeda")+(Inputs!$G$5:$G$140="acoes"))*Inputs!$B$1+((Inputs!$G$5:$G$140&lt;&gt;"moeda")*(Inputs!$G$5:$G$140&lt;&gt;"acoes")))*INDEX(Inputs!$K$5:$AJ$140,0,MATCH(AJ$2,Inputs!$K$4:$AJ$4,0)))+SUMPRODUCT((Inputs!$E$5:$E$140=$B67)*Inputs!$F$5:$F$140*(((Inputs!$G$5:$G$140="moeda")+(Inputs!$G$5:$G$140="acoes"))*Inputs!$B$1+((Inputs!$G$5:$G$140&lt;&gt;"moeda")*(Inputs!$G$5:$G$140&lt;&gt;"acoes")))*INDEX(Inputs!$K$5:$AJ$140,0,MATCH(AJ$2,Inputs!$K$4:$AJ$4,0)))))</f>
        <v>890</v>
      </c>
      <c r="AK67" s="263">
        <f>IF(ISNA(MATCH(AK$2,Inputs!$K$4:$AJ$4,0)),NA(),IF(SUMPRODUCT((Inputs!$A$5:$A$140=$B67)*ISNUMBER(INDEX(Inputs!$K$5:$AJ$140,0,MATCH(AK$2,Inputs!$K$4:$AJ$4,0))))+SUMPRODUCT((Inputs!$C$5:$C$140=$B67)*ISNUMBER(INDEX(Inputs!$K$5:$AJ$140,0,MATCH(AK$2,Inputs!$K$4:$AJ$4,0))))+SUMPRODUCT((Inputs!$E$5:$E$140=$B67)*ISNUMBER(INDEX(Inputs!$K$5:$AJ$140,0,MATCH(AK$2,Inputs!$K$4:$AJ$4,0))))=0,NA(),SUMPRODUCT((Inputs!$A$5:$A$140=$B67)*Inputs!$B$5:$B$140*(((Inputs!$G$5:$G$140="moeda")+(Inputs!$G$5:$G$140="acoes"))*Inputs!$B$1+((Inputs!$G$5:$G$140&lt;&gt;"moeda")*(Inputs!$G$5:$G$140&lt;&gt;"acoes")))*INDEX(Inputs!$K$5:$AJ$140,0,MATCH(AK$2,Inputs!$K$4:$AJ$4,0)))+SUMPRODUCT((Inputs!$C$5:$C$140=$B67)*Inputs!$D$5:$D$140*(((Inputs!$G$5:$G$140="moeda")+(Inputs!$G$5:$G$140="acoes"))*Inputs!$B$1+((Inputs!$G$5:$G$140&lt;&gt;"moeda")*(Inputs!$G$5:$G$140&lt;&gt;"acoes")))*INDEX(Inputs!$K$5:$AJ$140,0,MATCH(AK$2,Inputs!$K$4:$AJ$4,0)))+SUMPRODUCT((Inputs!$E$5:$E$140=$B67)*Inputs!$F$5:$F$140*(((Inputs!$G$5:$G$140="moeda")+(Inputs!$G$5:$G$140="acoes"))*Inputs!$B$1+((Inputs!$G$5:$G$140&lt;&gt;"moeda")*(Inputs!$G$5:$G$140&lt;&gt;"acoes")))*INDEX(Inputs!$K$5:$AJ$140,0,MATCH(AK$2,Inputs!$K$4:$AJ$4,0)))))</f>
        <v>883</v>
      </c>
      <c r="AL67" s="264">
        <f>SUM(AH67:AK67)</f>
        <v>3214</v>
      </c>
    </row>
    <row r="68">
      <c r="B68" s="46" t="n">
        <v>60</v>
      </c>
      <c r="C68" s="29" t="inlineStr">
        <is>
          <t>Receita por local de faturamento - Taiwan (USD)</t>
        </is>
      </c>
      <c r="D68" s="263">
        <f>IF(ISNA(MATCH(D$2,Inputs!$K$4:$AJ$4,0)),NA(),IF(SUMPRODUCT((Inputs!$A$5:$A$140=$B68)*ISNUMBER(INDEX(Inputs!$K$5:$AJ$140,0,MATCH(D$2,Inputs!$K$4:$AJ$4,0))))+SUMPRODUCT((Inputs!$C$5:$C$140=$B68)*ISNUMBER(INDEX(Inputs!$K$5:$AJ$140,0,MATCH(D$2,Inputs!$K$4:$AJ$4,0))))+SUMPRODUCT((Inputs!$E$5:$E$140=$B68)*ISNUMBER(INDEX(Inputs!$K$5:$AJ$140,0,MATCH(D$2,Inputs!$K$4:$AJ$4,0))))=0,NA(),SUMPRODUCT((Inputs!$A$5:$A$140=$B68)*Inputs!$B$5:$B$140*(((Inputs!$G$5:$G$140="moeda")+(Inputs!$G$5:$G$140="acoes"))*Inputs!$B$1+((Inputs!$G$5:$G$140&lt;&gt;"moeda")*(Inputs!$G$5:$G$140&lt;&gt;"acoes")))*INDEX(Inputs!$K$5:$AJ$140,0,MATCH(D$2,Inputs!$K$4:$AJ$4,0)))+SUMPRODUCT((Inputs!$C$5:$C$140=$B68)*Inputs!$D$5:$D$140*(((Inputs!$G$5:$G$140="moeda")+(Inputs!$G$5:$G$140="acoes"))*Inputs!$B$1+((Inputs!$G$5:$G$140&lt;&gt;"moeda")*(Inputs!$G$5:$G$140&lt;&gt;"acoes")))*INDEX(Inputs!$K$5:$AJ$140,0,MATCH(D$2,Inputs!$K$4:$AJ$4,0)))+SUMPRODUCT((Inputs!$E$5:$E$140=$B68)*Inputs!$F$5:$F$140*(((Inputs!$G$5:$G$140="moeda")+(Inputs!$G$5:$G$140="acoes"))*Inputs!$B$1+((Inputs!$G$5:$G$140&lt;&gt;"moeda")*(Inputs!$G$5:$G$140&lt;&gt;"acoes")))*INDEX(Inputs!$K$5:$AJ$140,0,MATCH(D$2,Inputs!$K$4:$AJ$4,0)))))</f>
        <v>1784</v>
      </c>
      <c r="E68" s="263">
        <f>IF(ISNA(MATCH(E$2,Inputs!$K$4:$AJ$4,0)),NA(),IF(SUMPRODUCT((Inputs!$A$5:$A$140=$B68)*ISNUMBER(INDEX(Inputs!$K$5:$AJ$140,0,MATCH(E$2,Inputs!$K$4:$AJ$4,0))))+SUMPRODUCT((Inputs!$C$5:$C$140=$B68)*ISNUMBER(INDEX(Inputs!$K$5:$AJ$140,0,MATCH(E$2,Inputs!$K$4:$AJ$4,0))))+SUMPRODUCT((Inputs!$E$5:$E$140=$B68)*ISNUMBER(INDEX(Inputs!$K$5:$AJ$140,0,MATCH(E$2,Inputs!$K$4:$AJ$4,0))))=0,NA(),SUMPRODUCT((Inputs!$A$5:$A$140=$B68)*Inputs!$B$5:$B$140*(((Inputs!$G$5:$G$140="moeda")+(Inputs!$G$5:$G$140="acoes"))*Inputs!$B$1+((Inputs!$G$5:$G$140&lt;&gt;"moeda")*(Inputs!$G$5:$G$140&lt;&gt;"acoes")))*INDEX(Inputs!$K$5:$AJ$140,0,MATCH(E$2,Inputs!$K$4:$AJ$4,0)))+SUMPRODUCT((Inputs!$C$5:$C$140=$B68)*Inputs!$D$5:$D$140*(((Inputs!$G$5:$G$140="moeda")+(Inputs!$G$5:$G$140="acoes"))*Inputs!$B$1+((Inputs!$G$5:$G$140&lt;&gt;"moeda")*(Inputs!$G$5:$G$140&lt;&gt;"acoes")))*INDEX(Inputs!$K$5:$AJ$140,0,MATCH(E$2,Inputs!$K$4:$AJ$4,0)))+SUMPRODUCT((Inputs!$E$5:$E$140=$B68)*Inputs!$F$5:$F$140*(((Inputs!$G$5:$G$140="moeda")+(Inputs!$G$5:$G$140="acoes"))*Inputs!$B$1+((Inputs!$G$5:$G$140&lt;&gt;"moeda")*(Inputs!$G$5:$G$140&lt;&gt;"acoes")))*INDEX(Inputs!$K$5:$AJ$140,0,MATCH(E$2,Inputs!$K$4:$AJ$4,0)))))</f>
        <v>1961</v>
      </c>
      <c r="F68" s="263">
        <f>IF(ISNA(MATCH(F$2,Inputs!$K$4:$AJ$4,0)),NA(),IF(SUMPRODUCT((Inputs!$A$5:$A$140=$B68)*ISNUMBER(INDEX(Inputs!$K$5:$AJ$140,0,MATCH(F$2,Inputs!$K$4:$AJ$4,0))))+SUMPRODUCT((Inputs!$C$5:$C$140=$B68)*ISNUMBER(INDEX(Inputs!$K$5:$AJ$140,0,MATCH(F$2,Inputs!$K$4:$AJ$4,0))))+SUMPRODUCT((Inputs!$E$5:$E$140=$B68)*ISNUMBER(INDEX(Inputs!$K$5:$AJ$140,0,MATCH(F$2,Inputs!$K$4:$AJ$4,0))))=0,NA(),SUMPRODUCT((Inputs!$A$5:$A$140=$B68)*Inputs!$B$5:$B$140*(((Inputs!$G$5:$G$140="moeda")+(Inputs!$G$5:$G$140="acoes"))*Inputs!$B$1+((Inputs!$G$5:$G$140&lt;&gt;"moeda")*(Inputs!$G$5:$G$140&lt;&gt;"acoes")))*INDEX(Inputs!$K$5:$AJ$140,0,MATCH(F$2,Inputs!$K$4:$AJ$4,0)))+SUMPRODUCT((Inputs!$C$5:$C$140=$B68)*Inputs!$D$5:$D$140*(((Inputs!$G$5:$G$140="moeda")+(Inputs!$G$5:$G$140="acoes"))*Inputs!$B$1+((Inputs!$G$5:$G$140&lt;&gt;"moeda")*(Inputs!$G$5:$G$140&lt;&gt;"acoes")))*INDEX(Inputs!$K$5:$AJ$140,0,MATCH(F$2,Inputs!$K$4:$AJ$4,0)))+SUMPRODUCT((Inputs!$E$5:$E$140=$B68)*Inputs!$F$5:$F$140*(((Inputs!$G$5:$G$140="moeda")+(Inputs!$G$5:$G$140="acoes"))*Inputs!$B$1+((Inputs!$G$5:$G$140&lt;&gt;"moeda")*(Inputs!$G$5:$G$140&lt;&gt;"acoes")))*INDEX(Inputs!$K$5:$AJ$140,0,MATCH(F$2,Inputs!$K$4:$AJ$4,0)))))</f>
        <v>2187</v>
      </c>
      <c r="G68" s="263">
        <f>IF(ISNA(MATCH(G$2,Inputs!$K$4:$AJ$4,0)),NA(),IF(SUMPRODUCT((Inputs!$A$5:$A$140=$B68)*ISNUMBER(INDEX(Inputs!$K$5:$AJ$140,0,MATCH(G$2,Inputs!$K$4:$AJ$4,0))))+SUMPRODUCT((Inputs!$C$5:$C$140=$B68)*ISNUMBER(INDEX(Inputs!$K$5:$AJ$140,0,MATCH(G$2,Inputs!$K$4:$AJ$4,0))))+SUMPRODUCT((Inputs!$E$5:$E$140=$B68)*ISNUMBER(INDEX(Inputs!$K$5:$AJ$140,0,MATCH(G$2,Inputs!$K$4:$AJ$4,0))))=0,NA(),SUMPRODUCT((Inputs!$A$5:$A$140=$B68)*Inputs!$B$5:$B$140*(((Inputs!$G$5:$G$140="moeda")+(Inputs!$G$5:$G$140="acoes"))*Inputs!$B$1+((Inputs!$G$5:$G$140&lt;&gt;"moeda")*(Inputs!$G$5:$G$140&lt;&gt;"acoes")))*INDEX(Inputs!$K$5:$AJ$140,0,MATCH(G$2,Inputs!$K$4:$AJ$4,0)))+SUMPRODUCT((Inputs!$C$5:$C$140=$B68)*Inputs!$D$5:$D$140*(((Inputs!$G$5:$G$140="moeda")+(Inputs!$G$5:$G$140="acoes"))*Inputs!$B$1+((Inputs!$G$5:$G$140&lt;&gt;"moeda")*(Inputs!$G$5:$G$140&lt;&gt;"acoes")))*INDEX(Inputs!$K$5:$AJ$140,0,MATCH(G$2,Inputs!$K$4:$AJ$4,0)))+SUMPRODUCT((Inputs!$E$5:$E$140=$B68)*Inputs!$F$5:$F$140*(((Inputs!$G$5:$G$140="moeda")+(Inputs!$G$5:$G$140="acoes"))*Inputs!$B$1+((Inputs!$G$5:$G$140&lt;&gt;"moeda")*(Inputs!$G$5:$G$140&lt;&gt;"acoes")))*INDEX(Inputs!$K$5:$AJ$140,0,MATCH(G$2,Inputs!$K$4:$AJ$4,0)))))</f>
        <v>2612</v>
      </c>
      <c r="H68" s="264">
        <f>SUM(D68:G68)</f>
        <v>8544</v>
      </c>
      <c r="I68" s="263">
        <f>IF(ISNA(MATCH(I$2,Inputs!$K$4:$AJ$4,0)),NA(),IF(SUMPRODUCT((Inputs!$A$5:$A$140=$B68)*ISNUMBER(INDEX(Inputs!$K$5:$AJ$140,0,MATCH(I$2,Inputs!$K$4:$AJ$4,0))))+SUMPRODUCT((Inputs!$C$5:$C$140=$B68)*ISNUMBER(INDEX(Inputs!$K$5:$AJ$140,0,MATCH(I$2,Inputs!$K$4:$AJ$4,0))))+SUMPRODUCT((Inputs!$E$5:$E$140=$B68)*ISNUMBER(INDEX(Inputs!$K$5:$AJ$140,0,MATCH(I$2,Inputs!$K$4:$AJ$4,0))))=0,NA(),SUMPRODUCT((Inputs!$A$5:$A$140=$B68)*Inputs!$B$5:$B$140*(((Inputs!$G$5:$G$140="moeda")+(Inputs!$G$5:$G$140="acoes"))*Inputs!$B$1+((Inputs!$G$5:$G$140&lt;&gt;"moeda")*(Inputs!$G$5:$G$140&lt;&gt;"acoes")))*INDEX(Inputs!$K$5:$AJ$140,0,MATCH(I$2,Inputs!$K$4:$AJ$4,0)))+SUMPRODUCT((Inputs!$C$5:$C$140=$B68)*Inputs!$D$5:$D$140*(((Inputs!$G$5:$G$140="moeda")+(Inputs!$G$5:$G$140="acoes"))*Inputs!$B$1+((Inputs!$G$5:$G$140&lt;&gt;"moeda")*(Inputs!$G$5:$G$140&lt;&gt;"acoes")))*INDEX(Inputs!$K$5:$AJ$140,0,MATCH(I$2,Inputs!$K$4:$AJ$4,0)))+SUMPRODUCT((Inputs!$E$5:$E$140=$B68)*Inputs!$F$5:$F$140*(((Inputs!$G$5:$G$140="moeda")+(Inputs!$G$5:$G$140="acoes"))*Inputs!$B$1+((Inputs!$G$5:$G$140&lt;&gt;"moeda")*(Inputs!$G$5:$G$140&lt;&gt;"acoes")))*INDEX(Inputs!$K$5:$AJ$140,0,MATCH(I$2,Inputs!$K$4:$AJ$4,0)))))</f>
        <v>2777</v>
      </c>
      <c r="J68" s="263">
        <f>IF(ISNA(MATCH(J$2,Inputs!$K$4:$AJ$4,0)),NA(),IF(SUMPRODUCT((Inputs!$A$5:$A$140=$B68)*ISNUMBER(INDEX(Inputs!$K$5:$AJ$140,0,MATCH(J$2,Inputs!$K$4:$AJ$4,0))))+SUMPRODUCT((Inputs!$C$5:$C$140=$B68)*ISNUMBER(INDEX(Inputs!$K$5:$AJ$140,0,MATCH(J$2,Inputs!$K$4:$AJ$4,0))))+SUMPRODUCT((Inputs!$E$5:$E$140=$B68)*ISNUMBER(INDEX(Inputs!$K$5:$AJ$140,0,MATCH(J$2,Inputs!$K$4:$AJ$4,0))))=0,NA(),SUMPRODUCT((Inputs!$A$5:$A$140=$B68)*Inputs!$B$5:$B$140*(((Inputs!$G$5:$G$140="moeda")+(Inputs!$G$5:$G$140="acoes"))*Inputs!$B$1+((Inputs!$G$5:$G$140&lt;&gt;"moeda")*(Inputs!$G$5:$G$140&lt;&gt;"acoes")))*INDEX(Inputs!$K$5:$AJ$140,0,MATCH(J$2,Inputs!$K$4:$AJ$4,0)))+SUMPRODUCT((Inputs!$C$5:$C$140=$B68)*Inputs!$D$5:$D$140*(((Inputs!$G$5:$G$140="moeda")+(Inputs!$G$5:$G$140="acoes"))*Inputs!$B$1+((Inputs!$G$5:$G$140&lt;&gt;"moeda")*(Inputs!$G$5:$G$140&lt;&gt;"acoes")))*INDEX(Inputs!$K$5:$AJ$140,0,MATCH(J$2,Inputs!$K$4:$AJ$4,0)))+SUMPRODUCT((Inputs!$E$5:$E$140=$B68)*Inputs!$F$5:$F$140*(((Inputs!$G$5:$G$140="moeda")+(Inputs!$G$5:$G$140="acoes"))*Inputs!$B$1+((Inputs!$G$5:$G$140&lt;&gt;"moeda")*(Inputs!$G$5:$G$140&lt;&gt;"acoes")))*INDEX(Inputs!$K$5:$AJ$140,0,MATCH(J$2,Inputs!$K$4:$AJ$4,0)))))</f>
        <v>1204</v>
      </c>
      <c r="K68" s="263">
        <f>IF(ISNA(MATCH(K$2,Inputs!$K$4:$AJ$4,0)),NA(),IF(SUMPRODUCT((Inputs!$A$5:$A$140=$B68)*ISNUMBER(INDEX(Inputs!$K$5:$AJ$140,0,MATCH(K$2,Inputs!$K$4:$AJ$4,0))))+SUMPRODUCT((Inputs!$C$5:$C$140=$B68)*ISNUMBER(INDEX(Inputs!$K$5:$AJ$140,0,MATCH(K$2,Inputs!$K$4:$AJ$4,0))))+SUMPRODUCT((Inputs!$E$5:$E$140=$B68)*ISNUMBER(INDEX(Inputs!$K$5:$AJ$140,0,MATCH(K$2,Inputs!$K$4:$AJ$4,0))))=0,NA(),SUMPRODUCT((Inputs!$A$5:$A$140=$B68)*Inputs!$B$5:$B$140*(((Inputs!$G$5:$G$140="moeda")+(Inputs!$G$5:$G$140="acoes"))*Inputs!$B$1+((Inputs!$G$5:$G$140&lt;&gt;"moeda")*(Inputs!$G$5:$G$140&lt;&gt;"acoes")))*INDEX(Inputs!$K$5:$AJ$140,0,MATCH(K$2,Inputs!$K$4:$AJ$4,0)))+SUMPRODUCT((Inputs!$C$5:$C$140=$B68)*Inputs!$D$5:$D$140*(((Inputs!$G$5:$G$140="moeda")+(Inputs!$G$5:$G$140="acoes"))*Inputs!$B$1+((Inputs!$G$5:$G$140&lt;&gt;"moeda")*(Inputs!$G$5:$G$140&lt;&gt;"acoes")))*INDEX(Inputs!$K$5:$AJ$140,0,MATCH(K$2,Inputs!$K$4:$AJ$4,0)))+SUMPRODUCT((Inputs!$E$5:$E$140=$B68)*Inputs!$F$5:$F$140*(((Inputs!$G$5:$G$140="moeda")+(Inputs!$G$5:$G$140="acoes"))*Inputs!$B$1+((Inputs!$G$5:$G$140&lt;&gt;"moeda")*(Inputs!$G$5:$G$140&lt;&gt;"acoes")))*INDEX(Inputs!$K$5:$AJ$140,0,MATCH(K$2,Inputs!$K$4:$AJ$4,0)))))</f>
        <v>1153</v>
      </c>
      <c r="L68" s="263">
        <f>IF(ISNA(MATCH(L$2,Inputs!$K$4:$AJ$4,0)),NA(),IF(SUMPRODUCT((Inputs!$A$5:$A$140=$B68)*ISNUMBER(INDEX(Inputs!$K$5:$AJ$140,0,MATCH(L$2,Inputs!$K$4:$AJ$4,0))))+SUMPRODUCT((Inputs!$C$5:$C$140=$B68)*ISNUMBER(INDEX(Inputs!$K$5:$AJ$140,0,MATCH(L$2,Inputs!$K$4:$AJ$4,0))))+SUMPRODUCT((Inputs!$E$5:$E$140=$B68)*ISNUMBER(INDEX(Inputs!$K$5:$AJ$140,0,MATCH(L$2,Inputs!$K$4:$AJ$4,0))))=0,NA(),SUMPRODUCT((Inputs!$A$5:$A$140=$B68)*Inputs!$B$5:$B$140*(((Inputs!$G$5:$G$140="moeda")+(Inputs!$G$5:$G$140="acoes"))*Inputs!$B$1+((Inputs!$G$5:$G$140&lt;&gt;"moeda")*(Inputs!$G$5:$G$140&lt;&gt;"acoes")))*INDEX(Inputs!$K$5:$AJ$140,0,MATCH(L$2,Inputs!$K$4:$AJ$4,0)))+SUMPRODUCT((Inputs!$C$5:$C$140=$B68)*Inputs!$D$5:$D$140*(((Inputs!$G$5:$G$140="moeda")+(Inputs!$G$5:$G$140="acoes"))*Inputs!$B$1+((Inputs!$G$5:$G$140&lt;&gt;"moeda")*(Inputs!$G$5:$G$140&lt;&gt;"acoes")))*INDEX(Inputs!$K$5:$AJ$140,0,MATCH(L$2,Inputs!$K$4:$AJ$4,0)))+SUMPRODUCT((Inputs!$E$5:$E$140=$B68)*Inputs!$F$5:$F$140*(((Inputs!$G$5:$G$140="moeda")+(Inputs!$G$5:$G$140="acoes"))*Inputs!$B$1+((Inputs!$G$5:$G$140&lt;&gt;"moeda")*(Inputs!$G$5:$G$140&lt;&gt;"acoes")))*INDEX(Inputs!$K$5:$AJ$140,0,MATCH(L$2,Inputs!$K$4:$AJ$4,0)))))</f>
        <v>1852</v>
      </c>
      <c r="M68" s="264">
        <f>SUM(I68:L68)</f>
        <v>6986</v>
      </c>
      <c r="N68" s="263">
        <f>IF(ISNA(MATCH(N$2,Inputs!$K$4:$AJ$4,0)),NA(),IF(SUMPRODUCT((Inputs!$A$5:$A$140=$B68)*ISNUMBER(INDEX(Inputs!$K$5:$AJ$140,0,MATCH(N$2,Inputs!$K$4:$AJ$4,0))))+SUMPRODUCT((Inputs!$C$5:$C$140=$B68)*ISNUMBER(INDEX(Inputs!$K$5:$AJ$140,0,MATCH(N$2,Inputs!$K$4:$AJ$4,0))))+SUMPRODUCT((Inputs!$E$5:$E$140=$B68)*ISNUMBER(INDEX(Inputs!$K$5:$AJ$140,0,MATCH(N$2,Inputs!$K$4:$AJ$4,0))))=0,NA(),SUMPRODUCT((Inputs!$A$5:$A$140=$B68)*Inputs!$B$5:$B$140*(((Inputs!$G$5:$G$140="moeda")+(Inputs!$G$5:$G$140="acoes"))*Inputs!$B$1+((Inputs!$G$5:$G$140&lt;&gt;"moeda")*(Inputs!$G$5:$G$140&lt;&gt;"acoes")))*INDEX(Inputs!$K$5:$AJ$140,0,MATCH(N$2,Inputs!$K$4:$AJ$4,0)))+SUMPRODUCT((Inputs!$C$5:$C$140=$B68)*Inputs!$D$5:$D$140*(((Inputs!$G$5:$G$140="moeda")+(Inputs!$G$5:$G$140="acoes"))*Inputs!$B$1+((Inputs!$G$5:$G$140&lt;&gt;"moeda")*(Inputs!$G$5:$G$140&lt;&gt;"acoes")))*INDEX(Inputs!$K$5:$AJ$140,0,MATCH(N$2,Inputs!$K$4:$AJ$4,0)))+SUMPRODUCT((Inputs!$E$5:$E$140=$B68)*Inputs!$F$5:$F$140*(((Inputs!$G$5:$G$140="moeda")+(Inputs!$G$5:$G$140="acoes"))*Inputs!$B$1+((Inputs!$G$5:$G$140&lt;&gt;"moeda")*(Inputs!$G$5:$G$140&lt;&gt;"acoes")))*INDEX(Inputs!$K$5:$AJ$140,0,MATCH(N$2,Inputs!$K$4:$AJ$4,0)))))</f>
        <v>1796</v>
      </c>
      <c r="O68" s="263">
        <f>IF(ISNA(MATCH(O$2,Inputs!$K$4:$AJ$4,0)),NA(),IF(SUMPRODUCT((Inputs!$A$5:$A$140=$B68)*ISNUMBER(INDEX(Inputs!$K$5:$AJ$140,0,MATCH(O$2,Inputs!$K$4:$AJ$4,0))))+SUMPRODUCT((Inputs!$C$5:$C$140=$B68)*ISNUMBER(INDEX(Inputs!$K$5:$AJ$140,0,MATCH(O$2,Inputs!$K$4:$AJ$4,0))))+SUMPRODUCT((Inputs!$E$5:$E$140=$B68)*ISNUMBER(INDEX(Inputs!$K$5:$AJ$140,0,MATCH(O$2,Inputs!$K$4:$AJ$4,0))))=0,NA(),SUMPRODUCT((Inputs!$A$5:$A$140=$B68)*Inputs!$B$5:$B$140*(((Inputs!$G$5:$G$140="moeda")+(Inputs!$G$5:$G$140="acoes"))*Inputs!$B$1+((Inputs!$G$5:$G$140&lt;&gt;"moeda")*(Inputs!$G$5:$G$140&lt;&gt;"acoes")))*INDEX(Inputs!$K$5:$AJ$140,0,MATCH(O$2,Inputs!$K$4:$AJ$4,0)))+SUMPRODUCT((Inputs!$C$5:$C$140=$B68)*Inputs!$D$5:$D$140*(((Inputs!$G$5:$G$140="moeda")+(Inputs!$G$5:$G$140="acoes"))*Inputs!$B$1+((Inputs!$G$5:$G$140&lt;&gt;"moeda")*(Inputs!$G$5:$G$140&lt;&gt;"acoes")))*INDEX(Inputs!$K$5:$AJ$140,0,MATCH(O$2,Inputs!$K$4:$AJ$4,0)))+SUMPRODUCT((Inputs!$E$5:$E$140=$B68)*Inputs!$F$5:$F$140*(((Inputs!$G$5:$G$140="moeda")+(Inputs!$G$5:$G$140="acoes"))*Inputs!$B$1+((Inputs!$G$5:$G$140&lt;&gt;"moeda")*(Inputs!$G$5:$G$140&lt;&gt;"acoes")))*INDEX(Inputs!$K$5:$AJ$140,0,MATCH(O$2,Inputs!$K$4:$AJ$4,0)))))</f>
        <v>2839</v>
      </c>
      <c r="P68" s="263">
        <f>IF(ISNA(MATCH(P$2,Inputs!$K$4:$AJ$4,0)),NA(),IF(SUMPRODUCT((Inputs!$A$5:$A$140=$B68)*ISNUMBER(INDEX(Inputs!$K$5:$AJ$140,0,MATCH(P$2,Inputs!$K$4:$AJ$4,0))))+SUMPRODUCT((Inputs!$C$5:$C$140=$B68)*ISNUMBER(INDEX(Inputs!$K$5:$AJ$140,0,MATCH(P$2,Inputs!$K$4:$AJ$4,0))))+SUMPRODUCT((Inputs!$E$5:$E$140=$B68)*ISNUMBER(INDEX(Inputs!$K$5:$AJ$140,0,MATCH(P$2,Inputs!$K$4:$AJ$4,0))))=0,NA(),SUMPRODUCT((Inputs!$A$5:$A$140=$B68)*Inputs!$B$5:$B$140*(((Inputs!$G$5:$G$140="moeda")+(Inputs!$G$5:$G$140="acoes"))*Inputs!$B$1+((Inputs!$G$5:$G$140&lt;&gt;"moeda")*(Inputs!$G$5:$G$140&lt;&gt;"acoes")))*INDEX(Inputs!$K$5:$AJ$140,0,MATCH(P$2,Inputs!$K$4:$AJ$4,0)))+SUMPRODUCT((Inputs!$C$5:$C$140=$B68)*Inputs!$D$5:$D$140*(((Inputs!$G$5:$G$140="moeda")+(Inputs!$G$5:$G$140="acoes"))*Inputs!$B$1+((Inputs!$G$5:$G$140&lt;&gt;"moeda")*(Inputs!$G$5:$G$140&lt;&gt;"acoes")))*INDEX(Inputs!$K$5:$AJ$140,0,MATCH(P$2,Inputs!$K$4:$AJ$4,0)))+SUMPRODUCT((Inputs!$E$5:$E$140=$B68)*Inputs!$F$5:$F$140*(((Inputs!$G$5:$G$140="moeda")+(Inputs!$G$5:$G$140="acoes"))*Inputs!$B$1+((Inputs!$G$5:$G$140&lt;&gt;"moeda")*(Inputs!$G$5:$G$140&lt;&gt;"acoes")))*INDEX(Inputs!$K$5:$AJ$140,0,MATCH(P$2,Inputs!$K$4:$AJ$4,0)))))</f>
        <v>4333</v>
      </c>
      <c r="Q68" s="263">
        <f>IF(ISNA(MATCH(Q$2,Inputs!$K$4:$AJ$4,0)),NA(),IF(SUMPRODUCT((Inputs!$A$5:$A$140=$B68)*ISNUMBER(INDEX(Inputs!$K$5:$AJ$140,0,MATCH(Q$2,Inputs!$K$4:$AJ$4,0))))+SUMPRODUCT((Inputs!$C$5:$C$140=$B68)*ISNUMBER(INDEX(Inputs!$K$5:$AJ$140,0,MATCH(Q$2,Inputs!$K$4:$AJ$4,0))))+SUMPRODUCT((Inputs!$E$5:$E$140=$B68)*ISNUMBER(INDEX(Inputs!$K$5:$AJ$140,0,MATCH(Q$2,Inputs!$K$4:$AJ$4,0))))=0,NA(),SUMPRODUCT((Inputs!$A$5:$A$140=$B68)*Inputs!$B$5:$B$140*(((Inputs!$G$5:$G$140="moeda")+(Inputs!$G$5:$G$140="acoes"))*Inputs!$B$1+((Inputs!$G$5:$G$140&lt;&gt;"moeda")*(Inputs!$G$5:$G$140&lt;&gt;"acoes")))*INDEX(Inputs!$K$5:$AJ$140,0,MATCH(Q$2,Inputs!$K$4:$AJ$4,0)))+SUMPRODUCT((Inputs!$C$5:$C$140=$B68)*Inputs!$D$5:$D$140*(((Inputs!$G$5:$G$140="moeda")+(Inputs!$G$5:$G$140="acoes"))*Inputs!$B$1+((Inputs!$G$5:$G$140&lt;&gt;"moeda")*(Inputs!$G$5:$G$140&lt;&gt;"acoes")))*INDEX(Inputs!$K$5:$AJ$140,0,MATCH(Q$2,Inputs!$K$4:$AJ$4,0)))+SUMPRODUCT((Inputs!$E$5:$E$140=$B68)*Inputs!$F$5:$F$140*(((Inputs!$G$5:$G$140="moeda")+(Inputs!$G$5:$G$140="acoes"))*Inputs!$B$1+((Inputs!$G$5:$G$140&lt;&gt;"moeda")*(Inputs!$G$5:$G$140&lt;&gt;"acoes")))*INDEX(Inputs!$K$5:$AJ$140,0,MATCH(Q$2,Inputs!$K$4:$AJ$4,0)))))</f>
        <v>4437</v>
      </c>
      <c r="R68" s="264">
        <f>SUM(N68:Q68)</f>
        <v>13405</v>
      </c>
      <c r="S68" s="263">
        <f>IF(ISNA(MATCH(S$2,Inputs!$K$4:$AJ$4,0)),NA(),IF(SUMPRODUCT((Inputs!$A$5:$A$140=$B68)*ISNUMBER(INDEX(Inputs!$K$5:$AJ$140,0,MATCH(S$2,Inputs!$K$4:$AJ$4,0))))+SUMPRODUCT((Inputs!$C$5:$C$140=$B68)*ISNUMBER(INDEX(Inputs!$K$5:$AJ$140,0,MATCH(S$2,Inputs!$K$4:$AJ$4,0))))+SUMPRODUCT((Inputs!$E$5:$E$140=$B68)*ISNUMBER(INDEX(Inputs!$K$5:$AJ$140,0,MATCH(S$2,Inputs!$K$4:$AJ$4,0))))=0,NA(),SUMPRODUCT((Inputs!$A$5:$A$140=$B68)*Inputs!$B$5:$B$140*(((Inputs!$G$5:$G$140="moeda")+(Inputs!$G$5:$G$140="acoes"))*Inputs!$B$1+((Inputs!$G$5:$G$140&lt;&gt;"moeda")*(Inputs!$G$5:$G$140&lt;&gt;"acoes")))*INDEX(Inputs!$K$5:$AJ$140,0,MATCH(S$2,Inputs!$K$4:$AJ$4,0)))+SUMPRODUCT((Inputs!$C$5:$C$140=$B68)*Inputs!$D$5:$D$140*(((Inputs!$G$5:$G$140="moeda")+(Inputs!$G$5:$G$140="acoes"))*Inputs!$B$1+((Inputs!$G$5:$G$140&lt;&gt;"moeda")*(Inputs!$G$5:$G$140&lt;&gt;"acoes")))*INDEX(Inputs!$K$5:$AJ$140,0,MATCH(S$2,Inputs!$K$4:$AJ$4,0)))+SUMPRODUCT((Inputs!$E$5:$E$140=$B68)*Inputs!$F$5:$F$140*(((Inputs!$G$5:$G$140="moeda")+(Inputs!$G$5:$G$140="acoes"))*Inputs!$B$1+((Inputs!$G$5:$G$140&lt;&gt;"moeda")*(Inputs!$G$5:$G$140&lt;&gt;"acoes")))*INDEX(Inputs!$K$5:$AJ$140,0,MATCH(S$2,Inputs!$K$4:$AJ$4,0)))))</f>
        <v>4373</v>
      </c>
      <c r="T68" s="263">
        <f>IF(ISNA(MATCH(T$2,Inputs!$K$4:$AJ$4,0)),NA(),IF(SUMPRODUCT((Inputs!$A$5:$A$140=$B68)*ISNUMBER(INDEX(Inputs!$K$5:$AJ$140,0,MATCH(T$2,Inputs!$K$4:$AJ$4,0))))+SUMPRODUCT((Inputs!$C$5:$C$140=$B68)*ISNUMBER(INDEX(Inputs!$K$5:$AJ$140,0,MATCH(T$2,Inputs!$K$4:$AJ$4,0))))+SUMPRODUCT((Inputs!$E$5:$E$140=$B68)*ISNUMBER(INDEX(Inputs!$K$5:$AJ$140,0,MATCH(T$2,Inputs!$K$4:$AJ$4,0))))=0,NA(),SUMPRODUCT((Inputs!$A$5:$A$140=$B68)*Inputs!$B$5:$B$140*(((Inputs!$G$5:$G$140="moeda")+(Inputs!$G$5:$G$140="acoes"))*Inputs!$B$1+((Inputs!$G$5:$G$140&lt;&gt;"moeda")*(Inputs!$G$5:$G$140&lt;&gt;"acoes")))*INDEX(Inputs!$K$5:$AJ$140,0,MATCH(T$2,Inputs!$K$4:$AJ$4,0)))+SUMPRODUCT((Inputs!$C$5:$C$140=$B68)*Inputs!$D$5:$D$140*(((Inputs!$G$5:$G$140="moeda")+(Inputs!$G$5:$G$140="acoes"))*Inputs!$B$1+((Inputs!$G$5:$G$140&lt;&gt;"moeda")*(Inputs!$G$5:$G$140&lt;&gt;"acoes")))*INDEX(Inputs!$K$5:$AJ$140,0,MATCH(T$2,Inputs!$K$4:$AJ$4,0)))+SUMPRODUCT((Inputs!$E$5:$E$140=$B68)*Inputs!$F$5:$F$140*(((Inputs!$G$5:$G$140="moeda")+(Inputs!$G$5:$G$140="acoes"))*Inputs!$B$1+((Inputs!$G$5:$G$140&lt;&gt;"moeda")*(Inputs!$G$5:$G$140&lt;&gt;"acoes")))*INDEX(Inputs!$K$5:$AJ$140,0,MATCH(T$2,Inputs!$K$4:$AJ$4,0)))))</f>
        <v>5740</v>
      </c>
      <c r="U68" s="263">
        <f>IF(ISNA(MATCH(U$2,Inputs!$K$4:$AJ$4,0)),NA(),IF(SUMPRODUCT((Inputs!$A$5:$A$140=$B68)*ISNUMBER(INDEX(Inputs!$K$5:$AJ$140,0,MATCH(U$2,Inputs!$K$4:$AJ$4,0))))+SUMPRODUCT((Inputs!$C$5:$C$140=$B68)*ISNUMBER(INDEX(Inputs!$K$5:$AJ$140,0,MATCH(U$2,Inputs!$K$4:$AJ$4,0))))+SUMPRODUCT((Inputs!$E$5:$E$140=$B68)*ISNUMBER(INDEX(Inputs!$K$5:$AJ$140,0,MATCH(U$2,Inputs!$K$4:$AJ$4,0))))=0,NA(),SUMPRODUCT((Inputs!$A$5:$A$140=$B68)*Inputs!$B$5:$B$140*(((Inputs!$G$5:$G$140="moeda")+(Inputs!$G$5:$G$140="acoes"))*Inputs!$B$1+((Inputs!$G$5:$G$140&lt;&gt;"moeda")*(Inputs!$G$5:$G$140&lt;&gt;"acoes")))*INDEX(Inputs!$K$5:$AJ$140,0,MATCH(U$2,Inputs!$K$4:$AJ$4,0)))+SUMPRODUCT((Inputs!$C$5:$C$140=$B68)*Inputs!$D$5:$D$140*(((Inputs!$G$5:$G$140="moeda")+(Inputs!$G$5:$G$140="acoes"))*Inputs!$B$1+((Inputs!$G$5:$G$140&lt;&gt;"moeda")*(Inputs!$G$5:$G$140&lt;&gt;"acoes")))*INDEX(Inputs!$K$5:$AJ$140,0,MATCH(U$2,Inputs!$K$4:$AJ$4,0)))+SUMPRODUCT((Inputs!$E$5:$E$140=$B68)*Inputs!$F$5:$F$140*(((Inputs!$G$5:$G$140="moeda")+(Inputs!$G$5:$G$140="acoes"))*Inputs!$B$1+((Inputs!$G$5:$G$140&lt;&gt;"moeda")*(Inputs!$G$5:$G$140&lt;&gt;"acoes")))*INDEX(Inputs!$K$5:$AJ$140,0,MATCH(U$2,Inputs!$K$4:$AJ$4,0)))))</f>
        <v>5153</v>
      </c>
      <c r="V68" s="263">
        <f>IF(ISNA(MATCH(V$2,Inputs!$K$4:$AJ$4,0)),NA(),IF(SUMPRODUCT((Inputs!$A$5:$A$140=$B68)*ISNUMBER(INDEX(Inputs!$K$5:$AJ$140,0,MATCH(V$2,Inputs!$K$4:$AJ$4,0))))+SUMPRODUCT((Inputs!$C$5:$C$140=$B68)*ISNUMBER(INDEX(Inputs!$K$5:$AJ$140,0,MATCH(V$2,Inputs!$K$4:$AJ$4,0))))+SUMPRODUCT((Inputs!$E$5:$E$140=$B68)*ISNUMBER(INDEX(Inputs!$K$5:$AJ$140,0,MATCH(V$2,Inputs!$K$4:$AJ$4,0))))=0,NA(),SUMPRODUCT((Inputs!$A$5:$A$140=$B68)*Inputs!$B$5:$B$140*(((Inputs!$G$5:$G$140="moeda")+(Inputs!$G$5:$G$140="acoes"))*Inputs!$B$1+((Inputs!$G$5:$G$140&lt;&gt;"moeda")*(Inputs!$G$5:$G$140&lt;&gt;"acoes")))*INDEX(Inputs!$K$5:$AJ$140,0,MATCH(V$2,Inputs!$K$4:$AJ$4,0)))+SUMPRODUCT((Inputs!$C$5:$C$140=$B68)*Inputs!$D$5:$D$140*(((Inputs!$G$5:$G$140="moeda")+(Inputs!$G$5:$G$140="acoes"))*Inputs!$B$1+((Inputs!$G$5:$G$140&lt;&gt;"moeda")*(Inputs!$G$5:$G$140&lt;&gt;"acoes")))*INDEX(Inputs!$K$5:$AJ$140,0,MATCH(V$2,Inputs!$K$4:$AJ$4,0)))+SUMPRODUCT((Inputs!$E$5:$E$140=$B68)*Inputs!$F$5:$F$140*(((Inputs!$G$5:$G$140="moeda")+(Inputs!$G$5:$G$140="acoes"))*Inputs!$B$1+((Inputs!$G$5:$G$140&lt;&gt;"moeda")*(Inputs!$G$5:$G$140&lt;&gt;"acoes")))*INDEX(Inputs!$K$5:$AJ$140,0,MATCH(V$2,Inputs!$K$4:$AJ$4,0)))))</f>
        <v>5307</v>
      </c>
      <c r="W68" s="264">
        <f>SUM(S68:V68)</f>
        <v>20573</v>
      </c>
      <c r="X68" s="263">
        <f>IF(ISNA(MATCH(X$2,Inputs!$K$4:$AJ$4,0)),NA(),IF(SUMPRODUCT((Inputs!$A$5:$A$140=$B68)*ISNUMBER(INDEX(Inputs!$K$5:$AJ$140,0,MATCH(X$2,Inputs!$K$4:$AJ$4,0))))+SUMPRODUCT((Inputs!$C$5:$C$140=$B68)*ISNUMBER(INDEX(Inputs!$K$5:$AJ$140,0,MATCH(X$2,Inputs!$K$4:$AJ$4,0))))+SUMPRODUCT((Inputs!$E$5:$E$140=$B68)*ISNUMBER(INDEX(Inputs!$K$5:$AJ$140,0,MATCH(X$2,Inputs!$K$4:$AJ$4,0))))=0,NA(),SUMPRODUCT((Inputs!$A$5:$A$140=$B68)*Inputs!$B$5:$B$140*(((Inputs!$G$5:$G$140="moeda")+(Inputs!$G$5:$G$140="acoes"))*Inputs!$B$1+((Inputs!$G$5:$G$140&lt;&gt;"moeda")*(Inputs!$G$5:$G$140&lt;&gt;"acoes")))*INDEX(Inputs!$K$5:$AJ$140,0,MATCH(X$2,Inputs!$K$4:$AJ$4,0)))+SUMPRODUCT((Inputs!$C$5:$C$140=$B68)*Inputs!$D$5:$D$140*(((Inputs!$G$5:$G$140="moeda")+(Inputs!$G$5:$G$140="acoes"))*Inputs!$B$1+((Inputs!$G$5:$G$140&lt;&gt;"moeda")*(Inputs!$G$5:$G$140&lt;&gt;"acoes")))*INDEX(Inputs!$K$5:$AJ$140,0,MATCH(X$2,Inputs!$K$4:$AJ$4,0)))+SUMPRODUCT((Inputs!$E$5:$E$140=$B68)*Inputs!$F$5:$F$140*(((Inputs!$G$5:$G$140="moeda")+(Inputs!$G$5:$G$140="acoes"))*Inputs!$B$1+((Inputs!$G$5:$G$140&lt;&gt;"moeda")*(Inputs!$G$5:$G$140&lt;&gt;"acoes")))*INDEX(Inputs!$K$5:$AJ$140,0,MATCH(X$2,Inputs!$K$4:$AJ$4,0)))))</f>
        <v>7158</v>
      </c>
      <c r="Y68" s="263">
        <f>IF(ISNA(MATCH(Y$2,Inputs!$K$4:$AJ$4,0)),NA(),IF(SUMPRODUCT((Inputs!$A$5:$A$140=$B68)*ISNUMBER(INDEX(Inputs!$K$5:$AJ$140,0,MATCH(Y$2,Inputs!$K$4:$AJ$4,0))))+SUMPRODUCT((Inputs!$C$5:$C$140=$B68)*ISNUMBER(INDEX(Inputs!$K$5:$AJ$140,0,MATCH(Y$2,Inputs!$K$4:$AJ$4,0))))+SUMPRODUCT((Inputs!$E$5:$E$140=$B68)*ISNUMBER(INDEX(Inputs!$K$5:$AJ$140,0,MATCH(Y$2,Inputs!$K$4:$AJ$4,0))))=0,NA(),SUMPRODUCT((Inputs!$A$5:$A$140=$B68)*Inputs!$B$5:$B$140*(((Inputs!$G$5:$G$140="moeda")+(Inputs!$G$5:$G$140="acoes"))*Inputs!$B$1+((Inputs!$G$5:$G$140&lt;&gt;"moeda")*(Inputs!$G$5:$G$140&lt;&gt;"acoes")))*INDEX(Inputs!$K$5:$AJ$140,0,MATCH(Y$2,Inputs!$K$4:$AJ$4,0)))+SUMPRODUCT((Inputs!$C$5:$C$140=$B68)*Inputs!$D$5:$D$140*(((Inputs!$G$5:$G$140="moeda")+(Inputs!$G$5:$G$140="acoes"))*Inputs!$B$1+((Inputs!$G$5:$G$140&lt;&gt;"moeda")*(Inputs!$G$5:$G$140&lt;&gt;"acoes")))*INDEX(Inputs!$K$5:$AJ$140,0,MATCH(Y$2,Inputs!$K$4:$AJ$4,0)))+SUMPRODUCT((Inputs!$E$5:$E$140=$B68)*Inputs!$F$5:$F$140*(((Inputs!$G$5:$G$140="moeda")+(Inputs!$G$5:$G$140="acoes"))*Inputs!$B$1+((Inputs!$G$5:$G$140&lt;&gt;"moeda")*(Inputs!$G$5:$G$140&lt;&gt;"acoes")))*INDEX(Inputs!$K$5:$AJ$140,0,MATCH(Y$2,Inputs!$K$4:$AJ$4,0)))))</f>
        <v>8529</v>
      </c>
      <c r="Z68" s="263">
        <f>IF(ISNA(MATCH(Z$2,Inputs!$K$4:$AJ$4,0)),NA(),IF(SUMPRODUCT((Inputs!$A$5:$A$140=$B68)*ISNUMBER(INDEX(Inputs!$K$5:$AJ$140,0,MATCH(Z$2,Inputs!$K$4:$AJ$4,0))))+SUMPRODUCT((Inputs!$C$5:$C$140=$B68)*ISNUMBER(INDEX(Inputs!$K$5:$AJ$140,0,MATCH(Z$2,Inputs!$K$4:$AJ$4,0))))+SUMPRODUCT((Inputs!$E$5:$E$140=$B68)*ISNUMBER(INDEX(Inputs!$K$5:$AJ$140,0,MATCH(Z$2,Inputs!$K$4:$AJ$4,0))))=0,NA(),SUMPRODUCT((Inputs!$A$5:$A$140=$B68)*Inputs!$B$5:$B$140*(((Inputs!$G$5:$G$140="moeda")+(Inputs!$G$5:$G$140="acoes"))*Inputs!$B$1+((Inputs!$G$5:$G$140&lt;&gt;"moeda")*(Inputs!$G$5:$G$140&lt;&gt;"acoes")))*INDEX(Inputs!$K$5:$AJ$140,0,MATCH(Z$2,Inputs!$K$4:$AJ$4,0)))+SUMPRODUCT((Inputs!$C$5:$C$140=$B68)*Inputs!$D$5:$D$140*(((Inputs!$G$5:$G$140="moeda")+(Inputs!$G$5:$G$140="acoes"))*Inputs!$B$1+((Inputs!$G$5:$G$140&lt;&gt;"moeda")*(Inputs!$G$5:$G$140&lt;&gt;"acoes")))*INDEX(Inputs!$K$5:$AJ$140,0,MATCH(Z$2,Inputs!$K$4:$AJ$4,0)))+SUMPRODUCT((Inputs!$E$5:$E$140=$B68)*Inputs!$F$5:$F$140*(((Inputs!$G$5:$G$140="moeda")+(Inputs!$G$5:$G$140="acoes"))*Inputs!$B$1+((Inputs!$G$5:$G$140&lt;&gt;"moeda")*(Inputs!$G$5:$G$140&lt;&gt;"acoes")))*INDEX(Inputs!$K$5:$AJ$140,0,MATCH(Z$2,Inputs!$K$4:$AJ$4,0)))))</f>
        <v>13751</v>
      </c>
      <c r="AA68" s="263">
        <f>IF(ISNA(MATCH(AA$2,Inputs!$K$4:$AJ$4,0)),NA(),IF(SUMPRODUCT((Inputs!$A$5:$A$140=$B68)*ISNUMBER(INDEX(Inputs!$K$5:$AJ$140,0,MATCH(AA$2,Inputs!$K$4:$AJ$4,0))))+SUMPRODUCT((Inputs!$C$5:$C$140=$B68)*ISNUMBER(INDEX(Inputs!$K$5:$AJ$140,0,MATCH(AA$2,Inputs!$K$4:$AJ$4,0))))+SUMPRODUCT((Inputs!$E$5:$E$140=$B68)*ISNUMBER(INDEX(Inputs!$K$5:$AJ$140,0,MATCH(AA$2,Inputs!$K$4:$AJ$4,0))))=0,NA(),SUMPRODUCT((Inputs!$A$5:$A$140=$B68)*Inputs!$B$5:$B$140*(((Inputs!$G$5:$G$140="moeda")+(Inputs!$G$5:$G$140="acoes"))*Inputs!$B$1+((Inputs!$G$5:$G$140&lt;&gt;"moeda")*(Inputs!$G$5:$G$140&lt;&gt;"acoes")))*INDEX(Inputs!$K$5:$AJ$140,0,MATCH(AA$2,Inputs!$K$4:$AJ$4,0)))+SUMPRODUCT((Inputs!$C$5:$C$140=$B68)*Inputs!$D$5:$D$140*(((Inputs!$G$5:$G$140="moeda")+(Inputs!$G$5:$G$140="acoes"))*Inputs!$B$1+((Inputs!$G$5:$G$140&lt;&gt;"moeda")*(Inputs!$G$5:$G$140&lt;&gt;"acoes")))*INDEX(Inputs!$K$5:$AJ$140,0,MATCH(AA$2,Inputs!$K$4:$AJ$4,0)))+SUMPRODUCT((Inputs!$E$5:$E$140=$B68)*Inputs!$F$5:$F$140*(((Inputs!$G$5:$G$140="moeda")+(Inputs!$G$5:$G$140="acoes"))*Inputs!$B$1+((Inputs!$G$5:$G$140&lt;&gt;"moeda")*(Inputs!$G$5:$G$140&lt;&gt;"acoes")))*INDEX(Inputs!$K$5:$AJ$140,0,MATCH(AA$2,Inputs!$K$4:$AJ$4,0)))))</f>
        <v>12044</v>
      </c>
      <c r="AB68" s="264">
        <f>SUM(X68:AA68)</f>
        <v>41482</v>
      </c>
      <c r="AC68" s="263">
        <f>IF(ISNA(MATCH(AC$2,Inputs!$K$4:$AJ$4,0)),NA(),IF(SUMPRODUCT((Inputs!$A$5:$A$140=$B68)*ISNUMBER(INDEX(Inputs!$K$5:$AJ$140,0,MATCH(AC$2,Inputs!$K$4:$AJ$4,0))))+SUMPRODUCT((Inputs!$C$5:$C$140=$B68)*ISNUMBER(INDEX(Inputs!$K$5:$AJ$140,0,MATCH(AC$2,Inputs!$K$4:$AJ$4,0))))+SUMPRODUCT((Inputs!$E$5:$E$140=$B68)*ISNUMBER(INDEX(Inputs!$K$5:$AJ$140,0,MATCH(AC$2,Inputs!$K$4:$AJ$4,0))))=0,NA(),SUMPRODUCT((Inputs!$A$5:$A$140=$B68)*Inputs!$B$5:$B$140*(((Inputs!$G$5:$G$140="moeda")+(Inputs!$G$5:$G$140="acoes"))*Inputs!$B$1+((Inputs!$G$5:$G$140&lt;&gt;"moeda")*(Inputs!$G$5:$G$140&lt;&gt;"acoes")))*INDEX(Inputs!$K$5:$AJ$140,0,MATCH(AC$2,Inputs!$K$4:$AJ$4,0)))+SUMPRODUCT((Inputs!$C$5:$C$140=$B68)*Inputs!$D$5:$D$140*(((Inputs!$G$5:$G$140="moeda")+(Inputs!$G$5:$G$140="acoes"))*Inputs!$B$1+((Inputs!$G$5:$G$140&lt;&gt;"moeda")*(Inputs!$G$5:$G$140&lt;&gt;"acoes")))*INDEX(Inputs!$K$5:$AJ$140,0,MATCH(AC$2,Inputs!$K$4:$AJ$4,0)))+SUMPRODUCT((Inputs!$E$5:$E$140=$B68)*Inputs!$F$5:$F$140*(((Inputs!$G$5:$G$140="moeda")+(Inputs!$G$5:$G$140="acoes"))*Inputs!$B$1+((Inputs!$G$5:$G$140&lt;&gt;"moeda")*(Inputs!$G$5:$G$140&lt;&gt;"acoes")))*INDEX(Inputs!$K$5:$AJ$140,0,MATCH(AC$2,Inputs!$K$4:$AJ$4,0)))))</f>
        <v>12006</v>
      </c>
      <c r="AD68" s="263">
        <f>IF(ISNA(MATCH(AD$2,Inputs!$K$4:$AJ$4,0)),NA(),IF(SUMPRODUCT((Inputs!$A$5:$A$140=$B68)*ISNUMBER(INDEX(Inputs!$K$5:$AJ$140,0,MATCH(AD$2,Inputs!$K$4:$AJ$4,0))))+SUMPRODUCT((Inputs!$C$5:$C$140=$B68)*ISNUMBER(INDEX(Inputs!$K$5:$AJ$140,0,MATCH(AD$2,Inputs!$K$4:$AJ$4,0))))+SUMPRODUCT((Inputs!$E$5:$E$140=$B68)*ISNUMBER(INDEX(Inputs!$K$5:$AJ$140,0,MATCH(AD$2,Inputs!$K$4:$AJ$4,0))))=0,NA(),SUMPRODUCT((Inputs!$A$5:$A$140=$B68)*Inputs!$B$5:$B$140*(((Inputs!$G$5:$G$140="moeda")+(Inputs!$G$5:$G$140="acoes"))*Inputs!$B$1+((Inputs!$G$5:$G$140&lt;&gt;"moeda")*(Inputs!$G$5:$G$140&lt;&gt;"acoes")))*INDEX(Inputs!$K$5:$AJ$140,0,MATCH(AD$2,Inputs!$K$4:$AJ$4,0)))+SUMPRODUCT((Inputs!$C$5:$C$140=$B68)*Inputs!$D$5:$D$140*(((Inputs!$G$5:$G$140="moeda")+(Inputs!$G$5:$G$140="acoes"))*Inputs!$B$1+((Inputs!$G$5:$G$140&lt;&gt;"moeda")*(Inputs!$G$5:$G$140&lt;&gt;"acoes")))*INDEX(Inputs!$K$5:$AJ$140,0,MATCH(AD$2,Inputs!$K$4:$AJ$4,0)))+SUMPRODUCT((Inputs!$E$5:$E$140=$B68)*Inputs!$F$5:$F$140*(((Inputs!$G$5:$G$140="moeda")+(Inputs!$G$5:$G$140="acoes"))*Inputs!$B$1+((Inputs!$G$5:$G$140&lt;&gt;"moeda")*(Inputs!$G$5:$G$140&lt;&gt;"acoes")))*INDEX(Inputs!$K$5:$AJ$140,0,MATCH(AD$2,Inputs!$K$4:$AJ$4,0)))))</f>
        <v>26985</v>
      </c>
      <c r="AE68" s="263" t="e">
        <f>IF(ISNA(MATCH(AE$2,Inputs!$K$4:$AJ$4,0)),NA(),IF(SUMPRODUCT((Inputs!$A$5:$A$140=$B68)*ISNUMBER(INDEX(Inputs!$K$5:$AJ$140,0,MATCH(AE$2,Inputs!$K$4:$AJ$4,0))))+SUMPRODUCT((Inputs!$C$5:$C$140=$B68)*ISNUMBER(INDEX(Inputs!$K$5:$AJ$140,0,MATCH(AE$2,Inputs!$K$4:$AJ$4,0))))+SUMPRODUCT((Inputs!$E$5:$E$140=$B68)*ISNUMBER(INDEX(Inputs!$K$5:$AJ$140,0,MATCH(AE$2,Inputs!$K$4:$AJ$4,0))))=0,NA(),SUMPRODUCT((Inputs!$A$5:$A$140=$B68)*Inputs!$B$5:$B$140*(((Inputs!$G$5:$G$140="moeda")+(Inputs!$G$5:$G$140="acoes"))*Inputs!$B$1+((Inputs!$G$5:$G$140&lt;&gt;"moeda")*(Inputs!$G$5:$G$140&lt;&gt;"acoes")))*INDEX(Inputs!$K$5:$AJ$140,0,MATCH(AE$2,Inputs!$K$4:$AJ$4,0)))+SUMPRODUCT((Inputs!$C$5:$C$140=$B68)*Inputs!$D$5:$D$140*(((Inputs!$G$5:$G$140="moeda")+(Inputs!$G$5:$G$140="acoes"))*Inputs!$B$1+((Inputs!$G$5:$G$140&lt;&gt;"moeda")*(Inputs!$G$5:$G$140&lt;&gt;"acoes")))*INDEX(Inputs!$K$5:$AJ$140,0,MATCH(AE$2,Inputs!$K$4:$AJ$4,0)))+SUMPRODUCT((Inputs!$E$5:$E$140=$B68)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68" s="263" t="e">
        <f>IF(ISNA(MATCH(AF$2,Inputs!$K$4:$AJ$4,0)),NA(),IF(SUMPRODUCT((Inputs!$A$5:$A$140=$B68)*ISNUMBER(INDEX(Inputs!$K$5:$AJ$140,0,MATCH(AF$2,Inputs!$K$4:$AJ$4,0))))+SUMPRODUCT((Inputs!$C$5:$C$140=$B68)*ISNUMBER(INDEX(Inputs!$K$5:$AJ$140,0,MATCH(AF$2,Inputs!$K$4:$AJ$4,0))))+SUMPRODUCT((Inputs!$E$5:$E$140=$B68)*ISNUMBER(INDEX(Inputs!$K$5:$AJ$140,0,MATCH(AF$2,Inputs!$K$4:$AJ$4,0))))=0,NA(),SUMPRODUCT((Inputs!$A$5:$A$140=$B68)*Inputs!$B$5:$B$140*(((Inputs!$G$5:$G$140="moeda")+(Inputs!$G$5:$G$140="acoes"))*Inputs!$B$1+((Inputs!$G$5:$G$140&lt;&gt;"moeda")*(Inputs!$G$5:$G$140&lt;&gt;"acoes")))*INDEX(Inputs!$K$5:$AJ$140,0,MATCH(AF$2,Inputs!$K$4:$AJ$4,0)))+SUMPRODUCT((Inputs!$C$5:$C$140=$B68)*Inputs!$D$5:$D$140*(((Inputs!$G$5:$G$140="moeda")+(Inputs!$G$5:$G$140="acoes"))*Inputs!$B$1+((Inputs!$G$5:$G$140&lt;&gt;"moeda")*(Inputs!$G$5:$G$140&lt;&gt;"acoes")))*INDEX(Inputs!$K$5:$AJ$140,0,MATCH(AF$2,Inputs!$K$4:$AJ$4,0)))+SUMPRODUCT((Inputs!$E$5:$E$140=$B68)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68" s="264" t="e">
        <f>SUM(AC68:AF68)</f>
        <v>#N/A</v>
      </c>
      <c r="AH68" s="263">
        <f>IF(ISNA(MATCH(AH$2,Inputs!$K$4:$AJ$4,0)),NA(),IF(SUMPRODUCT((Inputs!$A$5:$A$140=$B68)*ISNUMBER(INDEX(Inputs!$K$5:$AJ$140,0,MATCH(AH$2,Inputs!$K$4:$AJ$4,0))))+SUMPRODUCT((Inputs!$C$5:$C$140=$B68)*ISNUMBER(INDEX(Inputs!$K$5:$AJ$140,0,MATCH(AH$2,Inputs!$K$4:$AJ$4,0))))+SUMPRODUCT((Inputs!$E$5:$E$140=$B68)*ISNUMBER(INDEX(Inputs!$K$5:$AJ$140,0,MATCH(AH$2,Inputs!$K$4:$AJ$4,0))))=0,NA(),SUMPRODUCT((Inputs!$A$5:$A$140=$B68)*Inputs!$B$5:$B$140*(((Inputs!$G$5:$G$140="moeda")+(Inputs!$G$5:$G$140="acoes"))*Inputs!$B$1+((Inputs!$G$5:$G$140&lt;&gt;"moeda")*(Inputs!$G$5:$G$140&lt;&gt;"acoes")))*INDEX(Inputs!$K$5:$AJ$140,0,MATCH(AH$2,Inputs!$K$4:$AJ$4,0)))+SUMPRODUCT((Inputs!$C$5:$C$140=$B68)*Inputs!$D$5:$D$140*(((Inputs!$G$5:$G$140="moeda")+(Inputs!$G$5:$G$140="acoes"))*Inputs!$B$1+((Inputs!$G$5:$G$140&lt;&gt;"moeda")*(Inputs!$G$5:$G$140&lt;&gt;"acoes")))*INDEX(Inputs!$K$5:$AJ$140,0,MATCH(AH$2,Inputs!$K$4:$AJ$4,0)))+SUMPRODUCT((Inputs!$E$5:$E$140=$B68)*Inputs!$F$5:$F$140*(((Inputs!$G$5:$G$140="moeda")+(Inputs!$G$5:$G$140="acoes"))*Inputs!$B$1+((Inputs!$G$5:$G$140&lt;&gt;"moeda")*(Inputs!$G$5:$G$140&lt;&gt;"acoes")))*INDEX(Inputs!$K$5:$AJ$140,0,MATCH(AH$2,Inputs!$K$4:$AJ$4,0)))))</f>
        <v>813</v>
      </c>
      <c r="AI68" s="263">
        <f>IF(ISNA(MATCH(AI$2,Inputs!$K$4:$AJ$4,0)),NA(),IF(SUMPRODUCT((Inputs!$A$5:$A$140=$B68)*ISNUMBER(INDEX(Inputs!$K$5:$AJ$140,0,MATCH(AI$2,Inputs!$K$4:$AJ$4,0))))+SUMPRODUCT((Inputs!$C$5:$C$140=$B68)*ISNUMBER(INDEX(Inputs!$K$5:$AJ$140,0,MATCH(AI$2,Inputs!$K$4:$AJ$4,0))))+SUMPRODUCT((Inputs!$E$5:$E$140=$B68)*ISNUMBER(INDEX(Inputs!$K$5:$AJ$140,0,MATCH(AI$2,Inputs!$K$4:$AJ$4,0))))=0,NA(),SUMPRODUCT((Inputs!$A$5:$A$140=$B68)*Inputs!$B$5:$B$140*(((Inputs!$G$5:$G$140="moeda")+(Inputs!$G$5:$G$140="acoes"))*Inputs!$B$1+((Inputs!$G$5:$G$140&lt;&gt;"moeda")*(Inputs!$G$5:$G$140&lt;&gt;"acoes")))*INDEX(Inputs!$K$5:$AJ$140,0,MATCH(AI$2,Inputs!$K$4:$AJ$4,0)))+SUMPRODUCT((Inputs!$C$5:$C$140=$B68)*Inputs!$D$5:$D$140*(((Inputs!$G$5:$G$140="moeda")+(Inputs!$G$5:$G$140="acoes"))*Inputs!$B$1+((Inputs!$G$5:$G$140&lt;&gt;"moeda")*(Inputs!$G$5:$G$140&lt;&gt;"acoes")))*INDEX(Inputs!$K$5:$AJ$140,0,MATCH(AI$2,Inputs!$K$4:$AJ$4,0)))+SUMPRODUCT((Inputs!$E$5:$E$140=$B68)*Inputs!$F$5:$F$140*(((Inputs!$G$5:$G$140="moeda")+(Inputs!$G$5:$G$140="acoes"))*Inputs!$B$1+((Inputs!$G$5:$G$140&lt;&gt;"moeda")*(Inputs!$G$5:$G$140&lt;&gt;"acoes")))*INDEX(Inputs!$K$5:$AJ$140,0,MATCH(AI$2,Inputs!$K$4:$AJ$4,0)))))</f>
        <v>954</v>
      </c>
      <c r="AJ68" s="263">
        <f>IF(ISNA(MATCH(AJ$2,Inputs!$K$4:$AJ$4,0)),NA(),IF(SUMPRODUCT((Inputs!$A$5:$A$140=$B68)*ISNUMBER(INDEX(Inputs!$K$5:$AJ$140,0,MATCH(AJ$2,Inputs!$K$4:$AJ$4,0))))+SUMPRODUCT((Inputs!$C$5:$C$140=$B68)*ISNUMBER(INDEX(Inputs!$K$5:$AJ$140,0,MATCH(AJ$2,Inputs!$K$4:$AJ$4,0))))+SUMPRODUCT((Inputs!$E$5:$E$140=$B68)*ISNUMBER(INDEX(Inputs!$K$5:$AJ$140,0,MATCH(AJ$2,Inputs!$K$4:$AJ$4,0))))=0,NA(),SUMPRODUCT((Inputs!$A$5:$A$140=$B68)*Inputs!$B$5:$B$140*(((Inputs!$G$5:$G$140="moeda")+(Inputs!$G$5:$G$140="acoes"))*Inputs!$B$1+((Inputs!$G$5:$G$140&lt;&gt;"moeda")*(Inputs!$G$5:$G$140&lt;&gt;"acoes")))*INDEX(Inputs!$K$5:$AJ$140,0,MATCH(AJ$2,Inputs!$K$4:$AJ$4,0)))+SUMPRODUCT((Inputs!$C$5:$C$140=$B68)*Inputs!$D$5:$D$140*(((Inputs!$G$5:$G$140="moeda")+(Inputs!$G$5:$G$140="acoes"))*Inputs!$B$1+((Inputs!$G$5:$G$140&lt;&gt;"moeda")*(Inputs!$G$5:$G$140&lt;&gt;"acoes")))*INDEX(Inputs!$K$5:$AJ$140,0,MATCH(AJ$2,Inputs!$K$4:$AJ$4,0)))+SUMPRODUCT((Inputs!$E$5:$E$140=$B68)*Inputs!$F$5:$F$140*(((Inputs!$G$5:$G$140="moeda")+(Inputs!$G$5:$G$140="acoes"))*Inputs!$B$1+((Inputs!$G$5:$G$140&lt;&gt;"moeda")*(Inputs!$G$5:$G$140&lt;&gt;"acoes")))*INDEX(Inputs!$K$5:$AJ$140,0,MATCH(AJ$2,Inputs!$K$4:$AJ$4,0)))))</f>
        <v>1296</v>
      </c>
      <c r="AK68" s="263">
        <f>IF(ISNA(MATCH(AK$2,Inputs!$K$4:$AJ$4,0)),NA(),IF(SUMPRODUCT((Inputs!$A$5:$A$140=$B68)*ISNUMBER(INDEX(Inputs!$K$5:$AJ$140,0,MATCH(AK$2,Inputs!$K$4:$AJ$4,0))))+SUMPRODUCT((Inputs!$C$5:$C$140=$B68)*ISNUMBER(INDEX(Inputs!$K$5:$AJ$140,0,MATCH(AK$2,Inputs!$K$4:$AJ$4,0))))+SUMPRODUCT((Inputs!$E$5:$E$140=$B68)*ISNUMBER(INDEX(Inputs!$K$5:$AJ$140,0,MATCH(AK$2,Inputs!$K$4:$AJ$4,0))))=0,NA(),SUMPRODUCT((Inputs!$A$5:$A$140=$B68)*Inputs!$B$5:$B$140*(((Inputs!$G$5:$G$140="moeda")+(Inputs!$G$5:$G$140="acoes"))*Inputs!$B$1+((Inputs!$G$5:$G$140&lt;&gt;"moeda")*(Inputs!$G$5:$G$140&lt;&gt;"acoes")))*INDEX(Inputs!$K$5:$AJ$140,0,MATCH(AK$2,Inputs!$K$4:$AJ$4,0)))+SUMPRODUCT((Inputs!$C$5:$C$140=$B68)*Inputs!$D$5:$D$140*(((Inputs!$G$5:$G$140="moeda")+(Inputs!$G$5:$G$140="acoes"))*Inputs!$B$1+((Inputs!$G$5:$G$140&lt;&gt;"moeda")*(Inputs!$G$5:$G$140&lt;&gt;"acoes")))*INDEX(Inputs!$K$5:$AJ$140,0,MATCH(AK$2,Inputs!$K$4:$AJ$4,0)))+SUMPRODUCT((Inputs!$E$5:$E$140=$B68)*Inputs!$F$5:$F$140*(((Inputs!$G$5:$G$140="moeda")+(Inputs!$G$5:$G$140="acoes"))*Inputs!$B$1+((Inputs!$G$5:$G$140&lt;&gt;"moeda")*(Inputs!$G$5:$G$140&lt;&gt;"acoes")))*INDEX(Inputs!$K$5:$AJ$140,0,MATCH(AK$2,Inputs!$K$4:$AJ$4,0)))))</f>
        <v>1469</v>
      </c>
      <c r="AL68" s="264">
        <f>SUM(AH68:AK68)</f>
        <v>4532</v>
      </c>
    </row>
    <row r="69">
      <c r="B69" s="46" t="n">
        <v>61</v>
      </c>
      <c r="C69" s="29" t="inlineStr">
        <is>
          <t>Receita por local de faturamento - China, inclui Hong Kong (USD)</t>
        </is>
      </c>
      <c r="D69" s="263">
        <f>IF(ISNA(MATCH(D$2,Inputs!$K$4:$AJ$4,0)),NA(),IF(SUMPRODUCT((Inputs!$A$5:$A$140=$B69)*ISNUMBER(INDEX(Inputs!$K$5:$AJ$140,0,MATCH(D$2,Inputs!$K$4:$AJ$4,0))))+SUMPRODUCT((Inputs!$C$5:$C$140=$B69)*ISNUMBER(INDEX(Inputs!$K$5:$AJ$140,0,MATCH(D$2,Inputs!$K$4:$AJ$4,0))))+SUMPRODUCT((Inputs!$E$5:$E$140=$B69)*ISNUMBER(INDEX(Inputs!$K$5:$AJ$140,0,MATCH(D$2,Inputs!$K$4:$AJ$4,0))))=0,NA(),SUMPRODUCT((Inputs!$A$5:$A$140=$B69)*Inputs!$B$5:$B$140*(((Inputs!$G$5:$G$140="moeda")+(Inputs!$G$5:$G$140="acoes"))*Inputs!$B$1+((Inputs!$G$5:$G$140&lt;&gt;"moeda")*(Inputs!$G$5:$G$140&lt;&gt;"acoes")))*INDEX(Inputs!$K$5:$AJ$140,0,MATCH(D$2,Inputs!$K$4:$AJ$4,0)))+SUMPRODUCT((Inputs!$C$5:$C$140=$B69)*Inputs!$D$5:$D$140*(((Inputs!$G$5:$G$140="moeda")+(Inputs!$G$5:$G$140="acoes"))*Inputs!$B$1+((Inputs!$G$5:$G$140&lt;&gt;"moeda")*(Inputs!$G$5:$G$140&lt;&gt;"acoes")))*INDEX(Inputs!$K$5:$AJ$140,0,MATCH(D$2,Inputs!$K$4:$AJ$4,0)))+SUMPRODUCT((Inputs!$E$5:$E$140=$B69)*Inputs!$F$5:$F$140*(((Inputs!$G$5:$G$140="moeda")+(Inputs!$G$5:$G$140="acoes"))*Inputs!$B$1+((Inputs!$G$5:$G$140&lt;&gt;"moeda")*(Inputs!$G$5:$G$140&lt;&gt;"acoes")))*INDEX(Inputs!$K$5:$AJ$140,0,MATCH(D$2,Inputs!$K$4:$AJ$4,0)))))</f>
        <v>1391</v>
      </c>
      <c r="E69" s="263">
        <f>IF(ISNA(MATCH(E$2,Inputs!$K$4:$AJ$4,0)),NA(),IF(SUMPRODUCT((Inputs!$A$5:$A$140=$B69)*ISNUMBER(INDEX(Inputs!$K$5:$AJ$140,0,MATCH(E$2,Inputs!$K$4:$AJ$4,0))))+SUMPRODUCT((Inputs!$C$5:$C$140=$B69)*ISNUMBER(INDEX(Inputs!$K$5:$AJ$140,0,MATCH(E$2,Inputs!$K$4:$AJ$4,0))))+SUMPRODUCT((Inputs!$E$5:$E$140=$B69)*ISNUMBER(INDEX(Inputs!$K$5:$AJ$140,0,MATCH(E$2,Inputs!$K$4:$AJ$4,0))))=0,NA(),SUMPRODUCT((Inputs!$A$5:$A$140=$B69)*Inputs!$B$5:$B$140*(((Inputs!$G$5:$G$140="moeda")+(Inputs!$G$5:$G$140="acoes"))*Inputs!$B$1+((Inputs!$G$5:$G$140&lt;&gt;"moeda")*(Inputs!$G$5:$G$140&lt;&gt;"acoes")))*INDEX(Inputs!$K$5:$AJ$140,0,MATCH(E$2,Inputs!$K$4:$AJ$4,0)))+SUMPRODUCT((Inputs!$C$5:$C$140=$B69)*Inputs!$D$5:$D$140*(((Inputs!$G$5:$G$140="moeda")+(Inputs!$G$5:$G$140="acoes"))*Inputs!$B$1+((Inputs!$G$5:$G$140&lt;&gt;"moeda")*(Inputs!$G$5:$G$140&lt;&gt;"acoes")))*INDEX(Inputs!$K$5:$AJ$140,0,MATCH(E$2,Inputs!$K$4:$AJ$4,0)))+SUMPRODUCT((Inputs!$E$5:$E$140=$B69)*Inputs!$F$5:$F$140*(((Inputs!$G$5:$G$140="moeda")+(Inputs!$G$5:$G$140="acoes"))*Inputs!$B$1+((Inputs!$G$5:$G$140&lt;&gt;"moeda")*(Inputs!$G$5:$G$140&lt;&gt;"acoes")))*INDEX(Inputs!$K$5:$AJ$140,0,MATCH(E$2,Inputs!$K$4:$AJ$4,0)))))</f>
        <v>1720</v>
      </c>
      <c r="F69" s="263">
        <f>IF(ISNA(MATCH(F$2,Inputs!$K$4:$AJ$4,0)),NA(),IF(SUMPRODUCT((Inputs!$A$5:$A$140=$B69)*ISNUMBER(INDEX(Inputs!$K$5:$AJ$140,0,MATCH(F$2,Inputs!$K$4:$AJ$4,0))))+SUMPRODUCT((Inputs!$C$5:$C$140=$B69)*ISNUMBER(INDEX(Inputs!$K$5:$AJ$140,0,MATCH(F$2,Inputs!$K$4:$AJ$4,0))))+SUMPRODUCT((Inputs!$E$5:$E$140=$B69)*ISNUMBER(INDEX(Inputs!$K$5:$AJ$140,0,MATCH(F$2,Inputs!$K$4:$AJ$4,0))))=0,NA(),SUMPRODUCT((Inputs!$A$5:$A$140=$B69)*Inputs!$B$5:$B$140*(((Inputs!$G$5:$G$140="moeda")+(Inputs!$G$5:$G$140="acoes"))*Inputs!$B$1+((Inputs!$G$5:$G$140&lt;&gt;"moeda")*(Inputs!$G$5:$G$140&lt;&gt;"acoes")))*INDEX(Inputs!$K$5:$AJ$140,0,MATCH(F$2,Inputs!$K$4:$AJ$4,0)))+SUMPRODUCT((Inputs!$C$5:$C$140=$B69)*Inputs!$D$5:$D$140*(((Inputs!$G$5:$G$140="moeda")+(Inputs!$G$5:$G$140="acoes"))*Inputs!$B$1+((Inputs!$G$5:$G$140&lt;&gt;"moeda")*(Inputs!$G$5:$G$140&lt;&gt;"acoes")))*INDEX(Inputs!$K$5:$AJ$140,0,MATCH(F$2,Inputs!$K$4:$AJ$4,0)))+SUMPRODUCT((Inputs!$E$5:$E$140=$B69)*Inputs!$F$5:$F$140*(((Inputs!$G$5:$G$140="moeda")+(Inputs!$G$5:$G$140="acoes"))*Inputs!$B$1+((Inputs!$G$5:$G$140&lt;&gt;"moeda")*(Inputs!$G$5:$G$140&lt;&gt;"acoes")))*INDEX(Inputs!$K$5:$AJ$140,0,MATCH(F$2,Inputs!$K$4:$AJ$4,0)))))</f>
        <v>2017</v>
      </c>
      <c r="G69" s="263">
        <f>IF(ISNA(MATCH(G$2,Inputs!$K$4:$AJ$4,0)),NA(),IF(SUMPRODUCT((Inputs!$A$5:$A$140=$B69)*ISNUMBER(INDEX(Inputs!$K$5:$AJ$140,0,MATCH(G$2,Inputs!$K$4:$AJ$4,0))))+SUMPRODUCT((Inputs!$C$5:$C$140=$B69)*ISNUMBER(INDEX(Inputs!$K$5:$AJ$140,0,MATCH(G$2,Inputs!$K$4:$AJ$4,0))))+SUMPRODUCT((Inputs!$E$5:$E$140=$B69)*ISNUMBER(INDEX(Inputs!$K$5:$AJ$140,0,MATCH(G$2,Inputs!$K$4:$AJ$4,0))))=0,NA(),SUMPRODUCT((Inputs!$A$5:$A$140=$B69)*Inputs!$B$5:$B$140*(((Inputs!$G$5:$G$140="moeda")+(Inputs!$G$5:$G$140="acoes"))*Inputs!$B$1+((Inputs!$G$5:$G$140&lt;&gt;"moeda")*(Inputs!$G$5:$G$140&lt;&gt;"acoes")))*INDEX(Inputs!$K$5:$AJ$140,0,MATCH(G$2,Inputs!$K$4:$AJ$4,0)))+SUMPRODUCT((Inputs!$C$5:$C$140=$B69)*Inputs!$D$5:$D$140*(((Inputs!$G$5:$G$140="moeda")+(Inputs!$G$5:$G$140="acoes"))*Inputs!$B$1+((Inputs!$G$5:$G$140&lt;&gt;"moeda")*(Inputs!$G$5:$G$140&lt;&gt;"acoes")))*INDEX(Inputs!$K$5:$AJ$140,0,MATCH(G$2,Inputs!$K$4:$AJ$4,0)))+SUMPRODUCT((Inputs!$E$5:$E$140=$B69)*Inputs!$F$5:$F$140*(((Inputs!$G$5:$G$140="moeda")+(Inputs!$G$5:$G$140="acoes"))*Inputs!$B$1+((Inputs!$G$5:$G$140&lt;&gt;"moeda")*(Inputs!$G$5:$G$140&lt;&gt;"acoes")))*INDEX(Inputs!$K$5:$AJ$140,0,MATCH(G$2,Inputs!$K$4:$AJ$4,0)))))</f>
        <v>1983</v>
      </c>
      <c r="H69" s="264">
        <f>SUM(D69:G69)</f>
        <v>7111</v>
      </c>
      <c r="I69" s="263">
        <f>IF(ISNA(MATCH(I$2,Inputs!$K$4:$AJ$4,0)),NA(),IF(SUMPRODUCT((Inputs!$A$5:$A$140=$B69)*ISNUMBER(INDEX(Inputs!$K$5:$AJ$140,0,MATCH(I$2,Inputs!$K$4:$AJ$4,0))))+SUMPRODUCT((Inputs!$C$5:$C$140=$B69)*ISNUMBER(INDEX(Inputs!$K$5:$AJ$140,0,MATCH(I$2,Inputs!$K$4:$AJ$4,0))))+SUMPRODUCT((Inputs!$E$5:$E$140=$B69)*ISNUMBER(INDEX(Inputs!$K$5:$AJ$140,0,MATCH(I$2,Inputs!$K$4:$AJ$4,0))))=0,NA(),SUMPRODUCT((Inputs!$A$5:$A$140=$B69)*Inputs!$B$5:$B$140*(((Inputs!$G$5:$G$140="moeda")+(Inputs!$G$5:$G$140="acoes"))*Inputs!$B$1+((Inputs!$G$5:$G$140&lt;&gt;"moeda")*(Inputs!$G$5:$G$140&lt;&gt;"acoes")))*INDEX(Inputs!$K$5:$AJ$140,0,MATCH(I$2,Inputs!$K$4:$AJ$4,0)))+SUMPRODUCT((Inputs!$C$5:$C$140=$B69)*Inputs!$D$5:$D$140*(((Inputs!$G$5:$G$140="moeda")+(Inputs!$G$5:$G$140="acoes"))*Inputs!$B$1+((Inputs!$G$5:$G$140&lt;&gt;"moeda")*(Inputs!$G$5:$G$140&lt;&gt;"acoes")))*INDEX(Inputs!$K$5:$AJ$140,0,MATCH(I$2,Inputs!$K$4:$AJ$4,0)))+SUMPRODUCT((Inputs!$E$5:$E$140=$B69)*Inputs!$F$5:$F$140*(((Inputs!$G$5:$G$140="moeda")+(Inputs!$G$5:$G$140="acoes"))*Inputs!$B$1+((Inputs!$G$5:$G$140&lt;&gt;"moeda")*(Inputs!$G$5:$G$140&lt;&gt;"acoes")))*INDEX(Inputs!$K$5:$AJ$140,0,MATCH(I$2,Inputs!$K$4:$AJ$4,0)))))</f>
        <v>2081</v>
      </c>
      <c r="J69" s="263">
        <f>IF(ISNA(MATCH(J$2,Inputs!$K$4:$AJ$4,0)),NA(),IF(SUMPRODUCT((Inputs!$A$5:$A$140=$B69)*ISNUMBER(INDEX(Inputs!$K$5:$AJ$140,0,MATCH(J$2,Inputs!$K$4:$AJ$4,0))))+SUMPRODUCT((Inputs!$C$5:$C$140=$B69)*ISNUMBER(INDEX(Inputs!$K$5:$AJ$140,0,MATCH(J$2,Inputs!$K$4:$AJ$4,0))))+SUMPRODUCT((Inputs!$E$5:$E$140=$B69)*ISNUMBER(INDEX(Inputs!$K$5:$AJ$140,0,MATCH(J$2,Inputs!$K$4:$AJ$4,0))))=0,NA(),SUMPRODUCT((Inputs!$A$5:$A$140=$B69)*Inputs!$B$5:$B$140*(((Inputs!$G$5:$G$140="moeda")+(Inputs!$G$5:$G$140="acoes"))*Inputs!$B$1+((Inputs!$G$5:$G$140&lt;&gt;"moeda")*(Inputs!$G$5:$G$140&lt;&gt;"acoes")))*INDEX(Inputs!$K$5:$AJ$140,0,MATCH(J$2,Inputs!$K$4:$AJ$4,0)))+SUMPRODUCT((Inputs!$C$5:$C$140=$B69)*Inputs!$D$5:$D$140*(((Inputs!$G$5:$G$140="moeda")+(Inputs!$G$5:$G$140="acoes"))*Inputs!$B$1+((Inputs!$G$5:$G$140&lt;&gt;"moeda")*(Inputs!$G$5:$G$140&lt;&gt;"acoes")))*INDEX(Inputs!$K$5:$AJ$140,0,MATCH(J$2,Inputs!$K$4:$AJ$4,0)))+SUMPRODUCT((Inputs!$E$5:$E$140=$B69)*Inputs!$F$5:$F$140*(((Inputs!$G$5:$G$140="moeda")+(Inputs!$G$5:$G$140="acoes"))*Inputs!$B$1+((Inputs!$G$5:$G$140&lt;&gt;"moeda")*(Inputs!$G$5:$G$140&lt;&gt;"acoes")))*INDEX(Inputs!$K$5:$AJ$140,0,MATCH(J$2,Inputs!$K$4:$AJ$4,0)))))</f>
        <v>1602</v>
      </c>
      <c r="K69" s="263">
        <f>IF(ISNA(MATCH(K$2,Inputs!$K$4:$AJ$4,0)),NA(),IF(SUMPRODUCT((Inputs!$A$5:$A$140=$B69)*ISNUMBER(INDEX(Inputs!$K$5:$AJ$140,0,MATCH(K$2,Inputs!$K$4:$AJ$4,0))))+SUMPRODUCT((Inputs!$C$5:$C$140=$B69)*ISNUMBER(INDEX(Inputs!$K$5:$AJ$140,0,MATCH(K$2,Inputs!$K$4:$AJ$4,0))))+SUMPRODUCT((Inputs!$E$5:$E$140=$B69)*ISNUMBER(INDEX(Inputs!$K$5:$AJ$140,0,MATCH(K$2,Inputs!$K$4:$AJ$4,0))))=0,NA(),SUMPRODUCT((Inputs!$A$5:$A$140=$B69)*Inputs!$B$5:$B$140*(((Inputs!$G$5:$G$140="moeda")+(Inputs!$G$5:$G$140="acoes"))*Inputs!$B$1+((Inputs!$G$5:$G$140&lt;&gt;"moeda")*(Inputs!$G$5:$G$140&lt;&gt;"acoes")))*INDEX(Inputs!$K$5:$AJ$140,0,MATCH(K$2,Inputs!$K$4:$AJ$4,0)))+SUMPRODUCT((Inputs!$C$5:$C$140=$B69)*Inputs!$D$5:$D$140*(((Inputs!$G$5:$G$140="moeda")+(Inputs!$G$5:$G$140="acoes"))*Inputs!$B$1+((Inputs!$G$5:$G$140&lt;&gt;"moeda")*(Inputs!$G$5:$G$140&lt;&gt;"acoes")))*INDEX(Inputs!$K$5:$AJ$140,0,MATCH(K$2,Inputs!$K$4:$AJ$4,0)))+SUMPRODUCT((Inputs!$E$5:$E$140=$B69)*Inputs!$F$5:$F$140*(((Inputs!$G$5:$G$140="moeda")+(Inputs!$G$5:$G$140="acoes"))*Inputs!$B$1+((Inputs!$G$5:$G$140&lt;&gt;"moeda")*(Inputs!$G$5:$G$140&lt;&gt;"acoes")))*INDEX(Inputs!$K$5:$AJ$140,0,MATCH(K$2,Inputs!$K$4:$AJ$4,0)))))</f>
        <v>1148</v>
      </c>
      <c r="L69" s="263">
        <f>IF(ISNA(MATCH(L$2,Inputs!$K$4:$AJ$4,0)),NA(),IF(SUMPRODUCT((Inputs!$A$5:$A$140=$B69)*ISNUMBER(INDEX(Inputs!$K$5:$AJ$140,0,MATCH(L$2,Inputs!$K$4:$AJ$4,0))))+SUMPRODUCT((Inputs!$C$5:$C$140=$B69)*ISNUMBER(INDEX(Inputs!$K$5:$AJ$140,0,MATCH(L$2,Inputs!$K$4:$AJ$4,0))))+SUMPRODUCT((Inputs!$E$5:$E$140=$B69)*ISNUMBER(INDEX(Inputs!$K$5:$AJ$140,0,MATCH(L$2,Inputs!$K$4:$AJ$4,0))))=0,NA(),SUMPRODUCT((Inputs!$A$5:$A$140=$B69)*Inputs!$B$5:$B$140*(((Inputs!$G$5:$G$140="moeda")+(Inputs!$G$5:$G$140="acoes"))*Inputs!$B$1+((Inputs!$G$5:$G$140&lt;&gt;"moeda")*(Inputs!$G$5:$G$140&lt;&gt;"acoes")))*INDEX(Inputs!$K$5:$AJ$140,0,MATCH(L$2,Inputs!$K$4:$AJ$4,0)))+SUMPRODUCT((Inputs!$C$5:$C$140=$B69)*Inputs!$D$5:$D$140*(((Inputs!$G$5:$G$140="moeda")+(Inputs!$G$5:$G$140="acoes"))*Inputs!$B$1+((Inputs!$G$5:$G$140&lt;&gt;"moeda")*(Inputs!$G$5:$G$140&lt;&gt;"acoes")))*INDEX(Inputs!$K$5:$AJ$140,0,MATCH(L$2,Inputs!$K$4:$AJ$4,0)))+SUMPRODUCT((Inputs!$E$5:$E$140=$B69)*Inputs!$F$5:$F$140*(((Inputs!$G$5:$G$140="moeda")+(Inputs!$G$5:$G$140="acoes"))*Inputs!$B$1+((Inputs!$G$5:$G$140&lt;&gt;"moeda")*(Inputs!$G$5:$G$140&lt;&gt;"acoes")))*INDEX(Inputs!$K$5:$AJ$140,0,MATCH(L$2,Inputs!$K$4:$AJ$4,0)))))</f>
        <v>954</v>
      </c>
      <c r="M69" s="264">
        <f>SUM(I69:L69)</f>
        <v>5785</v>
      </c>
      <c r="N69" s="263">
        <f>IF(ISNA(MATCH(N$2,Inputs!$K$4:$AJ$4,0)),NA(),IF(SUMPRODUCT((Inputs!$A$5:$A$140=$B69)*ISNUMBER(INDEX(Inputs!$K$5:$AJ$140,0,MATCH(N$2,Inputs!$K$4:$AJ$4,0))))+SUMPRODUCT((Inputs!$C$5:$C$140=$B69)*ISNUMBER(INDEX(Inputs!$K$5:$AJ$140,0,MATCH(N$2,Inputs!$K$4:$AJ$4,0))))+SUMPRODUCT((Inputs!$E$5:$E$140=$B69)*ISNUMBER(INDEX(Inputs!$K$5:$AJ$140,0,MATCH(N$2,Inputs!$K$4:$AJ$4,0))))=0,NA(),SUMPRODUCT((Inputs!$A$5:$A$140=$B69)*Inputs!$B$5:$B$140*(((Inputs!$G$5:$G$140="moeda")+(Inputs!$G$5:$G$140="acoes"))*Inputs!$B$1+((Inputs!$G$5:$G$140&lt;&gt;"moeda")*(Inputs!$G$5:$G$140&lt;&gt;"acoes")))*INDEX(Inputs!$K$5:$AJ$140,0,MATCH(N$2,Inputs!$K$4:$AJ$4,0)))+SUMPRODUCT((Inputs!$C$5:$C$140=$B69)*Inputs!$D$5:$D$140*(((Inputs!$G$5:$G$140="moeda")+(Inputs!$G$5:$G$140="acoes"))*Inputs!$B$1+((Inputs!$G$5:$G$140&lt;&gt;"moeda")*(Inputs!$G$5:$G$140&lt;&gt;"acoes")))*INDEX(Inputs!$K$5:$AJ$140,0,MATCH(N$2,Inputs!$K$4:$AJ$4,0)))+SUMPRODUCT((Inputs!$E$5:$E$140=$B69)*Inputs!$F$5:$F$140*(((Inputs!$G$5:$G$140="moeda")+(Inputs!$G$5:$G$140="acoes"))*Inputs!$B$1+((Inputs!$G$5:$G$140&lt;&gt;"moeda")*(Inputs!$G$5:$G$140&lt;&gt;"acoes")))*INDEX(Inputs!$K$5:$AJ$140,0,MATCH(N$2,Inputs!$K$4:$AJ$4,0)))))</f>
        <v>1590</v>
      </c>
      <c r="O69" s="263">
        <f>IF(ISNA(MATCH(O$2,Inputs!$K$4:$AJ$4,0)),NA(),IF(SUMPRODUCT((Inputs!$A$5:$A$140=$B69)*ISNUMBER(INDEX(Inputs!$K$5:$AJ$140,0,MATCH(O$2,Inputs!$K$4:$AJ$4,0))))+SUMPRODUCT((Inputs!$C$5:$C$140=$B69)*ISNUMBER(INDEX(Inputs!$K$5:$AJ$140,0,MATCH(O$2,Inputs!$K$4:$AJ$4,0))))+SUMPRODUCT((Inputs!$E$5:$E$140=$B69)*ISNUMBER(INDEX(Inputs!$K$5:$AJ$140,0,MATCH(O$2,Inputs!$K$4:$AJ$4,0))))=0,NA(),SUMPRODUCT((Inputs!$A$5:$A$140=$B69)*Inputs!$B$5:$B$140*(((Inputs!$G$5:$G$140="moeda")+(Inputs!$G$5:$G$140="acoes"))*Inputs!$B$1+((Inputs!$G$5:$G$140&lt;&gt;"moeda")*(Inputs!$G$5:$G$140&lt;&gt;"acoes")))*INDEX(Inputs!$K$5:$AJ$140,0,MATCH(O$2,Inputs!$K$4:$AJ$4,0)))+SUMPRODUCT((Inputs!$C$5:$C$140=$B69)*Inputs!$D$5:$D$140*(((Inputs!$G$5:$G$140="moeda")+(Inputs!$G$5:$G$140="acoes"))*Inputs!$B$1+((Inputs!$G$5:$G$140&lt;&gt;"moeda")*(Inputs!$G$5:$G$140&lt;&gt;"acoes")))*INDEX(Inputs!$K$5:$AJ$140,0,MATCH(O$2,Inputs!$K$4:$AJ$4,0)))+SUMPRODUCT((Inputs!$E$5:$E$140=$B69)*Inputs!$F$5:$F$140*(((Inputs!$G$5:$G$140="moeda")+(Inputs!$G$5:$G$140="acoes"))*Inputs!$B$1+((Inputs!$G$5:$G$140&lt;&gt;"moeda")*(Inputs!$G$5:$G$140&lt;&gt;"acoes")))*INDEX(Inputs!$K$5:$AJ$140,0,MATCH(O$2,Inputs!$K$4:$AJ$4,0)))))</f>
        <v>2740</v>
      </c>
      <c r="P69" s="263">
        <f>IF(ISNA(MATCH(P$2,Inputs!$K$4:$AJ$4,0)),NA(),IF(SUMPRODUCT((Inputs!$A$5:$A$140=$B69)*ISNUMBER(INDEX(Inputs!$K$5:$AJ$140,0,MATCH(P$2,Inputs!$K$4:$AJ$4,0))))+SUMPRODUCT((Inputs!$C$5:$C$140=$B69)*ISNUMBER(INDEX(Inputs!$K$5:$AJ$140,0,MATCH(P$2,Inputs!$K$4:$AJ$4,0))))+SUMPRODUCT((Inputs!$E$5:$E$140=$B69)*ISNUMBER(INDEX(Inputs!$K$5:$AJ$140,0,MATCH(P$2,Inputs!$K$4:$AJ$4,0))))=0,NA(),SUMPRODUCT((Inputs!$A$5:$A$140=$B69)*Inputs!$B$5:$B$140*(((Inputs!$G$5:$G$140="moeda")+(Inputs!$G$5:$G$140="acoes"))*Inputs!$B$1+((Inputs!$G$5:$G$140&lt;&gt;"moeda")*(Inputs!$G$5:$G$140&lt;&gt;"acoes")))*INDEX(Inputs!$K$5:$AJ$140,0,MATCH(P$2,Inputs!$K$4:$AJ$4,0)))+SUMPRODUCT((Inputs!$C$5:$C$140=$B69)*Inputs!$D$5:$D$140*(((Inputs!$G$5:$G$140="moeda")+(Inputs!$G$5:$G$140="acoes"))*Inputs!$B$1+((Inputs!$G$5:$G$140&lt;&gt;"moeda")*(Inputs!$G$5:$G$140&lt;&gt;"acoes")))*INDEX(Inputs!$K$5:$AJ$140,0,MATCH(P$2,Inputs!$K$4:$AJ$4,0)))+SUMPRODUCT((Inputs!$E$5:$E$140=$B69)*Inputs!$F$5:$F$140*(((Inputs!$G$5:$G$140="moeda")+(Inputs!$G$5:$G$140="acoes"))*Inputs!$B$1+((Inputs!$G$5:$G$140&lt;&gt;"moeda")*(Inputs!$G$5:$G$140&lt;&gt;"acoes")))*INDEX(Inputs!$K$5:$AJ$140,0,MATCH(P$2,Inputs!$K$4:$AJ$4,0)))))</f>
        <v>4030</v>
      </c>
      <c r="Q69" s="263">
        <f>IF(ISNA(MATCH(Q$2,Inputs!$K$4:$AJ$4,0)),NA(),IF(SUMPRODUCT((Inputs!$A$5:$A$140=$B69)*ISNUMBER(INDEX(Inputs!$K$5:$AJ$140,0,MATCH(Q$2,Inputs!$K$4:$AJ$4,0))))+SUMPRODUCT((Inputs!$C$5:$C$140=$B69)*ISNUMBER(INDEX(Inputs!$K$5:$AJ$140,0,MATCH(Q$2,Inputs!$K$4:$AJ$4,0))))+SUMPRODUCT((Inputs!$E$5:$E$140=$B69)*ISNUMBER(INDEX(Inputs!$K$5:$AJ$140,0,MATCH(Q$2,Inputs!$K$4:$AJ$4,0))))=0,NA(),SUMPRODUCT((Inputs!$A$5:$A$140=$B69)*Inputs!$B$5:$B$140*(((Inputs!$G$5:$G$140="moeda")+(Inputs!$G$5:$G$140="acoes"))*Inputs!$B$1+((Inputs!$G$5:$G$140&lt;&gt;"moeda")*(Inputs!$G$5:$G$140&lt;&gt;"acoes")))*INDEX(Inputs!$K$5:$AJ$140,0,MATCH(Q$2,Inputs!$K$4:$AJ$4,0)))+SUMPRODUCT((Inputs!$C$5:$C$140=$B69)*Inputs!$D$5:$D$140*(((Inputs!$G$5:$G$140="moeda")+(Inputs!$G$5:$G$140="acoes"))*Inputs!$B$1+((Inputs!$G$5:$G$140&lt;&gt;"moeda")*(Inputs!$G$5:$G$140&lt;&gt;"acoes")))*INDEX(Inputs!$K$5:$AJ$140,0,MATCH(Q$2,Inputs!$K$4:$AJ$4,0)))+SUMPRODUCT((Inputs!$E$5:$E$140=$B69)*Inputs!$F$5:$F$140*(((Inputs!$G$5:$G$140="moeda")+(Inputs!$G$5:$G$140="acoes"))*Inputs!$B$1+((Inputs!$G$5:$G$140&lt;&gt;"moeda")*(Inputs!$G$5:$G$140&lt;&gt;"acoes")))*INDEX(Inputs!$K$5:$AJ$140,0,MATCH(Q$2,Inputs!$K$4:$AJ$4,0)))))</f>
        <v>1946</v>
      </c>
      <c r="R69" s="264">
        <f>SUM(N69:Q69)</f>
        <v>10306</v>
      </c>
      <c r="S69" s="263">
        <f>IF(ISNA(MATCH(S$2,Inputs!$K$4:$AJ$4,0)),NA(),IF(SUMPRODUCT((Inputs!$A$5:$A$140=$B69)*ISNUMBER(INDEX(Inputs!$K$5:$AJ$140,0,MATCH(S$2,Inputs!$K$4:$AJ$4,0))))+SUMPRODUCT((Inputs!$C$5:$C$140=$B69)*ISNUMBER(INDEX(Inputs!$K$5:$AJ$140,0,MATCH(S$2,Inputs!$K$4:$AJ$4,0))))+SUMPRODUCT((Inputs!$E$5:$E$140=$B69)*ISNUMBER(INDEX(Inputs!$K$5:$AJ$140,0,MATCH(S$2,Inputs!$K$4:$AJ$4,0))))=0,NA(),SUMPRODUCT((Inputs!$A$5:$A$140=$B69)*Inputs!$B$5:$B$140*(((Inputs!$G$5:$G$140="moeda")+(Inputs!$G$5:$G$140="acoes"))*Inputs!$B$1+((Inputs!$G$5:$G$140&lt;&gt;"moeda")*(Inputs!$G$5:$G$140&lt;&gt;"acoes")))*INDEX(Inputs!$K$5:$AJ$140,0,MATCH(S$2,Inputs!$K$4:$AJ$4,0)))+SUMPRODUCT((Inputs!$C$5:$C$140=$B69)*Inputs!$D$5:$D$140*(((Inputs!$G$5:$G$140="moeda")+(Inputs!$G$5:$G$140="acoes"))*Inputs!$B$1+((Inputs!$G$5:$G$140&lt;&gt;"moeda")*(Inputs!$G$5:$G$140&lt;&gt;"acoes")))*INDEX(Inputs!$K$5:$AJ$140,0,MATCH(S$2,Inputs!$K$4:$AJ$4,0)))+SUMPRODUCT((Inputs!$E$5:$E$140=$B69)*Inputs!$F$5:$F$140*(((Inputs!$G$5:$G$140="moeda")+(Inputs!$G$5:$G$140="acoes"))*Inputs!$B$1+((Inputs!$G$5:$G$140&lt;&gt;"moeda")*(Inputs!$G$5:$G$140&lt;&gt;"acoes")))*INDEX(Inputs!$K$5:$AJ$140,0,MATCH(S$2,Inputs!$K$4:$AJ$4,0)))))</f>
        <v>2491</v>
      </c>
      <c r="T69" s="263">
        <f>IF(ISNA(MATCH(T$2,Inputs!$K$4:$AJ$4,0)),NA(),IF(SUMPRODUCT((Inputs!$A$5:$A$140=$B69)*ISNUMBER(INDEX(Inputs!$K$5:$AJ$140,0,MATCH(T$2,Inputs!$K$4:$AJ$4,0))))+SUMPRODUCT((Inputs!$C$5:$C$140=$B69)*ISNUMBER(INDEX(Inputs!$K$5:$AJ$140,0,MATCH(T$2,Inputs!$K$4:$AJ$4,0))))+SUMPRODUCT((Inputs!$E$5:$E$140=$B69)*ISNUMBER(INDEX(Inputs!$K$5:$AJ$140,0,MATCH(T$2,Inputs!$K$4:$AJ$4,0))))=0,NA(),SUMPRODUCT((Inputs!$A$5:$A$140=$B69)*Inputs!$B$5:$B$140*(((Inputs!$G$5:$G$140="moeda")+(Inputs!$G$5:$G$140="acoes"))*Inputs!$B$1+((Inputs!$G$5:$G$140&lt;&gt;"moeda")*(Inputs!$G$5:$G$140&lt;&gt;"acoes")))*INDEX(Inputs!$K$5:$AJ$140,0,MATCH(T$2,Inputs!$K$4:$AJ$4,0)))+SUMPRODUCT((Inputs!$C$5:$C$140=$B69)*Inputs!$D$5:$D$140*(((Inputs!$G$5:$G$140="moeda")+(Inputs!$G$5:$G$140="acoes"))*Inputs!$B$1+((Inputs!$G$5:$G$140&lt;&gt;"moeda")*(Inputs!$G$5:$G$140&lt;&gt;"acoes")))*INDEX(Inputs!$K$5:$AJ$140,0,MATCH(T$2,Inputs!$K$4:$AJ$4,0)))+SUMPRODUCT((Inputs!$E$5:$E$140=$B69)*Inputs!$F$5:$F$140*(((Inputs!$G$5:$G$140="moeda")+(Inputs!$G$5:$G$140="acoes"))*Inputs!$B$1+((Inputs!$G$5:$G$140&lt;&gt;"moeda")*(Inputs!$G$5:$G$140&lt;&gt;"acoes")))*INDEX(Inputs!$K$5:$AJ$140,0,MATCH(T$2,Inputs!$K$4:$AJ$4,0)))))</f>
        <v>3667</v>
      </c>
      <c r="U69" s="263">
        <f>IF(ISNA(MATCH(U$2,Inputs!$K$4:$AJ$4,0)),NA(),IF(SUMPRODUCT((Inputs!$A$5:$A$140=$B69)*ISNUMBER(INDEX(Inputs!$K$5:$AJ$140,0,MATCH(U$2,Inputs!$K$4:$AJ$4,0))))+SUMPRODUCT((Inputs!$C$5:$C$140=$B69)*ISNUMBER(INDEX(Inputs!$K$5:$AJ$140,0,MATCH(U$2,Inputs!$K$4:$AJ$4,0))))+SUMPRODUCT((Inputs!$E$5:$E$140=$B69)*ISNUMBER(INDEX(Inputs!$K$5:$AJ$140,0,MATCH(U$2,Inputs!$K$4:$AJ$4,0))))=0,NA(),SUMPRODUCT((Inputs!$A$5:$A$140=$B69)*Inputs!$B$5:$B$140*(((Inputs!$G$5:$G$140="moeda")+(Inputs!$G$5:$G$140="acoes"))*Inputs!$B$1+((Inputs!$G$5:$G$140&lt;&gt;"moeda")*(Inputs!$G$5:$G$140&lt;&gt;"acoes")))*INDEX(Inputs!$K$5:$AJ$140,0,MATCH(U$2,Inputs!$K$4:$AJ$4,0)))+SUMPRODUCT((Inputs!$C$5:$C$140=$B69)*Inputs!$D$5:$D$140*(((Inputs!$G$5:$G$140="moeda")+(Inputs!$G$5:$G$140="acoes"))*Inputs!$B$1+((Inputs!$G$5:$G$140&lt;&gt;"moeda")*(Inputs!$G$5:$G$140&lt;&gt;"acoes")))*INDEX(Inputs!$K$5:$AJ$140,0,MATCH(U$2,Inputs!$K$4:$AJ$4,0)))+SUMPRODUCT((Inputs!$E$5:$E$140=$B69)*Inputs!$F$5:$F$140*(((Inputs!$G$5:$G$140="moeda")+(Inputs!$G$5:$G$140="acoes"))*Inputs!$B$1+((Inputs!$G$5:$G$140&lt;&gt;"moeda")*(Inputs!$G$5:$G$140&lt;&gt;"acoes")))*INDEX(Inputs!$K$5:$AJ$140,0,MATCH(U$2,Inputs!$K$4:$AJ$4,0)))))</f>
        <v>5416</v>
      </c>
      <c r="V69" s="263">
        <f>IF(ISNA(MATCH(V$2,Inputs!$K$4:$AJ$4,0)),NA(),IF(SUMPRODUCT((Inputs!$A$5:$A$140=$B69)*ISNUMBER(INDEX(Inputs!$K$5:$AJ$140,0,MATCH(V$2,Inputs!$K$4:$AJ$4,0))))+SUMPRODUCT((Inputs!$C$5:$C$140=$B69)*ISNUMBER(INDEX(Inputs!$K$5:$AJ$140,0,MATCH(V$2,Inputs!$K$4:$AJ$4,0))))+SUMPRODUCT((Inputs!$E$5:$E$140=$B69)*ISNUMBER(INDEX(Inputs!$K$5:$AJ$140,0,MATCH(V$2,Inputs!$K$4:$AJ$4,0))))=0,NA(),SUMPRODUCT((Inputs!$A$5:$A$140=$B69)*Inputs!$B$5:$B$140*(((Inputs!$G$5:$G$140="moeda")+(Inputs!$G$5:$G$140="acoes"))*Inputs!$B$1+((Inputs!$G$5:$G$140&lt;&gt;"moeda")*(Inputs!$G$5:$G$140&lt;&gt;"acoes")))*INDEX(Inputs!$K$5:$AJ$140,0,MATCH(V$2,Inputs!$K$4:$AJ$4,0)))+SUMPRODUCT((Inputs!$C$5:$C$140=$B69)*Inputs!$D$5:$D$140*(((Inputs!$G$5:$G$140="moeda")+(Inputs!$G$5:$G$140="acoes"))*Inputs!$B$1+((Inputs!$G$5:$G$140&lt;&gt;"moeda")*(Inputs!$G$5:$G$140&lt;&gt;"acoes")))*INDEX(Inputs!$K$5:$AJ$140,0,MATCH(V$2,Inputs!$K$4:$AJ$4,0)))+SUMPRODUCT((Inputs!$E$5:$E$140=$B69)*Inputs!$F$5:$F$140*(((Inputs!$G$5:$G$140="moeda")+(Inputs!$G$5:$G$140="acoes"))*Inputs!$B$1+((Inputs!$G$5:$G$140&lt;&gt;"moeda")*(Inputs!$G$5:$G$140&lt;&gt;"acoes")))*INDEX(Inputs!$K$5:$AJ$140,0,MATCH(V$2,Inputs!$K$4:$AJ$4,0)))))</f>
        <v>5534</v>
      </c>
      <c r="W69" s="264">
        <f>SUM(S69:V69)</f>
        <v>17108</v>
      </c>
      <c r="X69" s="263">
        <f>IF(ISNA(MATCH(X$2,Inputs!$K$4:$AJ$4,0)),NA(),IF(SUMPRODUCT((Inputs!$A$5:$A$140=$B69)*ISNUMBER(INDEX(Inputs!$K$5:$AJ$140,0,MATCH(X$2,Inputs!$K$4:$AJ$4,0))))+SUMPRODUCT((Inputs!$C$5:$C$140=$B69)*ISNUMBER(INDEX(Inputs!$K$5:$AJ$140,0,MATCH(X$2,Inputs!$K$4:$AJ$4,0))))+SUMPRODUCT((Inputs!$E$5:$E$140=$B69)*ISNUMBER(INDEX(Inputs!$K$5:$AJ$140,0,MATCH(X$2,Inputs!$K$4:$AJ$4,0))))=0,NA(),SUMPRODUCT((Inputs!$A$5:$A$140=$B69)*Inputs!$B$5:$B$140*(((Inputs!$G$5:$G$140="moeda")+(Inputs!$G$5:$G$140="acoes"))*Inputs!$B$1+((Inputs!$G$5:$G$140&lt;&gt;"moeda")*(Inputs!$G$5:$G$140&lt;&gt;"acoes")))*INDEX(Inputs!$K$5:$AJ$140,0,MATCH(X$2,Inputs!$K$4:$AJ$4,0)))+SUMPRODUCT((Inputs!$C$5:$C$140=$B69)*Inputs!$D$5:$D$140*(((Inputs!$G$5:$G$140="moeda")+(Inputs!$G$5:$G$140="acoes"))*Inputs!$B$1+((Inputs!$G$5:$G$140&lt;&gt;"moeda")*(Inputs!$G$5:$G$140&lt;&gt;"acoes")))*INDEX(Inputs!$K$5:$AJ$140,0,MATCH(X$2,Inputs!$K$4:$AJ$4,0)))+SUMPRODUCT((Inputs!$E$5:$E$140=$B69)*Inputs!$F$5:$F$140*(((Inputs!$G$5:$G$140="moeda")+(Inputs!$G$5:$G$140="acoes"))*Inputs!$B$1+((Inputs!$G$5:$G$140&lt;&gt;"moeda")*(Inputs!$G$5:$G$140&lt;&gt;"acoes")))*INDEX(Inputs!$K$5:$AJ$140,0,MATCH(X$2,Inputs!$K$4:$AJ$4,0)))))</f>
        <v>5522</v>
      </c>
      <c r="Y69" s="263">
        <f>IF(ISNA(MATCH(Y$2,Inputs!$K$4:$AJ$4,0)),NA(),IF(SUMPRODUCT((Inputs!$A$5:$A$140=$B69)*ISNUMBER(INDEX(Inputs!$K$5:$AJ$140,0,MATCH(Y$2,Inputs!$K$4:$AJ$4,0))))+SUMPRODUCT((Inputs!$C$5:$C$140=$B69)*ISNUMBER(INDEX(Inputs!$K$5:$AJ$140,0,MATCH(Y$2,Inputs!$K$4:$AJ$4,0))))+SUMPRODUCT((Inputs!$E$5:$E$140=$B69)*ISNUMBER(INDEX(Inputs!$K$5:$AJ$140,0,MATCH(Y$2,Inputs!$K$4:$AJ$4,0))))=0,NA(),SUMPRODUCT((Inputs!$A$5:$A$140=$B69)*Inputs!$B$5:$B$140*(((Inputs!$G$5:$G$140="moeda")+(Inputs!$G$5:$G$140="acoes"))*Inputs!$B$1+((Inputs!$G$5:$G$140&lt;&gt;"moeda")*(Inputs!$G$5:$G$140&lt;&gt;"acoes")))*INDEX(Inputs!$K$5:$AJ$140,0,MATCH(Y$2,Inputs!$K$4:$AJ$4,0)))+SUMPRODUCT((Inputs!$C$5:$C$140=$B69)*Inputs!$D$5:$D$140*(((Inputs!$G$5:$G$140="moeda")+(Inputs!$G$5:$G$140="acoes"))*Inputs!$B$1+((Inputs!$G$5:$G$140&lt;&gt;"moeda")*(Inputs!$G$5:$G$140&lt;&gt;"acoes")))*INDEX(Inputs!$K$5:$AJ$140,0,MATCH(Y$2,Inputs!$K$4:$AJ$4,0)))+SUMPRODUCT((Inputs!$E$5:$E$140=$B69)*Inputs!$F$5:$F$140*(((Inputs!$G$5:$G$140="moeda")+(Inputs!$G$5:$G$140="acoes"))*Inputs!$B$1+((Inputs!$G$5:$G$140&lt;&gt;"moeda")*(Inputs!$G$5:$G$140&lt;&gt;"acoes")))*INDEX(Inputs!$K$5:$AJ$140,0,MATCH(Y$2,Inputs!$K$4:$AJ$4,0)))))</f>
        <v>2769</v>
      </c>
      <c r="Z69" s="263">
        <f>IF(ISNA(MATCH(Z$2,Inputs!$K$4:$AJ$4,0)),NA(),IF(SUMPRODUCT((Inputs!$A$5:$A$140=$B69)*ISNUMBER(INDEX(Inputs!$K$5:$AJ$140,0,MATCH(Z$2,Inputs!$K$4:$AJ$4,0))))+SUMPRODUCT((Inputs!$C$5:$C$140=$B69)*ISNUMBER(INDEX(Inputs!$K$5:$AJ$140,0,MATCH(Z$2,Inputs!$K$4:$AJ$4,0))))+SUMPRODUCT((Inputs!$E$5:$E$140=$B69)*ISNUMBER(INDEX(Inputs!$K$5:$AJ$140,0,MATCH(Z$2,Inputs!$K$4:$AJ$4,0))))=0,NA(),SUMPRODUCT((Inputs!$A$5:$A$140=$B69)*Inputs!$B$5:$B$140*(((Inputs!$G$5:$G$140="moeda")+(Inputs!$G$5:$G$140="acoes"))*Inputs!$B$1+((Inputs!$G$5:$G$140&lt;&gt;"moeda")*(Inputs!$G$5:$G$140&lt;&gt;"acoes")))*INDEX(Inputs!$K$5:$AJ$140,0,MATCH(Z$2,Inputs!$K$4:$AJ$4,0)))+SUMPRODUCT((Inputs!$C$5:$C$140=$B69)*Inputs!$D$5:$D$140*(((Inputs!$G$5:$G$140="moeda")+(Inputs!$G$5:$G$140="acoes"))*Inputs!$B$1+((Inputs!$G$5:$G$140&lt;&gt;"moeda")*(Inputs!$G$5:$G$140&lt;&gt;"acoes")))*INDEX(Inputs!$K$5:$AJ$140,0,MATCH(Z$2,Inputs!$K$4:$AJ$4,0)))+SUMPRODUCT((Inputs!$E$5:$E$140=$B69)*Inputs!$F$5:$F$140*(((Inputs!$G$5:$G$140="moeda")+(Inputs!$G$5:$G$140="acoes"))*Inputs!$B$1+((Inputs!$G$5:$G$140&lt;&gt;"moeda")*(Inputs!$G$5:$G$140&lt;&gt;"acoes")))*INDEX(Inputs!$K$5:$AJ$140,0,MATCH(Z$2,Inputs!$K$4:$AJ$4,0)))))</f>
        <v>2973</v>
      </c>
      <c r="AA69" s="263">
        <f>IF(ISNA(MATCH(AA$2,Inputs!$K$4:$AJ$4,0)),NA(),IF(SUMPRODUCT((Inputs!$A$5:$A$140=$B69)*ISNUMBER(INDEX(Inputs!$K$5:$AJ$140,0,MATCH(AA$2,Inputs!$K$4:$AJ$4,0))))+SUMPRODUCT((Inputs!$C$5:$C$140=$B69)*ISNUMBER(INDEX(Inputs!$K$5:$AJ$140,0,MATCH(AA$2,Inputs!$K$4:$AJ$4,0))))+SUMPRODUCT((Inputs!$E$5:$E$140=$B69)*ISNUMBER(INDEX(Inputs!$K$5:$AJ$140,0,MATCH(AA$2,Inputs!$K$4:$AJ$4,0))))=0,NA(),SUMPRODUCT((Inputs!$A$5:$A$140=$B69)*Inputs!$B$5:$B$140*(((Inputs!$G$5:$G$140="moeda")+(Inputs!$G$5:$G$140="acoes"))*Inputs!$B$1+((Inputs!$G$5:$G$140&lt;&gt;"moeda")*(Inputs!$G$5:$G$140&lt;&gt;"acoes")))*INDEX(Inputs!$K$5:$AJ$140,0,MATCH(AA$2,Inputs!$K$4:$AJ$4,0)))+SUMPRODUCT((Inputs!$C$5:$C$140=$B69)*Inputs!$D$5:$D$140*(((Inputs!$G$5:$G$140="moeda")+(Inputs!$G$5:$G$140="acoes"))*Inputs!$B$1+((Inputs!$G$5:$G$140&lt;&gt;"moeda")*(Inputs!$G$5:$G$140&lt;&gt;"acoes")))*INDEX(Inputs!$K$5:$AJ$140,0,MATCH(AA$2,Inputs!$K$4:$AJ$4,0)))+SUMPRODUCT((Inputs!$E$5:$E$140=$B69)*Inputs!$F$5:$F$140*(((Inputs!$G$5:$G$140="moeda")+(Inputs!$G$5:$G$140="acoes"))*Inputs!$B$1+((Inputs!$G$5:$G$140&lt;&gt;"moeda")*(Inputs!$G$5:$G$140&lt;&gt;"acoes")))*INDEX(Inputs!$K$5:$AJ$140,0,MATCH(AA$2,Inputs!$K$4:$AJ$4,0)))))</f>
        <v>3060</v>
      </c>
      <c r="AB69" s="264">
        <f>SUM(X69:AA69)</f>
        <v>14324</v>
      </c>
      <c r="AC69" s="263">
        <f>IF(ISNA(MATCH(AC$2,Inputs!$K$4:$AJ$4,0)),NA(),IF(SUMPRODUCT((Inputs!$A$5:$A$140=$B69)*ISNUMBER(INDEX(Inputs!$K$5:$AJ$140,0,MATCH(AC$2,Inputs!$K$4:$AJ$4,0))))+SUMPRODUCT((Inputs!$C$5:$C$140=$B69)*ISNUMBER(INDEX(Inputs!$K$5:$AJ$140,0,MATCH(AC$2,Inputs!$K$4:$AJ$4,0))))+SUMPRODUCT((Inputs!$E$5:$E$140=$B69)*ISNUMBER(INDEX(Inputs!$K$5:$AJ$140,0,MATCH(AC$2,Inputs!$K$4:$AJ$4,0))))=0,NA(),SUMPRODUCT((Inputs!$A$5:$A$140=$B69)*Inputs!$B$5:$B$140*(((Inputs!$G$5:$G$140="moeda")+(Inputs!$G$5:$G$140="acoes"))*Inputs!$B$1+((Inputs!$G$5:$G$140&lt;&gt;"moeda")*(Inputs!$G$5:$G$140&lt;&gt;"acoes")))*INDEX(Inputs!$K$5:$AJ$140,0,MATCH(AC$2,Inputs!$K$4:$AJ$4,0)))+SUMPRODUCT((Inputs!$C$5:$C$140=$B69)*Inputs!$D$5:$D$140*(((Inputs!$G$5:$G$140="moeda")+(Inputs!$G$5:$G$140="acoes"))*Inputs!$B$1+((Inputs!$G$5:$G$140&lt;&gt;"moeda")*(Inputs!$G$5:$G$140&lt;&gt;"acoes")))*INDEX(Inputs!$K$5:$AJ$140,0,MATCH(AC$2,Inputs!$K$4:$AJ$4,0)))+SUMPRODUCT((Inputs!$E$5:$E$140=$B69)*Inputs!$F$5:$F$140*(((Inputs!$G$5:$G$140="moeda")+(Inputs!$G$5:$G$140="acoes"))*Inputs!$B$1+((Inputs!$G$5:$G$140&lt;&gt;"moeda")*(Inputs!$G$5:$G$140&lt;&gt;"acoes")))*INDEX(Inputs!$K$5:$AJ$140,0,MATCH(AC$2,Inputs!$K$4:$AJ$4,0)))))</f>
        <v>4550</v>
      </c>
      <c r="AD69" s="263">
        <f>IF(ISNA(MATCH(AD$2,Inputs!$K$4:$AJ$4,0)),NA(),IF(SUMPRODUCT((Inputs!$A$5:$A$140=$B69)*ISNUMBER(INDEX(Inputs!$K$5:$AJ$140,0,MATCH(AD$2,Inputs!$K$4:$AJ$4,0))))+SUMPRODUCT((Inputs!$C$5:$C$140=$B69)*ISNUMBER(INDEX(Inputs!$K$5:$AJ$140,0,MATCH(AD$2,Inputs!$K$4:$AJ$4,0))))+SUMPRODUCT((Inputs!$E$5:$E$140=$B69)*ISNUMBER(INDEX(Inputs!$K$5:$AJ$140,0,MATCH(AD$2,Inputs!$K$4:$AJ$4,0))))=0,NA(),SUMPRODUCT((Inputs!$A$5:$A$140=$B69)*Inputs!$B$5:$B$140*(((Inputs!$G$5:$G$140="moeda")+(Inputs!$G$5:$G$140="acoes"))*Inputs!$B$1+((Inputs!$G$5:$G$140&lt;&gt;"moeda")*(Inputs!$G$5:$G$140&lt;&gt;"acoes")))*INDEX(Inputs!$K$5:$AJ$140,0,MATCH(AD$2,Inputs!$K$4:$AJ$4,0)))+SUMPRODUCT((Inputs!$C$5:$C$140=$B69)*Inputs!$D$5:$D$140*(((Inputs!$G$5:$G$140="moeda")+(Inputs!$G$5:$G$140="acoes"))*Inputs!$B$1+((Inputs!$G$5:$G$140&lt;&gt;"moeda")*(Inputs!$G$5:$G$140&lt;&gt;"acoes")))*INDEX(Inputs!$K$5:$AJ$140,0,MATCH(AD$2,Inputs!$K$4:$AJ$4,0)))+SUMPRODUCT((Inputs!$E$5:$E$140=$B69)*Inputs!$F$5:$F$140*(((Inputs!$G$5:$G$140="moeda")+(Inputs!$G$5:$G$140="acoes"))*Inputs!$B$1+((Inputs!$G$5:$G$140&lt;&gt;"moeda")*(Inputs!$G$5:$G$140&lt;&gt;"acoes")))*INDEX(Inputs!$K$5:$AJ$140,0,MATCH(AD$2,Inputs!$K$4:$AJ$4,0)))))</f>
        <v>7880</v>
      </c>
      <c r="AE69" s="263" t="e">
        <f>IF(ISNA(MATCH(AE$2,Inputs!$K$4:$AJ$4,0)),NA(),IF(SUMPRODUCT((Inputs!$A$5:$A$140=$B69)*ISNUMBER(INDEX(Inputs!$K$5:$AJ$140,0,MATCH(AE$2,Inputs!$K$4:$AJ$4,0))))+SUMPRODUCT((Inputs!$C$5:$C$140=$B69)*ISNUMBER(INDEX(Inputs!$K$5:$AJ$140,0,MATCH(AE$2,Inputs!$K$4:$AJ$4,0))))+SUMPRODUCT((Inputs!$E$5:$E$140=$B69)*ISNUMBER(INDEX(Inputs!$K$5:$AJ$140,0,MATCH(AE$2,Inputs!$K$4:$AJ$4,0))))=0,NA(),SUMPRODUCT((Inputs!$A$5:$A$140=$B69)*Inputs!$B$5:$B$140*(((Inputs!$G$5:$G$140="moeda")+(Inputs!$G$5:$G$140="acoes"))*Inputs!$B$1+((Inputs!$G$5:$G$140&lt;&gt;"moeda")*(Inputs!$G$5:$G$140&lt;&gt;"acoes")))*INDEX(Inputs!$K$5:$AJ$140,0,MATCH(AE$2,Inputs!$K$4:$AJ$4,0)))+SUMPRODUCT((Inputs!$C$5:$C$140=$B69)*Inputs!$D$5:$D$140*(((Inputs!$G$5:$G$140="moeda")+(Inputs!$G$5:$G$140="acoes"))*Inputs!$B$1+((Inputs!$G$5:$G$140&lt;&gt;"moeda")*(Inputs!$G$5:$G$140&lt;&gt;"acoes")))*INDEX(Inputs!$K$5:$AJ$140,0,MATCH(AE$2,Inputs!$K$4:$AJ$4,0)))+SUMPRODUCT((Inputs!$E$5:$E$140=$B69)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69" s="263" t="e">
        <f>IF(ISNA(MATCH(AF$2,Inputs!$K$4:$AJ$4,0)),NA(),IF(SUMPRODUCT((Inputs!$A$5:$A$140=$B69)*ISNUMBER(INDEX(Inputs!$K$5:$AJ$140,0,MATCH(AF$2,Inputs!$K$4:$AJ$4,0))))+SUMPRODUCT((Inputs!$C$5:$C$140=$B69)*ISNUMBER(INDEX(Inputs!$K$5:$AJ$140,0,MATCH(AF$2,Inputs!$K$4:$AJ$4,0))))+SUMPRODUCT((Inputs!$E$5:$E$140=$B69)*ISNUMBER(INDEX(Inputs!$K$5:$AJ$140,0,MATCH(AF$2,Inputs!$K$4:$AJ$4,0))))=0,NA(),SUMPRODUCT((Inputs!$A$5:$A$140=$B69)*Inputs!$B$5:$B$140*(((Inputs!$G$5:$G$140="moeda")+(Inputs!$G$5:$G$140="acoes"))*Inputs!$B$1+((Inputs!$G$5:$G$140&lt;&gt;"moeda")*(Inputs!$G$5:$G$140&lt;&gt;"acoes")))*INDEX(Inputs!$K$5:$AJ$140,0,MATCH(AF$2,Inputs!$K$4:$AJ$4,0)))+SUMPRODUCT((Inputs!$C$5:$C$140=$B69)*Inputs!$D$5:$D$140*(((Inputs!$G$5:$G$140="moeda")+(Inputs!$G$5:$G$140="acoes"))*Inputs!$B$1+((Inputs!$G$5:$G$140&lt;&gt;"moeda")*(Inputs!$G$5:$G$140&lt;&gt;"acoes")))*INDEX(Inputs!$K$5:$AJ$140,0,MATCH(AF$2,Inputs!$K$4:$AJ$4,0)))+SUMPRODUCT((Inputs!$E$5:$E$140=$B69)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69" s="264" t="e">
        <f>SUM(AC69:AF69)</f>
        <v>#N/A</v>
      </c>
      <c r="AH69" s="263">
        <f>IF(ISNA(MATCH(AH$2,Inputs!$K$4:$AJ$4,0)),NA(),IF(SUMPRODUCT((Inputs!$A$5:$A$140=$B69)*ISNUMBER(INDEX(Inputs!$K$5:$AJ$140,0,MATCH(AH$2,Inputs!$K$4:$AJ$4,0))))+SUMPRODUCT((Inputs!$C$5:$C$140=$B69)*ISNUMBER(INDEX(Inputs!$K$5:$AJ$140,0,MATCH(AH$2,Inputs!$K$4:$AJ$4,0))))+SUMPRODUCT((Inputs!$E$5:$E$140=$B69)*ISNUMBER(INDEX(Inputs!$K$5:$AJ$140,0,MATCH(AH$2,Inputs!$K$4:$AJ$4,0))))=0,NA(),SUMPRODUCT((Inputs!$A$5:$A$140=$B69)*Inputs!$B$5:$B$140*(((Inputs!$G$5:$G$140="moeda")+(Inputs!$G$5:$G$140="acoes"))*Inputs!$B$1+((Inputs!$G$5:$G$140&lt;&gt;"moeda")*(Inputs!$G$5:$G$140&lt;&gt;"acoes")))*INDEX(Inputs!$K$5:$AJ$140,0,MATCH(AH$2,Inputs!$K$4:$AJ$4,0)))+SUMPRODUCT((Inputs!$C$5:$C$140=$B69)*Inputs!$D$5:$D$140*(((Inputs!$G$5:$G$140="moeda")+(Inputs!$G$5:$G$140="acoes"))*Inputs!$B$1+((Inputs!$G$5:$G$140&lt;&gt;"moeda")*(Inputs!$G$5:$G$140&lt;&gt;"acoes")))*INDEX(Inputs!$K$5:$AJ$140,0,MATCH(AH$2,Inputs!$K$4:$AJ$4,0)))+SUMPRODUCT((Inputs!$E$5:$E$140=$B69)*Inputs!$F$5:$F$140*(((Inputs!$G$5:$G$140="moeda")+(Inputs!$G$5:$G$140="acoes"))*Inputs!$B$1+((Inputs!$G$5:$G$140&lt;&gt;"moeda")*(Inputs!$G$5:$G$140&lt;&gt;"acoes")))*INDEX(Inputs!$K$5:$AJ$140,0,MATCH(AH$2,Inputs!$K$4:$AJ$4,0)))))</f>
        <v>758</v>
      </c>
      <c r="AI69" s="263">
        <f>IF(ISNA(MATCH(AI$2,Inputs!$K$4:$AJ$4,0)),NA(),IF(SUMPRODUCT((Inputs!$A$5:$A$140=$B69)*ISNUMBER(INDEX(Inputs!$K$5:$AJ$140,0,MATCH(AI$2,Inputs!$K$4:$AJ$4,0))))+SUMPRODUCT((Inputs!$C$5:$C$140=$B69)*ISNUMBER(INDEX(Inputs!$K$5:$AJ$140,0,MATCH(AI$2,Inputs!$K$4:$AJ$4,0))))+SUMPRODUCT((Inputs!$E$5:$E$140=$B69)*ISNUMBER(INDEX(Inputs!$K$5:$AJ$140,0,MATCH(AI$2,Inputs!$K$4:$AJ$4,0))))=0,NA(),SUMPRODUCT((Inputs!$A$5:$A$140=$B69)*Inputs!$B$5:$B$140*(((Inputs!$G$5:$G$140="moeda")+(Inputs!$G$5:$G$140="acoes"))*Inputs!$B$1+((Inputs!$G$5:$G$140&lt;&gt;"moeda")*(Inputs!$G$5:$G$140&lt;&gt;"acoes")))*INDEX(Inputs!$K$5:$AJ$140,0,MATCH(AI$2,Inputs!$K$4:$AJ$4,0)))+SUMPRODUCT((Inputs!$C$5:$C$140=$B69)*Inputs!$D$5:$D$140*(((Inputs!$G$5:$G$140="moeda")+(Inputs!$G$5:$G$140="acoes"))*Inputs!$B$1+((Inputs!$G$5:$G$140&lt;&gt;"moeda")*(Inputs!$G$5:$G$140&lt;&gt;"acoes")))*INDEX(Inputs!$K$5:$AJ$140,0,MATCH(AI$2,Inputs!$K$4:$AJ$4,0)))+SUMPRODUCT((Inputs!$E$5:$E$140=$B69)*Inputs!$F$5:$F$140*(((Inputs!$G$5:$G$140="moeda")+(Inputs!$G$5:$G$140="acoes"))*Inputs!$B$1+((Inputs!$G$5:$G$140&lt;&gt;"moeda")*(Inputs!$G$5:$G$140&lt;&gt;"acoes")))*INDEX(Inputs!$K$5:$AJ$140,0,MATCH(AI$2,Inputs!$K$4:$AJ$4,0)))))</f>
        <v>855</v>
      </c>
      <c r="AJ69" s="263">
        <f>IF(ISNA(MATCH(AJ$2,Inputs!$K$4:$AJ$4,0)),NA(),IF(SUMPRODUCT((Inputs!$A$5:$A$140=$B69)*ISNUMBER(INDEX(Inputs!$K$5:$AJ$140,0,MATCH(AJ$2,Inputs!$K$4:$AJ$4,0))))+SUMPRODUCT((Inputs!$C$5:$C$140=$B69)*ISNUMBER(INDEX(Inputs!$K$5:$AJ$140,0,MATCH(AJ$2,Inputs!$K$4:$AJ$4,0))))+SUMPRODUCT((Inputs!$E$5:$E$140=$B69)*ISNUMBER(INDEX(Inputs!$K$5:$AJ$140,0,MATCH(AJ$2,Inputs!$K$4:$AJ$4,0))))=0,NA(),SUMPRODUCT((Inputs!$A$5:$A$140=$B69)*Inputs!$B$5:$B$140*(((Inputs!$G$5:$G$140="moeda")+(Inputs!$G$5:$G$140="acoes"))*Inputs!$B$1+((Inputs!$G$5:$G$140&lt;&gt;"moeda")*(Inputs!$G$5:$G$140&lt;&gt;"acoes")))*INDEX(Inputs!$K$5:$AJ$140,0,MATCH(AJ$2,Inputs!$K$4:$AJ$4,0)))+SUMPRODUCT((Inputs!$C$5:$C$140=$B69)*Inputs!$D$5:$D$140*(((Inputs!$G$5:$G$140="moeda")+(Inputs!$G$5:$G$140="acoes"))*Inputs!$B$1+((Inputs!$G$5:$G$140&lt;&gt;"moeda")*(Inputs!$G$5:$G$140&lt;&gt;"acoes")))*INDEX(Inputs!$K$5:$AJ$140,0,MATCH(AJ$2,Inputs!$K$4:$AJ$4,0)))+SUMPRODUCT((Inputs!$E$5:$E$140=$B69)*Inputs!$F$5:$F$140*(((Inputs!$G$5:$G$140="moeda")+(Inputs!$G$5:$G$140="acoes"))*Inputs!$B$1+((Inputs!$G$5:$G$140&lt;&gt;"moeda")*(Inputs!$G$5:$G$140&lt;&gt;"acoes")))*INDEX(Inputs!$K$5:$AJ$140,0,MATCH(AJ$2,Inputs!$K$4:$AJ$4,0)))))</f>
        <v>1113</v>
      </c>
      <c r="AK69" s="263">
        <f>IF(ISNA(MATCH(AK$2,Inputs!$K$4:$AJ$4,0)),NA(),IF(SUMPRODUCT((Inputs!$A$5:$A$140=$B69)*ISNUMBER(INDEX(Inputs!$K$5:$AJ$140,0,MATCH(AK$2,Inputs!$K$4:$AJ$4,0))))+SUMPRODUCT((Inputs!$C$5:$C$140=$B69)*ISNUMBER(INDEX(Inputs!$K$5:$AJ$140,0,MATCH(AK$2,Inputs!$K$4:$AJ$4,0))))+SUMPRODUCT((Inputs!$E$5:$E$140=$B69)*ISNUMBER(INDEX(Inputs!$K$5:$AJ$140,0,MATCH(AK$2,Inputs!$K$4:$AJ$4,0))))=0,NA(),SUMPRODUCT((Inputs!$A$5:$A$140=$B69)*Inputs!$B$5:$B$140*(((Inputs!$G$5:$G$140="moeda")+(Inputs!$G$5:$G$140="acoes"))*Inputs!$B$1+((Inputs!$G$5:$G$140&lt;&gt;"moeda")*(Inputs!$G$5:$G$140&lt;&gt;"acoes")))*INDEX(Inputs!$K$5:$AJ$140,0,MATCH(AK$2,Inputs!$K$4:$AJ$4,0)))+SUMPRODUCT((Inputs!$C$5:$C$140=$B69)*Inputs!$D$5:$D$140*(((Inputs!$G$5:$G$140="moeda")+(Inputs!$G$5:$G$140="acoes"))*Inputs!$B$1+((Inputs!$G$5:$G$140&lt;&gt;"moeda")*(Inputs!$G$5:$G$140&lt;&gt;"acoes")))*INDEX(Inputs!$K$5:$AJ$140,0,MATCH(AK$2,Inputs!$K$4:$AJ$4,0)))+SUMPRODUCT((Inputs!$E$5:$E$140=$B69)*Inputs!$F$5:$F$140*(((Inputs!$G$5:$G$140="moeda")+(Inputs!$G$5:$G$140="acoes"))*Inputs!$B$1+((Inputs!$G$5:$G$140&lt;&gt;"moeda")*(Inputs!$G$5:$G$140&lt;&gt;"acoes")))*INDEX(Inputs!$K$5:$AJ$140,0,MATCH(AK$2,Inputs!$K$4:$AJ$4,0)))))</f>
        <v>1159</v>
      </c>
      <c r="AL69" s="264">
        <f>SUM(AH69:AK69)</f>
        <v>3885</v>
      </c>
    </row>
  </sheetData>
  <pageMargins left="0.511811024" right="0.511811024" top="0.787401575" bottom="0.787401575" header="0.31496062" footer="0.31496062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C391"/>
  <sheetViews>
    <sheetView showGridLines="0" tabSelected="1" zoomScale="85" zoomScaleNormal="85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D12" sqref="D12"/>
    </sheetView>
  </sheetViews>
  <sheetFormatPr baseColWidth="8" defaultRowHeight="12.75" outlineLevelRow="1"/>
  <cols>
    <col width="1.7109375" bestFit="1" customWidth="1" style="1" min="1" max="1"/>
    <col outlineLevel="1" width="7.85546875" customWidth="1" style="1" min="2" max="2"/>
    <col width="84.7109375" customWidth="1" style="4" min="3" max="3"/>
    <col outlineLevel="1" width="11.42578125" customWidth="1" style="4" min="4" max="7"/>
    <col width="11.42578125" bestFit="1" customWidth="1" style="4" min="8" max="8"/>
    <col outlineLevel="1" width="11.42578125" customWidth="1" style="4" min="9" max="12"/>
    <col width="11.42578125" bestFit="1" customWidth="1" style="4" min="13" max="13"/>
    <col outlineLevel="1" width="11.42578125" customWidth="1" style="4" min="14" max="17"/>
    <col width="11.42578125" bestFit="1" customWidth="1" style="4" min="18" max="18"/>
    <col outlineLevel="1" width="11.42578125" customWidth="1" style="4" min="19" max="22"/>
    <col width="11.42578125" bestFit="1" customWidth="1" style="4" min="23" max="23"/>
    <col outlineLevel="1" width="11.42578125" customWidth="1" style="4" min="24" max="24"/>
    <col outlineLevel="1" width="11.140625" customWidth="1" style="4" min="25" max="25"/>
    <col outlineLevel="1" width="11.42578125" customWidth="1" style="4" min="26" max="27"/>
    <col width="11.140625" bestFit="1" customWidth="1" style="4" min="28" max="28"/>
    <col outlineLevel="1" width="12.28515625" customWidth="1" style="4" min="29" max="29"/>
    <col outlineLevel="1" width="13.28515625" customWidth="1" style="4" min="30" max="30"/>
    <col outlineLevel="1" width="11" customWidth="1" style="4" min="31" max="31"/>
    <col outlineLevel="1" width="10.140625" customWidth="1" style="4" min="32" max="32"/>
    <col width="11" bestFit="1" customWidth="1" style="4" min="33" max="33"/>
    <col outlineLevel="1" width="10.140625" customWidth="1" style="4" min="34" max="34"/>
    <col outlineLevel="1" width="11.140625" customWidth="1" style="4" min="35" max="35"/>
    <col outlineLevel="1" width="10.140625" customWidth="1" style="4" min="36" max="37"/>
    <col width="10" bestFit="1" customWidth="1" style="4" min="38" max="38"/>
    <col outlineLevel="1" width="10.140625" customWidth="1" style="4" min="39" max="39"/>
    <col outlineLevel="1" width="11.140625" customWidth="1" style="4" min="40" max="40"/>
    <col outlineLevel="1" width="10.140625" customWidth="1" style="4" min="41" max="42"/>
    <col width="10" bestFit="1" customWidth="1" style="4" min="43" max="43"/>
    <col outlineLevel="1" width="10.140625" customWidth="1" style="4" min="44" max="44"/>
    <col outlineLevel="1" width="11.140625" customWidth="1" style="4" min="45" max="45"/>
    <col outlineLevel="1" width="10.140625" customWidth="1" style="4" min="46" max="47"/>
    <col width="10" bestFit="1" customWidth="1" style="4" min="48" max="48"/>
    <col outlineLevel="1" width="10.140625" customWidth="1" style="4" min="49" max="49"/>
    <col outlineLevel="1" width="11.140625" customWidth="1" style="4" min="50" max="50"/>
    <col outlineLevel="1" width="10.140625" customWidth="1" style="4" min="51" max="52"/>
    <col width="10" bestFit="1" customWidth="1" style="4" min="53" max="53"/>
    <col outlineLevel="1" width="10.140625" customWidth="1" style="4" min="54" max="54"/>
    <col outlineLevel="1" width="11.140625" customWidth="1" style="4" min="55" max="55"/>
    <col outlineLevel="1" width="10.140625" customWidth="1" style="4" min="56" max="57"/>
    <col width="10" bestFit="1" customWidth="1" style="4" min="58" max="58"/>
    <col outlineLevel="1" width="10.140625" customWidth="1" style="4" min="59" max="59"/>
    <col outlineLevel="1" width="11.140625" customWidth="1" style="4" min="60" max="60"/>
    <col outlineLevel="1" width="10.140625" customWidth="1" style="4" min="61" max="62"/>
    <col width="10" bestFit="1" customWidth="1" style="4" min="63" max="63"/>
    <col outlineLevel="1" width="10.140625" customWidth="1" style="4" min="64" max="64"/>
    <col outlineLevel="1" width="11.140625" customWidth="1" style="4" min="65" max="65"/>
    <col outlineLevel="1" width="10.140625" customWidth="1" style="4" min="66" max="67"/>
    <col width="10" bestFit="1" customWidth="1" style="4" min="68" max="68"/>
    <col outlineLevel="1" width="10.140625" customWidth="1" style="4" min="69" max="69"/>
    <col outlineLevel="1" width="11.140625" customWidth="1" style="4" min="70" max="70"/>
    <col outlineLevel="1" width="10.140625" customWidth="1" style="4" min="71" max="72"/>
    <col width="10" bestFit="1" customWidth="1" style="4" min="73" max="73"/>
    <col outlineLevel="1" width="10.140625" customWidth="1" style="4" min="74" max="74"/>
    <col outlineLevel="1" width="11.140625" customWidth="1" style="4" min="75" max="75"/>
    <col outlineLevel="1" width="10.140625" customWidth="1" style="4" min="76" max="77"/>
    <col width="10" bestFit="1" customWidth="1" style="4" min="78" max="78"/>
    <col outlineLevel="1" width="10.140625" customWidth="1" style="4" min="79" max="79"/>
    <col outlineLevel="1" width="11.140625" customWidth="1" style="4" min="80" max="80"/>
    <col outlineLevel="1" width="10.140625" customWidth="1" style="4" min="81" max="82"/>
    <col width="10" bestFit="1" customWidth="1" style="4" min="83" max="83"/>
    <col outlineLevel="1" width="10.140625" customWidth="1" style="4" min="84" max="84"/>
    <col outlineLevel="1" width="11.140625" customWidth="1" style="4" min="85" max="85"/>
    <col outlineLevel="1" width="10.140625" customWidth="1" style="4" min="86" max="87"/>
    <col width="10" bestFit="1" customWidth="1" style="4" min="88" max="88"/>
    <col outlineLevel="1" width="10.140625" customWidth="1" style="4" min="89" max="89"/>
    <col outlineLevel="1" width="11.140625" customWidth="1" style="4" min="90" max="90"/>
    <col outlineLevel="1" width="10.140625" customWidth="1" style="4" min="91" max="92"/>
    <col width="10" bestFit="1" customWidth="1" style="4" min="93" max="93"/>
    <col outlineLevel="1" width="10.140625" customWidth="1" style="4" min="94" max="94"/>
    <col outlineLevel="1" width="11.140625" customWidth="1" style="4" min="95" max="95"/>
    <col outlineLevel="1" width="10.140625" customWidth="1" style="4" min="96" max="97"/>
    <col width="10" bestFit="1" customWidth="1" style="4" min="98" max="98"/>
    <col outlineLevel="1" width="10.140625" customWidth="1" style="4" min="99" max="99"/>
    <col outlineLevel="1" width="11.140625" customWidth="1" style="4" min="100" max="100"/>
    <col outlineLevel="1" width="10.140625" customWidth="1" style="4" min="101" max="102"/>
    <col width="10" bestFit="1" customWidth="1" style="4" min="103" max="103"/>
    <col width="9.140625" customWidth="1" style="4" min="104" max="104"/>
    <col width="9.140625" customWidth="1" style="4" min="105" max="16384"/>
  </cols>
  <sheetData>
    <row r="1">
      <c r="A1" s="243" t="n"/>
      <c r="C1" s="2" t="inlineStr">
        <is>
          <t>CHECKS</t>
        </is>
      </c>
      <c r="D1" s="3">
        <f>SUM(D2,D3)</f>
        <v>0</v>
      </c>
      <c r="E1" s="3">
        <f>SUM(E2,E3)</f>
        <v>0</v>
      </c>
      <c r="F1" s="3">
        <f>SUM(F2,F3)</f>
        <v>0</v>
      </c>
      <c r="G1" s="3">
        <f>SUM(G2,G3)</f>
        <v>0</v>
      </c>
      <c r="H1" s="3">
        <f>SUM(H2,H3)</f>
        <v>0</v>
      </c>
      <c r="I1" s="3">
        <f>SUM(I2,I3)</f>
        <v>0</v>
      </c>
      <c r="J1" s="3">
        <f>SUM(J2,J3)</f>
        <v>0</v>
      </c>
      <c r="K1" s="3">
        <f>SUM(K2,K3)</f>
        <v>0</v>
      </c>
      <c r="L1" s="3">
        <f>SUM(L2,L3)</f>
        <v>0</v>
      </c>
      <c r="M1" s="3">
        <f>SUM(M2,M3)</f>
        <v>0</v>
      </c>
      <c r="N1" s="3">
        <f>SUM(N2,N3)</f>
        <v>0</v>
      </c>
      <c r="O1" s="3">
        <f>SUM(O2,O3)</f>
        <v>0</v>
      </c>
      <c r="P1" s="3">
        <f>SUM(P2,P3)</f>
        <v>0</v>
      </c>
      <c r="Q1" s="3">
        <f>SUM(Q2,Q3)</f>
        <v>0</v>
      </c>
      <c r="R1" s="3">
        <f>SUM(R2,R3)</f>
        <v>0</v>
      </c>
      <c r="S1" s="3">
        <f>SUM(S2,S3)</f>
        <v>0</v>
      </c>
      <c r="T1" s="3">
        <f>SUM(T2,T3)</f>
        <v>0</v>
      </c>
      <c r="U1" s="3">
        <f>SUM(U2,U3)</f>
        <v>0</v>
      </c>
      <c r="V1" s="3">
        <f>SUM(V2,V3)</f>
        <v>0</v>
      </c>
      <c r="W1" s="3">
        <f>SUM(W2,W3)</f>
        <v>0</v>
      </c>
      <c r="X1" s="3">
        <f>SUM(X2,X3)</f>
        <v>0</v>
      </c>
      <c r="Y1" s="3">
        <f>SUM(Y2,Y3)</f>
        <v>0</v>
      </c>
      <c r="Z1" s="3">
        <f>SUM(Z2,Z3)</f>
        <v>0</v>
      </c>
      <c r="AA1" s="3">
        <f>SUM(AA2,AA3)</f>
        <v>0</v>
      </c>
      <c r="AB1" s="3">
        <f>SUM(AB2,AB3)</f>
        <v>0</v>
      </c>
      <c r="AC1" s="3">
        <f>SUM(AC2,AC3)</f>
        <v>0</v>
      </c>
      <c r="AD1" s="3">
        <f>SUM(AD2,AD3)</f>
        <v>0</v>
      </c>
      <c r="AE1" s="3">
        <f>SUM(AE2,AE3)</f>
        <v>0</v>
      </c>
      <c r="AF1" s="3">
        <f>SUM(AF2,AF3)</f>
        <v>0</v>
      </c>
      <c r="AG1" s="3">
        <f>SUM(AG2,AG3)</f>
        <v>0</v>
      </c>
      <c r="AH1" s="3">
        <f>SUM(AH2,AH3)</f>
        <v>0</v>
      </c>
      <c r="AI1" s="3">
        <f>SUM(AI2,AI3)</f>
        <v>0</v>
      </c>
      <c r="AJ1" s="3">
        <f>SUM(AJ2,AJ3)</f>
        <v>0</v>
      </c>
      <c r="AK1" s="3">
        <f>SUM(AK2,AK3)</f>
        <v>0</v>
      </c>
      <c r="AL1" s="3">
        <f>SUM(AL2,AL3)</f>
        <v>0</v>
      </c>
      <c r="AM1" s="3" t="e">
        <f>SUM(AM2,AM3)</f>
        <v>#DIV/0!</v>
      </c>
      <c r="AN1" s="3" t="e">
        <f>SUM(AN2,AN3)</f>
        <v>#DIV/0!</v>
      </c>
      <c r="AO1" s="3" t="e">
        <f>SUM(AO2,AO3)</f>
        <v>#DIV/0!</v>
      </c>
      <c r="AP1" s="3" t="e">
        <f>SUM(AP2,AP3)</f>
        <v>#DIV/0!</v>
      </c>
      <c r="AQ1" s="3" t="e">
        <f>SUM(AQ2,AQ3)</f>
        <v>#DIV/0!</v>
      </c>
      <c r="AR1" s="3" t="e">
        <f>SUM(AR2,AR3)</f>
        <v>#DIV/0!</v>
      </c>
      <c r="AS1" s="3" t="e">
        <f>SUM(AS2,AS3)</f>
        <v>#DIV/0!</v>
      </c>
      <c r="AT1" s="3" t="e">
        <f>SUM(AT2,AT3)</f>
        <v>#DIV/0!</v>
      </c>
      <c r="AU1" s="3" t="e">
        <f>SUM(AU2,AU3)</f>
        <v>#DIV/0!</v>
      </c>
      <c r="AV1" s="3" t="e">
        <f>SUM(AV2,AV3)</f>
        <v>#DIV/0!</v>
      </c>
      <c r="AW1" s="3" t="e">
        <f>SUM(AW2,AW3)</f>
        <v>#DIV/0!</v>
      </c>
      <c r="AX1" s="3" t="e">
        <f>SUM(AX2,AX3)</f>
        <v>#DIV/0!</v>
      </c>
      <c r="AY1" s="3" t="e">
        <f>SUM(AY2,AY3)</f>
        <v>#DIV/0!</v>
      </c>
      <c r="AZ1" s="3" t="e">
        <f>SUM(AZ2,AZ3)</f>
        <v>#DIV/0!</v>
      </c>
      <c r="BA1" s="3" t="e">
        <f>SUM(BA2,BA3)</f>
        <v>#DIV/0!</v>
      </c>
      <c r="BB1" s="3" t="e">
        <f>SUM(BB2,BB3)</f>
        <v>#DIV/0!</v>
      </c>
      <c r="BC1" s="3" t="e">
        <f>SUM(BC2,BC3)</f>
        <v>#DIV/0!</v>
      </c>
      <c r="BD1" s="3" t="e">
        <f>SUM(BD2,BD3)</f>
        <v>#DIV/0!</v>
      </c>
      <c r="BE1" s="3" t="e">
        <f>SUM(BE2,BE3)</f>
        <v>#DIV/0!</v>
      </c>
      <c r="BF1" s="3" t="e">
        <f>SUM(BF2,BF3)</f>
        <v>#DIV/0!</v>
      </c>
      <c r="BG1" s="3" t="e">
        <f>SUM(BG2,BG3)</f>
        <v>#DIV/0!</v>
      </c>
      <c r="BH1" s="3" t="e">
        <f>SUM(BH2,BH3)</f>
        <v>#DIV/0!</v>
      </c>
      <c r="BI1" s="3" t="e">
        <f>SUM(BI2,BI3)</f>
        <v>#DIV/0!</v>
      </c>
      <c r="BJ1" s="3" t="e">
        <f>SUM(BJ2,BJ3)</f>
        <v>#DIV/0!</v>
      </c>
      <c r="BK1" s="3" t="e">
        <f>SUM(BK2,BK3)</f>
        <v>#DIV/0!</v>
      </c>
      <c r="BL1" s="3" t="e">
        <f>SUM(BL2,BL3)</f>
        <v>#DIV/0!</v>
      </c>
      <c r="BM1" s="3" t="e">
        <f>SUM(BM2,BM3)</f>
        <v>#DIV/0!</v>
      </c>
      <c r="BN1" s="3" t="e">
        <f>SUM(BN2,BN3)</f>
        <v>#DIV/0!</v>
      </c>
      <c r="BO1" s="3" t="e">
        <f>SUM(BO2,BO3)</f>
        <v>#DIV/0!</v>
      </c>
      <c r="BP1" s="3" t="e">
        <f>SUM(BP2,BP3)</f>
        <v>#DIV/0!</v>
      </c>
      <c r="BQ1" s="3" t="e">
        <f>SUM(BQ2,BQ3)</f>
        <v>#DIV/0!</v>
      </c>
      <c r="BR1" s="3" t="e">
        <f>SUM(BR2,BR3)</f>
        <v>#DIV/0!</v>
      </c>
      <c r="BS1" s="3" t="e">
        <f>SUM(BS2,BS3)</f>
        <v>#DIV/0!</v>
      </c>
      <c r="BT1" s="3" t="e">
        <f>SUM(BT2,BT3)</f>
        <v>#DIV/0!</v>
      </c>
      <c r="BU1" s="3" t="e">
        <f>SUM(BU2,BU3)</f>
        <v>#DIV/0!</v>
      </c>
      <c r="BV1" s="3" t="e">
        <f>SUM(BV2,BV3)</f>
        <v>#DIV/0!</v>
      </c>
      <c r="BW1" s="3" t="e">
        <f>SUM(BW2,BW3)</f>
        <v>#DIV/0!</v>
      </c>
      <c r="BX1" s="3" t="e">
        <f>SUM(BX2,BX3)</f>
        <v>#DIV/0!</v>
      </c>
      <c r="BY1" s="3" t="e">
        <f>SUM(BY2,BY3)</f>
        <v>#DIV/0!</v>
      </c>
      <c r="BZ1" s="3" t="e">
        <f>SUM(BZ2,BZ3)</f>
        <v>#DIV/0!</v>
      </c>
      <c r="CA1" s="3" t="e">
        <f>SUM(CA2,CA3)</f>
        <v>#DIV/0!</v>
      </c>
      <c r="CB1" s="3" t="e">
        <f>SUM(CB2,CB3)</f>
        <v>#DIV/0!</v>
      </c>
      <c r="CC1" s="3" t="e">
        <f>SUM(CC2,CC3)</f>
        <v>#DIV/0!</v>
      </c>
      <c r="CD1" s="3" t="e">
        <f>SUM(CD2,CD3)</f>
        <v>#DIV/0!</v>
      </c>
      <c r="CE1" s="3" t="e">
        <f>SUM(CE2,CE3)</f>
        <v>#DIV/0!</v>
      </c>
      <c r="CF1" s="3" t="e">
        <f>SUM(CF2,CF3)</f>
        <v>#DIV/0!</v>
      </c>
      <c r="CG1" s="3" t="e">
        <f>SUM(CG2,CG3)</f>
        <v>#DIV/0!</v>
      </c>
      <c r="CH1" s="3" t="e">
        <f>SUM(CH2,CH3)</f>
        <v>#DIV/0!</v>
      </c>
      <c r="CI1" s="3" t="e">
        <f>SUM(CI2,CI3)</f>
        <v>#DIV/0!</v>
      </c>
      <c r="CJ1" s="3" t="e">
        <f>SUM(CJ2,CJ3)</f>
        <v>#DIV/0!</v>
      </c>
      <c r="CK1" s="3" t="e">
        <f>SUM(CK2,CK3)</f>
        <v>#DIV/0!</v>
      </c>
      <c r="CL1" s="3" t="e">
        <f>SUM(CL2,CL3)</f>
        <v>#DIV/0!</v>
      </c>
      <c r="CM1" s="3" t="e">
        <f>SUM(CM2,CM3)</f>
        <v>#DIV/0!</v>
      </c>
      <c r="CN1" s="3" t="e">
        <f>SUM(CN2,CN3)</f>
        <v>#DIV/0!</v>
      </c>
      <c r="CO1" s="3" t="e">
        <f>SUM(CO2,CO3)</f>
        <v>#DIV/0!</v>
      </c>
      <c r="CP1" s="3" t="e">
        <f>SUM(CP2,CP3)</f>
        <v>#DIV/0!</v>
      </c>
      <c r="CQ1" s="3" t="e">
        <f>SUM(CQ2,CQ3)</f>
        <v>#DIV/0!</v>
      </c>
      <c r="CR1" s="3" t="e">
        <f>SUM(CR2,CR3)</f>
        <v>#DIV/0!</v>
      </c>
      <c r="CS1" s="3" t="e">
        <f>SUM(CS2,CS3)</f>
        <v>#DIV/0!</v>
      </c>
      <c r="CT1" s="3" t="e">
        <f>SUM(CT2,CT3)</f>
        <v>#DIV/0!</v>
      </c>
      <c r="CU1" s="3" t="e">
        <f>SUM(CU2,CU3)</f>
        <v>#DIV/0!</v>
      </c>
      <c r="CV1" s="3" t="e">
        <f>SUM(CV2,CV3)</f>
        <v>#DIV/0!</v>
      </c>
      <c r="CW1" s="3" t="e">
        <f>SUM(CW2,CW3)</f>
        <v>#DIV/0!</v>
      </c>
      <c r="CX1" s="3" t="e">
        <f>SUM(CX2,CX3)</f>
        <v>#DIV/0!</v>
      </c>
      <c r="CY1" s="3" t="e">
        <f>SUM(CY2,CY3)</f>
        <v>#DIV/0!</v>
      </c>
    </row>
    <row r="2" outlineLevel="1">
      <c r="C2" s="5" t="inlineStr">
        <is>
          <t>BS</t>
        </is>
      </c>
      <c r="D2" s="3">
        <f>ABS(D196-D272)</f>
        <v>0</v>
      </c>
      <c r="E2" s="3">
        <f>ABS(E196-E272)</f>
        <v>0</v>
      </c>
      <c r="F2" s="3">
        <f>ABS(F196-F272)</f>
        <v>0</v>
      </c>
      <c r="G2" s="3">
        <f>ABS(G196-G272)</f>
        <v>0</v>
      </c>
      <c r="H2" s="3">
        <f>ABS(H196-H272)</f>
        <v>0</v>
      </c>
      <c r="I2" s="3">
        <f>ABS(I196-I272)</f>
        <v>0</v>
      </c>
      <c r="J2" s="3">
        <f>ABS(J196-J272)</f>
        <v>0</v>
      </c>
      <c r="K2" s="3">
        <f>ABS(K196-K272)</f>
        <v>0</v>
      </c>
      <c r="L2" s="3">
        <f>ABS(L196-L272)</f>
        <v>0</v>
      </c>
      <c r="M2" s="3">
        <f>ABS(M196-M272)</f>
        <v>0</v>
      </c>
      <c r="N2" s="3">
        <f>ABS(N196-N272)</f>
        <v>0</v>
      </c>
      <c r="O2" s="3">
        <f>ABS(O196-O272)</f>
        <v>0</v>
      </c>
      <c r="P2" s="3">
        <f>ABS(P196-P272)</f>
        <v>0</v>
      </c>
      <c r="Q2" s="3">
        <f>ABS(Q196-Q272)</f>
        <v>0</v>
      </c>
      <c r="R2" s="3">
        <f>ABS(R196-R272)</f>
        <v>0</v>
      </c>
      <c r="S2" s="3">
        <f>ABS(S196-S272)</f>
        <v>0</v>
      </c>
      <c r="T2" s="3">
        <f>ABS(T196-T272)</f>
        <v>0</v>
      </c>
      <c r="U2" s="3">
        <f>ABS(U196-U272)</f>
        <v>0</v>
      </c>
      <c r="V2" s="3">
        <f>ABS(V196-V272)</f>
        <v>0</v>
      </c>
      <c r="W2" s="3">
        <f>ABS(W196-W272)</f>
        <v>0</v>
      </c>
      <c r="X2" s="3">
        <f>ABS(X196-X272)</f>
        <v>0</v>
      </c>
      <c r="Y2" s="3">
        <f>ABS(Y196-Y272)</f>
        <v>0</v>
      </c>
      <c r="Z2" s="3">
        <f>ABS(Z196-Z272)</f>
        <v>0</v>
      </c>
      <c r="AA2" s="3">
        <f>ABS(AA196-AA272)</f>
        <v>0</v>
      </c>
      <c r="AB2" s="3">
        <f>ABS(AB196-AB272)</f>
        <v>0</v>
      </c>
      <c r="AC2" s="3">
        <f>ABS(AC196-AC272)</f>
        <v>0</v>
      </c>
      <c r="AD2" s="3">
        <f>ABS(AD196-AD272)</f>
        <v>0</v>
      </c>
      <c r="AE2" s="3">
        <f>ABS(AE196-AE272)</f>
        <v>0</v>
      </c>
      <c r="AF2" s="3">
        <f>ABS(AF196-AF272)</f>
        <v>0</v>
      </c>
      <c r="AG2" s="3">
        <f>ABS(AG196-AG272)</f>
        <v>0</v>
      </c>
      <c r="AH2" s="3">
        <f>ABS(AH196-AH272)</f>
        <v>0</v>
      </c>
      <c r="AI2" s="3">
        <f>ABS(AI196-AI272)</f>
        <v>0</v>
      </c>
      <c r="AJ2" s="3">
        <f>ABS(AJ196-AJ272)</f>
        <v>0</v>
      </c>
      <c r="AK2" s="3">
        <f>ABS(AK196-AK272)</f>
        <v>0</v>
      </c>
      <c r="AL2" s="3">
        <f>ABS(AL196-AL272)</f>
        <v>0</v>
      </c>
      <c r="AM2" s="3" t="e">
        <f>ABS(AM196-AM272)</f>
        <v>#DIV/0!</v>
      </c>
      <c r="AN2" s="3" t="e">
        <f>ABS(AN196-AN272)</f>
        <v>#DIV/0!</v>
      </c>
      <c r="AO2" s="3" t="e">
        <f>ABS(AO196-AO272)</f>
        <v>#DIV/0!</v>
      </c>
      <c r="AP2" s="3" t="e">
        <f>ABS(AP196-AP272)</f>
        <v>#DIV/0!</v>
      </c>
      <c r="AQ2" s="3" t="e">
        <f>ABS(AQ196-AQ272)</f>
        <v>#DIV/0!</v>
      </c>
      <c r="AR2" s="3" t="e">
        <f>ABS(AR196-AR272)</f>
        <v>#DIV/0!</v>
      </c>
      <c r="AS2" s="3" t="e">
        <f>ABS(AS196-AS272)</f>
        <v>#DIV/0!</v>
      </c>
      <c r="AT2" s="3" t="e">
        <f>ABS(AT196-AT272)</f>
        <v>#DIV/0!</v>
      </c>
      <c r="AU2" s="3" t="e">
        <f>ABS(AU196-AU272)</f>
        <v>#DIV/0!</v>
      </c>
      <c r="AV2" s="3" t="e">
        <f>ABS(AV196-AV272)</f>
        <v>#DIV/0!</v>
      </c>
      <c r="AW2" s="3" t="e">
        <f>ABS(AW196-AW272)</f>
        <v>#DIV/0!</v>
      </c>
      <c r="AX2" s="3" t="e">
        <f>ABS(AX196-AX272)</f>
        <v>#DIV/0!</v>
      </c>
      <c r="AY2" s="3" t="e">
        <f>ABS(AY196-AY272)</f>
        <v>#DIV/0!</v>
      </c>
      <c r="AZ2" s="3" t="e">
        <f>ABS(AZ196-AZ272)</f>
        <v>#DIV/0!</v>
      </c>
      <c r="BA2" s="3" t="e">
        <f>ABS(BA196-BA272)</f>
        <v>#DIV/0!</v>
      </c>
      <c r="BB2" s="3" t="e">
        <f>ABS(BB196-BB272)</f>
        <v>#DIV/0!</v>
      </c>
      <c r="BC2" s="3" t="e">
        <f>ABS(BC196-BC272)</f>
        <v>#DIV/0!</v>
      </c>
      <c r="BD2" s="3" t="e">
        <f>ABS(BD196-BD272)</f>
        <v>#DIV/0!</v>
      </c>
      <c r="BE2" s="3" t="e">
        <f>ABS(BE196-BE272)</f>
        <v>#DIV/0!</v>
      </c>
      <c r="BF2" s="3" t="e">
        <f>ABS(BF196-BF272)</f>
        <v>#DIV/0!</v>
      </c>
      <c r="BG2" s="3" t="e">
        <f>ABS(BG196-BG272)</f>
        <v>#DIV/0!</v>
      </c>
      <c r="BH2" s="3" t="e">
        <f>ABS(BH196-BH272)</f>
        <v>#DIV/0!</v>
      </c>
      <c r="BI2" s="3" t="e">
        <f>ABS(BI196-BI272)</f>
        <v>#DIV/0!</v>
      </c>
      <c r="BJ2" s="3" t="e">
        <f>ABS(BJ196-BJ272)</f>
        <v>#DIV/0!</v>
      </c>
      <c r="BK2" s="3" t="e">
        <f>ABS(BK196-BK272)</f>
        <v>#DIV/0!</v>
      </c>
      <c r="BL2" s="3" t="e">
        <f>ABS(BL196-BL272)</f>
        <v>#DIV/0!</v>
      </c>
      <c r="BM2" s="3" t="e">
        <f>ABS(BM196-BM272)</f>
        <v>#DIV/0!</v>
      </c>
      <c r="BN2" s="3" t="e">
        <f>ABS(BN196-BN272)</f>
        <v>#DIV/0!</v>
      </c>
      <c r="BO2" s="3" t="e">
        <f>ABS(BO196-BO272)</f>
        <v>#DIV/0!</v>
      </c>
      <c r="BP2" s="3" t="e">
        <f>ABS(BP196-BP272)</f>
        <v>#DIV/0!</v>
      </c>
      <c r="BQ2" s="3" t="e">
        <f>ABS(BQ196-BQ272)</f>
        <v>#DIV/0!</v>
      </c>
      <c r="BR2" s="3" t="e">
        <f>ABS(BR196-BR272)</f>
        <v>#DIV/0!</v>
      </c>
      <c r="BS2" s="3" t="e">
        <f>ABS(BS196-BS272)</f>
        <v>#DIV/0!</v>
      </c>
      <c r="BT2" s="3" t="e">
        <f>ABS(BT196-BT272)</f>
        <v>#DIV/0!</v>
      </c>
      <c r="BU2" s="3" t="e">
        <f>ABS(BU196-BU272)</f>
        <v>#DIV/0!</v>
      </c>
      <c r="BV2" s="3" t="e">
        <f>ABS(BV196-BV272)</f>
        <v>#DIV/0!</v>
      </c>
      <c r="BW2" s="3" t="e">
        <f>ABS(BW196-BW272)</f>
        <v>#DIV/0!</v>
      </c>
      <c r="BX2" s="3" t="e">
        <f>ABS(BX196-BX272)</f>
        <v>#DIV/0!</v>
      </c>
      <c r="BY2" s="3" t="e">
        <f>ABS(BY196-BY272)</f>
        <v>#DIV/0!</v>
      </c>
      <c r="BZ2" s="3" t="e">
        <f>ABS(BZ196-BZ272)</f>
        <v>#DIV/0!</v>
      </c>
      <c r="CA2" s="3" t="e">
        <f>ABS(CA196-CA272)</f>
        <v>#DIV/0!</v>
      </c>
      <c r="CB2" s="3" t="e">
        <f>ABS(CB196-CB272)</f>
        <v>#DIV/0!</v>
      </c>
      <c r="CC2" s="3" t="e">
        <f>ABS(CC196-CC272)</f>
        <v>#DIV/0!</v>
      </c>
      <c r="CD2" s="3" t="e">
        <f>ABS(CD196-CD272)</f>
        <v>#DIV/0!</v>
      </c>
      <c r="CE2" s="3" t="e">
        <f>ABS(CE196-CE272)</f>
        <v>#DIV/0!</v>
      </c>
      <c r="CF2" s="3" t="e">
        <f>ABS(CF196-CF272)</f>
        <v>#DIV/0!</v>
      </c>
      <c r="CG2" s="3" t="e">
        <f>ABS(CG196-CG272)</f>
        <v>#DIV/0!</v>
      </c>
      <c r="CH2" s="3" t="e">
        <f>ABS(CH196-CH272)</f>
        <v>#DIV/0!</v>
      </c>
      <c r="CI2" s="3" t="e">
        <f>ABS(CI196-CI272)</f>
        <v>#DIV/0!</v>
      </c>
      <c r="CJ2" s="3" t="e">
        <f>ABS(CJ196-CJ272)</f>
        <v>#DIV/0!</v>
      </c>
      <c r="CK2" s="3" t="e">
        <f>ABS(CK196-CK272)</f>
        <v>#DIV/0!</v>
      </c>
      <c r="CL2" s="3" t="e">
        <f>ABS(CL196-CL272)</f>
        <v>#DIV/0!</v>
      </c>
      <c r="CM2" s="3" t="e">
        <f>ABS(CM196-CM272)</f>
        <v>#DIV/0!</v>
      </c>
      <c r="CN2" s="3" t="e">
        <f>ABS(CN196-CN272)</f>
        <v>#DIV/0!</v>
      </c>
      <c r="CO2" s="3" t="e">
        <f>ABS(CO196-CO272)</f>
        <v>#DIV/0!</v>
      </c>
      <c r="CP2" s="3" t="e">
        <f>ABS(CP196-CP272)</f>
        <v>#DIV/0!</v>
      </c>
      <c r="CQ2" s="3" t="e">
        <f>ABS(CQ196-CQ272)</f>
        <v>#DIV/0!</v>
      </c>
      <c r="CR2" s="3" t="e">
        <f>ABS(CR196-CR272)</f>
        <v>#DIV/0!</v>
      </c>
      <c r="CS2" s="3" t="e">
        <f>ABS(CS196-CS272)</f>
        <v>#DIV/0!</v>
      </c>
      <c r="CT2" s="3" t="e">
        <f>ABS(CT196-CT272)</f>
        <v>#DIV/0!</v>
      </c>
      <c r="CU2" s="3" t="e">
        <f>ABS(CU196-CU272)</f>
        <v>#DIV/0!</v>
      </c>
      <c r="CV2" s="3" t="e">
        <f>ABS(CV196-CV272)</f>
        <v>#DIV/0!</v>
      </c>
      <c r="CW2" s="3" t="e">
        <f>ABS(CW196-CW272)</f>
        <v>#DIV/0!</v>
      </c>
      <c r="CX2" s="3" t="e">
        <f>ABS(CX196-CX272)</f>
        <v>#DIV/0!</v>
      </c>
      <c r="CY2" s="3" t="e">
        <f>ABS(CY196-CY272)</f>
        <v>#DIV/0!</v>
      </c>
    </row>
    <row r="3" outlineLevel="1">
      <c r="C3" s="5" t="inlineStr">
        <is>
          <t>IS</t>
        </is>
      </c>
      <c r="D3" s="3">
        <f>IF(COUNT(D4)=0,"",ABS(D136-D4))</f>
        <v>0</v>
      </c>
      <c r="E3" s="3">
        <f>IF(COUNT(E4)=0,"",ABS(E136-E4))</f>
        <v>0</v>
      </c>
      <c r="F3" s="3">
        <f>IF(COUNT(F4)=0,"",ABS(F136-F4))</f>
        <v>0</v>
      </c>
      <c r="G3" s="3">
        <f>IF(COUNT(G4)=0,"",ABS(G136-G4))</f>
        <v>0</v>
      </c>
      <c r="H3" s="3">
        <f>IF(COUNT(H4)=0,"",ABS(H136-H4))</f>
        <v>0</v>
      </c>
      <c r="I3" s="3">
        <f>IF(COUNT(I4)=0,"",ABS(I136-I4))</f>
        <v>0</v>
      </c>
      <c r="J3" s="3">
        <f>IF(COUNT(J4)=0,"",ABS(J136-J4))</f>
        <v>0</v>
      </c>
      <c r="K3" s="3">
        <f>IF(COUNT(K4)=0,"",ABS(K136-K4))</f>
        <v>0</v>
      </c>
      <c r="L3" s="3">
        <f>IF(COUNT(L4)=0,"",ABS(L136-L4))</f>
        <v>0</v>
      </c>
      <c r="M3" s="3">
        <f>IF(COUNT(M4)=0,"",ABS(M136-M4))</f>
        <v>0</v>
      </c>
      <c r="N3" s="3">
        <f>IF(COUNT(N4)=0,"",ABS(N136-N4))</f>
        <v>0</v>
      </c>
      <c r="O3" s="3">
        <f>IF(COUNT(O4)=0,"",ABS(O136-O4))</f>
        <v>0</v>
      </c>
      <c r="P3" s="3">
        <f>IF(COUNT(P4)=0,"",ABS(P136-P4))</f>
        <v>0</v>
      </c>
      <c r="Q3" s="3">
        <f>IF(COUNT(Q4)=0,"",ABS(Q136-Q4))</f>
        <v>0</v>
      </c>
      <c r="R3" s="3">
        <f>IF(COUNT(R4)=0,"",ABS(R136-R4))</f>
        <v>0</v>
      </c>
      <c r="S3" s="3">
        <f>IF(COUNT(S4)=0,"",ABS(S136-S4))</f>
        <v>0</v>
      </c>
      <c r="T3" s="3">
        <f>IF(COUNT(T4)=0,"",ABS(T136-T4))</f>
        <v>0</v>
      </c>
      <c r="U3" s="3">
        <f>IF(COUNT(U4)=0,"",ABS(U136-U4))</f>
        <v>0</v>
      </c>
      <c r="V3" s="3">
        <f>IF(COUNT(V4)=0,"",ABS(V136-V4))</f>
        <v>0</v>
      </c>
      <c r="W3" s="3">
        <f>IF(COUNT(W4)=0,"",ABS(W136-W4))</f>
        <v>0</v>
      </c>
      <c r="X3" s="3">
        <f>IF(COUNT(X4)=0,"",ABS(X136-X4))</f>
        <v>0</v>
      </c>
      <c r="Y3" s="3">
        <f>IF(COUNT(Y4)=0,"",ABS(Y136-Y4))</f>
        <v>0</v>
      </c>
      <c r="Z3" s="3">
        <f>IF(COUNT(Z4)=0,"",ABS(Z136-Z4))</f>
        <v>0</v>
      </c>
      <c r="AA3" s="3">
        <f>IF(COUNT(AA4)=0,"",ABS(AA136-AA4))</f>
        <v>0</v>
      </c>
      <c r="AB3" s="3">
        <f>IF(COUNT(AB4)=0,"",ABS(AB136-AB4))</f>
        <v>0</v>
      </c>
      <c r="AC3" s="3">
        <f>IF(COUNT(AC4)=0,"",ABS(AC136-AC4))</f>
        <v>0</v>
      </c>
      <c r="AD3" s="3">
        <f>IF(COUNT(AD4)=0,"",ABS(AD136-AD4))</f>
        <v>0</v>
      </c>
      <c r="AE3" s="3">
        <f>IF(COUNT(AE4)=0,"",ABS(AE136-AE4))</f>
        <v>0</v>
      </c>
      <c r="AF3" s="3">
        <f>IF(COUNT(AF4)=0,"",ABS(AF136-AF4))</f>
        <v>0</v>
      </c>
      <c r="AG3" s="3">
        <f>IF(COUNT(AG4)=0,"",ABS(AG136-AG4))</f>
        <v>0</v>
      </c>
      <c r="AH3" s="3">
        <f>IF(COUNT(AH4)=0,"",ABS(AH136-AH4))</f>
        <v>0</v>
      </c>
      <c r="AI3" s="3">
        <f>IF(COUNT(AI4)=0,"",ABS(AI136-AI4))</f>
        <v>0</v>
      </c>
      <c r="AJ3" s="3" t="str">
        <f>IF(COUNT(AJ4)=0,"",ABS(AJ136-AJ4))</f>
        <v/>
      </c>
      <c r="AK3" s="3" t="str">
        <f>IF(COUNT(AK4)=0,"",ABS(AK136-AK4))</f>
        <v/>
      </c>
      <c r="AL3" s="3" t="str">
        <f>IF(COUNT(AL4)=0,"",ABS(AL136-AL4))</f>
        <v/>
      </c>
      <c r="AM3" s="3" t="str">
        <f>IF(COUNT(AM4)=0,"",ABS(AM136-AM4))</f>
        <v/>
      </c>
      <c r="AN3" s="3" t="str">
        <f>IF(COUNT(AN4)=0,"",ABS(AN136-AN4))</f>
        <v/>
      </c>
      <c r="AO3" s="3" t="str">
        <f>IF(COUNT(AO4)=0,"",ABS(AO136-AO4))</f>
        <v/>
      </c>
      <c r="AP3" s="3" t="str">
        <f>IF(COUNT(AP4)=0,"",ABS(AP136-AP4))</f>
        <v/>
      </c>
      <c r="AQ3" s="3" t="str">
        <f>IF(COUNT(AQ4)=0,"",ABS(AQ136-AQ4))</f>
        <v/>
      </c>
      <c r="AR3" s="3" t="str">
        <f>IF(COUNT(AR4)=0,"",ABS(AR136-AR4))</f>
        <v/>
      </c>
      <c r="AS3" s="3" t="str">
        <f>IF(COUNT(AS4)=0,"",ABS(AS136-AS4))</f>
        <v/>
      </c>
      <c r="AT3" s="3" t="str">
        <f>IF(COUNT(AT4)=0,"",ABS(AT136-AT4))</f>
        <v/>
      </c>
      <c r="AU3" s="3" t="str">
        <f>IF(COUNT(AU4)=0,"",ABS(AU136-AU4))</f>
        <v/>
      </c>
      <c r="AV3" s="3" t="str">
        <f>IF(COUNT(AV4)=0,"",ABS(AV136-AV4))</f>
        <v/>
      </c>
      <c r="AW3" s="3" t="str">
        <f>IF(COUNT(AW4)=0,"",ABS(AW136-AW4))</f>
        <v/>
      </c>
      <c r="AX3" s="3" t="str">
        <f>IF(COUNT(AX4)=0,"",ABS(AX136-AX4))</f>
        <v/>
      </c>
      <c r="AY3" s="3" t="str">
        <f>IF(COUNT(AY4)=0,"",ABS(AY136-AY4))</f>
        <v/>
      </c>
      <c r="AZ3" s="3" t="str">
        <f>IF(COUNT(AZ4)=0,"",ABS(AZ136-AZ4))</f>
        <v/>
      </c>
      <c r="BA3" s="3" t="str">
        <f>IF(COUNT(BA4)=0,"",ABS(BA136-BA4))</f>
        <v/>
      </c>
      <c r="BB3" s="3" t="str">
        <f>IF(COUNT(BB4)=0,"",ABS(BB136-BB4))</f>
        <v/>
      </c>
      <c r="BC3" s="3" t="str">
        <f>IF(COUNT(BC4)=0,"",ABS(BC136-BC4))</f>
        <v/>
      </c>
      <c r="BD3" s="3" t="str">
        <f>IF(COUNT(BD4)=0,"",ABS(BD136-BD4))</f>
        <v/>
      </c>
      <c r="BE3" s="3" t="str">
        <f>IF(COUNT(BE4)=0,"",ABS(BE136-BE4))</f>
        <v/>
      </c>
      <c r="BF3" s="3" t="str">
        <f>IF(COUNT(BF4)=0,"",ABS(BF136-BF4))</f>
        <v/>
      </c>
      <c r="BG3" s="3" t="str">
        <f>IF(COUNT(BG4)=0,"",ABS(BG136-BG4))</f>
        <v/>
      </c>
      <c r="BH3" s="3" t="str">
        <f>IF(COUNT(BH4)=0,"",ABS(BH136-BH4))</f>
        <v/>
      </c>
      <c r="BI3" s="3" t="str">
        <f>IF(COUNT(BI4)=0,"",ABS(BI136-BI4))</f>
        <v/>
      </c>
      <c r="BJ3" s="3" t="str">
        <f>IF(COUNT(BJ4)=0,"",ABS(BJ136-BJ4))</f>
        <v/>
      </c>
      <c r="BK3" s="3" t="str">
        <f>IF(COUNT(BK4)=0,"",ABS(BK136-BK4))</f>
        <v/>
      </c>
      <c r="BL3" s="3" t="str">
        <f>IF(COUNT(BL4)=0,"",ABS(BL136-BL4))</f>
        <v/>
      </c>
      <c r="BM3" s="3" t="str">
        <f>IF(COUNT(BM4)=0,"",ABS(BM136-BM4))</f>
        <v/>
      </c>
      <c r="BN3" s="3" t="str">
        <f>IF(COUNT(BN4)=0,"",ABS(BN136-BN4))</f>
        <v/>
      </c>
      <c r="BO3" s="3" t="str">
        <f>IF(COUNT(BO4)=0,"",ABS(BO136-BO4))</f>
        <v/>
      </c>
      <c r="BP3" s="3" t="str">
        <f>IF(COUNT(BP4)=0,"",ABS(BP136-BP4))</f>
        <v/>
      </c>
      <c r="BQ3" s="3" t="str">
        <f>IF(COUNT(BQ4)=0,"",ABS(BQ136-BQ4))</f>
        <v/>
      </c>
      <c r="BR3" s="3" t="str">
        <f>IF(COUNT(BR4)=0,"",ABS(BR136-BR4))</f>
        <v/>
      </c>
      <c r="BS3" s="3" t="str">
        <f>IF(COUNT(BS4)=0,"",ABS(BS136-BS4))</f>
        <v/>
      </c>
      <c r="BT3" s="3" t="str">
        <f>IF(COUNT(BT4)=0,"",ABS(BT136-BT4))</f>
        <v/>
      </c>
      <c r="BU3" s="3" t="str">
        <f>IF(COUNT(BU4)=0,"",ABS(BU136-BU4))</f>
        <v/>
      </c>
      <c r="BV3" s="3" t="str">
        <f>IF(COUNT(BV4)=0,"",ABS(BV136-BV4))</f>
        <v/>
      </c>
      <c r="BW3" s="3" t="str">
        <f>IF(COUNT(BW4)=0,"",ABS(BW136-BW4))</f>
        <v/>
      </c>
      <c r="BX3" s="3" t="str">
        <f>IF(COUNT(BX4)=0,"",ABS(BX136-BX4))</f>
        <v/>
      </c>
      <c r="BY3" s="3" t="str">
        <f>IF(COUNT(BY4)=0,"",ABS(BY136-BY4))</f>
        <v/>
      </c>
      <c r="BZ3" s="3" t="str">
        <f>IF(COUNT(BZ4)=0,"",ABS(BZ136-BZ4))</f>
        <v/>
      </c>
      <c r="CA3" s="3" t="str">
        <f>IF(COUNT(CA4)=0,"",ABS(CA136-CA4))</f>
        <v/>
      </c>
      <c r="CB3" s="3" t="str">
        <f>IF(COUNT(CB4)=0,"",ABS(CB136-CB4))</f>
        <v/>
      </c>
      <c r="CC3" s="3" t="str">
        <f>IF(COUNT(CC4)=0,"",ABS(CC136-CC4))</f>
        <v/>
      </c>
      <c r="CD3" s="3" t="str">
        <f>IF(COUNT(CD4)=0,"",ABS(CD136-CD4))</f>
        <v/>
      </c>
      <c r="CE3" s="3" t="str">
        <f>IF(COUNT(CE4)=0,"",ABS(CE136-CE4))</f>
        <v/>
      </c>
      <c r="CF3" s="3" t="str">
        <f>IF(COUNT(CF4)=0,"",ABS(CF136-CF4))</f>
        <v/>
      </c>
      <c r="CG3" s="3" t="str">
        <f>IF(COUNT(CG4)=0,"",ABS(CG136-CG4))</f>
        <v/>
      </c>
      <c r="CH3" s="3" t="str">
        <f>IF(COUNT(CH4)=0,"",ABS(CH136-CH4))</f>
        <v/>
      </c>
      <c r="CI3" s="3" t="str">
        <f>IF(COUNT(CI4)=0,"",ABS(CI136-CI4))</f>
        <v/>
      </c>
      <c r="CJ3" s="3" t="str">
        <f>IF(COUNT(CJ4)=0,"",ABS(CJ136-CJ4))</f>
        <v/>
      </c>
      <c r="CK3" s="3" t="str">
        <f>IF(COUNT(CK4)=0,"",ABS(CK136-CK4))</f>
        <v/>
      </c>
      <c r="CL3" s="3" t="str">
        <f>IF(COUNT(CL4)=0,"",ABS(CL136-CL4))</f>
        <v/>
      </c>
      <c r="CM3" s="3" t="str">
        <f>IF(COUNT(CM4)=0,"",ABS(CM136-CM4))</f>
        <v/>
      </c>
      <c r="CN3" s="3" t="str">
        <f>IF(COUNT(CN4)=0,"",ABS(CN136-CN4))</f>
        <v/>
      </c>
      <c r="CO3" s="3" t="str">
        <f>IF(COUNT(CO4)=0,"",ABS(CO136-CO4))</f>
        <v/>
      </c>
      <c r="CP3" s="3" t="str">
        <f>IF(COUNT(CP4)=0,"",ABS(CP136-CP4))</f>
        <v/>
      </c>
      <c r="CQ3" s="3" t="str">
        <f>IF(COUNT(CQ4)=0,"",ABS(CQ136-CQ4))</f>
        <v/>
      </c>
      <c r="CR3" s="3" t="str">
        <f>IF(COUNT(CR4)=0,"",ABS(CR136-CR4))</f>
        <v/>
      </c>
      <c r="CS3" s="3" t="str">
        <f>IF(COUNT(CS4)=0,"",ABS(CS136-CS4))</f>
        <v/>
      </c>
      <c r="CT3" s="3" t="str">
        <f>IF(COUNT(CT4)=0,"",ABS(CT136-CT4))</f>
        <v/>
      </c>
      <c r="CU3" s="3" t="str">
        <f>IF(COUNT(CU4)=0,"",ABS(CU136-CU4))</f>
        <v/>
      </c>
      <c r="CV3" s="3" t="str">
        <f>IF(COUNT(CV4)=0,"",ABS(CV136-CV4))</f>
        <v/>
      </c>
      <c r="CW3" s="3" t="str">
        <f>IF(COUNT(CW4)=0,"",ABS(CW136-CW4))</f>
        <v/>
      </c>
      <c r="CX3" s="3" t="str">
        <f>IF(COUNT(CX4)=0,"",ABS(CX136-CX4))</f>
        <v/>
      </c>
      <c r="CY3" s="3" t="str">
        <f>IF(COUNT(CY4)=0,"",ABS(CY136-CY4))</f>
        <v/>
      </c>
    </row>
    <row r="4" outlineLevel="1">
      <c r="C4" s="14" t="inlineStr">
        <is>
          <t>Net Income reportado (lucro liquido) - base do check IS</t>
        </is>
      </c>
      <c r="D4" s="16">
        <f>INDEX('Inputs (2)'!$D$50:$AL$50,MATCH(D$7,'Inputs (2)'!$D$2:$AL$2,0))</f>
        <v>917</v>
      </c>
      <c r="E4" s="16">
        <f>INDEX('Inputs (2)'!$D$50:$AL$50,MATCH(E$7,'Inputs (2)'!$D$2:$AL$2,0))</f>
        <v>622</v>
      </c>
      <c r="F4" s="16">
        <f>INDEX('Inputs (2)'!$D$50:$AL$50,MATCH(F$7,'Inputs (2)'!$D$2:$AL$2,0))</f>
        <v>1336</v>
      </c>
      <c r="G4" s="16">
        <f>INDEX('Inputs (2)'!$D$50:$AL$50,MATCH(G$7,'Inputs (2)'!$D$2:$AL$2,0))</f>
        <v>1457</v>
      </c>
      <c r="H4" s="16">
        <f>IF(COUNT(D4:G4)=4,SUM(D4:G4),"")</f>
        <v>4332</v>
      </c>
      <c r="I4" s="16">
        <f>INDEX('Inputs (2)'!$D$50:$AL$50,MATCH(I$7,'Inputs (2)'!$D$2:$AL$2,0))</f>
        <v>1912</v>
      </c>
      <c r="J4" s="16">
        <f>INDEX('Inputs (2)'!$D$50:$AL$50,MATCH(J$7,'Inputs (2)'!$D$2:$AL$2,0))</f>
        <v>2374</v>
      </c>
      <c r="K4" s="16">
        <f>INDEX('Inputs (2)'!$D$50:$AL$50,MATCH(K$7,'Inputs (2)'!$D$2:$AL$2,0))</f>
        <v>2464</v>
      </c>
      <c r="L4" s="16">
        <f>INDEX('Inputs (2)'!$D$50:$AL$50,MATCH(L$7,'Inputs (2)'!$D$2:$AL$2,0))</f>
        <v>3003</v>
      </c>
      <c r="M4" s="16">
        <f>IF(COUNT(I4:L4)=4,SUM(I4:L4),"")</f>
        <v>9753</v>
      </c>
      <c r="N4" s="16">
        <f>INDEX('Inputs (2)'!$D$50:$AL$50,MATCH(N$7,'Inputs (2)'!$D$2:$AL$2,0))</f>
        <v>1618</v>
      </c>
      <c r="O4" s="16">
        <f>INDEX('Inputs (2)'!$D$50:$AL$50,MATCH(O$7,'Inputs (2)'!$D$2:$AL$2,0))</f>
        <v>656</v>
      </c>
      <c r="P4" s="16">
        <f>INDEX('Inputs (2)'!$D$50:$AL$50,MATCH(P$7,'Inputs (2)'!$D$2:$AL$2,0))</f>
        <v>680</v>
      </c>
      <c r="Q4" s="16">
        <f>INDEX('Inputs (2)'!$D$50:$AL$50,MATCH(Q$7,'Inputs (2)'!$D$2:$AL$2,0))</f>
        <v>1414</v>
      </c>
      <c r="R4" s="16">
        <f>IF(COUNT(N4:Q4)=4,SUM(N4:Q4),"")</f>
        <v>4368</v>
      </c>
      <c r="S4" s="16">
        <f>INDEX('Inputs (2)'!$D$50:$AL$50,MATCH(S$7,'Inputs (2)'!$D$2:$AL$2,0))</f>
        <v>2043</v>
      </c>
      <c r="T4" s="16">
        <f>INDEX('Inputs (2)'!$D$50:$AL$50,MATCH(T$7,'Inputs (2)'!$D$2:$AL$2,0))</f>
        <v>6188</v>
      </c>
      <c r="U4" s="16">
        <f>INDEX('Inputs (2)'!$D$50:$AL$50,MATCH(U$7,'Inputs (2)'!$D$2:$AL$2,0))</f>
        <v>9243</v>
      </c>
      <c r="V4" s="16">
        <f>INDEX('Inputs (2)'!$D$50:$AL$50,MATCH(V$7,'Inputs (2)'!$D$2:$AL$2,0))</f>
        <v>12285</v>
      </c>
      <c r="W4" s="16">
        <f>IF(COUNT(S4:V4)=4,SUM(S4:V4),"")</f>
        <v>29759</v>
      </c>
      <c r="X4" s="16">
        <f>INDEX('Inputs (2)'!$D$50:$AL$50,MATCH(X$7,'Inputs (2)'!$D$2:$AL$2,0))</f>
        <v>14881</v>
      </c>
      <c r="Y4" s="16">
        <f>INDEX('Inputs (2)'!$D$50:$AL$50,MATCH(Y$7,'Inputs (2)'!$D$2:$AL$2,0))</f>
        <v>16599</v>
      </c>
      <c r="Z4" s="16">
        <f>INDEX('Inputs (2)'!$D$50:$AL$50,MATCH(Z$7,'Inputs (2)'!$D$2:$AL$2,0))</f>
        <v>19309</v>
      </c>
      <c r="AA4" s="16">
        <f>INDEX('Inputs (2)'!$D$50:$AL$50,MATCH(AA$7,'Inputs (2)'!$D$2:$AL$2,0))</f>
        <v>22091</v>
      </c>
      <c r="AB4" s="16">
        <f>IF(COUNT(X4:AA4)=4,SUM(X4:AA4),"")</f>
        <v>72880</v>
      </c>
      <c r="AC4" s="16">
        <f>INDEX('Inputs (2)'!$D$50:$AL$50,MATCH(AC$7,'Inputs (2)'!$D$2:$AL$2,0))</f>
        <v>18775</v>
      </c>
      <c r="AD4" s="16">
        <f>INDEX('Inputs (2)'!$D$50:$AL$50,MATCH(AD$7,'Inputs (2)'!$D$2:$AL$2,0))</f>
        <v>26422</v>
      </c>
      <c r="AE4" s="16">
        <f>INDEX('Inputs (2)'!$D$50:$AL$50,MATCH(AE$7,'Inputs (2)'!$D$2:$AL$2,0))</f>
        <v>31910</v>
      </c>
      <c r="AF4" s="16">
        <f>INDEX('Inputs (2)'!$D$50:$AL$50,MATCH(AF$7,'Inputs (2)'!$D$2:$AL$2,0))</f>
        <v>42960</v>
      </c>
      <c r="AG4" s="16">
        <f>IF(COUNT(AC4:AF4)=4,SUM(AC4:AF4),"")</f>
        <v>120067</v>
      </c>
      <c r="AH4" s="6">
        <f>INDEX('Inputs (2)'!$D$50:$AL$50,MATCH(AH$7,'Inputs (2)'!$D$2:$AL$2,0))</f>
        <v>58321</v>
      </c>
      <c r="AI4" s="6">
        <f>INDEX('Inputs (2)'!$D$50:$AL$50,MATCH(AI$7,'Inputs (2)'!$D$2:$AL$2,0))</f>
        <v>59688</v>
      </c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/>
      <c r="CJ4" s="6" t="n"/>
      <c r="CK4" s="6" t="n"/>
      <c r="CL4" s="6" t="n"/>
      <c r="CM4" s="6" t="n"/>
      <c r="CN4" s="6" t="n"/>
      <c r="CO4" s="6" t="n"/>
      <c r="CP4" s="6" t="n"/>
      <c r="CQ4" s="6" t="n"/>
      <c r="CR4" s="6" t="n"/>
      <c r="CS4" s="6" t="n"/>
      <c r="CT4" s="6" t="n"/>
      <c r="CU4" s="6" t="n"/>
      <c r="CV4" s="6" t="n"/>
      <c r="CW4" s="6" t="n"/>
      <c r="CX4" s="6" t="n"/>
      <c r="CY4" s="6" t="n"/>
    </row>
    <row r="5">
      <c r="B5" s="7" t="n">
        <v>45930</v>
      </c>
      <c r="D5" s="9" t="n">
        <v>43921</v>
      </c>
      <c r="E5" s="10">
        <f>DATE(YEAR(D5),MONTH(D5)+3,DAY(D5)-1)</f>
        <v>44012.0</v>
      </c>
      <c r="F5" s="10">
        <f>DATE(YEAR(E5),MONTH(E5)+3,DAY(E5))</f>
        <v>44104.0</v>
      </c>
      <c r="G5" s="10">
        <f>DATE(YEAR(F5),MONTH(F5)+3,DAY(F5)+1)</f>
        <v>44196.0</v>
      </c>
      <c r="H5" s="8">
        <f>G5</f>
        <v>44196.0</v>
      </c>
      <c r="I5" s="9" t="n">
        <v>44286</v>
      </c>
      <c r="J5" s="10">
        <f>DATE(YEAR(I5),MONTH(I5)+3,DAY(I5)-1)</f>
        <v>44377.0</v>
      </c>
      <c r="K5" s="10">
        <f>DATE(YEAR(J5),MONTH(J5)+3,DAY(J5))</f>
        <v>44469.0</v>
      </c>
      <c r="L5" s="10">
        <f>DATE(YEAR(K5),MONTH(K5)+3,DAY(K5)+1)</f>
        <v>44561.0</v>
      </c>
      <c r="M5" s="8">
        <f>L5</f>
        <v>44561.0</v>
      </c>
      <c r="N5" s="10">
        <f>DATE(YEAR(M5),MONTH(M5)+3,DAY(M5))</f>
        <v>44651.0</v>
      </c>
      <c r="O5" s="10">
        <f>DATE(YEAR(N5),MONTH(N5)+3,DAY(N5)-1)</f>
        <v>44742.0</v>
      </c>
      <c r="P5" s="10">
        <f>DATE(YEAR(O5),MONTH(O5)+3,DAY(O5))</f>
        <v>44834.0</v>
      </c>
      <c r="Q5" s="10">
        <f>DATE(YEAR(P5),MONTH(P5)+3,DAY(P5)+1)</f>
        <v>44926.0</v>
      </c>
      <c r="R5" s="8">
        <f>Q5</f>
        <v>44926.0</v>
      </c>
      <c r="S5" s="10">
        <f>DATE(YEAR(R5),MONTH(R5)+3,DAY(R5))</f>
        <v>45016.0</v>
      </c>
      <c r="T5" s="10">
        <f>DATE(YEAR(S5),MONTH(S5)+3,DAY(S5))-1</f>
        <v>45107.0</v>
      </c>
      <c r="U5" s="10">
        <f>DATE(YEAR(T5),MONTH(T5)+3,DAY(T5))</f>
        <v>45199.0</v>
      </c>
      <c r="V5" s="10">
        <f>DATE(YEAR(U5),MONTH(U5)+3,DAY(U5))+1</f>
        <v>45291.0</v>
      </c>
      <c r="W5" s="8">
        <f>V5</f>
        <v>45291.0</v>
      </c>
      <c r="X5" s="10">
        <f>DATE(YEAR(W5),MONTH(W5)+3,DAY(W5))</f>
        <v>45382.0</v>
      </c>
      <c r="Y5" s="10">
        <f>DATE(YEAR(X5),MONTH(X5)+3,DAY(X5))-1</f>
        <v>45473.0</v>
      </c>
      <c r="Z5" s="10">
        <f>DATE(YEAR(Y5),MONTH(Y5)+3,DAY(Y5))</f>
        <v>45565.0</v>
      </c>
      <c r="AA5" s="10">
        <f>DATE(YEAR(Z5),MONTH(Z5)+3,DAY(Z5))+1</f>
        <v>45657.0</v>
      </c>
      <c r="AB5" s="8">
        <f>AA5</f>
        <v>45657.0</v>
      </c>
      <c r="AC5" s="10">
        <f>DATE(YEAR(AB5),MONTH(AB5)+3,DAY(AB5))</f>
        <v>45747.0</v>
      </c>
      <c r="AD5" s="10">
        <f>DATE(YEAR(AC5),MONTH(AC5)+3,DAY(AC5))-1</f>
        <v>45838.0</v>
      </c>
      <c r="AE5" s="10">
        <f>DATE(YEAR(AD5),MONTH(AD5)+3,DAY(AD5))</f>
        <v>45930.0</v>
      </c>
      <c r="AF5" s="10">
        <f>DATE(YEAR(AE5),MONTH(AE5)+3,DAY(AE5))+1</f>
        <v>46022.0</v>
      </c>
      <c r="AG5" s="8">
        <f>AF5</f>
        <v>46022.0</v>
      </c>
      <c r="AH5" s="10">
        <f>DATE(YEAR(AG5),MONTH(AG5)+3,DAY(AG5))</f>
        <v>46112.0</v>
      </c>
      <c r="AI5" s="10">
        <f>DATE(YEAR(AH5),MONTH(AH5)+3,DAY(AH5))-1</f>
        <v>46203.0</v>
      </c>
      <c r="AJ5" s="10">
        <f>DATE(YEAR(AI5),MONTH(AI5)+3,DAY(AI5))</f>
        <v>46295.0</v>
      </c>
      <c r="AK5" s="10">
        <f>DATE(YEAR(AJ5),MONTH(AJ5)+3,DAY(AJ5))+1</f>
        <v>46387.0</v>
      </c>
      <c r="AL5" s="8">
        <f>AK5</f>
        <v>46387.0</v>
      </c>
      <c r="AM5" s="10">
        <f>DATE(YEAR(AL5),MONTH(AL5)+3,DAY(AL5))</f>
        <v>46477.0</v>
      </c>
      <c r="AN5" s="10">
        <f>DATE(YEAR(AM5),MONTH(AM5)+3,DAY(AM5))-1</f>
        <v>46568.0</v>
      </c>
      <c r="AO5" s="10">
        <f>DATE(YEAR(AN5),MONTH(AN5)+3,DAY(AN5))</f>
        <v>46660.0</v>
      </c>
      <c r="AP5" s="10">
        <f>DATE(YEAR(AO5),MONTH(AO5)+3,DAY(AO5))+1</f>
        <v>46752.0</v>
      </c>
      <c r="AQ5" s="8">
        <f>AP5</f>
        <v>46752.0</v>
      </c>
      <c r="AR5" s="10">
        <f>DATE(YEAR(AQ5),MONTH(AQ5)+3,DAY(AQ5))</f>
        <v>46843.0</v>
      </c>
      <c r="AS5" s="10">
        <f>DATE(YEAR(AR5),MONTH(AR5)+3,DAY(AR5))-1</f>
        <v>46934.0</v>
      </c>
      <c r="AT5" s="10">
        <f>DATE(YEAR(AS5),MONTH(AS5)+3,DAY(AS5))</f>
        <v>47026.0</v>
      </c>
      <c r="AU5" s="10">
        <f>DATE(YEAR(AT5),MONTH(AT5)+3,DAY(AT5))+1</f>
        <v>47118.0</v>
      </c>
      <c r="AV5" s="8">
        <f>AU5</f>
        <v>47118.0</v>
      </c>
      <c r="AW5" s="10">
        <f>DATE(YEAR(AV5),MONTH(AV5)+3,DAY(AV5))</f>
        <v>47208.0</v>
      </c>
      <c r="AX5" s="10">
        <f>DATE(YEAR(AW5),MONTH(AW5)+3,DAY(AW5))-1</f>
        <v>47299.0</v>
      </c>
      <c r="AY5" s="10">
        <f>DATE(YEAR(AX5),MONTH(AX5)+3,DAY(AX5))</f>
        <v>47391.0</v>
      </c>
      <c r="AZ5" s="10">
        <f>DATE(YEAR(AY5),MONTH(AY5)+3,DAY(AY5))+1</f>
        <v>47483.0</v>
      </c>
      <c r="BA5" s="8">
        <f>AZ5</f>
        <v>47483.0</v>
      </c>
      <c r="BB5" s="10">
        <f>DATE(YEAR(BA5),MONTH(BA5)+3,DAY(BA5))</f>
        <v>47573.0</v>
      </c>
      <c r="BC5" s="10">
        <f>DATE(YEAR(BB5),MONTH(BB5)+3,DAY(BB5))-1</f>
        <v>47664.0</v>
      </c>
      <c r="BD5" s="10">
        <f>DATE(YEAR(BC5),MONTH(BC5)+3,DAY(BC5))</f>
        <v>47756.0</v>
      </c>
      <c r="BE5" s="10">
        <f>DATE(YEAR(BD5),MONTH(BD5)+3,DAY(BD5))+1</f>
        <v>47848.0</v>
      </c>
      <c r="BF5" s="8">
        <f>BE5</f>
        <v>47848.0</v>
      </c>
      <c r="BG5" s="10">
        <f>DATE(YEAR(BF5),MONTH(BF5)+3,DAY(BF5))</f>
        <v>47938.0</v>
      </c>
      <c r="BH5" s="10">
        <f>DATE(YEAR(BG5),MONTH(BG5)+3,DAY(BG5))-1</f>
        <v>48029.0</v>
      </c>
      <c r="BI5" s="10">
        <f>DATE(YEAR(BH5),MONTH(BH5)+3,DAY(BH5))</f>
        <v>48121.0</v>
      </c>
      <c r="BJ5" s="10">
        <f>DATE(YEAR(BI5),MONTH(BI5)+3,DAY(BI5))+1</f>
        <v>48213.0</v>
      </c>
      <c r="BK5" s="8">
        <f>BJ5</f>
        <v>48213.0</v>
      </c>
      <c r="BL5" s="10">
        <f>DATE(YEAR(BK5),MONTH(BK5)+3,DAY(BK5))</f>
        <v>48304.0</v>
      </c>
      <c r="BM5" s="10">
        <f>DATE(YEAR(BL5),MONTH(BL5)+3,DAY(BL5))-1</f>
        <v>48395.0</v>
      </c>
      <c r="BN5" s="10">
        <f>DATE(YEAR(BM5),MONTH(BM5)+3,DAY(BM5))</f>
        <v>48487.0</v>
      </c>
      <c r="BO5" s="10">
        <f>DATE(YEAR(BN5),MONTH(BN5)+3,DAY(BN5))+1</f>
        <v>48579.0</v>
      </c>
      <c r="BP5" s="8">
        <f>BO5</f>
        <v>48579.0</v>
      </c>
      <c r="BQ5" s="10">
        <f>DATE(YEAR(BP5),MONTH(BP5)+3,DAY(BP5))</f>
        <v>48669.0</v>
      </c>
      <c r="BR5" s="10">
        <f>DATE(YEAR(BQ5),MONTH(BQ5)+3,DAY(BQ5))-1</f>
        <v>48760.0</v>
      </c>
      <c r="BS5" s="10">
        <f>DATE(YEAR(BR5),MONTH(BR5)+3,DAY(BR5))</f>
        <v>48852.0</v>
      </c>
      <c r="BT5" s="10">
        <f>DATE(YEAR(BS5),MONTH(BS5)+3,DAY(BS5))+1</f>
        <v>48944.0</v>
      </c>
      <c r="BU5" s="8">
        <f>BT5</f>
        <v>48944.0</v>
      </c>
      <c r="BV5" s="10">
        <f>DATE(YEAR(BU5),MONTH(BU5)+3,DAY(BU5))</f>
        <v>49034.0</v>
      </c>
      <c r="BW5" s="10">
        <f>DATE(YEAR(BV5),MONTH(BV5)+3,DAY(BV5))-1</f>
        <v>49125.0</v>
      </c>
      <c r="BX5" s="10">
        <f>DATE(YEAR(BW5),MONTH(BW5)+3,DAY(BW5))</f>
        <v>49217.0</v>
      </c>
      <c r="BY5" s="10">
        <f>DATE(YEAR(BX5),MONTH(BX5)+3,DAY(BX5))+1</f>
        <v>49309.0</v>
      </c>
      <c r="BZ5" s="8">
        <f>BY5</f>
        <v>49309.0</v>
      </c>
      <c r="CA5" s="10">
        <f>DATE(YEAR(BZ5),MONTH(BZ5)+3,DAY(BZ5))</f>
        <v>49399.0</v>
      </c>
      <c r="CB5" s="10">
        <f>DATE(YEAR(CA5),MONTH(CA5)+3,DAY(CA5))-1</f>
        <v>49490.0</v>
      </c>
      <c r="CC5" s="10">
        <f>DATE(YEAR(CB5),MONTH(CB5)+3,DAY(CB5))</f>
        <v>49582.0</v>
      </c>
      <c r="CD5" s="10">
        <f>DATE(YEAR(CC5),MONTH(CC5)+3,DAY(CC5))+1</f>
        <v>49674.0</v>
      </c>
      <c r="CE5" s="8">
        <f>CD5</f>
        <v>49674.0</v>
      </c>
      <c r="CF5" s="10">
        <f>DATE(YEAR(CE5),MONTH(CE5)+3,DAY(CE5))</f>
        <v>49765.0</v>
      </c>
      <c r="CG5" s="10">
        <f>DATE(YEAR(CF5),MONTH(CF5)+3,DAY(CF5))-1</f>
        <v>49856.0</v>
      </c>
      <c r="CH5" s="10">
        <f>DATE(YEAR(CG5),MONTH(CG5)+3,DAY(CG5))</f>
        <v>49948.0</v>
      </c>
      <c r="CI5" s="10">
        <f>DATE(YEAR(CH5),MONTH(CH5)+3,DAY(CH5))+1</f>
        <v>50040.0</v>
      </c>
      <c r="CJ5" s="8">
        <f>CI5</f>
        <v>50040.0</v>
      </c>
      <c r="CK5" s="10">
        <f>DATE(YEAR(CJ5),MONTH(CJ5)+3,DAY(CJ5))</f>
        <v>50130.0</v>
      </c>
      <c r="CL5" s="10">
        <f>DATE(YEAR(CK5),MONTH(CK5)+3,DAY(CK5))-1</f>
        <v>50221.0</v>
      </c>
      <c r="CM5" s="10">
        <f>DATE(YEAR(CL5),MONTH(CL5)+3,DAY(CL5))</f>
        <v>50313.0</v>
      </c>
      <c r="CN5" s="10">
        <f>DATE(YEAR(CM5),MONTH(CM5)+3,DAY(CM5))+1</f>
        <v>50405.0</v>
      </c>
      <c r="CO5" s="8">
        <f>CN5</f>
        <v>50405.0</v>
      </c>
      <c r="CP5" s="10">
        <f>DATE(YEAR(CO5),MONTH(CO5)+3,DAY(CO5))</f>
        <v>50495.0</v>
      </c>
      <c r="CQ5" s="10">
        <f>DATE(YEAR(CP5),MONTH(CP5)+3,DAY(CP5))-1</f>
        <v>50586.0</v>
      </c>
      <c r="CR5" s="10">
        <f>DATE(YEAR(CQ5),MONTH(CQ5)+3,DAY(CQ5))</f>
        <v>50678.0</v>
      </c>
      <c r="CS5" s="10">
        <f>DATE(YEAR(CR5),MONTH(CR5)+3,DAY(CR5))+1</f>
        <v>50770.0</v>
      </c>
      <c r="CT5" s="8">
        <f>CS5</f>
        <v>50770.0</v>
      </c>
      <c r="CU5" s="10">
        <f>DATE(YEAR(CT5),MONTH(CT5)+3,DAY(CT5))</f>
        <v>50860.0</v>
      </c>
      <c r="CV5" s="10">
        <f>DATE(YEAR(CU5),MONTH(CU5)+3,DAY(CU5))-1</f>
        <v>50951.0</v>
      </c>
      <c r="CW5" s="10">
        <f>DATE(YEAR(CV5),MONTH(CV5)+3,DAY(CV5))</f>
        <v>51043.0</v>
      </c>
      <c r="CX5" s="10">
        <f>DATE(YEAR(CW5),MONTH(CW5)+3,DAY(CW5))+1</f>
        <v>51135.0</v>
      </c>
      <c r="CY5" s="8">
        <f>CX5</f>
        <v>51135.0</v>
      </c>
    </row>
    <row r="6">
      <c r="B6" s="49" t="n"/>
      <c r="D6" s="11">
        <f>YEAR(D5)</f>
        <v>2020</v>
      </c>
      <c r="E6" s="11">
        <f>YEAR(E5)</f>
        <v>2020</v>
      </c>
      <c r="F6" s="11">
        <f>YEAR(F5)</f>
        <v>2020</v>
      </c>
      <c r="G6" s="11">
        <f>YEAR(G5)</f>
        <v>2020</v>
      </c>
      <c r="H6" s="11">
        <f>YEAR(H5)</f>
        <v>2020</v>
      </c>
      <c r="I6" s="11">
        <f>YEAR(I5)</f>
        <v>2021</v>
      </c>
      <c r="J6" s="11">
        <f>YEAR(J5)</f>
        <v>2021</v>
      </c>
      <c r="K6" s="11">
        <f>YEAR(K5)</f>
        <v>2021</v>
      </c>
      <c r="L6" s="11">
        <f>YEAR(L5)</f>
        <v>2021</v>
      </c>
      <c r="M6" s="11">
        <f>YEAR(M5)</f>
        <v>2021</v>
      </c>
      <c r="N6" s="11">
        <f>YEAR(N5)</f>
        <v>2022</v>
      </c>
      <c r="O6" s="11">
        <f>YEAR(O5)</f>
        <v>2022</v>
      </c>
      <c r="P6" s="11">
        <f>YEAR(P5)</f>
        <v>2022</v>
      </c>
      <c r="Q6" s="11">
        <f>YEAR(Q5)</f>
        <v>2022</v>
      </c>
      <c r="R6" s="11">
        <f>YEAR(R5)</f>
        <v>2022</v>
      </c>
      <c r="S6" s="11">
        <f>YEAR(S5)</f>
        <v>2023</v>
      </c>
      <c r="T6" s="11">
        <f>YEAR(T5)</f>
        <v>2023</v>
      </c>
      <c r="U6" s="11">
        <f>YEAR(U5)</f>
        <v>2023</v>
      </c>
      <c r="V6" s="11">
        <f>YEAR(V5)</f>
        <v>2023</v>
      </c>
      <c r="W6" s="11">
        <f>YEAR(W5)</f>
        <v>2023</v>
      </c>
      <c r="X6" s="11">
        <f>YEAR(X5)</f>
        <v>2024</v>
      </c>
      <c r="Y6" s="11">
        <f>YEAR(Y5)</f>
        <v>2024</v>
      </c>
      <c r="Z6" s="11">
        <f>YEAR(Z5)</f>
        <v>2024</v>
      </c>
      <c r="AA6" s="11">
        <f>YEAR(AA5)</f>
        <v>2024</v>
      </c>
      <c r="AB6" s="11">
        <f>YEAR(AB5)</f>
        <v>2024</v>
      </c>
      <c r="AC6" s="11">
        <f>YEAR(AC5)</f>
        <v>2025</v>
      </c>
      <c r="AD6" s="11">
        <f>YEAR(AD5)</f>
        <v>2025</v>
      </c>
      <c r="AE6" s="11">
        <f>YEAR(AE5)</f>
        <v>2025</v>
      </c>
      <c r="AF6" s="11">
        <f>YEAR(AF5)</f>
        <v>2025</v>
      </c>
      <c r="AG6" s="11">
        <f>YEAR(AG5)</f>
        <v>2025</v>
      </c>
      <c r="AH6" s="11">
        <f>YEAR(AH5)</f>
        <v>2026</v>
      </c>
      <c r="AI6" s="11">
        <f>YEAR(AI5)</f>
        <v>2026</v>
      </c>
      <c r="AJ6" s="11">
        <f>YEAR(AJ5)</f>
        <v>2026</v>
      </c>
      <c r="AK6" s="11">
        <f>YEAR(AK5)</f>
        <v>2026</v>
      </c>
      <c r="AL6" s="11">
        <f>YEAR(AL5)</f>
        <v>2026</v>
      </c>
      <c r="AM6" s="11">
        <f>YEAR(AM5)</f>
        <v>2027</v>
      </c>
      <c r="AN6" s="11">
        <f>YEAR(AN5)</f>
        <v>2027</v>
      </c>
      <c r="AO6" s="11">
        <f>YEAR(AO5)</f>
        <v>2027</v>
      </c>
      <c r="AP6" s="11">
        <f>YEAR(AP5)</f>
        <v>2027</v>
      </c>
      <c r="AQ6" s="11">
        <f>YEAR(AQ5)</f>
        <v>2027</v>
      </c>
      <c r="AR6" s="11">
        <f>YEAR(AR5)</f>
        <v>2028</v>
      </c>
      <c r="AS6" s="11">
        <f>YEAR(AS5)</f>
        <v>2028</v>
      </c>
      <c r="AT6" s="11">
        <f>YEAR(AT5)</f>
        <v>2028</v>
      </c>
      <c r="AU6" s="11">
        <f>YEAR(AU5)</f>
        <v>2028</v>
      </c>
      <c r="AV6" s="11">
        <f>YEAR(AV5)</f>
        <v>2028</v>
      </c>
      <c r="AW6" s="11">
        <f>YEAR(AW5)</f>
        <v>2029</v>
      </c>
      <c r="AX6" s="11">
        <f>YEAR(AX5)</f>
        <v>2029</v>
      </c>
      <c r="AY6" s="11">
        <f>YEAR(AY5)</f>
        <v>2029</v>
      </c>
      <c r="AZ6" s="11">
        <f>YEAR(AZ5)</f>
        <v>2029</v>
      </c>
      <c r="BA6" s="11">
        <f>YEAR(BA5)</f>
        <v>2029</v>
      </c>
      <c r="BB6" s="11">
        <f>YEAR(BB5)</f>
        <v>2030</v>
      </c>
      <c r="BC6" s="11">
        <f>YEAR(BC5)</f>
        <v>2030</v>
      </c>
      <c r="BD6" s="11">
        <f>YEAR(BD5)</f>
        <v>2030</v>
      </c>
      <c r="BE6" s="11">
        <f>YEAR(BE5)</f>
        <v>2030</v>
      </c>
      <c r="BF6" s="11">
        <f>YEAR(BF5)</f>
        <v>2030</v>
      </c>
      <c r="BG6" s="11">
        <f>YEAR(BG5)</f>
        <v>2031</v>
      </c>
      <c r="BH6" s="11">
        <f>YEAR(BH5)</f>
        <v>2031</v>
      </c>
      <c r="BI6" s="11">
        <f>YEAR(BI5)</f>
        <v>2031</v>
      </c>
      <c r="BJ6" s="11">
        <f>YEAR(BJ5)</f>
        <v>2031</v>
      </c>
      <c r="BK6" s="11">
        <f>YEAR(BK5)</f>
        <v>2031</v>
      </c>
      <c r="BL6" s="11">
        <f>YEAR(BL5)</f>
        <v>2032</v>
      </c>
      <c r="BM6" s="11">
        <f>YEAR(BM5)</f>
        <v>2032</v>
      </c>
      <c r="BN6" s="11">
        <f>YEAR(BN5)</f>
        <v>2032</v>
      </c>
      <c r="BO6" s="11">
        <f>YEAR(BO5)</f>
        <v>2032</v>
      </c>
      <c r="BP6" s="11">
        <f>YEAR(BP5)</f>
        <v>2032</v>
      </c>
      <c r="BQ6" s="11">
        <f>YEAR(BQ5)</f>
        <v>2033</v>
      </c>
      <c r="BR6" s="11">
        <f>YEAR(BR5)</f>
        <v>2033</v>
      </c>
      <c r="BS6" s="11">
        <f>YEAR(BS5)</f>
        <v>2033</v>
      </c>
      <c r="BT6" s="11">
        <f>YEAR(BT5)</f>
        <v>2033</v>
      </c>
      <c r="BU6" s="11">
        <f>YEAR(BU5)</f>
        <v>2033</v>
      </c>
      <c r="BV6" s="11">
        <f>YEAR(BV5)</f>
        <v>2034</v>
      </c>
      <c r="BW6" s="11">
        <f>YEAR(BW5)</f>
        <v>2034</v>
      </c>
      <c r="BX6" s="11">
        <f>YEAR(BX5)</f>
        <v>2034</v>
      </c>
      <c r="BY6" s="11">
        <f>YEAR(BY5)</f>
        <v>2034</v>
      </c>
      <c r="BZ6" s="11">
        <f>YEAR(BZ5)</f>
        <v>2034</v>
      </c>
      <c r="CA6" s="11">
        <f>YEAR(CA5)</f>
        <v>2035</v>
      </c>
      <c r="CB6" s="11">
        <f>YEAR(CB5)</f>
        <v>2035</v>
      </c>
      <c r="CC6" s="11">
        <f>YEAR(CC5)</f>
        <v>2035</v>
      </c>
      <c r="CD6" s="11">
        <f>YEAR(CD5)</f>
        <v>2035</v>
      </c>
      <c r="CE6" s="11">
        <f>YEAR(CE5)</f>
        <v>2035</v>
      </c>
      <c r="CF6" s="11">
        <f>YEAR(CF5)</f>
        <v>2036</v>
      </c>
      <c r="CG6" s="11">
        <f>YEAR(CG5)</f>
        <v>2036</v>
      </c>
      <c r="CH6" s="11">
        <f>YEAR(CH5)</f>
        <v>2036</v>
      </c>
      <c r="CI6" s="11">
        <f>YEAR(CI5)</f>
        <v>2036</v>
      </c>
      <c r="CJ6" s="11">
        <f>YEAR(CJ5)</f>
        <v>2036</v>
      </c>
      <c r="CK6" s="11">
        <f>YEAR(CK5)</f>
        <v>2037</v>
      </c>
      <c r="CL6" s="11">
        <f>YEAR(CL5)</f>
        <v>2037</v>
      </c>
      <c r="CM6" s="11">
        <f>YEAR(CM5)</f>
        <v>2037</v>
      </c>
      <c r="CN6" s="11">
        <f>YEAR(CN5)</f>
        <v>2037</v>
      </c>
      <c r="CO6" s="11">
        <f>YEAR(CO5)</f>
        <v>2037</v>
      </c>
      <c r="CP6" s="11">
        <f>YEAR(CP5)</f>
        <v>2038</v>
      </c>
      <c r="CQ6" s="11">
        <f>YEAR(CQ5)</f>
        <v>2038</v>
      </c>
      <c r="CR6" s="11">
        <f>YEAR(CR5)</f>
        <v>2038</v>
      </c>
      <c r="CS6" s="11">
        <f>YEAR(CS5)</f>
        <v>2038</v>
      </c>
      <c r="CT6" s="11">
        <f>YEAR(CT5)</f>
        <v>2038</v>
      </c>
      <c r="CU6" s="11">
        <f>YEAR(CU5)</f>
        <v>2039</v>
      </c>
      <c r="CV6" s="11">
        <f>YEAR(CV5)</f>
        <v>2039</v>
      </c>
      <c r="CW6" s="11">
        <f>YEAR(CW5)</f>
        <v>2039</v>
      </c>
      <c r="CX6" s="11">
        <f>YEAR(CX5)</f>
        <v>2039</v>
      </c>
      <c r="CY6" s="11">
        <f>YEAR(CY5)</f>
        <v>2039</v>
      </c>
    </row>
    <row r="7">
      <c r="B7" s="4" t="n"/>
      <c r="D7" s="50" t="str">
        <f>"1Q"&amp;RIGHT(D6,2)</f>
        <v>1Q20</v>
      </c>
      <c r="E7" s="50" t="str">
        <f>"2Q"&amp;RIGHT(E6,2)</f>
        <v>2Q20</v>
      </c>
      <c r="F7" s="50" t="str">
        <f>"3Q"&amp;RIGHT(F6,2)</f>
        <v>3Q20</v>
      </c>
      <c r="G7" s="50" t="str">
        <f>"4Q"&amp;RIGHT(G6,2)</f>
        <v>4Q20</v>
      </c>
      <c r="H7" s="31" t="n">
        <v>2020</v>
      </c>
      <c r="I7" s="50" t="str">
        <f>"1Q"&amp;RIGHT(I6,2)</f>
        <v>1Q21</v>
      </c>
      <c r="J7" s="50" t="str">
        <f>"2Q"&amp;RIGHT(J6,2)</f>
        <v>2Q21</v>
      </c>
      <c r="K7" s="50" t="str">
        <f>"3Q"&amp;RIGHT(K6,2)</f>
        <v>3Q21</v>
      </c>
      <c r="L7" s="50" t="str">
        <f>"4Q"&amp;RIGHT(L6,2)</f>
        <v>4Q21</v>
      </c>
      <c r="M7" s="31">
        <f>H7+1</f>
        <v>2021</v>
      </c>
      <c r="N7" s="50" t="str">
        <f>"1Q"&amp;RIGHT(N6,2)</f>
        <v>1Q22</v>
      </c>
      <c r="O7" s="50" t="str">
        <f>"2Q"&amp;RIGHT(O6,2)</f>
        <v>2Q22</v>
      </c>
      <c r="P7" s="50" t="str">
        <f>"3Q"&amp;RIGHT(P6,2)</f>
        <v>3Q22</v>
      </c>
      <c r="Q7" s="50" t="str">
        <f>"4Q"&amp;RIGHT(Q6,2)</f>
        <v>4Q22</v>
      </c>
      <c r="R7" s="31">
        <f>M7+1</f>
        <v>2022</v>
      </c>
      <c r="S7" s="50" t="str">
        <f>"1Q"&amp;RIGHT(S6,2)</f>
        <v>1Q23</v>
      </c>
      <c r="T7" s="50" t="str">
        <f>"2Q"&amp;RIGHT(T6,2)</f>
        <v>2Q23</v>
      </c>
      <c r="U7" s="50" t="str">
        <f>"3Q"&amp;RIGHT(U6,2)</f>
        <v>3Q23</v>
      </c>
      <c r="V7" s="50" t="str">
        <f>"4Q"&amp;RIGHT(V6,2)</f>
        <v>4Q23</v>
      </c>
      <c r="W7" s="31">
        <f>R7+1</f>
        <v>2023</v>
      </c>
      <c r="X7" s="50" t="str">
        <f>"1Q"&amp;RIGHT(X6,2)</f>
        <v>1Q24</v>
      </c>
      <c r="Y7" s="50" t="str">
        <f>"2Q"&amp;RIGHT(Y6,2)</f>
        <v>2Q24</v>
      </c>
      <c r="Z7" s="50" t="str">
        <f>"3Q"&amp;RIGHT(Z6,2)</f>
        <v>3Q24</v>
      </c>
      <c r="AA7" s="50" t="str">
        <f>"4Q"&amp;RIGHT(AA6,2)</f>
        <v>4Q24</v>
      </c>
      <c r="AB7" s="31">
        <f>W7+1</f>
        <v>2024</v>
      </c>
      <c r="AC7" s="50" t="str">
        <f>"1Q"&amp;RIGHT(AC6,2)</f>
        <v>1Q25</v>
      </c>
      <c r="AD7" s="50" t="str">
        <f>"2Q"&amp;RIGHT(AD6,2)</f>
        <v>2Q25</v>
      </c>
      <c r="AE7" s="50" t="str">
        <f>"3Q"&amp;RIGHT(AE6,2)</f>
        <v>3Q25</v>
      </c>
      <c r="AF7" s="50" t="str">
        <f>"4Q"&amp;RIGHT(AF6,2)</f>
        <v>4Q25</v>
      </c>
      <c r="AG7" s="31">
        <f>AB7+1</f>
        <v>2025</v>
      </c>
      <c r="AH7" s="50" t="str">
        <f>"1Q"&amp;RIGHT(AH6,2)</f>
        <v>1Q26</v>
      </c>
      <c r="AI7" s="50" t="str">
        <f>"2Q"&amp;RIGHT(AI6,2)</f>
        <v>2Q26</v>
      </c>
      <c r="AJ7" s="50" t="str">
        <f>"3Q"&amp;RIGHT(AJ6,2)</f>
        <v>3Q26</v>
      </c>
      <c r="AK7" s="50" t="str">
        <f>"4Q"&amp;RIGHT(AK6,2)</f>
        <v>4Q26</v>
      </c>
      <c r="AL7" s="31">
        <f>AG7+1</f>
        <v>2026</v>
      </c>
      <c r="AM7" s="50" t="str">
        <f>"1Q"&amp;RIGHT(AM6,2)</f>
        <v>1Q27</v>
      </c>
      <c r="AN7" s="50" t="str">
        <f>"2Q"&amp;RIGHT(AN6,2)</f>
        <v>2Q27</v>
      </c>
      <c r="AO7" s="50" t="str">
        <f>"3Q"&amp;RIGHT(AO6,2)</f>
        <v>3Q27</v>
      </c>
      <c r="AP7" s="50" t="str">
        <f>"4Q"&amp;RIGHT(AP6,2)</f>
        <v>4Q27</v>
      </c>
      <c r="AQ7" s="31">
        <f>AL7+1</f>
        <v>2027</v>
      </c>
      <c r="AR7" s="50" t="str">
        <f>"1Q"&amp;RIGHT(AR6,2)</f>
        <v>1Q28</v>
      </c>
      <c r="AS7" s="50" t="str">
        <f>"2Q"&amp;RIGHT(AS6,2)</f>
        <v>2Q28</v>
      </c>
      <c r="AT7" s="50" t="str">
        <f>"3Q"&amp;RIGHT(AT6,2)</f>
        <v>3Q28</v>
      </c>
      <c r="AU7" s="50" t="str">
        <f>"4Q"&amp;RIGHT(AU6,2)</f>
        <v>4Q28</v>
      </c>
      <c r="AV7" s="31">
        <f>AQ7+1</f>
        <v>2028</v>
      </c>
      <c r="AW7" s="50" t="str">
        <f>"1Q"&amp;RIGHT(AW6,2)</f>
        <v>1Q29</v>
      </c>
      <c r="AX7" s="50" t="str">
        <f>"2Q"&amp;RIGHT(AX6,2)</f>
        <v>2Q29</v>
      </c>
      <c r="AY7" s="50" t="str">
        <f>"3Q"&amp;RIGHT(AY6,2)</f>
        <v>3Q29</v>
      </c>
      <c r="AZ7" s="50" t="str">
        <f>"4Q"&amp;RIGHT(AZ6,2)</f>
        <v>4Q29</v>
      </c>
      <c r="BA7" s="31">
        <f>AV7+1</f>
        <v>2029</v>
      </c>
      <c r="BB7" s="50" t="str">
        <f>"1Q"&amp;RIGHT(BB6,2)</f>
        <v>1Q30</v>
      </c>
      <c r="BC7" s="50" t="str">
        <f>"2Q"&amp;RIGHT(BC6,2)</f>
        <v>2Q30</v>
      </c>
      <c r="BD7" s="50" t="str">
        <f>"3Q"&amp;RIGHT(BD6,2)</f>
        <v>3Q30</v>
      </c>
      <c r="BE7" s="50" t="str">
        <f>"4Q"&amp;RIGHT(BE6,2)</f>
        <v>4Q30</v>
      </c>
      <c r="BF7" s="31">
        <f>BA7+1</f>
        <v>2030</v>
      </c>
      <c r="BG7" s="50" t="str">
        <f>"1Q"&amp;RIGHT(BG6,2)</f>
        <v>1Q31</v>
      </c>
      <c r="BH7" s="50" t="str">
        <f>"2Q"&amp;RIGHT(BH6,2)</f>
        <v>2Q31</v>
      </c>
      <c r="BI7" s="50" t="str">
        <f>"3Q"&amp;RIGHT(BI6,2)</f>
        <v>3Q31</v>
      </c>
      <c r="BJ7" s="50" t="str">
        <f>"4Q"&amp;RIGHT(BJ6,2)</f>
        <v>4Q31</v>
      </c>
      <c r="BK7" s="31">
        <f>BF7+1</f>
        <v>2031</v>
      </c>
      <c r="BL7" s="50" t="str">
        <f>"1Q"&amp;RIGHT(BL6,2)</f>
        <v>1Q32</v>
      </c>
      <c r="BM7" s="50" t="str">
        <f>"2Q"&amp;RIGHT(BM6,2)</f>
        <v>2Q32</v>
      </c>
      <c r="BN7" s="50" t="str">
        <f>"3Q"&amp;RIGHT(BN6,2)</f>
        <v>3Q32</v>
      </c>
      <c r="BO7" s="50" t="str">
        <f>"4Q"&amp;RIGHT(BO6,2)</f>
        <v>4Q32</v>
      </c>
      <c r="BP7" s="31">
        <f>BK7+1</f>
        <v>2032</v>
      </c>
      <c r="BQ7" s="50" t="str">
        <f>"1Q"&amp;RIGHT(BQ6,2)</f>
        <v>1Q33</v>
      </c>
      <c r="BR7" s="50" t="str">
        <f>"2Q"&amp;RIGHT(BR6,2)</f>
        <v>2Q33</v>
      </c>
      <c r="BS7" s="50" t="str">
        <f>"3Q"&amp;RIGHT(BS6,2)</f>
        <v>3Q33</v>
      </c>
      <c r="BT7" s="50" t="str">
        <f>"4Q"&amp;RIGHT(BT6,2)</f>
        <v>4Q33</v>
      </c>
      <c r="BU7" s="31">
        <f>BP7+1</f>
        <v>2033</v>
      </c>
      <c r="BV7" s="50" t="str">
        <f>"1Q"&amp;RIGHT(BV6,2)</f>
        <v>1Q34</v>
      </c>
      <c r="BW7" s="50" t="str">
        <f>"2Q"&amp;RIGHT(BW6,2)</f>
        <v>2Q34</v>
      </c>
      <c r="BX7" s="50" t="str">
        <f>"3Q"&amp;RIGHT(BX6,2)</f>
        <v>3Q34</v>
      </c>
      <c r="BY7" s="50" t="str">
        <f>"4Q"&amp;RIGHT(BY6,2)</f>
        <v>4Q34</v>
      </c>
      <c r="BZ7" s="31">
        <f>BU7+1</f>
        <v>2034</v>
      </c>
      <c r="CA7" s="50" t="str">
        <f>"1Q"&amp;RIGHT(CA6,2)</f>
        <v>1Q35</v>
      </c>
      <c r="CB7" s="50" t="str">
        <f>"2Q"&amp;RIGHT(CB6,2)</f>
        <v>2Q35</v>
      </c>
      <c r="CC7" s="50" t="str">
        <f>"3Q"&amp;RIGHT(CC6,2)</f>
        <v>3Q35</v>
      </c>
      <c r="CD7" s="50" t="str">
        <f>"4Q"&amp;RIGHT(CD6,2)</f>
        <v>4Q35</v>
      </c>
      <c r="CE7" s="31">
        <f>BZ7+1</f>
        <v>2035</v>
      </c>
      <c r="CF7" s="50" t="str">
        <f>"1Q"&amp;RIGHT(CF6,2)</f>
        <v>1Q36</v>
      </c>
      <c r="CG7" s="50" t="str">
        <f>"2Q"&amp;RIGHT(CG6,2)</f>
        <v>2Q36</v>
      </c>
      <c r="CH7" s="50" t="str">
        <f>"3Q"&amp;RIGHT(CH6,2)</f>
        <v>3Q36</v>
      </c>
      <c r="CI7" s="50" t="str">
        <f>"4Q"&amp;RIGHT(CI6,2)</f>
        <v>4Q36</v>
      </c>
      <c r="CJ7" s="31">
        <f>CE7+1</f>
        <v>2036</v>
      </c>
      <c r="CK7" s="50" t="str">
        <f>"1Q"&amp;RIGHT(CK6,2)</f>
        <v>1Q37</v>
      </c>
      <c r="CL7" s="50" t="str">
        <f>"2Q"&amp;RIGHT(CL6,2)</f>
        <v>2Q37</v>
      </c>
      <c r="CM7" s="50" t="str">
        <f>"3Q"&amp;RIGHT(CM6,2)</f>
        <v>3Q37</v>
      </c>
      <c r="CN7" s="50" t="str">
        <f>"4Q"&amp;RIGHT(CN6,2)</f>
        <v>4Q37</v>
      </c>
      <c r="CO7" s="31">
        <f>CJ7+1</f>
        <v>2037</v>
      </c>
      <c r="CP7" s="50" t="str">
        <f>"1Q"&amp;RIGHT(CP6,2)</f>
        <v>1Q38</v>
      </c>
      <c r="CQ7" s="50" t="str">
        <f>"2Q"&amp;RIGHT(CQ6,2)</f>
        <v>2Q38</v>
      </c>
      <c r="CR7" s="50" t="str">
        <f>"3Q"&amp;RIGHT(CR6,2)</f>
        <v>3Q38</v>
      </c>
      <c r="CS7" s="50" t="str">
        <f>"4Q"&amp;RIGHT(CS6,2)</f>
        <v>4Q38</v>
      </c>
      <c r="CT7" s="31">
        <f>CO7+1</f>
        <v>2038</v>
      </c>
      <c r="CU7" s="50" t="str">
        <f>"1Q"&amp;RIGHT(CU6,2)</f>
        <v>1Q39</v>
      </c>
      <c r="CV7" s="50" t="str">
        <f>"2Q"&amp;RIGHT(CV6,2)</f>
        <v>2Q39</v>
      </c>
      <c r="CW7" s="50" t="str">
        <f>"3Q"&amp;RIGHT(CW6,2)</f>
        <v>3Q39</v>
      </c>
      <c r="CX7" s="50" t="str">
        <f>"4Q"&amp;RIGHT(CX6,2)</f>
        <v>4Q39</v>
      </c>
      <c r="CY7" s="31">
        <f>CT7+1</f>
        <v>2039</v>
      </c>
    </row>
    <row r="8">
      <c r="B8" s="4" t="n"/>
      <c r="C8" s="4" t="inlineStr">
        <is>
          <t>IPCA</t>
        </is>
      </c>
      <c r="D8" s="50" t="n"/>
      <c r="E8" s="50" t="n"/>
      <c r="F8" s="50" t="n"/>
      <c r="G8" s="50" t="n"/>
      <c r="H8" s="227" t="n">
        <v>0.0485</v>
      </c>
      <c r="I8" s="50" t="n"/>
      <c r="J8" s="50" t="n"/>
      <c r="K8" s="50" t="n"/>
      <c r="L8" s="50" t="n"/>
      <c r="M8" s="227" t="n">
        <v>0.1006</v>
      </c>
      <c r="N8" s="50" t="n"/>
      <c r="O8" s="50" t="n"/>
      <c r="P8" s="50" t="n"/>
      <c r="Q8" s="50" t="n"/>
      <c r="R8" s="227" t="n">
        <v>0.0579</v>
      </c>
      <c r="S8" s="50" t="n"/>
      <c r="T8" s="50" t="n"/>
      <c r="U8" s="50" t="n"/>
      <c r="V8" s="50" t="n"/>
      <c r="W8" s="227" t="n">
        <v>0.0468</v>
      </c>
      <c r="X8" s="50" t="n"/>
      <c r="Y8" s="50" t="n"/>
      <c r="Z8" s="50" t="n"/>
      <c r="AA8" s="50" t="n"/>
      <c r="AB8" s="227" t="n">
        <v>0.0483</v>
      </c>
      <c r="AC8" s="50" t="n"/>
      <c r="AD8" s="50" t="n"/>
      <c r="AE8" s="50" t="n"/>
      <c r="AF8" s="50" t="n"/>
      <c r="AG8" s="227" t="n">
        <v>0.0468</v>
      </c>
      <c r="AH8" s="50" t="n"/>
      <c r="AI8" s="50" t="n"/>
      <c r="AJ8" s="50" t="n"/>
      <c r="AK8" s="50" t="n"/>
      <c r="AL8" s="217" t="n"/>
      <c r="AM8" s="50" t="n"/>
      <c r="AN8" s="50" t="n"/>
      <c r="AO8" s="50" t="n"/>
      <c r="AP8" s="50" t="n"/>
      <c r="AQ8" s="217" t="n"/>
      <c r="AR8" s="50" t="n"/>
      <c r="AS8" s="50" t="n"/>
      <c r="AT8" s="50" t="n"/>
      <c r="AU8" s="50" t="n"/>
      <c r="AV8" s="217" t="n"/>
      <c r="AW8" s="50" t="n"/>
      <c r="AX8" s="50" t="n"/>
      <c r="AY8" s="50" t="n"/>
      <c r="AZ8" s="50" t="n"/>
      <c r="BA8" s="217" t="n"/>
      <c r="BB8" s="50" t="n"/>
      <c r="BC8" s="50" t="n"/>
      <c r="BD8" s="50" t="n"/>
      <c r="BE8" s="50" t="n"/>
      <c r="BF8" s="217" t="n"/>
      <c r="BG8" s="50" t="n"/>
      <c r="BH8" s="50" t="n"/>
      <c r="BI8" s="50" t="n"/>
      <c r="BJ8" s="50" t="n"/>
      <c r="BK8" s="217" t="n"/>
      <c r="BL8" s="50" t="n"/>
      <c r="BM8" s="50" t="n"/>
      <c r="BN8" s="50" t="n"/>
      <c r="BO8" s="50" t="n"/>
      <c r="BP8" s="217" t="n"/>
      <c r="BQ8" s="50" t="n"/>
      <c r="BR8" s="50" t="n"/>
      <c r="BS8" s="50" t="n"/>
      <c r="BT8" s="50" t="n"/>
      <c r="BU8" s="217" t="n"/>
      <c r="BV8" s="50" t="n"/>
      <c r="BW8" s="50" t="n"/>
      <c r="BX8" s="50" t="n"/>
      <c r="BY8" s="50" t="n"/>
      <c r="BZ8" s="217" t="n"/>
      <c r="CA8" s="50" t="n"/>
      <c r="CB8" s="50" t="n"/>
      <c r="CC8" s="50" t="n"/>
      <c r="CD8" s="50" t="n"/>
      <c r="CE8" s="217" t="n"/>
      <c r="CF8" s="50" t="n"/>
      <c r="CG8" s="50" t="n"/>
      <c r="CH8" s="50" t="n"/>
      <c r="CI8" s="50" t="n"/>
      <c r="CJ8" s="217" t="n"/>
      <c r="CK8" s="50" t="n"/>
      <c r="CL8" s="50" t="n"/>
      <c r="CM8" s="50" t="n"/>
      <c r="CN8" s="50" t="n"/>
      <c r="CO8" s="217" t="n"/>
      <c r="CP8" s="50" t="n"/>
      <c r="CQ8" s="50" t="n"/>
      <c r="CR8" s="50" t="n"/>
      <c r="CS8" s="50" t="n"/>
      <c r="CT8" s="217" t="n"/>
      <c r="CU8" s="50" t="n"/>
      <c r="CV8" s="50" t="n"/>
      <c r="CW8" s="50" t="n"/>
      <c r="CX8" s="50" t="n"/>
      <c r="CY8" s="217" t="n"/>
    </row>
    <row r="9">
      <c r="B9" s="4" t="n"/>
      <c r="C9" s="4" t="inlineStr">
        <is>
          <t>GDP BRAZIL</t>
        </is>
      </c>
      <c r="D9" s="50" t="n"/>
      <c r="E9" s="50" t="n"/>
      <c r="F9" s="50" t="n"/>
      <c r="G9" s="50" t="n"/>
      <c r="H9" s="228" t="n">
        <v>-0.046</v>
      </c>
      <c r="I9" s="50" t="n"/>
      <c r="J9" s="50" t="n"/>
      <c r="K9" s="50" t="n"/>
      <c r="L9" s="50" t="n"/>
      <c r="M9" s="228" t="n">
        <v>0.046</v>
      </c>
      <c r="N9" s="50" t="n"/>
      <c r="O9" s="50" t="n"/>
      <c r="P9" s="50" t="n"/>
      <c r="Q9" s="50" t="n"/>
      <c r="R9" s="228" t="n"/>
      <c r="S9" s="50" t="n"/>
      <c r="T9" s="50" t="n"/>
      <c r="U9" s="50" t="n"/>
      <c r="V9" s="50" t="n"/>
      <c r="W9" s="228" t="n"/>
      <c r="X9" s="50" t="n"/>
      <c r="Y9" s="50" t="n"/>
      <c r="Z9" s="50" t="n"/>
      <c r="AA9" s="50" t="n"/>
      <c r="AB9" s="228" t="n"/>
      <c r="AC9" s="50" t="n"/>
      <c r="AD9" s="50" t="n"/>
      <c r="AE9" s="50" t="n"/>
      <c r="AF9" s="50" t="n"/>
      <c r="AG9" s="228" t="n"/>
      <c r="AH9" s="50" t="n"/>
      <c r="AI9" s="50" t="n"/>
      <c r="AJ9" s="50" t="n"/>
      <c r="AK9" s="50" t="n"/>
      <c r="AL9" s="217" t="n"/>
      <c r="AM9" s="50" t="n"/>
      <c r="AN9" s="50" t="n"/>
      <c r="AO9" s="50" t="n"/>
      <c r="AP9" s="50" t="n"/>
      <c r="AQ9" s="217" t="n"/>
      <c r="AR9" s="50" t="n"/>
      <c r="AS9" s="50" t="n"/>
      <c r="AT9" s="50" t="n"/>
      <c r="AU9" s="50" t="n"/>
      <c r="AV9" s="217" t="n"/>
      <c r="AW9" s="50" t="n"/>
      <c r="AX9" s="50" t="n"/>
      <c r="AY9" s="50" t="n"/>
      <c r="AZ9" s="50" t="n"/>
      <c r="BA9" s="217" t="n"/>
      <c r="BB9" s="50" t="n"/>
      <c r="BC9" s="50" t="n"/>
      <c r="BD9" s="50" t="n"/>
      <c r="BE9" s="50" t="n"/>
      <c r="BF9" s="217" t="n"/>
      <c r="BG9" s="50" t="n"/>
      <c r="BH9" s="50" t="n"/>
      <c r="BI9" s="50" t="n"/>
      <c r="BJ9" s="50" t="n"/>
      <c r="BK9" s="217" t="n"/>
      <c r="BL9" s="50" t="n"/>
      <c r="BM9" s="50" t="n"/>
      <c r="BN9" s="50" t="n"/>
      <c r="BO9" s="50" t="n"/>
      <c r="BP9" s="217" t="n"/>
      <c r="BQ9" s="50" t="n"/>
      <c r="BR9" s="50" t="n"/>
      <c r="BS9" s="50" t="n"/>
      <c r="BT9" s="50" t="n"/>
      <c r="BU9" s="217" t="n"/>
      <c r="BV9" s="50" t="n"/>
      <c r="BW9" s="50" t="n"/>
      <c r="BX9" s="50" t="n"/>
      <c r="BY9" s="50" t="n"/>
      <c r="BZ9" s="217" t="n"/>
      <c r="CA9" s="50" t="n"/>
      <c r="CB9" s="50" t="n"/>
      <c r="CC9" s="50" t="n"/>
      <c r="CD9" s="50" t="n"/>
      <c r="CE9" s="217" t="n"/>
      <c r="CF9" s="50" t="n"/>
      <c r="CG9" s="50" t="n"/>
      <c r="CH9" s="50" t="n"/>
      <c r="CI9" s="50" t="n"/>
      <c r="CJ9" s="217" t="n"/>
      <c r="CK9" s="50" t="n"/>
      <c r="CL9" s="50" t="n"/>
      <c r="CM9" s="50" t="n"/>
      <c r="CN9" s="50" t="n"/>
      <c r="CO9" s="217" t="n"/>
      <c r="CP9" s="50" t="n"/>
      <c r="CQ9" s="50" t="n"/>
      <c r="CR9" s="50" t="n"/>
      <c r="CS9" s="50" t="n"/>
      <c r="CT9" s="217" t="n"/>
      <c r="CU9" s="50" t="n"/>
      <c r="CV9" s="50" t="n"/>
      <c r="CW9" s="50" t="n"/>
      <c r="CX9" s="50" t="n"/>
      <c r="CY9" s="217" t="n"/>
    </row>
    <row r="10">
      <c r="C10" s="4" t="inlineStr">
        <is>
          <t>CDI</t>
        </is>
      </c>
      <c r="H10" s="228" t="n">
        <v>0.0275</v>
      </c>
      <c r="M10" s="228" t="n">
        <v>0.0442</v>
      </c>
      <c r="R10" s="228" t="n">
        <v>0.1239</v>
      </c>
      <c r="W10" s="228" t="n">
        <v>0.1304</v>
      </c>
      <c r="AB10" s="228" t="n">
        <v>0.1064</v>
      </c>
      <c r="AG10" s="228" t="n">
        <v>0.1464</v>
      </c>
    </row>
    <row r="13" customFormat="1" s="17">
      <c r="A13" s="13" t="n"/>
      <c r="B13" s="13" t="n"/>
      <c r="C13" s="12" t="inlineStr">
        <is>
          <t>Income Statement</t>
        </is>
      </c>
      <c r="D13" s="12" t="str">
        <f>D7</f>
        <v>1Q20</v>
      </c>
      <c r="E13" s="12" t="str">
        <f>E7</f>
        <v>2Q20</v>
      </c>
      <c r="F13" s="12" t="str">
        <f>F7</f>
        <v>3Q20</v>
      </c>
      <c r="G13" s="12" t="str">
        <f>G7</f>
        <v>4Q20</v>
      </c>
      <c r="H13" s="12">
        <f>H7</f>
        <v>2020</v>
      </c>
      <c r="I13" s="12" t="str">
        <f>I7</f>
        <v>1Q21</v>
      </c>
      <c r="J13" s="12" t="str">
        <f>J7</f>
        <v>2Q21</v>
      </c>
      <c r="K13" s="12" t="str">
        <f>K7</f>
        <v>3Q21</v>
      </c>
      <c r="L13" s="12" t="str">
        <f>L7</f>
        <v>4Q21</v>
      </c>
      <c r="M13" s="12">
        <f>M7</f>
        <v>2021</v>
      </c>
      <c r="N13" s="12" t="str">
        <f>N7</f>
        <v>1Q22</v>
      </c>
      <c r="O13" s="12" t="str">
        <f>O7</f>
        <v>2Q22</v>
      </c>
      <c r="P13" s="12" t="str">
        <f>P7</f>
        <v>3Q22</v>
      </c>
      <c r="Q13" s="12" t="str">
        <f>Q7</f>
        <v>4Q22</v>
      </c>
      <c r="R13" s="12">
        <f>R7</f>
        <v>2022</v>
      </c>
      <c r="S13" s="12" t="str">
        <f>S7</f>
        <v>1Q23</v>
      </c>
      <c r="T13" s="12" t="str">
        <f>T7</f>
        <v>2Q23</v>
      </c>
      <c r="U13" s="12" t="str">
        <f>U7</f>
        <v>3Q23</v>
      </c>
      <c r="V13" s="12" t="str">
        <f>V7</f>
        <v>4Q23</v>
      </c>
      <c r="W13" s="12">
        <f>W7</f>
        <v>2023</v>
      </c>
      <c r="X13" s="12" t="str">
        <f>X7</f>
        <v>1Q24</v>
      </c>
      <c r="Y13" s="12" t="str">
        <f>Y7</f>
        <v>2Q24</v>
      </c>
      <c r="Z13" s="12" t="str">
        <f>Z7</f>
        <v>3Q24</v>
      </c>
      <c r="AA13" s="12" t="str">
        <f>AA7</f>
        <v>4Q24</v>
      </c>
      <c r="AB13" s="12">
        <f>AB7</f>
        <v>2024</v>
      </c>
      <c r="AC13" s="12" t="str">
        <f>AC7</f>
        <v>1Q25</v>
      </c>
      <c r="AD13" s="12" t="str">
        <f>AD7</f>
        <v>2Q25</v>
      </c>
      <c r="AE13" s="12" t="str">
        <f>AE7</f>
        <v>3Q25</v>
      </c>
      <c r="AF13" s="12" t="str">
        <f>AF7</f>
        <v>4Q25</v>
      </c>
      <c r="AG13" s="12">
        <f>AG7</f>
        <v>2025</v>
      </c>
      <c r="AH13" s="12" t="str">
        <f>AH7</f>
        <v>1Q26</v>
      </c>
      <c r="AI13" s="12" t="str">
        <f>AI7</f>
        <v>2Q26</v>
      </c>
      <c r="AJ13" s="12" t="str">
        <f>AJ7</f>
        <v>3Q26</v>
      </c>
      <c r="AK13" s="12" t="str">
        <f>AK7</f>
        <v>4Q26</v>
      </c>
      <c r="AL13" s="12">
        <f>AL7</f>
        <v>2026</v>
      </c>
      <c r="AM13" s="12" t="str">
        <f>AM7</f>
        <v>1Q27</v>
      </c>
      <c r="AN13" s="12" t="str">
        <f>AN7</f>
        <v>2Q27</v>
      </c>
      <c r="AO13" s="12" t="str">
        <f>AO7</f>
        <v>3Q27</v>
      </c>
      <c r="AP13" s="12" t="str">
        <f>AP7</f>
        <v>4Q27</v>
      </c>
      <c r="AQ13" s="12">
        <f>AQ7</f>
        <v>2027</v>
      </c>
      <c r="AR13" s="12" t="str">
        <f>AR7</f>
        <v>1Q28</v>
      </c>
      <c r="AS13" s="12" t="str">
        <f>AS7</f>
        <v>2Q28</v>
      </c>
      <c r="AT13" s="12" t="str">
        <f>AT7</f>
        <v>3Q28</v>
      </c>
      <c r="AU13" s="12" t="str">
        <f>AU7</f>
        <v>4Q28</v>
      </c>
      <c r="AV13" s="12">
        <f>AV7</f>
        <v>2028</v>
      </c>
      <c r="AW13" s="12" t="str">
        <f>AW7</f>
        <v>1Q29</v>
      </c>
      <c r="AX13" s="12" t="str">
        <f>AX7</f>
        <v>2Q29</v>
      </c>
      <c r="AY13" s="12" t="str">
        <f>AY7</f>
        <v>3Q29</v>
      </c>
      <c r="AZ13" s="12" t="str">
        <f>AZ7</f>
        <v>4Q29</v>
      </c>
      <c r="BA13" s="12">
        <f>BA7</f>
        <v>2029</v>
      </c>
      <c r="BB13" s="12" t="str">
        <f>BB7</f>
        <v>1Q30</v>
      </c>
      <c r="BC13" s="12" t="str">
        <f>BC7</f>
        <v>2Q30</v>
      </c>
      <c r="BD13" s="12" t="str">
        <f>BD7</f>
        <v>3Q30</v>
      </c>
      <c r="BE13" s="12" t="str">
        <f>BE7</f>
        <v>4Q30</v>
      </c>
      <c r="BF13" s="12">
        <f>BF7</f>
        <v>2030</v>
      </c>
      <c r="BG13" s="12" t="str">
        <f>BG7</f>
        <v>1Q31</v>
      </c>
      <c r="BH13" s="12" t="str">
        <f>BH7</f>
        <v>2Q31</v>
      </c>
      <c r="BI13" s="12" t="str">
        <f>BI7</f>
        <v>3Q31</v>
      </c>
      <c r="BJ13" s="12" t="str">
        <f>BJ7</f>
        <v>4Q31</v>
      </c>
      <c r="BK13" s="12">
        <f>BK7</f>
        <v>2031</v>
      </c>
      <c r="BL13" s="12" t="str">
        <f>BL7</f>
        <v>1Q32</v>
      </c>
      <c r="BM13" s="12" t="str">
        <f>BM7</f>
        <v>2Q32</v>
      </c>
      <c r="BN13" s="12" t="str">
        <f>BN7</f>
        <v>3Q32</v>
      </c>
      <c r="BO13" s="12" t="str">
        <f>BO7</f>
        <v>4Q32</v>
      </c>
      <c r="BP13" s="12">
        <f>BP7</f>
        <v>2032</v>
      </c>
      <c r="BQ13" s="12" t="str">
        <f>BQ7</f>
        <v>1Q33</v>
      </c>
      <c r="BR13" s="12" t="str">
        <f>BR7</f>
        <v>2Q33</v>
      </c>
      <c r="BS13" s="12" t="str">
        <f>BS7</f>
        <v>3Q33</v>
      </c>
      <c r="BT13" s="12" t="str">
        <f>BT7</f>
        <v>4Q33</v>
      </c>
      <c r="BU13" s="12">
        <f>BU7</f>
        <v>2033</v>
      </c>
      <c r="BV13" s="12" t="str">
        <f>BV7</f>
        <v>1Q34</v>
      </c>
      <c r="BW13" s="12" t="str">
        <f>BW7</f>
        <v>2Q34</v>
      </c>
      <c r="BX13" s="12" t="str">
        <f>BX7</f>
        <v>3Q34</v>
      </c>
      <c r="BY13" s="12" t="str">
        <f>BY7</f>
        <v>4Q34</v>
      </c>
      <c r="BZ13" s="12">
        <f>BZ7</f>
        <v>2034</v>
      </c>
      <c r="CA13" s="12" t="str">
        <f>CA7</f>
        <v>1Q35</v>
      </c>
      <c r="CB13" s="12" t="str">
        <f>CB7</f>
        <v>2Q35</v>
      </c>
      <c r="CC13" s="12" t="str">
        <f>CC7</f>
        <v>3Q35</v>
      </c>
      <c r="CD13" s="12" t="str">
        <f>CD7</f>
        <v>4Q35</v>
      </c>
      <c r="CE13" s="12">
        <f>CE7</f>
        <v>2035</v>
      </c>
      <c r="CF13" s="12" t="str">
        <f>CF7</f>
        <v>1Q36</v>
      </c>
      <c r="CG13" s="12" t="str">
        <f>CG7</f>
        <v>2Q36</v>
      </c>
      <c r="CH13" s="12" t="str">
        <f>CH7</f>
        <v>3Q36</v>
      </c>
      <c r="CI13" s="12" t="str">
        <f>CI7</f>
        <v>4Q36</v>
      </c>
      <c r="CJ13" s="12">
        <f>CJ7</f>
        <v>2036</v>
      </c>
      <c r="CK13" s="12" t="str">
        <f>CK7</f>
        <v>1Q37</v>
      </c>
      <c r="CL13" s="12" t="str">
        <f>CL7</f>
        <v>2Q37</v>
      </c>
      <c r="CM13" s="12" t="str">
        <f>CM7</f>
        <v>3Q37</v>
      </c>
      <c r="CN13" s="12" t="str">
        <f>CN7</f>
        <v>4Q37</v>
      </c>
      <c r="CO13" s="12">
        <f>CO7</f>
        <v>2037</v>
      </c>
      <c r="CP13" s="12" t="str">
        <f>CP7</f>
        <v>1Q38</v>
      </c>
      <c r="CQ13" s="12" t="str">
        <f>CQ7</f>
        <v>2Q38</v>
      </c>
      <c r="CR13" s="12" t="str">
        <f>CR7</f>
        <v>3Q38</v>
      </c>
      <c r="CS13" s="12" t="str">
        <f>CS7</f>
        <v>4Q38</v>
      </c>
      <c r="CT13" s="12">
        <f>CT7</f>
        <v>2038</v>
      </c>
      <c r="CU13" s="12" t="str">
        <f>CU7</f>
        <v>1Q39</v>
      </c>
      <c r="CV13" s="12" t="str">
        <f>CV7</f>
        <v>2Q39</v>
      </c>
      <c r="CW13" s="12" t="str">
        <f>CW7</f>
        <v>3Q39</v>
      </c>
      <c r="CX13" s="12" t="str">
        <f>CX7</f>
        <v>4Q39</v>
      </c>
      <c r="CY13" s="12">
        <f>CY7</f>
        <v>2039</v>
      </c>
    </row>
    <row r="14">
      <c r="C14" s="2" t="n"/>
    </row>
    <row r="15" customFormat="1" s="17">
      <c r="A15" s="13" t="n"/>
      <c r="B15" s="1" t="n"/>
      <c r="C15" s="14" t="inlineStr">
        <is>
          <t>Net Revenues</t>
        </is>
      </c>
      <c r="D15" s="15">
        <f>INDEX('Inputs (2)'!$D$4:$AL$4,MATCH(D$7,'Inputs (2)'!$D$2:$AL$2,0))</f>
        <v>3080</v>
      </c>
      <c r="E15" s="15">
        <f>INDEX('Inputs (2)'!$D$4:$AL$4,MATCH(E$7,'Inputs (2)'!$D$2:$AL$2,0))</f>
        <v>3866</v>
      </c>
      <c r="F15" s="15">
        <f>INDEX('Inputs (2)'!$D$4:$AL$4,MATCH(F$7,'Inputs (2)'!$D$2:$AL$2,0))</f>
        <v>4726</v>
      </c>
      <c r="G15" s="15">
        <f>INDEX('Inputs (2)'!$D$4:$AL$4,MATCH(G$7,'Inputs (2)'!$D$2:$AL$2,0))</f>
        <v>5003</v>
      </c>
      <c r="H15" s="16">
        <f>SUM(D15:G15)</f>
        <v>16675</v>
      </c>
      <c r="I15" s="15">
        <f>INDEX('Inputs (2)'!$D$4:$AL$4,MATCH(I$7,'Inputs (2)'!$D$2:$AL$2,0))</f>
        <v>5661</v>
      </c>
      <c r="J15" s="15">
        <f>INDEX('Inputs (2)'!$D$4:$AL$4,MATCH(J$7,'Inputs (2)'!$D$2:$AL$2,0))</f>
        <v>6507</v>
      </c>
      <c r="K15" s="15">
        <f>INDEX('Inputs (2)'!$D$4:$AL$4,MATCH(K$7,'Inputs (2)'!$D$2:$AL$2,0))</f>
        <v>7103</v>
      </c>
      <c r="L15" s="15">
        <f>INDEX('Inputs (2)'!$D$4:$AL$4,MATCH(L$7,'Inputs (2)'!$D$2:$AL$2,0))</f>
        <v>7643</v>
      </c>
      <c r="M15" s="16">
        <f>SUM(I15:L15)</f>
        <v>26914</v>
      </c>
      <c r="N15" s="15">
        <f>INDEX('Inputs (2)'!$D$4:$AL$4,MATCH(N$7,'Inputs (2)'!$D$2:$AL$2,0))</f>
        <v>8288</v>
      </c>
      <c r="O15" s="15">
        <f>INDEX('Inputs (2)'!$D$4:$AL$4,MATCH(O$7,'Inputs (2)'!$D$2:$AL$2,0))</f>
        <v>6704</v>
      </c>
      <c r="P15" s="15">
        <f>INDEX('Inputs (2)'!$D$4:$AL$4,MATCH(P$7,'Inputs (2)'!$D$2:$AL$2,0))</f>
        <v>5931</v>
      </c>
      <c r="Q15" s="15">
        <f>INDEX('Inputs (2)'!$D$4:$AL$4,MATCH(Q$7,'Inputs (2)'!$D$2:$AL$2,0))</f>
        <v>6051</v>
      </c>
      <c r="R15" s="16">
        <f>SUM(N15:Q15)</f>
        <v>26974</v>
      </c>
      <c r="S15" s="15">
        <f>INDEX('Inputs (2)'!$D$4:$AL$4,MATCH(S$7,'Inputs (2)'!$D$2:$AL$2,0))</f>
        <v>7192</v>
      </c>
      <c r="T15" s="15">
        <f>INDEX('Inputs (2)'!$D$4:$AL$4,MATCH(T$7,'Inputs (2)'!$D$2:$AL$2,0))</f>
        <v>13507</v>
      </c>
      <c r="U15" s="15">
        <f>INDEX('Inputs (2)'!$D$4:$AL$4,MATCH(U$7,'Inputs (2)'!$D$2:$AL$2,0))</f>
        <v>18120</v>
      </c>
      <c r="V15" s="15">
        <f>INDEX('Inputs (2)'!$D$4:$AL$4,MATCH(V$7,'Inputs (2)'!$D$2:$AL$2,0))</f>
        <v>22103</v>
      </c>
      <c r="W15" s="16">
        <f>SUM(S15:V15)</f>
        <v>60922</v>
      </c>
      <c r="X15" s="15">
        <f>INDEX('Inputs (2)'!$D$4:$AL$4,MATCH(X$7,'Inputs (2)'!$D$2:$AL$2,0))</f>
        <v>26044</v>
      </c>
      <c r="Y15" s="15">
        <f>INDEX('Inputs (2)'!$D$4:$AL$4,MATCH(Y$7,'Inputs (2)'!$D$2:$AL$2,0))</f>
        <v>30040</v>
      </c>
      <c r="Z15" s="15">
        <f>INDEX('Inputs (2)'!$D$4:$AL$4,MATCH(Z$7,'Inputs (2)'!$D$2:$AL$2,0))</f>
        <v>35082</v>
      </c>
      <c r="AA15" s="15">
        <f>INDEX('Inputs (2)'!$D$4:$AL$4,MATCH(AA$7,'Inputs (2)'!$D$2:$AL$2,0))</f>
        <v>39331</v>
      </c>
      <c r="AB15" s="16">
        <f>SUM(X15:AA15)</f>
        <v>130497</v>
      </c>
      <c r="AC15" s="15">
        <f>INDEX('Inputs (2)'!$D$4:$AL$4,MATCH(AC$7,'Inputs (2)'!$D$2:$AL$2,0))</f>
        <v>44062</v>
      </c>
      <c r="AD15" s="15">
        <f>INDEX('Inputs (2)'!$D$4:$AL$4,MATCH(AD$7,'Inputs (2)'!$D$2:$AL$2,0))</f>
        <v>46743</v>
      </c>
      <c r="AE15" s="15">
        <f>INDEX('Inputs (2)'!$D$4:$AL$4,MATCH(AE$7,'Inputs (2)'!$D$2:$AL$2,0))</f>
        <v>57006</v>
      </c>
      <c r="AF15" s="15">
        <f>INDEX('Inputs (2)'!$D$4:$AL$4,MATCH(AF$7,'Inputs (2)'!$D$2:$AL$2,0))</f>
        <v>68127</v>
      </c>
      <c r="AG15" s="16">
        <f>SUM(AC15:AF15)</f>
        <v>215938</v>
      </c>
      <c r="AH15" s="16">
        <f>INDEX('Inputs (2)'!$D$4:$AL$4,MATCH(AH$7,'Inputs (2)'!$D$2:$AL$2,0))</f>
        <v>81615</v>
      </c>
      <c r="AI15" s="16">
        <f>INDEX('Inputs (2)'!$D$4:$AL$4,MATCH(AI$7,'Inputs (2)'!$D$2:$AL$2,0))</f>
        <v>96221</v>
      </c>
      <c r="AJ15" s="16">
        <f>AE15*(1+AJ16)</f>
        <v>57006</v>
      </c>
      <c r="AK15" s="16">
        <f>AF15*(1+AK16)</f>
        <v>68127</v>
      </c>
      <c r="AL15" s="16">
        <f>SUM(AH15:AK15)</f>
        <v>302969</v>
      </c>
      <c r="AM15" s="16">
        <f>AH15*(1+AM16)</f>
        <v>81615</v>
      </c>
      <c r="AN15" s="16">
        <f>AI15*(1+AN16)</f>
        <v>96221</v>
      </c>
      <c r="AO15" s="16">
        <f>AJ15*(1+AO16)</f>
        <v>57006</v>
      </c>
      <c r="AP15" s="16">
        <f>AK15*(1+AP16)</f>
        <v>68127</v>
      </c>
      <c r="AQ15" s="16">
        <f>SUM(AM15:AP15)</f>
        <v>302969</v>
      </c>
      <c r="AR15" s="16">
        <f>AM15*(1+AR16)</f>
        <v>81615</v>
      </c>
      <c r="AS15" s="16">
        <f>AN15*(1+AS16)</f>
        <v>96221</v>
      </c>
      <c r="AT15" s="16">
        <f>AO15*(1+AT16)</f>
        <v>57006</v>
      </c>
      <c r="AU15" s="16">
        <f>AP15*(1+AU16)</f>
        <v>68127</v>
      </c>
      <c r="AV15" s="16">
        <f>SUM(AR15:AU15)</f>
        <v>302969</v>
      </c>
      <c r="AW15" s="16">
        <f>AR15*(1+AW16)</f>
        <v>81615</v>
      </c>
      <c r="AX15" s="16">
        <f>AS15*(1+AX16)</f>
        <v>96221</v>
      </c>
      <c r="AY15" s="16">
        <f>AT15*(1+AY16)</f>
        <v>57006</v>
      </c>
      <c r="AZ15" s="16">
        <f>AU15*(1+AZ16)</f>
        <v>68127</v>
      </c>
      <c r="BA15" s="16">
        <f>SUM(AW15:AZ15)</f>
        <v>302969</v>
      </c>
      <c r="BB15" s="16">
        <f>AW15*(1+BB16)</f>
        <v>81615</v>
      </c>
      <c r="BC15" s="16">
        <f>AX15*(1+BC16)</f>
        <v>96221</v>
      </c>
      <c r="BD15" s="16">
        <f>AY15*(1+BD16)</f>
        <v>57006</v>
      </c>
      <c r="BE15" s="16">
        <f>AZ15*(1+BE16)</f>
        <v>68127</v>
      </c>
      <c r="BF15" s="16">
        <f>SUM(BB15:BE15)</f>
        <v>302969</v>
      </c>
      <c r="BG15" s="16">
        <f>BB15*(1+BG16)</f>
        <v>81615</v>
      </c>
      <c r="BH15" s="16">
        <f>BC15*(1+BH16)</f>
        <v>96221</v>
      </c>
      <c r="BI15" s="16">
        <f>BD15*(1+BI16)</f>
        <v>57006</v>
      </c>
      <c r="BJ15" s="16">
        <f>BE15*(1+BJ16)</f>
        <v>68127</v>
      </c>
      <c r="BK15" s="16">
        <f>SUM(BG15:BJ15)</f>
        <v>302969</v>
      </c>
      <c r="BL15" s="16">
        <f>BG15*(1+BL16)</f>
        <v>81615</v>
      </c>
      <c r="BM15" s="16">
        <f>BH15*(1+BM16)</f>
        <v>96221</v>
      </c>
      <c r="BN15" s="16">
        <f>BI15*(1+BN16)</f>
        <v>57006</v>
      </c>
      <c r="BO15" s="16">
        <f>BJ15*(1+BO16)</f>
        <v>68127</v>
      </c>
      <c r="BP15" s="16">
        <f>SUM(BL15:BO15)</f>
        <v>302969</v>
      </c>
      <c r="BQ15" s="16">
        <f>BL15*(1+BQ16)</f>
        <v>81615</v>
      </c>
      <c r="BR15" s="16">
        <f>BM15*(1+BR16)</f>
        <v>96221</v>
      </c>
      <c r="BS15" s="16">
        <f>BN15*(1+BS16)</f>
        <v>57006</v>
      </c>
      <c r="BT15" s="16">
        <f>BO15*(1+BT16)</f>
        <v>68127</v>
      </c>
      <c r="BU15" s="16">
        <f>SUM(BQ15:BT15)</f>
        <v>302969</v>
      </c>
      <c r="BV15" s="16">
        <f>BQ15*(1+BV16)</f>
        <v>81615</v>
      </c>
      <c r="BW15" s="16">
        <f>BR15*(1+BW16)</f>
        <v>96221</v>
      </c>
      <c r="BX15" s="16">
        <f>BS15*(1+BX16)</f>
        <v>57006</v>
      </c>
      <c r="BY15" s="16">
        <f>BT15*(1+BY16)</f>
        <v>68127</v>
      </c>
      <c r="BZ15" s="16">
        <f>SUM(BV15:BY15)</f>
        <v>302969</v>
      </c>
      <c r="CA15" s="16">
        <f>BV15*(1+CA16)</f>
        <v>81615</v>
      </c>
      <c r="CB15" s="16">
        <f>BW15*(1+CB16)</f>
        <v>96221</v>
      </c>
      <c r="CC15" s="16">
        <f>BX15*(1+CC16)</f>
        <v>57006</v>
      </c>
      <c r="CD15" s="16">
        <f>BY15*(1+CD16)</f>
        <v>68127</v>
      </c>
      <c r="CE15" s="16">
        <f>SUM(CA15:CD15)</f>
        <v>302969</v>
      </c>
      <c r="CF15" s="16">
        <f>CA15*(1+CF16)</f>
        <v>81615</v>
      </c>
      <c r="CG15" s="16">
        <f>CB15*(1+CG16)</f>
        <v>96221</v>
      </c>
      <c r="CH15" s="16">
        <f>CC15*(1+CH16)</f>
        <v>57006</v>
      </c>
      <c r="CI15" s="16">
        <f>CD15*(1+CI16)</f>
        <v>68127</v>
      </c>
      <c r="CJ15" s="16">
        <f>SUM(CF15:CI15)</f>
        <v>302969</v>
      </c>
      <c r="CK15" s="16">
        <f>CF15*(1+CK16)</f>
        <v>81615</v>
      </c>
      <c r="CL15" s="16">
        <f>CG15*(1+CL16)</f>
        <v>96221</v>
      </c>
      <c r="CM15" s="16">
        <f>CH15*(1+CM16)</f>
        <v>57006</v>
      </c>
      <c r="CN15" s="16">
        <f>CI15*(1+CN16)</f>
        <v>68127</v>
      </c>
      <c r="CO15" s="16">
        <f>SUM(CK15:CN15)</f>
        <v>302969</v>
      </c>
      <c r="CP15" s="16">
        <f>CK15*(1+CP16)</f>
        <v>81615</v>
      </c>
      <c r="CQ15" s="16">
        <f>CL15*(1+CQ16)</f>
        <v>96221</v>
      </c>
      <c r="CR15" s="16">
        <f>CM15*(1+CR16)</f>
        <v>57006</v>
      </c>
      <c r="CS15" s="16">
        <f>CN15*(1+CS16)</f>
        <v>68127</v>
      </c>
      <c r="CT15" s="16">
        <f>SUM(CP15:CS15)</f>
        <v>302969</v>
      </c>
      <c r="CU15" s="16">
        <f>CP15*(1+CU16)</f>
        <v>81615</v>
      </c>
      <c r="CV15" s="16">
        <f>CQ15*(1+CV16)</f>
        <v>96221</v>
      </c>
      <c r="CW15" s="16">
        <f>CR15*(1+CW16)</f>
        <v>57006</v>
      </c>
      <c r="CX15" s="16">
        <f>CS15*(1+CX16)</f>
        <v>68127</v>
      </c>
      <c r="CY15" s="16">
        <f>SUM(CU15:CX15)</f>
        <v>302969</v>
      </c>
    </row>
    <row r="16" hidden="1" outlineLevel="1" customFormat="1" s="23">
      <c r="A16" s="18" t="n"/>
      <c r="B16" s="19" t="n"/>
      <c r="C16" s="33" t="inlineStr">
        <is>
          <t>% YoY</t>
        </is>
      </c>
      <c r="D16" s="21" t="n"/>
      <c r="E16" s="47" t="n"/>
      <c r="F16" s="47" t="n"/>
      <c r="G16" s="47" t="n"/>
      <c r="H16" s="21" t="n"/>
      <c r="I16" s="21" t="n"/>
      <c r="J16" s="47" t="n"/>
      <c r="K16" s="47" t="n"/>
      <c r="L16" s="47" t="n"/>
      <c r="M16" s="21" t="n"/>
      <c r="N16" s="47">
        <f>N15/I15-1</f>
        <v>0.464052287581699</v>
      </c>
      <c r="O16" s="47">
        <f>O15/J15-1</f>
        <v>0.0302750883663747</v>
      </c>
      <c r="P16" s="47">
        <f>P15/K15-1</f>
        <v>-0.165000703927918</v>
      </c>
      <c r="Q16" s="47">
        <f>Q15/L15-1</f>
        <v>-0.208295172052859</v>
      </c>
      <c r="R16" s="47">
        <f>R15/M15-1</f>
        <v>0.00222932302890699</v>
      </c>
      <c r="S16" s="47">
        <f>S15/N15-1</f>
        <v>-0.132239382239382</v>
      </c>
      <c r="T16" s="47">
        <f>T15/O15-1</f>
        <v>1.01476730310263</v>
      </c>
      <c r="U16" s="47">
        <f>U15/P15-1</f>
        <v>2.05513404147699</v>
      </c>
      <c r="V16" s="47">
        <f>V15/Q15-1</f>
        <v>2.65278466369195</v>
      </c>
      <c r="W16" s="47">
        <f>W15/R15-1</f>
        <v>1.25854526581152</v>
      </c>
      <c r="X16" s="47">
        <f>X15/S15-1</f>
        <v>2.62124582869855</v>
      </c>
      <c r="Y16" s="47">
        <f>Y15/T15-1</f>
        <v>1.22403198341601</v>
      </c>
      <c r="Z16" s="47">
        <f>Z15/U15-1</f>
        <v>0.936092715231788</v>
      </c>
      <c r="AA16" s="47">
        <f>AA15/V15-1</f>
        <v>0.779441704745962</v>
      </c>
      <c r="AB16" s="47">
        <f>AB15/W15-1</f>
        <v>1.14203407635994</v>
      </c>
      <c r="AC16" s="47">
        <f>AC15/X15-1</f>
        <v>0.691829212102596</v>
      </c>
      <c r="AD16" s="47">
        <f>AD15/Y15-1</f>
        <v>0.556025299600533</v>
      </c>
      <c r="AE16" s="47">
        <f>AE15/Z15-1</f>
        <v>0.624935864545921</v>
      </c>
      <c r="AF16" s="44">
        <f>AF15/AA15-1</f>
        <v>0.732145127253312</v>
      </c>
      <c r="AG16" s="47">
        <f>AG15/AB15-1</f>
        <v>0.654735357900948</v>
      </c>
      <c r="AH16" s="44">
        <f>AH15/AC15-1</f>
        <v>0.852276337887522</v>
      </c>
      <c r="AI16" s="44">
        <f>AI15/AD15-1</f>
        <v>1.05851143486725</v>
      </c>
      <c r="AJ16" s="44" t="n"/>
      <c r="AK16" s="44" t="n"/>
      <c r="AL16" s="22">
        <f>AL15/AG15-1</f>
        <v>0.403036982837666</v>
      </c>
      <c r="AM16" s="44" t="n"/>
      <c r="AN16" s="44" t="n"/>
      <c r="AO16" s="44" t="n"/>
      <c r="AP16" s="44" t="n"/>
      <c r="AQ16" s="22">
        <f>AQ15/AL15-1</f>
        <v>0</v>
      </c>
      <c r="AR16" s="44" t="n"/>
      <c r="AS16" s="44" t="n"/>
      <c r="AT16" s="44" t="n"/>
      <c r="AU16" s="44" t="n"/>
      <c r="AV16" s="22">
        <f>AV15/AQ15-1</f>
        <v>0</v>
      </c>
      <c r="AW16" s="44" t="n"/>
      <c r="AX16" s="44" t="n"/>
      <c r="AY16" s="44" t="n"/>
      <c r="AZ16" s="44" t="n"/>
      <c r="BA16" s="22">
        <f>BA15/AV15-1</f>
        <v>0</v>
      </c>
      <c r="BB16" s="44" t="n"/>
      <c r="BC16" s="44" t="n"/>
      <c r="BD16" s="44" t="n"/>
      <c r="BE16" s="44" t="n"/>
      <c r="BF16" s="22">
        <f>BF15/BA15-1</f>
        <v>0</v>
      </c>
      <c r="BG16" s="44" t="n"/>
      <c r="BH16" s="44" t="n"/>
      <c r="BI16" s="44" t="n"/>
      <c r="BJ16" s="44" t="n"/>
      <c r="BK16" s="22">
        <f>BK15/BF15-1</f>
        <v>0</v>
      </c>
      <c r="BL16" s="44" t="n"/>
      <c r="BM16" s="44" t="n"/>
      <c r="BN16" s="44" t="n"/>
      <c r="BO16" s="44" t="n"/>
      <c r="BP16" s="22">
        <f>BP15/BK15-1</f>
        <v>0</v>
      </c>
      <c r="BQ16" s="44" t="n"/>
      <c r="BR16" s="44" t="n"/>
      <c r="BS16" s="44" t="n"/>
      <c r="BT16" s="44" t="n"/>
      <c r="BU16" s="22">
        <f>BU15/BP15-1</f>
        <v>0</v>
      </c>
      <c r="BV16" s="44" t="n"/>
      <c r="BW16" s="44" t="n"/>
      <c r="BX16" s="44" t="n"/>
      <c r="BY16" s="44" t="n"/>
      <c r="BZ16" s="22">
        <f>BZ15/BU15-1</f>
        <v>0</v>
      </c>
      <c r="CA16" s="44" t="n"/>
      <c r="CB16" s="44" t="n"/>
      <c r="CC16" s="44" t="n"/>
      <c r="CD16" s="44" t="n"/>
      <c r="CE16" s="22">
        <f>CE15/BZ15-1</f>
        <v>0</v>
      </c>
      <c r="CF16" s="44" t="n"/>
      <c r="CG16" s="44" t="n"/>
      <c r="CH16" s="44" t="n"/>
      <c r="CI16" s="44" t="n"/>
      <c r="CJ16" s="22">
        <f>CJ15/CE15-1</f>
        <v>0</v>
      </c>
      <c r="CK16" s="44" t="n"/>
      <c r="CL16" s="44" t="n"/>
      <c r="CM16" s="44" t="n"/>
      <c r="CN16" s="44" t="n"/>
      <c r="CO16" s="22">
        <f>CO15/CJ15-1</f>
        <v>0</v>
      </c>
      <c r="CP16" s="44" t="n"/>
      <c r="CQ16" s="44" t="n"/>
      <c r="CR16" s="44" t="n"/>
      <c r="CS16" s="44" t="n"/>
      <c r="CT16" s="22">
        <f>CT15/CO15-1</f>
        <v>0</v>
      </c>
      <c r="CU16" s="44" t="n"/>
      <c r="CV16" s="44" t="n"/>
      <c r="CW16" s="44" t="n"/>
      <c r="CX16" s="44" t="n"/>
      <c r="CY16" s="22">
        <f>CY15/CT15-1</f>
        <v>0</v>
      </c>
    </row>
    <row r="17" hidden="1" outlineLevel="1" customFormat="1" s="23">
      <c r="A17" s="18" t="n"/>
      <c r="B17" s="19" t="n"/>
      <c r="C17" s="229" t="inlineStr">
        <is>
          <t>Check Receita (linha 15 - soma das plataformas)</t>
        </is>
      </c>
      <c r="D17" s="15">
        <f>IF(COUNT(D30)=0,"",D30)</f>
        <v>0</v>
      </c>
      <c r="E17" s="15">
        <f>IF(COUNT(E30)=0,"",E30)</f>
        <v>0</v>
      </c>
      <c r="F17" s="15">
        <f>IF(COUNT(F30)=0,"",F30)</f>
        <v>0</v>
      </c>
      <c r="G17" s="15">
        <f>IF(COUNT(G30)=0,"",G30)</f>
        <v>0</v>
      </c>
      <c r="H17" s="16">
        <f>IF(COUNT(H30)=0,"",H30)</f>
        <v>0</v>
      </c>
      <c r="I17" s="15">
        <f>IF(COUNT(I30)=0,"",I30)</f>
        <v>0</v>
      </c>
      <c r="J17" s="15">
        <f>IF(COUNT(J30)=0,"",J30)</f>
        <v>0</v>
      </c>
      <c r="K17" s="15">
        <f>IF(COUNT(K30)=0,"",K30)</f>
        <v>0</v>
      </c>
      <c r="L17" s="15">
        <f>IF(COUNT(L30)=0,"",L30)</f>
        <v>0</v>
      </c>
      <c r="M17" s="16">
        <f>IF(COUNT(M30)=0,"",M30)</f>
        <v>0</v>
      </c>
      <c r="N17" s="15">
        <f>IF(COUNT(N30)=0,"",N30)</f>
        <v>0</v>
      </c>
      <c r="O17" s="15">
        <f>IF(COUNT(O30)=0,"",O30)</f>
        <v>0</v>
      </c>
      <c r="P17" s="15">
        <f>IF(COUNT(P30)=0,"",P30)</f>
        <v>0</v>
      </c>
      <c r="Q17" s="15">
        <f>IF(COUNT(Q30)=0,"",Q30)</f>
        <v>0</v>
      </c>
      <c r="R17" s="16">
        <f>IF(COUNT(R30)=0,"",R30)</f>
        <v>0</v>
      </c>
      <c r="S17" s="15">
        <f>IF(COUNT(S30)=0,"",S30)</f>
        <v>0</v>
      </c>
      <c r="T17" s="15">
        <f>IF(COUNT(T30)=0,"",T30)</f>
        <v>0</v>
      </c>
      <c r="U17" s="15">
        <f>IF(COUNT(U30)=0,"",U30)</f>
        <v>0</v>
      </c>
      <c r="V17" s="15">
        <f>IF(COUNT(V30)=0,"",V30)</f>
        <v>0</v>
      </c>
      <c r="W17" s="16">
        <f>IF(COUNT(W30)=0,"",W30)</f>
        <v>0</v>
      </c>
      <c r="X17" s="15">
        <f>IF(COUNT(X30)=0,"",X30)</f>
        <v>0</v>
      </c>
      <c r="Y17" s="15">
        <f>IF(COUNT(Y30)=0,"",Y30)</f>
        <v>0</v>
      </c>
      <c r="Z17" s="15">
        <f>IF(COUNT(Z30)=0,"",Z30)</f>
        <v>0</v>
      </c>
      <c r="AA17" s="15">
        <f>IF(COUNT(AA30)=0,"",AA30)</f>
        <v>0</v>
      </c>
      <c r="AB17" s="16">
        <f>IF(COUNT(AB30)=0,"",AB30)</f>
        <v>0</v>
      </c>
      <c r="AC17" s="15">
        <f>IF(COUNT(AC30)=0,"",AC30)</f>
        <v>0</v>
      </c>
      <c r="AD17" s="15">
        <f>IF(COUNT(AD30)=0,"",AD30)</f>
        <v>0</v>
      </c>
      <c r="AE17" s="15">
        <f>IF(COUNT(AE30)=0,"",AE30)</f>
        <v>0</v>
      </c>
      <c r="AF17" s="15">
        <f>IF(COUNT(AF30)=0,"",AF30)</f>
        <v>0</v>
      </c>
      <c r="AG17" s="16">
        <f>IF(COUNT(AG30)=0,"",AG30)</f>
        <v>0</v>
      </c>
      <c r="AH17" s="16">
        <f>IF(COUNT(AH30)=0,"",AH30)</f>
        <v>0</v>
      </c>
      <c r="AI17" s="16">
        <f>IF(COUNT(AI30)=0,"",AI30)</f>
        <v>0</v>
      </c>
      <c r="AJ17" s="44" t="n"/>
      <c r="AK17" s="44" t="n"/>
      <c r="AL17" s="22" t="n"/>
      <c r="AM17" s="44" t="n"/>
      <c r="AN17" s="44" t="n"/>
      <c r="AO17" s="44" t="n"/>
      <c r="AP17" s="44" t="n"/>
      <c r="AQ17" s="22" t="n"/>
      <c r="AR17" s="44" t="n"/>
      <c r="AS17" s="44" t="n"/>
      <c r="AT17" s="44" t="n"/>
      <c r="AU17" s="44" t="n"/>
      <c r="AV17" s="22" t="n"/>
      <c r="AW17" s="44" t="n"/>
      <c r="AX17" s="44" t="n"/>
      <c r="AY17" s="44" t="n"/>
      <c r="AZ17" s="44" t="n"/>
      <c r="BA17" s="22" t="n"/>
      <c r="BB17" s="44" t="n"/>
      <c r="BC17" s="44" t="n"/>
      <c r="BD17" s="44" t="n"/>
      <c r="BE17" s="44" t="n"/>
      <c r="BF17" s="22" t="n"/>
      <c r="BG17" s="44" t="n"/>
      <c r="BH17" s="44" t="n"/>
      <c r="BI17" s="44" t="n"/>
      <c r="BJ17" s="44" t="n"/>
      <c r="BK17" s="22" t="n"/>
      <c r="BL17" s="44" t="n"/>
      <c r="BM17" s="44" t="n"/>
      <c r="BN17" s="44" t="n"/>
      <c r="BO17" s="44" t="n"/>
      <c r="BP17" s="22" t="n"/>
      <c r="BQ17" s="44" t="n"/>
      <c r="BR17" s="44" t="n"/>
      <c r="BS17" s="44" t="n"/>
      <c r="BT17" s="44" t="n"/>
      <c r="BU17" s="22" t="n"/>
      <c r="BV17" s="44" t="n"/>
      <c r="BW17" s="44" t="n"/>
      <c r="BX17" s="44" t="n"/>
      <c r="BY17" s="44" t="n"/>
      <c r="BZ17" s="22" t="n"/>
      <c r="CA17" s="44" t="n"/>
      <c r="CB17" s="44" t="n"/>
      <c r="CC17" s="44" t="n"/>
      <c r="CD17" s="44" t="n"/>
      <c r="CE17" s="22" t="n"/>
      <c r="CF17" s="44" t="n"/>
      <c r="CG17" s="44" t="n"/>
      <c r="CH17" s="44" t="n"/>
      <c r="CI17" s="44" t="n"/>
      <c r="CJ17" s="22" t="n"/>
      <c r="CK17" s="44" t="n"/>
      <c r="CL17" s="44" t="n"/>
      <c r="CM17" s="44" t="n"/>
      <c r="CN17" s="44" t="n"/>
      <c r="CO17" s="22" t="n"/>
      <c r="CP17" s="44" t="n"/>
      <c r="CQ17" s="44" t="n"/>
      <c r="CR17" s="44" t="n"/>
      <c r="CS17" s="44" t="n"/>
      <c r="CT17" s="22" t="n"/>
      <c r="CU17" s="44" t="n"/>
      <c r="CV17" s="44" t="n"/>
      <c r="CW17" s="44" t="n"/>
      <c r="CX17" s="44" t="n"/>
      <c r="CY17" s="22" t="n"/>
    </row>
    <row r="18">
      <c r="C18" s="12" t="inlineStr">
        <is>
          <t>Receita por plataforma de mercado - como a NVIDIA divulga (USD milhões)</t>
        </is>
      </c>
      <c r="D18" s="12" t="str">
        <f>D7</f>
        <v>1Q20</v>
      </c>
      <c r="E18" s="12" t="str">
        <f>E7</f>
        <v>2Q20</v>
      </c>
      <c r="F18" s="12" t="str">
        <f>F7</f>
        <v>3Q20</v>
      </c>
      <c r="G18" s="12" t="str">
        <f>G7</f>
        <v>4Q20</v>
      </c>
      <c r="H18" s="12">
        <f>H7</f>
        <v>2020</v>
      </c>
      <c r="I18" s="12" t="str">
        <f>I7</f>
        <v>1Q21</v>
      </c>
      <c r="J18" s="12" t="str">
        <f>J7</f>
        <v>2Q21</v>
      </c>
      <c r="K18" s="12" t="str">
        <f>K7</f>
        <v>3Q21</v>
      </c>
      <c r="L18" s="12" t="str">
        <f>L7</f>
        <v>4Q21</v>
      </c>
      <c r="M18" s="12">
        <f>M7</f>
        <v>2021</v>
      </c>
      <c r="N18" s="12" t="str">
        <f>N7</f>
        <v>1Q22</v>
      </c>
      <c r="O18" s="12" t="str">
        <f>O7</f>
        <v>2Q22</v>
      </c>
      <c r="P18" s="12" t="str">
        <f>P7</f>
        <v>3Q22</v>
      </c>
      <c r="Q18" s="12" t="str">
        <f>Q7</f>
        <v>4Q22</v>
      </c>
      <c r="R18" s="12">
        <f>R7</f>
        <v>2022</v>
      </c>
      <c r="S18" s="12" t="str">
        <f>S7</f>
        <v>1Q23</v>
      </c>
      <c r="T18" s="12" t="str">
        <f>T7</f>
        <v>2Q23</v>
      </c>
      <c r="U18" s="12" t="str">
        <f>U7</f>
        <v>3Q23</v>
      </c>
      <c r="V18" s="12" t="str">
        <f>V7</f>
        <v>4Q23</v>
      </c>
      <c r="W18" s="12">
        <f>W7</f>
        <v>2023</v>
      </c>
      <c r="X18" s="12" t="str">
        <f>X7</f>
        <v>1Q24</v>
      </c>
      <c r="Y18" s="12" t="str">
        <f>Y7</f>
        <v>2Q24</v>
      </c>
      <c r="Z18" s="12" t="str">
        <f>Z7</f>
        <v>3Q24</v>
      </c>
      <c r="AA18" s="12" t="str">
        <f>AA7</f>
        <v>4Q24</v>
      </c>
      <c r="AB18" s="12">
        <f>AB7</f>
        <v>2024</v>
      </c>
      <c r="AC18" s="12" t="str">
        <f>AC7</f>
        <v>1Q25</v>
      </c>
      <c r="AD18" s="12" t="str">
        <f>AD7</f>
        <v>2Q25</v>
      </c>
      <c r="AE18" s="12" t="str">
        <f>AE7</f>
        <v>3Q25</v>
      </c>
      <c r="AF18" s="12" t="str">
        <f>AF7</f>
        <v>4Q25</v>
      </c>
      <c r="AG18" s="12">
        <f>AG7</f>
        <v>2025</v>
      </c>
      <c r="AH18" s="12" t="str">
        <f>AH7</f>
        <v>1Q26</v>
      </c>
      <c r="AI18" s="12" t="str">
        <f>AI7</f>
        <v>2Q26</v>
      </c>
    </row>
    <row r="19">
      <c r="C19" s="265" t="inlineStr">
        <is>
          <t>Data Center</t>
        </is>
      </c>
      <c r="D19" s="266">
        <f>IFERROR(INDEX('Inputs (2)'!$D$53:$AL$53,MATCH(D$7,'Inputs (2)'!$D$2:$AL$2,0)),"")</f>
        <v>1141</v>
      </c>
      <c r="E19" s="266">
        <f>IFERROR(INDEX('Inputs (2)'!$D$53:$AL$53,MATCH(E$7,'Inputs (2)'!$D$2:$AL$2,0)),"")</f>
        <v>1752</v>
      </c>
      <c r="F19" s="266">
        <f>IFERROR(INDEX('Inputs (2)'!$D$53:$AL$53,MATCH(F$7,'Inputs (2)'!$D$2:$AL$2,0)),"")</f>
        <v>1900</v>
      </c>
      <c r="G19" s="266">
        <f>IFERROR(INDEX('Inputs (2)'!$D$53:$AL$53,MATCH(G$7,'Inputs (2)'!$D$2:$AL$2,0)),"")</f>
        <v>1903</v>
      </c>
      <c r="H19" s="267">
        <f>IF(COUNT(D19:G19)=4,SUM(D19:G19),"")</f>
        <v>6696</v>
      </c>
      <c r="I19" s="266">
        <f>IFERROR(INDEX('Inputs (2)'!$D$53:$AL$53,MATCH(I$7,'Inputs (2)'!$D$2:$AL$2,0)),"")</f>
        <v>2048</v>
      </c>
      <c r="J19" s="266">
        <f>IFERROR(INDEX('Inputs (2)'!$D$53:$AL$53,MATCH(J$7,'Inputs (2)'!$D$2:$AL$2,0)),"")</f>
        <v>2366</v>
      </c>
      <c r="K19" s="266">
        <f>IFERROR(INDEX('Inputs (2)'!$D$53:$AL$53,MATCH(K$7,'Inputs (2)'!$D$2:$AL$2,0)),"")</f>
        <v>2936</v>
      </c>
      <c r="L19" s="266">
        <f>IFERROR(INDEX('Inputs (2)'!$D$53:$AL$53,MATCH(L$7,'Inputs (2)'!$D$2:$AL$2,0)),"")</f>
        <v>3263</v>
      </c>
      <c r="M19" s="267">
        <f>IF(COUNT(I19:L19)=4,SUM(I19:L19),"")</f>
        <v>10613</v>
      </c>
      <c r="N19" s="266">
        <f>IFERROR(INDEX('Inputs (2)'!$D$53:$AL$53,MATCH(N$7,'Inputs (2)'!$D$2:$AL$2,0)),"")</f>
        <v>3750</v>
      </c>
      <c r="O19" s="266">
        <f>IFERROR(INDEX('Inputs (2)'!$D$53:$AL$53,MATCH(O$7,'Inputs (2)'!$D$2:$AL$2,0)),"")</f>
        <v>3806</v>
      </c>
      <c r="P19" s="266">
        <f>IFERROR(INDEX('Inputs (2)'!$D$53:$AL$53,MATCH(P$7,'Inputs (2)'!$D$2:$AL$2,0)),"")</f>
        <v>3833</v>
      </c>
      <c r="Q19" s="266">
        <f>IFERROR(INDEX('Inputs (2)'!$D$53:$AL$53,MATCH(Q$7,'Inputs (2)'!$D$2:$AL$2,0)),"")</f>
        <v>3616</v>
      </c>
      <c r="R19" s="267">
        <f>IF(COUNT(N19:Q19)=4,SUM(N19:Q19),"")</f>
        <v>15005</v>
      </c>
      <c r="S19" s="266">
        <f>IFERROR(INDEX('Inputs (2)'!$D$53:$AL$53,MATCH(S$7,'Inputs (2)'!$D$2:$AL$2,0)),"")</f>
        <v>4284</v>
      </c>
      <c r="T19" s="266">
        <f>IFERROR(INDEX('Inputs (2)'!$D$53:$AL$53,MATCH(T$7,'Inputs (2)'!$D$2:$AL$2,0)),"")</f>
        <v>10323</v>
      </c>
      <c r="U19" s="266">
        <f>IFERROR(INDEX('Inputs (2)'!$D$53:$AL$53,MATCH(U$7,'Inputs (2)'!$D$2:$AL$2,0)),"")</f>
        <v>14514</v>
      </c>
      <c r="V19" s="266">
        <f>IFERROR(INDEX('Inputs (2)'!$D$53:$AL$53,MATCH(V$7,'Inputs (2)'!$D$2:$AL$2,0)),"")</f>
        <v>18404</v>
      </c>
      <c r="W19" s="267">
        <f>IF(COUNT(S19:V19)=4,SUM(S19:V19),"")</f>
        <v>47525</v>
      </c>
      <c r="X19" s="266">
        <f>IFERROR(INDEX('Inputs (2)'!$D$53:$AL$53,MATCH(X$7,'Inputs (2)'!$D$2:$AL$2,0)),"")</f>
        <v>22563</v>
      </c>
      <c r="Y19" s="266">
        <f>IFERROR(INDEX('Inputs (2)'!$D$53:$AL$53,MATCH(Y$7,'Inputs (2)'!$D$2:$AL$2,0)),"")</f>
        <v>26272</v>
      </c>
      <c r="Z19" s="266">
        <f>IFERROR(INDEX('Inputs (2)'!$D$53:$AL$53,MATCH(Z$7,'Inputs (2)'!$D$2:$AL$2,0)),"")</f>
        <v>30771</v>
      </c>
      <c r="AA19" s="266">
        <f>IFERROR(INDEX('Inputs (2)'!$D$53:$AL$53,MATCH(AA$7,'Inputs (2)'!$D$2:$AL$2,0)),"")</f>
        <v>35580</v>
      </c>
      <c r="AB19" s="267">
        <f>IF(COUNT(X19:AA19)=4,SUM(X19:AA19),"")</f>
        <v>115186</v>
      </c>
      <c r="AC19" s="266">
        <f>IFERROR(INDEX('Inputs (2)'!$D$53:$AL$53,MATCH(AC$7,'Inputs (2)'!$D$2:$AL$2,0)),"")</f>
        <v>39112</v>
      </c>
      <c r="AD19" s="266">
        <f>IFERROR(INDEX('Inputs (2)'!$D$53:$AL$53,MATCH(AD$7,'Inputs (2)'!$D$2:$AL$2,0)),"")</f>
        <v>41096</v>
      </c>
      <c r="AE19" s="266">
        <f>IFERROR(INDEX('Inputs (2)'!$D$53:$AL$53,MATCH(AE$7,'Inputs (2)'!$D$2:$AL$2,0)),"")</f>
        <v>51215</v>
      </c>
      <c r="AF19" s="266">
        <f>IFERROR(INDEX('Inputs (2)'!$D$53:$AL$53,MATCH(AF$7,'Inputs (2)'!$D$2:$AL$2,0)),"")</f>
        <v>62314</v>
      </c>
      <c r="AG19" s="267">
        <f>IF(COUNT(AC19:AF19)=4,SUM(AC19:AF19),"")</f>
        <v>193737</v>
      </c>
      <c r="AH19" s="267">
        <f>IFERROR(INDEX('Inputs (2)'!$D$53:$AL$53,MATCH(AH$7,'Inputs (2)'!$D$2:$AL$2,0)),"")</f>
        <v>75246</v>
      </c>
      <c r="AI19" s="267">
        <f>IFERROR(INDEX('Inputs (2)'!$D$53:$AL$53,MATCH(AI$7,'Inputs (2)'!$D$2:$AL$2,0)),"")</f>
        <v>89023</v>
      </c>
    </row>
    <row r="20">
      <c r="C20" s="14" t="inlineStr">
        <is>
          <t xml:space="preserve">   Compute (até 4T25)</t>
        </is>
      </c>
      <c r="D20" s="266" t="str">
        <f>IFERROR(INDEX('Inputs (2)'!$D$54:$AL$54,MATCH(D$7,'Inputs (2)'!$D$2:$AL$2,0)),"")</f>
        <v/>
      </c>
      <c r="E20" s="266" t="str">
        <f>IFERROR(INDEX('Inputs (2)'!$D$54:$AL$54,MATCH(E$7,'Inputs (2)'!$D$2:$AL$2,0)),"")</f>
        <v/>
      </c>
      <c r="F20" s="266" t="str">
        <f>IFERROR(INDEX('Inputs (2)'!$D$54:$AL$54,MATCH(F$7,'Inputs (2)'!$D$2:$AL$2,0)),"")</f>
        <v/>
      </c>
      <c r="G20" s="266" t="str">
        <f>IFERROR(INDEX('Inputs (2)'!$D$54:$AL$54,MATCH(G$7,'Inputs (2)'!$D$2:$AL$2,0)),"")</f>
        <v/>
      </c>
      <c r="H20" s="267" t="str">
        <f>IF(COUNT(D20:G20)=4,SUM(D20:G20),"")</f>
        <v/>
      </c>
      <c r="I20" s="266" t="str">
        <f>IFERROR(INDEX('Inputs (2)'!$D$54:$AL$54,MATCH(I$7,'Inputs (2)'!$D$2:$AL$2,0)),"")</f>
        <v/>
      </c>
      <c r="J20" s="266" t="str">
        <f>IFERROR(INDEX('Inputs (2)'!$D$54:$AL$54,MATCH(J$7,'Inputs (2)'!$D$2:$AL$2,0)),"")</f>
        <v/>
      </c>
      <c r="K20" s="266" t="str">
        <f>IFERROR(INDEX('Inputs (2)'!$D$54:$AL$54,MATCH(K$7,'Inputs (2)'!$D$2:$AL$2,0)),"")</f>
        <v/>
      </c>
      <c r="L20" s="266" t="str">
        <f>IFERROR(INDEX('Inputs (2)'!$D$54:$AL$54,MATCH(L$7,'Inputs (2)'!$D$2:$AL$2,0)),"")</f>
        <v/>
      </c>
      <c r="M20" s="267" t="str">
        <f>IF(COUNT(I20:L20)=4,SUM(I20:L20),"")</f>
        <v/>
      </c>
      <c r="N20" s="266" t="str">
        <f>IFERROR(INDEX('Inputs (2)'!$D$54:$AL$54,MATCH(N$7,'Inputs (2)'!$D$2:$AL$2,0)),"")</f>
        <v/>
      </c>
      <c r="O20" s="266" t="str">
        <f>IFERROR(INDEX('Inputs (2)'!$D$54:$AL$54,MATCH(O$7,'Inputs (2)'!$D$2:$AL$2,0)),"")</f>
        <v/>
      </c>
      <c r="P20" s="266" t="str">
        <f>IFERROR(INDEX('Inputs (2)'!$D$54:$AL$54,MATCH(P$7,'Inputs (2)'!$D$2:$AL$2,0)),"")</f>
        <v/>
      </c>
      <c r="Q20" s="266" t="str">
        <f>IFERROR(INDEX('Inputs (2)'!$D$54:$AL$54,MATCH(Q$7,'Inputs (2)'!$D$2:$AL$2,0)),"")</f>
        <v/>
      </c>
      <c r="R20" s="267" t="str">
        <f>IF(COUNT(N20:Q20)=4,SUM(N20:Q20),"")</f>
        <v/>
      </c>
      <c r="S20" s="266">
        <f>IFERROR(INDEX('Inputs (2)'!$D$54:$AL$54,MATCH(S$7,'Inputs (2)'!$D$2:$AL$2,0)),"")</f>
        <v>3357</v>
      </c>
      <c r="T20" s="266">
        <f>IFERROR(INDEX('Inputs (2)'!$D$54:$AL$54,MATCH(T$7,'Inputs (2)'!$D$2:$AL$2,0)),"")</f>
        <v>8612</v>
      </c>
      <c r="U20" s="266">
        <f>IFERROR(INDEX('Inputs (2)'!$D$54:$AL$54,MATCH(U$7,'Inputs (2)'!$D$2:$AL$2,0)),"")</f>
        <v>11908</v>
      </c>
      <c r="V20" s="266">
        <f>IFERROR(INDEX('Inputs (2)'!$D$54:$AL$54,MATCH(V$7,'Inputs (2)'!$D$2:$AL$2,0)),"")</f>
        <v>15073</v>
      </c>
      <c r="W20" s="267">
        <f>IF(COUNT(S20:V20)=4,SUM(S20:V20),"")</f>
        <v>38950</v>
      </c>
      <c r="X20" s="266">
        <f>IFERROR(INDEX('Inputs (2)'!$D$54:$AL$54,MATCH(X$7,'Inputs (2)'!$D$2:$AL$2,0)),"")</f>
        <v>19392</v>
      </c>
      <c r="Y20" s="266">
        <f>IFERROR(INDEX('Inputs (2)'!$D$54:$AL$54,MATCH(Y$7,'Inputs (2)'!$D$2:$AL$2,0)),"")</f>
        <v>22604</v>
      </c>
      <c r="Z20" s="266">
        <f>IFERROR(INDEX('Inputs (2)'!$D$54:$AL$54,MATCH(Z$7,'Inputs (2)'!$D$2:$AL$2,0)),"")</f>
        <v>27644</v>
      </c>
      <c r="AA20" s="266">
        <f>IFERROR(INDEX('Inputs (2)'!$D$54:$AL$54,MATCH(AA$7,'Inputs (2)'!$D$2:$AL$2,0)),"")</f>
        <v>32556</v>
      </c>
      <c r="AB20" s="267">
        <f>IF(COUNT(X20:AA20)=4,SUM(X20:AA20),"")</f>
        <v>102196</v>
      </c>
      <c r="AC20" s="266">
        <f>IFERROR(INDEX('Inputs (2)'!$D$54:$AL$54,MATCH(AC$7,'Inputs (2)'!$D$2:$AL$2,0)),"")</f>
        <v>34155</v>
      </c>
      <c r="AD20" s="266">
        <f>IFERROR(INDEX('Inputs (2)'!$D$54:$AL$54,MATCH(AD$7,'Inputs (2)'!$D$2:$AL$2,0)),"")</f>
        <v>33844</v>
      </c>
      <c r="AE20" s="266">
        <f>IFERROR(INDEX('Inputs (2)'!$D$54:$AL$54,MATCH(AE$7,'Inputs (2)'!$D$2:$AL$2,0)),"")</f>
        <v>43028</v>
      </c>
      <c r="AF20" s="266">
        <f>IFERROR(INDEX('Inputs (2)'!$D$54:$AL$54,MATCH(AF$7,'Inputs (2)'!$D$2:$AL$2,0)),"")</f>
        <v>51334</v>
      </c>
      <c r="AG20" s="267">
        <f>IF(COUNT(AC20:AF20)=4,SUM(AC20:AF20),"")</f>
        <v>162361</v>
      </c>
      <c r="AH20" s="267" t="str">
        <f>IFERROR(INDEX('Inputs (2)'!$D$54:$AL$54,MATCH(AH$7,'Inputs (2)'!$D$2:$AL$2,0)),"")</f>
        <v/>
      </c>
      <c r="AI20" s="267" t="str">
        <f>IFERROR(INDEX('Inputs (2)'!$D$54:$AL$54,MATCH(AI$7,'Inputs (2)'!$D$2:$AL$2,0)),"")</f>
        <v/>
      </c>
    </row>
    <row r="21">
      <c r="C21" s="14" t="inlineStr">
        <is>
          <t xml:space="preserve">   Networking (até 4T25)</t>
        </is>
      </c>
      <c r="D21" s="266" t="str">
        <f>IFERROR(INDEX('Inputs (2)'!$D$55:$AL$55,MATCH(D$7,'Inputs (2)'!$D$2:$AL$2,0)),"")</f>
        <v/>
      </c>
      <c r="E21" s="266" t="str">
        <f>IFERROR(INDEX('Inputs (2)'!$D$55:$AL$55,MATCH(E$7,'Inputs (2)'!$D$2:$AL$2,0)),"")</f>
        <v/>
      </c>
      <c r="F21" s="266" t="str">
        <f>IFERROR(INDEX('Inputs (2)'!$D$55:$AL$55,MATCH(F$7,'Inputs (2)'!$D$2:$AL$2,0)),"")</f>
        <v/>
      </c>
      <c r="G21" s="266" t="str">
        <f>IFERROR(INDEX('Inputs (2)'!$D$55:$AL$55,MATCH(G$7,'Inputs (2)'!$D$2:$AL$2,0)),"")</f>
        <v/>
      </c>
      <c r="H21" s="267" t="str">
        <f>IF(COUNT(D21:G21)=4,SUM(D21:G21),"")</f>
        <v/>
      </c>
      <c r="I21" s="266" t="str">
        <f>IFERROR(INDEX('Inputs (2)'!$D$55:$AL$55,MATCH(I$7,'Inputs (2)'!$D$2:$AL$2,0)),"")</f>
        <v/>
      </c>
      <c r="J21" s="266" t="str">
        <f>IFERROR(INDEX('Inputs (2)'!$D$55:$AL$55,MATCH(J$7,'Inputs (2)'!$D$2:$AL$2,0)),"")</f>
        <v/>
      </c>
      <c r="K21" s="266" t="str">
        <f>IFERROR(INDEX('Inputs (2)'!$D$55:$AL$55,MATCH(K$7,'Inputs (2)'!$D$2:$AL$2,0)),"")</f>
        <v/>
      </c>
      <c r="L21" s="266" t="str">
        <f>IFERROR(INDEX('Inputs (2)'!$D$55:$AL$55,MATCH(L$7,'Inputs (2)'!$D$2:$AL$2,0)),"")</f>
        <v/>
      </c>
      <c r="M21" s="267" t="str">
        <f>IF(COUNT(I21:L21)=4,SUM(I21:L21),"")</f>
        <v/>
      </c>
      <c r="N21" s="266" t="str">
        <f>IFERROR(INDEX('Inputs (2)'!$D$55:$AL$55,MATCH(N$7,'Inputs (2)'!$D$2:$AL$2,0)),"")</f>
        <v/>
      </c>
      <c r="O21" s="266" t="str">
        <f>IFERROR(INDEX('Inputs (2)'!$D$55:$AL$55,MATCH(O$7,'Inputs (2)'!$D$2:$AL$2,0)),"")</f>
        <v/>
      </c>
      <c r="P21" s="266" t="str">
        <f>IFERROR(INDEX('Inputs (2)'!$D$55:$AL$55,MATCH(P$7,'Inputs (2)'!$D$2:$AL$2,0)),"")</f>
        <v/>
      </c>
      <c r="Q21" s="266" t="str">
        <f>IFERROR(INDEX('Inputs (2)'!$D$55:$AL$55,MATCH(Q$7,'Inputs (2)'!$D$2:$AL$2,0)),"")</f>
        <v/>
      </c>
      <c r="R21" s="267" t="str">
        <f>IF(COUNT(N21:Q21)=4,SUM(N21:Q21),"")</f>
        <v/>
      </c>
      <c r="S21" s="266">
        <f>IFERROR(INDEX('Inputs (2)'!$D$55:$AL$55,MATCH(S$7,'Inputs (2)'!$D$2:$AL$2,0)),"")</f>
        <v>927</v>
      </c>
      <c r="T21" s="266">
        <f>IFERROR(INDEX('Inputs (2)'!$D$55:$AL$55,MATCH(T$7,'Inputs (2)'!$D$2:$AL$2,0)),"")</f>
        <v>1711</v>
      </c>
      <c r="U21" s="266">
        <f>IFERROR(INDEX('Inputs (2)'!$D$55:$AL$55,MATCH(U$7,'Inputs (2)'!$D$2:$AL$2,0)),"")</f>
        <v>2606</v>
      </c>
      <c r="V21" s="266">
        <f>IFERROR(INDEX('Inputs (2)'!$D$55:$AL$55,MATCH(V$7,'Inputs (2)'!$D$2:$AL$2,0)),"")</f>
        <v>3331</v>
      </c>
      <c r="W21" s="267">
        <f>IF(COUNT(S21:V21)=4,SUM(S21:V21),"")</f>
        <v>8575</v>
      </c>
      <c r="X21" s="266">
        <f>IFERROR(INDEX('Inputs (2)'!$D$55:$AL$55,MATCH(X$7,'Inputs (2)'!$D$2:$AL$2,0)),"")</f>
        <v>3171</v>
      </c>
      <c r="Y21" s="266">
        <f>IFERROR(INDEX('Inputs (2)'!$D$55:$AL$55,MATCH(Y$7,'Inputs (2)'!$D$2:$AL$2,0)),"")</f>
        <v>3668</v>
      </c>
      <c r="Z21" s="266">
        <f>IFERROR(INDEX('Inputs (2)'!$D$55:$AL$55,MATCH(Z$7,'Inputs (2)'!$D$2:$AL$2,0)),"")</f>
        <v>3127</v>
      </c>
      <c r="AA21" s="266">
        <f>IFERROR(INDEX('Inputs (2)'!$D$55:$AL$55,MATCH(AA$7,'Inputs (2)'!$D$2:$AL$2,0)),"")</f>
        <v>3024</v>
      </c>
      <c r="AB21" s="267">
        <f>IF(COUNT(X21:AA21)=4,SUM(X21:AA21),"")</f>
        <v>12990</v>
      </c>
      <c r="AC21" s="266">
        <f>IFERROR(INDEX('Inputs (2)'!$D$55:$AL$55,MATCH(AC$7,'Inputs (2)'!$D$2:$AL$2,0)),"")</f>
        <v>4957</v>
      </c>
      <c r="AD21" s="266">
        <f>IFERROR(INDEX('Inputs (2)'!$D$55:$AL$55,MATCH(AD$7,'Inputs (2)'!$D$2:$AL$2,0)),"")</f>
        <v>7252</v>
      </c>
      <c r="AE21" s="266">
        <f>IFERROR(INDEX('Inputs (2)'!$D$55:$AL$55,MATCH(AE$7,'Inputs (2)'!$D$2:$AL$2,0)),"")</f>
        <v>8187</v>
      </c>
      <c r="AF21" s="266">
        <f>IFERROR(INDEX('Inputs (2)'!$D$55:$AL$55,MATCH(AF$7,'Inputs (2)'!$D$2:$AL$2,0)),"")</f>
        <v>10980</v>
      </c>
      <c r="AG21" s="267">
        <f>IF(COUNT(AC21:AF21)=4,SUM(AC21:AF21),"")</f>
        <v>31376</v>
      </c>
      <c r="AH21" s="267" t="str">
        <f>IFERROR(INDEX('Inputs (2)'!$D$55:$AL$55,MATCH(AH$7,'Inputs (2)'!$D$2:$AL$2,0)),"")</f>
        <v/>
      </c>
      <c r="AI21" s="267" t="str">
        <f>IFERROR(INDEX('Inputs (2)'!$D$55:$AL$55,MATCH(AI$7,'Inputs (2)'!$D$2:$AL$2,0)),"")</f>
        <v/>
      </c>
    </row>
    <row r="22">
      <c r="C22" s="14" t="inlineStr">
        <is>
          <t xml:space="preserve">   Hyperscale (nova abertura)</t>
        </is>
      </c>
      <c r="D22" s="266" t="str">
        <f>IFERROR(INDEX('Inputs (2)'!$D$56:$AL$56,MATCH(D$7,'Inputs (2)'!$D$2:$AL$2,0)),"")</f>
        <v/>
      </c>
      <c r="E22" s="266" t="str">
        <f>IFERROR(INDEX('Inputs (2)'!$D$56:$AL$56,MATCH(E$7,'Inputs (2)'!$D$2:$AL$2,0)),"")</f>
        <v/>
      </c>
      <c r="F22" s="266" t="str">
        <f>IFERROR(INDEX('Inputs (2)'!$D$56:$AL$56,MATCH(F$7,'Inputs (2)'!$D$2:$AL$2,0)),"")</f>
        <v/>
      </c>
      <c r="G22" s="266" t="str">
        <f>IFERROR(INDEX('Inputs (2)'!$D$56:$AL$56,MATCH(G$7,'Inputs (2)'!$D$2:$AL$2,0)),"")</f>
        <v/>
      </c>
      <c r="H22" s="267" t="str">
        <f>IF(COUNT(D22:G22)=4,SUM(D22:G22),"")</f>
        <v/>
      </c>
      <c r="I22" s="266" t="str">
        <f>IFERROR(INDEX('Inputs (2)'!$D$56:$AL$56,MATCH(I$7,'Inputs (2)'!$D$2:$AL$2,0)),"")</f>
        <v/>
      </c>
      <c r="J22" s="266" t="str">
        <f>IFERROR(INDEX('Inputs (2)'!$D$56:$AL$56,MATCH(J$7,'Inputs (2)'!$D$2:$AL$2,0)),"")</f>
        <v/>
      </c>
      <c r="K22" s="266" t="str">
        <f>IFERROR(INDEX('Inputs (2)'!$D$56:$AL$56,MATCH(K$7,'Inputs (2)'!$D$2:$AL$2,0)),"")</f>
        <v/>
      </c>
      <c r="L22" s="266" t="str">
        <f>IFERROR(INDEX('Inputs (2)'!$D$56:$AL$56,MATCH(L$7,'Inputs (2)'!$D$2:$AL$2,0)),"")</f>
        <v/>
      </c>
      <c r="M22" s="267" t="str">
        <f>IF(COUNT(I22:L22)=4,SUM(I22:L22),"")</f>
        <v/>
      </c>
      <c r="N22" s="266" t="str">
        <f>IFERROR(INDEX('Inputs (2)'!$D$56:$AL$56,MATCH(N$7,'Inputs (2)'!$D$2:$AL$2,0)),"")</f>
        <v/>
      </c>
      <c r="O22" s="266" t="str">
        <f>IFERROR(INDEX('Inputs (2)'!$D$56:$AL$56,MATCH(O$7,'Inputs (2)'!$D$2:$AL$2,0)),"")</f>
        <v/>
      </c>
      <c r="P22" s="266" t="str">
        <f>IFERROR(INDEX('Inputs (2)'!$D$56:$AL$56,MATCH(P$7,'Inputs (2)'!$D$2:$AL$2,0)),"")</f>
        <v/>
      </c>
      <c r="Q22" s="266" t="str">
        <f>IFERROR(INDEX('Inputs (2)'!$D$56:$AL$56,MATCH(Q$7,'Inputs (2)'!$D$2:$AL$2,0)),"")</f>
        <v/>
      </c>
      <c r="R22" s="267" t="str">
        <f>IF(COUNT(N22:Q22)=4,SUM(N22:Q22),"")</f>
        <v/>
      </c>
      <c r="S22" s="266" t="str">
        <f>IFERROR(INDEX('Inputs (2)'!$D$56:$AL$56,MATCH(S$7,'Inputs (2)'!$D$2:$AL$2,0)),"")</f>
        <v/>
      </c>
      <c r="T22" s="266" t="str">
        <f>IFERROR(INDEX('Inputs (2)'!$D$56:$AL$56,MATCH(T$7,'Inputs (2)'!$D$2:$AL$2,0)),"")</f>
        <v/>
      </c>
      <c r="U22" s="266" t="str">
        <f>IFERROR(INDEX('Inputs (2)'!$D$56:$AL$56,MATCH(U$7,'Inputs (2)'!$D$2:$AL$2,0)),"")</f>
        <v/>
      </c>
      <c r="V22" s="266" t="str">
        <f>IFERROR(INDEX('Inputs (2)'!$D$56:$AL$56,MATCH(V$7,'Inputs (2)'!$D$2:$AL$2,0)),"")</f>
        <v/>
      </c>
      <c r="W22" s="267" t="str">
        <f>IF(COUNT(S22:V22)=4,SUM(S22:V22),"")</f>
        <v/>
      </c>
      <c r="X22" s="266" t="str">
        <f>IFERROR(INDEX('Inputs (2)'!$D$56:$AL$56,MATCH(X$7,'Inputs (2)'!$D$2:$AL$2,0)),"")</f>
        <v/>
      </c>
      <c r="Y22" s="266" t="str">
        <f>IFERROR(INDEX('Inputs (2)'!$D$56:$AL$56,MATCH(Y$7,'Inputs (2)'!$D$2:$AL$2,0)),"")</f>
        <v/>
      </c>
      <c r="Z22" s="266" t="str">
        <f>IFERROR(INDEX('Inputs (2)'!$D$56:$AL$56,MATCH(Z$7,'Inputs (2)'!$D$2:$AL$2,0)),"")</f>
        <v/>
      </c>
      <c r="AA22" s="266" t="str">
        <f>IFERROR(INDEX('Inputs (2)'!$D$56:$AL$56,MATCH(AA$7,'Inputs (2)'!$D$2:$AL$2,0)),"")</f>
        <v/>
      </c>
      <c r="AB22" s="267" t="str">
        <f>IF(COUNT(X22:AA22)=4,SUM(X22:AA22),"")</f>
        <v/>
      </c>
      <c r="AC22" s="266">
        <f>IFERROR(INDEX('Inputs (2)'!$D$56:$AL$56,MATCH(AC$7,'Inputs (2)'!$D$2:$AL$2,0)),"")</f>
        <v>17599</v>
      </c>
      <c r="AD22" s="266">
        <f>IFERROR(INDEX('Inputs (2)'!$D$56:$AL$56,MATCH(AD$7,'Inputs (2)'!$D$2:$AL$2,0)),"")</f>
        <v>24168</v>
      </c>
      <c r="AE22" s="266" t="str">
        <f>IFERROR(INDEX('Inputs (2)'!$D$56:$AL$56,MATCH(AE$7,'Inputs (2)'!$D$2:$AL$2,0)),"")</f>
        <v/>
      </c>
      <c r="AF22" s="266" t="str">
        <f>IFERROR(INDEX('Inputs (2)'!$D$56:$AL$56,MATCH(AF$7,'Inputs (2)'!$D$2:$AL$2,0)),"")</f>
        <v/>
      </c>
      <c r="AG22" s="267" t="str">
        <f>IF(COUNT(AC22:AF22)=4,SUM(AC22:AF22),"")</f>
        <v/>
      </c>
      <c r="AH22" s="267">
        <f>IFERROR(INDEX('Inputs (2)'!$D$56:$AL$56,MATCH(AH$7,'Inputs (2)'!$D$2:$AL$2,0)),"")</f>
        <v>37869</v>
      </c>
      <c r="AI22" s="267">
        <f>IFERROR(INDEX('Inputs (2)'!$D$56:$AL$56,MATCH(AI$7,'Inputs (2)'!$D$2:$AL$2,0)),"")</f>
        <v>48710</v>
      </c>
    </row>
    <row r="23">
      <c r="C23" s="14" t="inlineStr">
        <is>
          <t xml:space="preserve">   AI Clouds, Industrial &amp; Enterprise (nova abertura)</t>
        </is>
      </c>
      <c r="D23" s="266" t="str">
        <f>IFERROR(INDEX('Inputs (2)'!$D$57:$AL$57,MATCH(D$7,'Inputs (2)'!$D$2:$AL$2,0)),"")</f>
        <v/>
      </c>
      <c r="E23" s="266" t="str">
        <f>IFERROR(INDEX('Inputs (2)'!$D$57:$AL$57,MATCH(E$7,'Inputs (2)'!$D$2:$AL$2,0)),"")</f>
        <v/>
      </c>
      <c r="F23" s="266" t="str">
        <f>IFERROR(INDEX('Inputs (2)'!$D$57:$AL$57,MATCH(F$7,'Inputs (2)'!$D$2:$AL$2,0)),"")</f>
        <v/>
      </c>
      <c r="G23" s="266" t="str">
        <f>IFERROR(INDEX('Inputs (2)'!$D$57:$AL$57,MATCH(G$7,'Inputs (2)'!$D$2:$AL$2,0)),"")</f>
        <v/>
      </c>
      <c r="H23" s="267" t="str">
        <f>IF(COUNT(D23:G23)=4,SUM(D23:G23),"")</f>
        <v/>
      </c>
      <c r="I23" s="266" t="str">
        <f>IFERROR(INDEX('Inputs (2)'!$D$57:$AL$57,MATCH(I$7,'Inputs (2)'!$D$2:$AL$2,0)),"")</f>
        <v/>
      </c>
      <c r="J23" s="266" t="str">
        <f>IFERROR(INDEX('Inputs (2)'!$D$57:$AL$57,MATCH(J$7,'Inputs (2)'!$D$2:$AL$2,0)),"")</f>
        <v/>
      </c>
      <c r="K23" s="266" t="str">
        <f>IFERROR(INDEX('Inputs (2)'!$D$57:$AL$57,MATCH(K$7,'Inputs (2)'!$D$2:$AL$2,0)),"")</f>
        <v/>
      </c>
      <c r="L23" s="266" t="str">
        <f>IFERROR(INDEX('Inputs (2)'!$D$57:$AL$57,MATCH(L$7,'Inputs (2)'!$D$2:$AL$2,0)),"")</f>
        <v/>
      </c>
      <c r="M23" s="267" t="str">
        <f>IF(COUNT(I23:L23)=4,SUM(I23:L23),"")</f>
        <v/>
      </c>
      <c r="N23" s="266" t="str">
        <f>IFERROR(INDEX('Inputs (2)'!$D$57:$AL$57,MATCH(N$7,'Inputs (2)'!$D$2:$AL$2,0)),"")</f>
        <v/>
      </c>
      <c r="O23" s="266" t="str">
        <f>IFERROR(INDEX('Inputs (2)'!$D$57:$AL$57,MATCH(O$7,'Inputs (2)'!$D$2:$AL$2,0)),"")</f>
        <v/>
      </c>
      <c r="P23" s="266" t="str">
        <f>IFERROR(INDEX('Inputs (2)'!$D$57:$AL$57,MATCH(P$7,'Inputs (2)'!$D$2:$AL$2,0)),"")</f>
        <v/>
      </c>
      <c r="Q23" s="266" t="str">
        <f>IFERROR(INDEX('Inputs (2)'!$D$57:$AL$57,MATCH(Q$7,'Inputs (2)'!$D$2:$AL$2,0)),"")</f>
        <v/>
      </c>
      <c r="R23" s="267" t="str">
        <f>IF(COUNT(N23:Q23)=4,SUM(N23:Q23),"")</f>
        <v/>
      </c>
      <c r="S23" s="266" t="str">
        <f>IFERROR(INDEX('Inputs (2)'!$D$57:$AL$57,MATCH(S$7,'Inputs (2)'!$D$2:$AL$2,0)),"")</f>
        <v/>
      </c>
      <c r="T23" s="266" t="str">
        <f>IFERROR(INDEX('Inputs (2)'!$D$57:$AL$57,MATCH(T$7,'Inputs (2)'!$D$2:$AL$2,0)),"")</f>
        <v/>
      </c>
      <c r="U23" s="266" t="str">
        <f>IFERROR(INDEX('Inputs (2)'!$D$57:$AL$57,MATCH(U$7,'Inputs (2)'!$D$2:$AL$2,0)),"")</f>
        <v/>
      </c>
      <c r="V23" s="266" t="str">
        <f>IFERROR(INDEX('Inputs (2)'!$D$57:$AL$57,MATCH(V$7,'Inputs (2)'!$D$2:$AL$2,0)),"")</f>
        <v/>
      </c>
      <c r="W23" s="267" t="str">
        <f>IF(COUNT(S23:V23)=4,SUM(S23:V23),"")</f>
        <v/>
      </c>
      <c r="X23" s="266" t="str">
        <f>IFERROR(INDEX('Inputs (2)'!$D$57:$AL$57,MATCH(X$7,'Inputs (2)'!$D$2:$AL$2,0)),"")</f>
        <v/>
      </c>
      <c r="Y23" s="266" t="str">
        <f>IFERROR(INDEX('Inputs (2)'!$D$57:$AL$57,MATCH(Y$7,'Inputs (2)'!$D$2:$AL$2,0)),"")</f>
        <v/>
      </c>
      <c r="Z23" s="266" t="str">
        <f>IFERROR(INDEX('Inputs (2)'!$D$57:$AL$57,MATCH(Z$7,'Inputs (2)'!$D$2:$AL$2,0)),"")</f>
        <v/>
      </c>
      <c r="AA23" s="266" t="str">
        <f>IFERROR(INDEX('Inputs (2)'!$D$57:$AL$57,MATCH(AA$7,'Inputs (2)'!$D$2:$AL$2,0)),"")</f>
        <v/>
      </c>
      <c r="AB23" s="267" t="str">
        <f>IF(COUNT(X23:AA23)=4,SUM(X23:AA23),"")</f>
        <v/>
      </c>
      <c r="AC23" s="266">
        <f>IFERROR(INDEX('Inputs (2)'!$D$57:$AL$57,MATCH(AC$7,'Inputs (2)'!$D$2:$AL$2,0)),"")</f>
        <v>21513</v>
      </c>
      <c r="AD23" s="266">
        <f>IFERROR(INDEX('Inputs (2)'!$D$57:$AL$57,MATCH(AD$7,'Inputs (2)'!$D$2:$AL$2,0)),"")</f>
        <v>16928</v>
      </c>
      <c r="AE23" s="266" t="str">
        <f>IFERROR(INDEX('Inputs (2)'!$D$57:$AL$57,MATCH(AE$7,'Inputs (2)'!$D$2:$AL$2,0)),"")</f>
        <v/>
      </c>
      <c r="AF23" s="266" t="str">
        <f>IFERROR(INDEX('Inputs (2)'!$D$57:$AL$57,MATCH(AF$7,'Inputs (2)'!$D$2:$AL$2,0)),"")</f>
        <v/>
      </c>
      <c r="AG23" s="267" t="str">
        <f>IF(COUNT(AC23:AF23)=4,SUM(AC23:AF23),"")</f>
        <v/>
      </c>
      <c r="AH23" s="267">
        <f>IFERROR(INDEX('Inputs (2)'!$D$57:$AL$57,MATCH(AH$7,'Inputs (2)'!$D$2:$AL$2,0)),"")</f>
        <v>37377</v>
      </c>
      <c r="AI23" s="267">
        <f>IFERROR(INDEX('Inputs (2)'!$D$57:$AL$57,MATCH(AI$7,'Inputs (2)'!$D$2:$AL$2,0)),"")</f>
        <v>40313</v>
      </c>
    </row>
    <row r="24">
      <c r="C24" s="14" t="inlineStr">
        <is>
          <t>Gaming (até 4T25)</t>
        </is>
      </c>
      <c r="D24" s="266">
        <f>IFERROR(INDEX('Inputs (2)'!$D$58:$AL$58,MATCH(D$7,'Inputs (2)'!$D$2:$AL$2,0)),"")</f>
        <v>1339</v>
      </c>
      <c r="E24" s="266">
        <f>IFERROR(INDEX('Inputs (2)'!$D$58:$AL$58,MATCH(E$7,'Inputs (2)'!$D$2:$AL$2,0)),"")</f>
        <v>1654</v>
      </c>
      <c r="F24" s="266">
        <f>IFERROR(INDEX('Inputs (2)'!$D$58:$AL$58,MATCH(F$7,'Inputs (2)'!$D$2:$AL$2,0)),"")</f>
        <v>2271</v>
      </c>
      <c r="G24" s="266">
        <f>IFERROR(INDEX('Inputs (2)'!$D$58:$AL$58,MATCH(G$7,'Inputs (2)'!$D$2:$AL$2,0)),"")</f>
        <v>2495</v>
      </c>
      <c r="H24" s="267">
        <f>IF(COUNT(D24:G24)=4,SUM(D24:G24),"")</f>
        <v>7759</v>
      </c>
      <c r="I24" s="266">
        <f>IFERROR(INDEX('Inputs (2)'!$D$58:$AL$58,MATCH(I$7,'Inputs (2)'!$D$2:$AL$2,0)),"")</f>
        <v>2760</v>
      </c>
      <c r="J24" s="266">
        <f>IFERROR(INDEX('Inputs (2)'!$D$58:$AL$58,MATCH(J$7,'Inputs (2)'!$D$2:$AL$2,0)),"")</f>
        <v>3061</v>
      </c>
      <c r="K24" s="266">
        <f>IFERROR(INDEX('Inputs (2)'!$D$58:$AL$58,MATCH(K$7,'Inputs (2)'!$D$2:$AL$2,0)),"")</f>
        <v>3221</v>
      </c>
      <c r="L24" s="266">
        <f>IFERROR(INDEX('Inputs (2)'!$D$58:$AL$58,MATCH(L$7,'Inputs (2)'!$D$2:$AL$2,0)),"")</f>
        <v>3420</v>
      </c>
      <c r="M24" s="267">
        <f>IF(COUNT(I24:L24)=4,SUM(I24:L24),"")</f>
        <v>12462</v>
      </c>
      <c r="N24" s="266">
        <f>IFERROR(INDEX('Inputs (2)'!$D$58:$AL$58,MATCH(N$7,'Inputs (2)'!$D$2:$AL$2,0)),"")</f>
        <v>3620</v>
      </c>
      <c r="O24" s="266">
        <f>IFERROR(INDEX('Inputs (2)'!$D$58:$AL$58,MATCH(O$7,'Inputs (2)'!$D$2:$AL$2,0)),"")</f>
        <v>2042</v>
      </c>
      <c r="P24" s="266">
        <f>IFERROR(INDEX('Inputs (2)'!$D$58:$AL$58,MATCH(P$7,'Inputs (2)'!$D$2:$AL$2,0)),"")</f>
        <v>1574</v>
      </c>
      <c r="Q24" s="266">
        <f>IFERROR(INDEX('Inputs (2)'!$D$58:$AL$58,MATCH(Q$7,'Inputs (2)'!$D$2:$AL$2,0)),"")</f>
        <v>1831</v>
      </c>
      <c r="R24" s="267">
        <f>IF(COUNT(N24:Q24)=4,SUM(N24:Q24),"")</f>
        <v>9067</v>
      </c>
      <c r="S24" s="266">
        <f>IFERROR(INDEX('Inputs (2)'!$D$58:$AL$58,MATCH(S$7,'Inputs (2)'!$D$2:$AL$2,0)),"")</f>
        <v>2240</v>
      </c>
      <c r="T24" s="266">
        <f>IFERROR(INDEX('Inputs (2)'!$D$58:$AL$58,MATCH(T$7,'Inputs (2)'!$D$2:$AL$2,0)),"")</f>
        <v>2486</v>
      </c>
      <c r="U24" s="266">
        <f>IFERROR(INDEX('Inputs (2)'!$D$58:$AL$58,MATCH(U$7,'Inputs (2)'!$D$2:$AL$2,0)),"")</f>
        <v>2856</v>
      </c>
      <c r="V24" s="266">
        <f>IFERROR(INDEX('Inputs (2)'!$D$58:$AL$58,MATCH(V$7,'Inputs (2)'!$D$2:$AL$2,0)),"")</f>
        <v>2865</v>
      </c>
      <c r="W24" s="267">
        <f>IF(COUNT(S24:V24)=4,SUM(S24:V24),"")</f>
        <v>10447</v>
      </c>
      <c r="X24" s="266">
        <f>IFERROR(INDEX('Inputs (2)'!$D$58:$AL$58,MATCH(X$7,'Inputs (2)'!$D$2:$AL$2,0)),"")</f>
        <v>2647</v>
      </c>
      <c r="Y24" s="266">
        <f>IFERROR(INDEX('Inputs (2)'!$D$58:$AL$58,MATCH(Y$7,'Inputs (2)'!$D$2:$AL$2,0)),"")</f>
        <v>2880</v>
      </c>
      <c r="Z24" s="266">
        <f>IFERROR(INDEX('Inputs (2)'!$D$58:$AL$58,MATCH(Z$7,'Inputs (2)'!$D$2:$AL$2,0)),"")</f>
        <v>3279</v>
      </c>
      <c r="AA24" s="266">
        <f>IFERROR(INDEX('Inputs (2)'!$D$58:$AL$58,MATCH(AA$7,'Inputs (2)'!$D$2:$AL$2,0)),"")</f>
        <v>2544</v>
      </c>
      <c r="AB24" s="267">
        <f>IF(COUNT(X24:AA24)=4,SUM(X24:AA24),"")</f>
        <v>11350</v>
      </c>
      <c r="AC24" s="266">
        <f>IFERROR(INDEX('Inputs (2)'!$D$58:$AL$58,MATCH(AC$7,'Inputs (2)'!$D$2:$AL$2,0)),"")</f>
        <v>3763</v>
      </c>
      <c r="AD24" s="266">
        <f>IFERROR(INDEX('Inputs (2)'!$D$58:$AL$58,MATCH(AD$7,'Inputs (2)'!$D$2:$AL$2,0)),"")</f>
        <v>4287</v>
      </c>
      <c r="AE24" s="266">
        <f>IFERROR(INDEX('Inputs (2)'!$D$58:$AL$58,MATCH(AE$7,'Inputs (2)'!$D$2:$AL$2,0)),"")</f>
        <v>4265</v>
      </c>
      <c r="AF24" s="266">
        <f>IFERROR(INDEX('Inputs (2)'!$D$58:$AL$58,MATCH(AF$7,'Inputs (2)'!$D$2:$AL$2,0)),"")</f>
        <v>3727</v>
      </c>
      <c r="AG24" s="267">
        <f>IF(COUNT(AC24:AF24)=4,SUM(AC24:AF24),"")</f>
        <v>16042</v>
      </c>
      <c r="AH24" s="267" t="str">
        <f>IFERROR(INDEX('Inputs (2)'!$D$58:$AL$58,MATCH(AH$7,'Inputs (2)'!$D$2:$AL$2,0)),"")</f>
        <v/>
      </c>
      <c r="AI24" s="267" t="str">
        <f>IFERROR(INDEX('Inputs (2)'!$D$58:$AL$58,MATCH(AI$7,'Inputs (2)'!$D$2:$AL$2,0)),"")</f>
        <v/>
      </c>
    </row>
    <row r="25">
      <c r="C25" s="14" t="inlineStr">
        <is>
          <t>Professional Visualization (até 4T25)</t>
        </is>
      </c>
      <c r="D25" s="266">
        <f>IFERROR(INDEX('Inputs (2)'!$D$59:$AL$59,MATCH(D$7,'Inputs (2)'!$D$2:$AL$2,0)),"")</f>
        <v>307</v>
      </c>
      <c r="E25" s="266">
        <f>IFERROR(INDEX('Inputs (2)'!$D$59:$AL$59,MATCH(E$7,'Inputs (2)'!$D$2:$AL$2,0)),"")</f>
        <v>203</v>
      </c>
      <c r="F25" s="266">
        <f>IFERROR(INDEX('Inputs (2)'!$D$59:$AL$59,MATCH(F$7,'Inputs (2)'!$D$2:$AL$2,0)),"")</f>
        <v>236</v>
      </c>
      <c r="G25" s="266">
        <f>IFERROR(INDEX('Inputs (2)'!$D$59:$AL$59,MATCH(G$7,'Inputs (2)'!$D$2:$AL$2,0)),"")</f>
        <v>307</v>
      </c>
      <c r="H25" s="267">
        <f>IF(COUNT(D25:G25)=4,SUM(D25:G25),"")</f>
        <v>1053</v>
      </c>
      <c r="I25" s="266">
        <f>IFERROR(INDEX('Inputs (2)'!$D$59:$AL$59,MATCH(I$7,'Inputs (2)'!$D$2:$AL$2,0)),"")</f>
        <v>372</v>
      </c>
      <c r="J25" s="266">
        <f>IFERROR(INDEX('Inputs (2)'!$D$59:$AL$59,MATCH(J$7,'Inputs (2)'!$D$2:$AL$2,0)),"")</f>
        <v>519</v>
      </c>
      <c r="K25" s="266">
        <f>IFERROR(INDEX('Inputs (2)'!$D$59:$AL$59,MATCH(K$7,'Inputs (2)'!$D$2:$AL$2,0)),"")</f>
        <v>577</v>
      </c>
      <c r="L25" s="266">
        <f>IFERROR(INDEX('Inputs (2)'!$D$59:$AL$59,MATCH(L$7,'Inputs (2)'!$D$2:$AL$2,0)),"")</f>
        <v>643</v>
      </c>
      <c r="M25" s="267">
        <f>IF(COUNT(I25:L25)=4,SUM(I25:L25),"")</f>
        <v>2111</v>
      </c>
      <c r="N25" s="266">
        <f>IFERROR(INDEX('Inputs (2)'!$D$59:$AL$59,MATCH(N$7,'Inputs (2)'!$D$2:$AL$2,0)),"")</f>
        <v>622</v>
      </c>
      <c r="O25" s="266">
        <f>IFERROR(INDEX('Inputs (2)'!$D$59:$AL$59,MATCH(O$7,'Inputs (2)'!$D$2:$AL$2,0)),"")</f>
        <v>496</v>
      </c>
      <c r="P25" s="266">
        <f>IFERROR(INDEX('Inputs (2)'!$D$59:$AL$59,MATCH(P$7,'Inputs (2)'!$D$2:$AL$2,0)),"")</f>
        <v>200</v>
      </c>
      <c r="Q25" s="266">
        <f>IFERROR(INDEX('Inputs (2)'!$D$59:$AL$59,MATCH(Q$7,'Inputs (2)'!$D$2:$AL$2,0)),"")</f>
        <v>226</v>
      </c>
      <c r="R25" s="267">
        <f>IF(COUNT(N25:Q25)=4,SUM(N25:Q25),"")</f>
        <v>1544</v>
      </c>
      <c r="S25" s="266">
        <f>IFERROR(INDEX('Inputs (2)'!$D$59:$AL$59,MATCH(S$7,'Inputs (2)'!$D$2:$AL$2,0)),"")</f>
        <v>295</v>
      </c>
      <c r="T25" s="266">
        <f>IFERROR(INDEX('Inputs (2)'!$D$59:$AL$59,MATCH(T$7,'Inputs (2)'!$D$2:$AL$2,0)),"")</f>
        <v>379</v>
      </c>
      <c r="U25" s="266">
        <f>IFERROR(INDEX('Inputs (2)'!$D$59:$AL$59,MATCH(U$7,'Inputs (2)'!$D$2:$AL$2,0)),"")</f>
        <v>416</v>
      </c>
      <c r="V25" s="266">
        <f>IFERROR(INDEX('Inputs (2)'!$D$59:$AL$59,MATCH(V$7,'Inputs (2)'!$D$2:$AL$2,0)),"")</f>
        <v>463</v>
      </c>
      <c r="W25" s="267">
        <f>IF(COUNT(S25:V25)=4,SUM(S25:V25),"")</f>
        <v>1553</v>
      </c>
      <c r="X25" s="266">
        <f>IFERROR(INDEX('Inputs (2)'!$D$59:$AL$59,MATCH(X$7,'Inputs (2)'!$D$2:$AL$2,0)),"")</f>
        <v>427</v>
      </c>
      <c r="Y25" s="266">
        <f>IFERROR(INDEX('Inputs (2)'!$D$59:$AL$59,MATCH(Y$7,'Inputs (2)'!$D$2:$AL$2,0)),"")</f>
        <v>454</v>
      </c>
      <c r="Z25" s="266">
        <f>IFERROR(INDEX('Inputs (2)'!$D$59:$AL$59,MATCH(Z$7,'Inputs (2)'!$D$2:$AL$2,0)),"")</f>
        <v>486</v>
      </c>
      <c r="AA25" s="266">
        <f>IFERROR(INDEX('Inputs (2)'!$D$59:$AL$59,MATCH(AA$7,'Inputs (2)'!$D$2:$AL$2,0)),"")</f>
        <v>511</v>
      </c>
      <c r="AB25" s="267">
        <f>IF(COUNT(X25:AA25)=4,SUM(X25:AA25),"")</f>
        <v>1878</v>
      </c>
      <c r="AC25" s="266">
        <f>IFERROR(INDEX('Inputs (2)'!$D$59:$AL$59,MATCH(AC$7,'Inputs (2)'!$D$2:$AL$2,0)),"")</f>
        <v>509</v>
      </c>
      <c r="AD25" s="266">
        <f>IFERROR(INDEX('Inputs (2)'!$D$59:$AL$59,MATCH(AD$7,'Inputs (2)'!$D$2:$AL$2,0)),"")</f>
        <v>601</v>
      </c>
      <c r="AE25" s="266">
        <f>IFERROR(INDEX('Inputs (2)'!$D$59:$AL$59,MATCH(AE$7,'Inputs (2)'!$D$2:$AL$2,0)),"")</f>
        <v>760</v>
      </c>
      <c r="AF25" s="266">
        <f>IFERROR(INDEX('Inputs (2)'!$D$59:$AL$59,MATCH(AF$7,'Inputs (2)'!$D$2:$AL$2,0)),"")</f>
        <v>1321</v>
      </c>
      <c r="AG25" s="267">
        <f>IF(COUNT(AC25:AF25)=4,SUM(AC25:AF25),"")</f>
        <v>3191</v>
      </c>
      <c r="AH25" s="267" t="str">
        <f>IFERROR(INDEX('Inputs (2)'!$D$59:$AL$59,MATCH(AH$7,'Inputs (2)'!$D$2:$AL$2,0)),"")</f>
        <v/>
      </c>
      <c r="AI25" s="267" t="str">
        <f>IFERROR(INDEX('Inputs (2)'!$D$59:$AL$59,MATCH(AI$7,'Inputs (2)'!$D$2:$AL$2,0)),"")</f>
        <v/>
      </c>
    </row>
    <row r="26">
      <c r="C26" s="14" t="inlineStr">
        <is>
          <t>Automotive (até 4T25)</t>
        </is>
      </c>
      <c r="D26" s="266">
        <f>IFERROR(INDEX('Inputs (2)'!$D$60:$AL$60,MATCH(D$7,'Inputs (2)'!$D$2:$AL$2,0)),"")</f>
        <v>155</v>
      </c>
      <c r="E26" s="266">
        <f>IFERROR(INDEX('Inputs (2)'!$D$60:$AL$60,MATCH(E$7,'Inputs (2)'!$D$2:$AL$2,0)),"")</f>
        <v>111</v>
      </c>
      <c r="F26" s="266">
        <f>IFERROR(INDEX('Inputs (2)'!$D$60:$AL$60,MATCH(F$7,'Inputs (2)'!$D$2:$AL$2,0)),"")</f>
        <v>125</v>
      </c>
      <c r="G26" s="266">
        <f>IFERROR(INDEX('Inputs (2)'!$D$60:$AL$60,MATCH(G$7,'Inputs (2)'!$D$2:$AL$2,0)),"")</f>
        <v>145</v>
      </c>
      <c r="H26" s="267">
        <f>IF(COUNT(D26:G26)=4,SUM(D26:G26),"")</f>
        <v>536</v>
      </c>
      <c r="I26" s="266">
        <f>IFERROR(INDEX('Inputs (2)'!$D$60:$AL$60,MATCH(I$7,'Inputs (2)'!$D$2:$AL$2,0)),"")</f>
        <v>154</v>
      </c>
      <c r="J26" s="266">
        <f>IFERROR(INDEX('Inputs (2)'!$D$60:$AL$60,MATCH(J$7,'Inputs (2)'!$D$2:$AL$2,0)),"")</f>
        <v>152</v>
      </c>
      <c r="K26" s="266">
        <f>IFERROR(INDEX('Inputs (2)'!$D$60:$AL$60,MATCH(K$7,'Inputs (2)'!$D$2:$AL$2,0)),"")</f>
        <v>135</v>
      </c>
      <c r="L26" s="266">
        <f>IFERROR(INDEX('Inputs (2)'!$D$60:$AL$60,MATCH(L$7,'Inputs (2)'!$D$2:$AL$2,0)),"")</f>
        <v>125</v>
      </c>
      <c r="M26" s="267">
        <f>IF(COUNT(I26:L26)=4,SUM(I26:L26),"")</f>
        <v>566</v>
      </c>
      <c r="N26" s="266">
        <f>IFERROR(INDEX('Inputs (2)'!$D$60:$AL$60,MATCH(N$7,'Inputs (2)'!$D$2:$AL$2,0)),"")</f>
        <v>138</v>
      </c>
      <c r="O26" s="266">
        <f>IFERROR(INDEX('Inputs (2)'!$D$60:$AL$60,MATCH(O$7,'Inputs (2)'!$D$2:$AL$2,0)),"")</f>
        <v>220</v>
      </c>
      <c r="P26" s="266">
        <f>IFERROR(INDEX('Inputs (2)'!$D$60:$AL$60,MATCH(P$7,'Inputs (2)'!$D$2:$AL$2,0)),"")</f>
        <v>251</v>
      </c>
      <c r="Q26" s="266">
        <f>IFERROR(INDEX('Inputs (2)'!$D$60:$AL$60,MATCH(Q$7,'Inputs (2)'!$D$2:$AL$2,0)),"")</f>
        <v>294</v>
      </c>
      <c r="R26" s="267">
        <f>IF(COUNT(N26:Q26)=4,SUM(N26:Q26),"")</f>
        <v>903</v>
      </c>
      <c r="S26" s="266">
        <f>IFERROR(INDEX('Inputs (2)'!$D$60:$AL$60,MATCH(S$7,'Inputs (2)'!$D$2:$AL$2,0)),"")</f>
        <v>296</v>
      </c>
      <c r="T26" s="266">
        <f>IFERROR(INDEX('Inputs (2)'!$D$60:$AL$60,MATCH(T$7,'Inputs (2)'!$D$2:$AL$2,0)),"")</f>
        <v>253</v>
      </c>
      <c r="U26" s="266">
        <f>IFERROR(INDEX('Inputs (2)'!$D$60:$AL$60,MATCH(U$7,'Inputs (2)'!$D$2:$AL$2,0)),"")</f>
        <v>261</v>
      </c>
      <c r="V26" s="266">
        <f>IFERROR(INDEX('Inputs (2)'!$D$60:$AL$60,MATCH(V$7,'Inputs (2)'!$D$2:$AL$2,0)),"")</f>
        <v>281</v>
      </c>
      <c r="W26" s="267">
        <f>IF(COUNT(S26:V26)=4,SUM(S26:V26),"")</f>
        <v>1091</v>
      </c>
      <c r="X26" s="266">
        <f>IFERROR(INDEX('Inputs (2)'!$D$60:$AL$60,MATCH(X$7,'Inputs (2)'!$D$2:$AL$2,0)),"")</f>
        <v>329</v>
      </c>
      <c r="Y26" s="266">
        <f>IFERROR(INDEX('Inputs (2)'!$D$60:$AL$60,MATCH(Y$7,'Inputs (2)'!$D$2:$AL$2,0)),"")</f>
        <v>346</v>
      </c>
      <c r="Z26" s="266">
        <f>IFERROR(INDEX('Inputs (2)'!$D$60:$AL$60,MATCH(Z$7,'Inputs (2)'!$D$2:$AL$2,0)),"")</f>
        <v>449</v>
      </c>
      <c r="AA26" s="266">
        <f>IFERROR(INDEX('Inputs (2)'!$D$60:$AL$60,MATCH(AA$7,'Inputs (2)'!$D$2:$AL$2,0)),"")</f>
        <v>570</v>
      </c>
      <c r="AB26" s="267">
        <f>IF(COUNT(X26:AA26)=4,SUM(X26:AA26),"")</f>
        <v>1694</v>
      </c>
      <c r="AC26" s="266">
        <f>IFERROR(INDEX('Inputs (2)'!$D$60:$AL$60,MATCH(AC$7,'Inputs (2)'!$D$2:$AL$2,0)),"")</f>
        <v>567</v>
      </c>
      <c r="AD26" s="266">
        <f>IFERROR(INDEX('Inputs (2)'!$D$60:$AL$60,MATCH(AD$7,'Inputs (2)'!$D$2:$AL$2,0)),"")</f>
        <v>586</v>
      </c>
      <c r="AE26" s="266">
        <f>IFERROR(INDEX('Inputs (2)'!$D$60:$AL$60,MATCH(AE$7,'Inputs (2)'!$D$2:$AL$2,0)),"")</f>
        <v>592</v>
      </c>
      <c r="AF26" s="266">
        <f>IFERROR(INDEX('Inputs (2)'!$D$60:$AL$60,MATCH(AF$7,'Inputs (2)'!$D$2:$AL$2,0)),"")</f>
        <v>604</v>
      </c>
      <c r="AG26" s="267">
        <f>IF(COUNT(AC26:AF26)=4,SUM(AC26:AF26),"")</f>
        <v>2349</v>
      </c>
      <c r="AH26" s="267" t="str">
        <f>IFERROR(INDEX('Inputs (2)'!$D$60:$AL$60,MATCH(AH$7,'Inputs (2)'!$D$2:$AL$2,0)),"")</f>
        <v/>
      </c>
      <c r="AI26" s="267" t="str">
        <f>IFERROR(INDEX('Inputs (2)'!$D$60:$AL$60,MATCH(AI$7,'Inputs (2)'!$D$2:$AL$2,0)),"")</f>
        <v/>
      </c>
    </row>
    <row r="27">
      <c r="C27" s="14" t="inlineStr">
        <is>
          <t>OEM &amp; Other (até 4T25)</t>
        </is>
      </c>
      <c r="D27" s="266">
        <f>IFERROR(INDEX('Inputs (2)'!$D$61:$AL$61,MATCH(D$7,'Inputs (2)'!$D$2:$AL$2,0)),"")</f>
        <v>138</v>
      </c>
      <c r="E27" s="266">
        <f>IFERROR(INDEX('Inputs (2)'!$D$61:$AL$61,MATCH(E$7,'Inputs (2)'!$D$2:$AL$2,0)),"")</f>
        <v>146</v>
      </c>
      <c r="F27" s="266">
        <f>IFERROR(INDEX('Inputs (2)'!$D$61:$AL$61,MATCH(F$7,'Inputs (2)'!$D$2:$AL$2,0)),"")</f>
        <v>194</v>
      </c>
      <c r="G27" s="266">
        <f>IFERROR(INDEX('Inputs (2)'!$D$61:$AL$61,MATCH(G$7,'Inputs (2)'!$D$2:$AL$2,0)),"")</f>
        <v>153</v>
      </c>
      <c r="H27" s="267">
        <f>IF(COUNT(D27:G27)=4,SUM(D27:G27),"")</f>
        <v>631</v>
      </c>
      <c r="I27" s="266">
        <f>IFERROR(INDEX('Inputs (2)'!$D$61:$AL$61,MATCH(I$7,'Inputs (2)'!$D$2:$AL$2,0)),"")</f>
        <v>327</v>
      </c>
      <c r="J27" s="266">
        <f>IFERROR(INDEX('Inputs (2)'!$D$61:$AL$61,MATCH(J$7,'Inputs (2)'!$D$2:$AL$2,0)),"")</f>
        <v>409</v>
      </c>
      <c r="K27" s="266">
        <f>IFERROR(INDEX('Inputs (2)'!$D$61:$AL$61,MATCH(K$7,'Inputs (2)'!$D$2:$AL$2,0)),"")</f>
        <v>234</v>
      </c>
      <c r="L27" s="266">
        <f>IFERROR(INDEX('Inputs (2)'!$D$61:$AL$61,MATCH(L$7,'Inputs (2)'!$D$2:$AL$2,0)),"")</f>
        <v>192</v>
      </c>
      <c r="M27" s="267">
        <f>IF(COUNT(I27:L27)=4,SUM(I27:L27),"")</f>
        <v>1162</v>
      </c>
      <c r="N27" s="266">
        <f>IFERROR(INDEX('Inputs (2)'!$D$61:$AL$61,MATCH(N$7,'Inputs (2)'!$D$2:$AL$2,0)),"")</f>
        <v>158</v>
      </c>
      <c r="O27" s="266">
        <f>IFERROR(INDEX('Inputs (2)'!$D$61:$AL$61,MATCH(O$7,'Inputs (2)'!$D$2:$AL$2,0)),"")</f>
        <v>140</v>
      </c>
      <c r="P27" s="266">
        <f>IFERROR(INDEX('Inputs (2)'!$D$61:$AL$61,MATCH(P$7,'Inputs (2)'!$D$2:$AL$2,0)),"")</f>
        <v>73</v>
      </c>
      <c r="Q27" s="266">
        <f>IFERROR(INDEX('Inputs (2)'!$D$61:$AL$61,MATCH(Q$7,'Inputs (2)'!$D$2:$AL$2,0)),"")</f>
        <v>84</v>
      </c>
      <c r="R27" s="267">
        <f>IF(COUNT(N27:Q27)=4,SUM(N27:Q27),"")</f>
        <v>455</v>
      </c>
      <c r="S27" s="266">
        <f>IFERROR(INDEX('Inputs (2)'!$D$61:$AL$61,MATCH(S$7,'Inputs (2)'!$D$2:$AL$2,0)),"")</f>
        <v>77</v>
      </c>
      <c r="T27" s="266">
        <f>IFERROR(INDEX('Inputs (2)'!$D$61:$AL$61,MATCH(T$7,'Inputs (2)'!$D$2:$AL$2,0)),"")</f>
        <v>66</v>
      </c>
      <c r="U27" s="266">
        <f>IFERROR(INDEX('Inputs (2)'!$D$61:$AL$61,MATCH(U$7,'Inputs (2)'!$D$2:$AL$2,0)),"")</f>
        <v>73</v>
      </c>
      <c r="V27" s="266">
        <f>IFERROR(INDEX('Inputs (2)'!$D$61:$AL$61,MATCH(V$7,'Inputs (2)'!$D$2:$AL$2,0)),"")</f>
        <v>90</v>
      </c>
      <c r="W27" s="267">
        <f>IF(COUNT(S27:V27)=4,SUM(S27:V27),"")</f>
        <v>306</v>
      </c>
      <c r="X27" s="266">
        <f>IFERROR(INDEX('Inputs (2)'!$D$61:$AL$61,MATCH(X$7,'Inputs (2)'!$D$2:$AL$2,0)),"")</f>
        <v>78</v>
      </c>
      <c r="Y27" s="266">
        <f>IFERROR(INDEX('Inputs (2)'!$D$61:$AL$61,MATCH(Y$7,'Inputs (2)'!$D$2:$AL$2,0)),"")</f>
        <v>88</v>
      </c>
      <c r="Z27" s="266">
        <f>IFERROR(INDEX('Inputs (2)'!$D$61:$AL$61,MATCH(Z$7,'Inputs (2)'!$D$2:$AL$2,0)),"")</f>
        <v>97</v>
      </c>
      <c r="AA27" s="266">
        <f>IFERROR(INDEX('Inputs (2)'!$D$61:$AL$61,MATCH(AA$7,'Inputs (2)'!$D$2:$AL$2,0)),"")</f>
        <v>126</v>
      </c>
      <c r="AB27" s="267">
        <f>IF(COUNT(X27:AA27)=4,SUM(X27:AA27),"")</f>
        <v>389</v>
      </c>
      <c r="AC27" s="266">
        <f>IFERROR(INDEX('Inputs (2)'!$D$61:$AL$61,MATCH(AC$7,'Inputs (2)'!$D$2:$AL$2,0)),"")</f>
        <v>111</v>
      </c>
      <c r="AD27" s="266">
        <f>IFERROR(INDEX('Inputs (2)'!$D$61:$AL$61,MATCH(AD$7,'Inputs (2)'!$D$2:$AL$2,0)),"")</f>
        <v>173</v>
      </c>
      <c r="AE27" s="266">
        <f>IFERROR(INDEX('Inputs (2)'!$D$61:$AL$61,MATCH(AE$7,'Inputs (2)'!$D$2:$AL$2,0)),"")</f>
        <v>174</v>
      </c>
      <c r="AF27" s="266">
        <f>IFERROR(INDEX('Inputs (2)'!$D$61:$AL$61,MATCH(AF$7,'Inputs (2)'!$D$2:$AL$2,0)),"")</f>
        <v>161</v>
      </c>
      <c r="AG27" s="267">
        <f>IF(COUNT(AC27:AF27)=4,SUM(AC27:AF27),"")</f>
        <v>619</v>
      </c>
      <c r="AH27" s="267" t="str">
        <f>IFERROR(INDEX('Inputs (2)'!$D$61:$AL$61,MATCH(AH$7,'Inputs (2)'!$D$2:$AL$2,0)),"")</f>
        <v/>
      </c>
      <c r="AI27" s="267" t="str">
        <f>IFERROR(INDEX('Inputs (2)'!$D$61:$AL$61,MATCH(AI$7,'Inputs (2)'!$D$2:$AL$2,0)),"")</f>
        <v/>
      </c>
    </row>
    <row r="28">
      <c r="C28" s="14" t="inlineStr">
        <is>
          <t>Edge Computing (1T25-2T25 reapresentados; soma só a partir de 1T26)</t>
        </is>
      </c>
      <c r="D28" s="266" t="str">
        <f>IFERROR(INDEX('Inputs (2)'!$D$62:$AL$62,MATCH(D$7,'Inputs (2)'!$D$2:$AL$2,0)),"")</f>
        <v/>
      </c>
      <c r="E28" s="266" t="str">
        <f>IFERROR(INDEX('Inputs (2)'!$D$62:$AL$62,MATCH(E$7,'Inputs (2)'!$D$2:$AL$2,0)),"")</f>
        <v/>
      </c>
      <c r="F28" s="266" t="str">
        <f>IFERROR(INDEX('Inputs (2)'!$D$62:$AL$62,MATCH(F$7,'Inputs (2)'!$D$2:$AL$2,0)),"")</f>
        <v/>
      </c>
      <c r="G28" s="266" t="str">
        <f>IFERROR(INDEX('Inputs (2)'!$D$62:$AL$62,MATCH(G$7,'Inputs (2)'!$D$2:$AL$2,0)),"")</f>
        <v/>
      </c>
      <c r="H28" s="267" t="str">
        <f>IF(COUNT(D28:G28)=4,SUM(D28:G28),"")</f>
        <v/>
      </c>
      <c r="I28" s="266" t="str">
        <f>IFERROR(INDEX('Inputs (2)'!$D$62:$AL$62,MATCH(I$7,'Inputs (2)'!$D$2:$AL$2,0)),"")</f>
        <v/>
      </c>
      <c r="J28" s="266" t="str">
        <f>IFERROR(INDEX('Inputs (2)'!$D$62:$AL$62,MATCH(J$7,'Inputs (2)'!$D$2:$AL$2,0)),"")</f>
        <v/>
      </c>
      <c r="K28" s="266" t="str">
        <f>IFERROR(INDEX('Inputs (2)'!$D$62:$AL$62,MATCH(K$7,'Inputs (2)'!$D$2:$AL$2,0)),"")</f>
        <v/>
      </c>
      <c r="L28" s="266" t="str">
        <f>IFERROR(INDEX('Inputs (2)'!$D$62:$AL$62,MATCH(L$7,'Inputs (2)'!$D$2:$AL$2,0)),"")</f>
        <v/>
      </c>
      <c r="M28" s="267" t="str">
        <f>IF(COUNT(I28:L28)=4,SUM(I28:L28),"")</f>
        <v/>
      </c>
      <c r="N28" s="266" t="str">
        <f>IFERROR(INDEX('Inputs (2)'!$D$62:$AL$62,MATCH(N$7,'Inputs (2)'!$D$2:$AL$2,0)),"")</f>
        <v/>
      </c>
      <c r="O28" s="266" t="str">
        <f>IFERROR(INDEX('Inputs (2)'!$D$62:$AL$62,MATCH(O$7,'Inputs (2)'!$D$2:$AL$2,0)),"")</f>
        <v/>
      </c>
      <c r="P28" s="266" t="str">
        <f>IFERROR(INDEX('Inputs (2)'!$D$62:$AL$62,MATCH(P$7,'Inputs (2)'!$D$2:$AL$2,0)),"")</f>
        <v/>
      </c>
      <c r="Q28" s="266" t="str">
        <f>IFERROR(INDEX('Inputs (2)'!$D$62:$AL$62,MATCH(Q$7,'Inputs (2)'!$D$2:$AL$2,0)),"")</f>
        <v/>
      </c>
      <c r="R28" s="267" t="str">
        <f>IF(COUNT(N28:Q28)=4,SUM(N28:Q28),"")</f>
        <v/>
      </c>
      <c r="S28" s="266" t="str">
        <f>IFERROR(INDEX('Inputs (2)'!$D$62:$AL$62,MATCH(S$7,'Inputs (2)'!$D$2:$AL$2,0)),"")</f>
        <v/>
      </c>
      <c r="T28" s="266" t="str">
        <f>IFERROR(INDEX('Inputs (2)'!$D$62:$AL$62,MATCH(T$7,'Inputs (2)'!$D$2:$AL$2,0)),"")</f>
        <v/>
      </c>
      <c r="U28" s="266" t="str">
        <f>IFERROR(INDEX('Inputs (2)'!$D$62:$AL$62,MATCH(U$7,'Inputs (2)'!$D$2:$AL$2,0)),"")</f>
        <v/>
      </c>
      <c r="V28" s="266" t="str">
        <f>IFERROR(INDEX('Inputs (2)'!$D$62:$AL$62,MATCH(V$7,'Inputs (2)'!$D$2:$AL$2,0)),"")</f>
        <v/>
      </c>
      <c r="W28" s="267" t="str">
        <f>IF(COUNT(S28:V28)=4,SUM(S28:V28),"")</f>
        <v/>
      </c>
      <c r="X28" s="266" t="str">
        <f>IFERROR(INDEX('Inputs (2)'!$D$62:$AL$62,MATCH(X$7,'Inputs (2)'!$D$2:$AL$2,0)),"")</f>
        <v/>
      </c>
      <c r="Y28" s="266" t="str">
        <f>IFERROR(INDEX('Inputs (2)'!$D$62:$AL$62,MATCH(Y$7,'Inputs (2)'!$D$2:$AL$2,0)),"")</f>
        <v/>
      </c>
      <c r="Z28" s="266" t="str">
        <f>IFERROR(INDEX('Inputs (2)'!$D$62:$AL$62,MATCH(Z$7,'Inputs (2)'!$D$2:$AL$2,0)),"")</f>
        <v/>
      </c>
      <c r="AA28" s="266" t="str">
        <f>IFERROR(INDEX('Inputs (2)'!$D$62:$AL$62,MATCH(AA$7,'Inputs (2)'!$D$2:$AL$2,0)),"")</f>
        <v/>
      </c>
      <c r="AB28" s="267" t="str">
        <f>IF(COUNT(X28:AA28)=4,SUM(X28:AA28),"")</f>
        <v/>
      </c>
      <c r="AC28" s="266">
        <f>IFERROR(INDEX('Inputs (2)'!$D$62:$AL$62,MATCH(AC$7,'Inputs (2)'!$D$2:$AL$2,0)),"")</f>
        <v>4950</v>
      </c>
      <c r="AD28" s="266">
        <f>IFERROR(INDEX('Inputs (2)'!$D$62:$AL$62,MATCH(AD$7,'Inputs (2)'!$D$2:$AL$2,0)),"")</f>
        <v>5647</v>
      </c>
      <c r="AE28" s="266" t="str">
        <f>IFERROR(INDEX('Inputs (2)'!$D$62:$AL$62,MATCH(AE$7,'Inputs (2)'!$D$2:$AL$2,0)),"")</f>
        <v/>
      </c>
      <c r="AF28" s="266" t="str">
        <f>IFERROR(INDEX('Inputs (2)'!$D$62:$AL$62,MATCH(AF$7,'Inputs (2)'!$D$2:$AL$2,0)),"")</f>
        <v/>
      </c>
      <c r="AG28" s="267" t="str">
        <f>IF(COUNT(AC28:AF28)=4,SUM(AC28:AF28),"")</f>
        <v/>
      </c>
      <c r="AH28" s="267">
        <f>IFERROR(INDEX('Inputs (2)'!$D$62:$AL$62,MATCH(AH$7,'Inputs (2)'!$D$2:$AL$2,0)),"")</f>
        <v>6369</v>
      </c>
      <c r="AI28" s="267">
        <f>IFERROR(INDEX('Inputs (2)'!$D$62:$AL$62,MATCH(AI$7,'Inputs (2)'!$D$2:$AL$2,0)),"")</f>
        <v>7198</v>
      </c>
    </row>
    <row r="29">
      <c r="C29" s="265" t="inlineStr">
        <is>
          <t>Receita total (Data Center + Gaming/ProViz/Auto/OEM; Edge Computing onde a abertura antiga não existe)</t>
        </is>
      </c>
      <c r="D29" s="266">
        <f>IF(COUNT(D19)=0,"",N(D19)+IF(COUNT(D24,D25,D26,D27)&gt;0,N(D24)+N(D25)+N(D26)+N(D27),N(D28)))</f>
        <v>3080</v>
      </c>
      <c r="E29" s="266">
        <f>IF(COUNT(E19)=0,"",N(E19)+IF(COUNT(E24,E25,E26,E27)&gt;0,N(E24)+N(E25)+N(E26)+N(E27),N(E28)))</f>
        <v>3866</v>
      </c>
      <c r="F29" s="266">
        <f>IF(COUNT(F19)=0,"",N(F19)+IF(COUNT(F24,F25,F26,F27)&gt;0,N(F24)+N(F25)+N(F26)+N(F27),N(F28)))</f>
        <v>4726</v>
      </c>
      <c r="G29" s="266">
        <f>IF(COUNT(G19)=0,"",N(G19)+IF(COUNT(G24,G25,G26,G27)&gt;0,N(G24)+N(G25)+N(G26)+N(G27),N(G28)))</f>
        <v>5003</v>
      </c>
      <c r="H29" s="267">
        <f>IF(COUNT(H19)=0,"",N(H19)+IF(COUNT(H24,H25,H26,H27)&gt;0,N(H24)+N(H25)+N(H26)+N(H27),N(H28)))</f>
        <v>16675</v>
      </c>
      <c r="I29" s="266">
        <f>IF(COUNT(I19)=0,"",N(I19)+IF(COUNT(I24,I25,I26,I27)&gt;0,N(I24)+N(I25)+N(I26)+N(I27),N(I28)))</f>
        <v>5661</v>
      </c>
      <c r="J29" s="266">
        <f>IF(COUNT(J19)=0,"",N(J19)+IF(COUNT(J24,J25,J26,J27)&gt;0,N(J24)+N(J25)+N(J26)+N(J27),N(J28)))</f>
        <v>6507</v>
      </c>
      <c r="K29" s="266">
        <f>IF(COUNT(K19)=0,"",N(K19)+IF(COUNT(K24,K25,K26,K27)&gt;0,N(K24)+N(K25)+N(K26)+N(K27),N(K28)))</f>
        <v>7103</v>
      </c>
      <c r="L29" s="266">
        <f>IF(COUNT(L19)=0,"",N(L19)+IF(COUNT(L24,L25,L26,L27)&gt;0,N(L24)+N(L25)+N(L26)+N(L27),N(L28)))</f>
        <v>7643</v>
      </c>
      <c r="M29" s="267">
        <f>IF(COUNT(M19)=0,"",N(M19)+IF(COUNT(M24,M25,M26,M27)&gt;0,N(M24)+N(M25)+N(M26)+N(M27),N(M28)))</f>
        <v>26914</v>
      </c>
      <c r="N29" s="266">
        <f>IF(COUNT(N19)=0,"",N(N19)+IF(COUNT(N24,N25,N26,N27)&gt;0,N(N24)+N(N25)+N(N26)+N(N27),N(N28)))</f>
        <v>8288</v>
      </c>
      <c r="O29" s="266">
        <f>IF(COUNT(O19)=0,"",N(O19)+IF(COUNT(O24,O25,O26,O27)&gt;0,N(O24)+N(O25)+N(O26)+N(O27),N(O28)))</f>
        <v>6704</v>
      </c>
      <c r="P29" s="266">
        <f>IF(COUNT(P19)=0,"",N(P19)+IF(COUNT(P24,P25,P26,P27)&gt;0,N(P24)+N(P25)+N(P26)+N(P27),N(P28)))</f>
        <v>5931</v>
      </c>
      <c r="Q29" s="266">
        <f>IF(COUNT(Q19)=0,"",N(Q19)+IF(COUNT(Q24,Q25,Q26,Q27)&gt;0,N(Q24)+N(Q25)+N(Q26)+N(Q27),N(Q28)))</f>
        <v>6051</v>
      </c>
      <c r="R29" s="267">
        <f>IF(COUNT(R19)=0,"",N(R19)+IF(COUNT(R24,R25,R26,R27)&gt;0,N(R24)+N(R25)+N(R26)+N(R27),N(R28)))</f>
        <v>26974</v>
      </c>
      <c r="S29" s="266">
        <f>IF(COUNT(S19)=0,"",N(S19)+IF(COUNT(S24,S25,S26,S27)&gt;0,N(S24)+N(S25)+N(S26)+N(S27),N(S28)))</f>
        <v>7192</v>
      </c>
      <c r="T29" s="266">
        <f>IF(COUNT(T19)=0,"",N(T19)+IF(COUNT(T24,T25,T26,T27)&gt;0,N(T24)+N(T25)+N(T26)+N(T27),N(T28)))</f>
        <v>13507</v>
      </c>
      <c r="U29" s="266">
        <f>IF(COUNT(U19)=0,"",N(U19)+IF(COUNT(U24,U25,U26,U27)&gt;0,N(U24)+N(U25)+N(U26)+N(U27),N(U28)))</f>
        <v>18120</v>
      </c>
      <c r="V29" s="266">
        <f>IF(COUNT(V19)=0,"",N(V19)+IF(COUNT(V24,V25,V26,V27)&gt;0,N(V24)+N(V25)+N(V26)+N(V27),N(V28)))</f>
        <v>22103</v>
      </c>
      <c r="W29" s="267">
        <f>IF(COUNT(W19)=0,"",N(W19)+IF(COUNT(W24,W25,W26,W27)&gt;0,N(W24)+N(W25)+N(W26)+N(W27),N(W28)))</f>
        <v>60922</v>
      </c>
      <c r="X29" s="266">
        <f>IF(COUNT(X19)=0,"",N(X19)+IF(COUNT(X24,X25,X26,X27)&gt;0,N(X24)+N(X25)+N(X26)+N(X27),N(X28)))</f>
        <v>26044</v>
      </c>
      <c r="Y29" s="266">
        <f>IF(COUNT(Y19)=0,"",N(Y19)+IF(COUNT(Y24,Y25,Y26,Y27)&gt;0,N(Y24)+N(Y25)+N(Y26)+N(Y27),N(Y28)))</f>
        <v>30040</v>
      </c>
      <c r="Z29" s="266">
        <f>IF(COUNT(Z19)=0,"",N(Z19)+IF(COUNT(Z24,Z25,Z26,Z27)&gt;0,N(Z24)+N(Z25)+N(Z26)+N(Z27),N(Z28)))</f>
        <v>35082</v>
      </c>
      <c r="AA29" s="266">
        <f>IF(COUNT(AA19)=0,"",N(AA19)+IF(COUNT(AA24,AA25,AA26,AA27)&gt;0,N(AA24)+N(AA25)+N(AA26)+N(AA27),N(AA28)))</f>
        <v>39331</v>
      </c>
      <c r="AB29" s="267">
        <f>IF(COUNT(AB19)=0,"",N(AB19)+IF(COUNT(AB24,AB25,AB26,AB27)&gt;0,N(AB24)+N(AB25)+N(AB26)+N(AB27),N(AB28)))</f>
        <v>130497</v>
      </c>
      <c r="AC29" s="266">
        <f>IF(COUNT(AC19)=0,"",N(AC19)+IF(COUNT(AC24,AC25,AC26,AC27)&gt;0,N(AC24)+N(AC25)+N(AC26)+N(AC27),N(AC28)))</f>
        <v>44062</v>
      </c>
      <c r="AD29" s="266">
        <f>IF(COUNT(AD19)=0,"",N(AD19)+IF(COUNT(AD24,AD25,AD26,AD27)&gt;0,N(AD24)+N(AD25)+N(AD26)+N(AD27),N(AD28)))</f>
        <v>46743</v>
      </c>
      <c r="AE29" s="266">
        <f>IF(COUNT(AE19)=0,"",N(AE19)+IF(COUNT(AE24,AE25,AE26,AE27)&gt;0,N(AE24)+N(AE25)+N(AE26)+N(AE27),N(AE28)))</f>
        <v>57006</v>
      </c>
      <c r="AF29" s="266">
        <f>IF(COUNT(AF19)=0,"",N(AF19)+IF(COUNT(AF24,AF25,AF26,AF27)&gt;0,N(AF24)+N(AF25)+N(AF26)+N(AF27),N(AF28)))</f>
        <v>68127</v>
      </c>
      <c r="AG29" s="267">
        <f>IF(COUNT(AG19)=0,"",N(AG19)+IF(COUNT(AG24,AG25,AG26,AG27)&gt;0,N(AG24)+N(AG25)+N(AG26)+N(AG27),N(AG28)))</f>
        <v>215938</v>
      </c>
      <c r="AH29" s="267">
        <f>IF(COUNT(AH19)=0,"",N(AH19)+IF(COUNT(AH24,AH25,AH26,AH27)&gt;0,N(AH24)+N(AH25)+N(AH26)+N(AH27),N(AH28)))</f>
        <v>81615</v>
      </c>
      <c r="AI29" s="267">
        <f>IF(COUNT(AI19)=0,"",N(AI19)+IF(COUNT(AI24,AI25,AI26,AI27)&gt;0,N(AI24)+N(AI25)+N(AI26)+N(AI27),N(AI28)))</f>
        <v>96221</v>
      </c>
    </row>
    <row r="30">
      <c r="C30" s="14" t="inlineStr">
        <is>
          <t>Check vs Net Revenues (linha 15)</t>
        </is>
      </c>
      <c r="D30" s="266">
        <f>IF(COUNT(D29)=0,"",ROUND(D15-D29,1))</f>
        <v>0</v>
      </c>
      <c r="E30" s="266">
        <f>IF(COUNT(E29)=0,"",ROUND(E15-E29,1))</f>
        <v>0</v>
      </c>
      <c r="F30" s="266">
        <f>IF(COUNT(F29)=0,"",ROUND(F15-F29,1))</f>
        <v>0</v>
      </c>
      <c r="G30" s="266">
        <f>IF(COUNT(G29)=0,"",ROUND(G15-G29,1))</f>
        <v>0</v>
      </c>
      <c r="H30" s="267">
        <f>IF(COUNT(H29)=0,"",ROUND(H15-H29,1))</f>
        <v>0</v>
      </c>
      <c r="I30" s="266">
        <f>IF(COUNT(I29)=0,"",ROUND(I15-I29,1))</f>
        <v>0</v>
      </c>
      <c r="J30" s="266">
        <f>IF(COUNT(J29)=0,"",ROUND(J15-J29,1))</f>
        <v>0</v>
      </c>
      <c r="K30" s="266">
        <f>IF(COUNT(K29)=0,"",ROUND(K15-K29,1))</f>
        <v>0</v>
      </c>
      <c r="L30" s="266">
        <f>IF(COUNT(L29)=0,"",ROUND(L15-L29,1))</f>
        <v>0</v>
      </c>
      <c r="M30" s="267">
        <f>IF(COUNT(M29)=0,"",ROUND(M15-M29,1))</f>
        <v>0</v>
      </c>
      <c r="N30" s="266">
        <f>IF(COUNT(N29)=0,"",ROUND(N15-N29,1))</f>
        <v>0</v>
      </c>
      <c r="O30" s="266">
        <f>IF(COUNT(O29)=0,"",ROUND(O15-O29,1))</f>
        <v>0</v>
      </c>
      <c r="P30" s="266">
        <f>IF(COUNT(P29)=0,"",ROUND(P15-P29,1))</f>
        <v>0</v>
      </c>
      <c r="Q30" s="266">
        <f>IF(COUNT(Q29)=0,"",ROUND(Q15-Q29,1))</f>
        <v>0</v>
      </c>
      <c r="R30" s="267">
        <f>IF(COUNT(R29)=0,"",ROUND(R15-R29,1))</f>
        <v>0</v>
      </c>
      <c r="S30" s="266">
        <f>IF(COUNT(S29)=0,"",ROUND(S15-S29,1))</f>
        <v>0</v>
      </c>
      <c r="T30" s="266">
        <f>IF(COUNT(T29)=0,"",ROUND(T15-T29,1))</f>
        <v>0</v>
      </c>
      <c r="U30" s="266">
        <f>IF(COUNT(U29)=0,"",ROUND(U15-U29,1))</f>
        <v>0</v>
      </c>
      <c r="V30" s="266">
        <f>IF(COUNT(V29)=0,"",ROUND(V15-V29,1))</f>
        <v>0</v>
      </c>
      <c r="W30" s="267">
        <f>IF(COUNT(W29)=0,"",ROUND(W15-W29,1))</f>
        <v>0</v>
      </c>
      <c r="X30" s="266">
        <f>IF(COUNT(X29)=0,"",ROUND(X15-X29,1))</f>
        <v>0</v>
      </c>
      <c r="Y30" s="266">
        <f>IF(COUNT(Y29)=0,"",ROUND(Y15-Y29,1))</f>
        <v>0</v>
      </c>
      <c r="Z30" s="266">
        <f>IF(COUNT(Z29)=0,"",ROUND(Z15-Z29,1))</f>
        <v>0</v>
      </c>
      <c r="AA30" s="266">
        <f>IF(COUNT(AA29)=0,"",ROUND(AA15-AA29,1))</f>
        <v>0</v>
      </c>
      <c r="AB30" s="267">
        <f>IF(COUNT(AB29)=0,"",ROUND(AB15-AB29,1))</f>
        <v>0</v>
      </c>
      <c r="AC30" s="266">
        <f>IF(COUNT(AC29)=0,"",ROUND(AC15-AC29,1))</f>
        <v>0</v>
      </c>
      <c r="AD30" s="266">
        <f>IF(COUNT(AD29)=0,"",ROUND(AD15-AD29,1))</f>
        <v>0</v>
      </c>
      <c r="AE30" s="266">
        <f>IF(COUNT(AE29)=0,"",ROUND(AE15-AE29,1))</f>
        <v>0</v>
      </c>
      <c r="AF30" s="266">
        <f>IF(COUNT(AF29)=0,"",ROUND(AF15-AF29,1))</f>
        <v>0</v>
      </c>
      <c r="AG30" s="267">
        <f>IF(COUNT(AG29)=0,"",ROUND(AG15-AG29,1))</f>
        <v>0</v>
      </c>
      <c r="AH30" s="267">
        <f>IF(COUNT(AH29)=0,"",ROUND(AH15-AH29,1))</f>
        <v>0</v>
      </c>
      <c r="AI30" s="267">
        <f>IF(COUNT(AI29)=0,"",ROUND(AI15-AI29,1))</f>
        <v>0</v>
      </c>
    </row>
    <row r="31">
      <c r="C31" s="14" t="inlineStr">
        <is>
          <t xml:space="preserve">   % YoY Data Center</t>
        </is>
      </c>
      <c r="D31" s="268" t="str">
        <f>""</f>
        <v/>
      </c>
      <c r="E31" s="268" t="str">
        <f>""</f>
        <v/>
      </c>
      <c r="F31" s="268" t="str">
        <f>""</f>
        <v/>
      </c>
      <c r="G31" s="268" t="str">
        <f>""</f>
        <v/>
      </c>
      <c r="H31" s="269" t="str">
        <f>""</f>
        <v/>
      </c>
      <c r="I31" s="268">
        <f>IFERROR(I19/D19-1,"")</f>
        <v>0.794916739702016</v>
      </c>
      <c r="J31" s="268">
        <f>IFERROR(J19/E19-1,"")</f>
        <v>0.350456621004566</v>
      </c>
      <c r="K31" s="268">
        <f>IFERROR(K19/F19-1,"")</f>
        <v>0.545263157894737</v>
      </c>
      <c r="L31" s="268">
        <f>IFERROR(L19/G19-1,"")</f>
        <v>0.714661061481871</v>
      </c>
      <c r="M31" s="269">
        <f>IFERROR(M19/H19-1,"")</f>
        <v>0.584976105137395</v>
      </c>
      <c r="N31" s="268">
        <f>IFERROR(N19/I19-1,"")</f>
        <v>0.8310546875</v>
      </c>
      <c r="O31" s="268">
        <f>IFERROR(O19/J19-1,"")</f>
        <v>0.608622147083685</v>
      </c>
      <c r="P31" s="268">
        <f>IFERROR(P19/K19-1,"")</f>
        <v>0.305517711171662</v>
      </c>
      <c r="Q31" s="268">
        <f>IFERROR(Q19/L19-1,"")</f>
        <v>0.108182653999387</v>
      </c>
      <c r="R31" s="269">
        <f>IFERROR(R19/M19-1,"")</f>
        <v>0.41383209271648</v>
      </c>
      <c r="S31" s="268">
        <f>IFERROR(S19/N19-1,"")</f>
        <v>0.1424</v>
      </c>
      <c r="T31" s="268">
        <f>IFERROR(T19/O19-1,"")</f>
        <v>1.71229637414609</v>
      </c>
      <c r="U31" s="268">
        <f>IFERROR(U19/P19-1,"")</f>
        <v>2.78659013827289</v>
      </c>
      <c r="V31" s="268">
        <f>IFERROR(V19/Q19-1,"")</f>
        <v>4.0896017699115</v>
      </c>
      <c r="W31" s="269">
        <f>IFERROR(W19/R19-1,"")</f>
        <v>2.16727757414195</v>
      </c>
      <c r="X31" s="268">
        <f>IFERROR(X19/S19-1,"")</f>
        <v>4.26680672268908</v>
      </c>
      <c r="Y31" s="268">
        <f>IFERROR(Y19/T19-1,"")</f>
        <v>1.54499660951274</v>
      </c>
      <c r="Z31" s="268">
        <f>IFERROR(Z19/U19-1,"")</f>
        <v>1.12009094667218</v>
      </c>
      <c r="AA31" s="268">
        <f>IFERROR(AA19/V19-1,"")</f>
        <v>0.933275374918496</v>
      </c>
      <c r="AB31" s="269">
        <f>IFERROR(AB19/W19-1,"")</f>
        <v>1.4236927932667</v>
      </c>
      <c r="AC31" s="268">
        <f>IFERROR(AC19/X19-1,"")</f>
        <v>0.733457430306254</v>
      </c>
      <c r="AD31" s="268">
        <f>IFERROR(AD19/Y19-1,"")</f>
        <v>0.564250913520098</v>
      </c>
      <c r="AE31" s="268">
        <f>IFERROR(AE19/Z19-1,"")</f>
        <v>0.664391797471645</v>
      </c>
      <c r="AF31" s="268">
        <f>IFERROR(AF19/AA19-1,"")</f>
        <v>0.751377178189994</v>
      </c>
      <c r="AG31" s="269">
        <f>IFERROR(AG19/AB19-1,"")</f>
        <v>0.681949195214696</v>
      </c>
      <c r="AH31" s="269">
        <f>IFERROR(AH19/AC19-1,"")</f>
        <v>0.923859685007159</v>
      </c>
      <c r="AI31" s="269">
        <f>IFERROR(AI19/AD19-1,"")</f>
        <v>1.16622055674518</v>
      </c>
    </row>
    <row r="32">
      <c r="C32" s="14" t="inlineStr">
        <is>
          <t xml:space="preserve">   % Data Center na receita</t>
        </is>
      </c>
      <c r="D32" s="268">
        <f>IFERROR(D19/D29,"")</f>
        <v>0.370454545454546</v>
      </c>
      <c r="E32" s="268">
        <f>IFERROR(E19/E29,"")</f>
        <v>0.453181583031557</v>
      </c>
      <c r="F32" s="268">
        <f>IFERROR(F19/F29,"")</f>
        <v>0.402031316123572</v>
      </c>
      <c r="G32" s="268">
        <f>IFERROR(G19/G29,"")</f>
        <v>0.38037177693384</v>
      </c>
      <c r="H32" s="269">
        <f>IFERROR(H19/H29,"")</f>
        <v>0.401559220389805</v>
      </c>
      <c r="I32" s="268">
        <f>IFERROR(I19/I29,"")</f>
        <v>0.361773538244127</v>
      </c>
      <c r="J32" s="268">
        <f>IFERROR(J19/J29,"")</f>
        <v>0.363608421699708</v>
      </c>
      <c r="K32" s="268">
        <f>IFERROR(K19/K29,"")</f>
        <v>0.413346473321132</v>
      </c>
      <c r="L32" s="268">
        <f>IFERROR(L19/L29,"")</f>
        <v>0.426926599502813</v>
      </c>
      <c r="M32" s="269">
        <f>IFERROR(M19/M29,"")</f>
        <v>0.394330088429814</v>
      </c>
      <c r="N32" s="268">
        <f>IFERROR(N19/N29,"")</f>
        <v>0.45246138996139</v>
      </c>
      <c r="O32" s="268">
        <f>IFERROR(O19/O29,"")</f>
        <v>0.56772076372315</v>
      </c>
      <c r="P32" s="268">
        <f>IFERROR(P19/P29,"")</f>
        <v>0.646265385263868</v>
      </c>
      <c r="Q32" s="268">
        <f>IFERROR(Q19/Q29,"")</f>
        <v>0.597587175673442</v>
      </c>
      <c r="R32" s="269">
        <f>IFERROR(R19/R29,"")</f>
        <v>0.556276414324906</v>
      </c>
      <c r="S32" s="268">
        <f>IFERROR(S19/S29,"")</f>
        <v>0.595661846496107</v>
      </c>
      <c r="T32" s="268">
        <f>IFERROR(T19/T29,"")</f>
        <v>0.764270378322351</v>
      </c>
      <c r="U32" s="268">
        <f>IFERROR(U19/U29,"")</f>
        <v>0.800993377483444</v>
      </c>
      <c r="V32" s="268">
        <f>IFERROR(V19/V29,"")</f>
        <v>0.832647151970321</v>
      </c>
      <c r="W32" s="269">
        <f>IFERROR(W19/W29,"")</f>
        <v>0.780095860280359</v>
      </c>
      <c r="X32" s="268">
        <f>IFERROR(X19/X29,"")</f>
        <v>0.866341575794809</v>
      </c>
      <c r="Y32" s="268">
        <f>IFERROR(Y19/Y29,"")</f>
        <v>0.8745672436751</v>
      </c>
      <c r="Z32" s="268">
        <f>IFERROR(Z19/Z29,"")</f>
        <v>0.877116469984608</v>
      </c>
      <c r="AA32" s="268">
        <f>IFERROR(AA19/AA29,"")</f>
        <v>0.90462993567415</v>
      </c>
      <c r="AB32" s="269">
        <f>IFERROR(AB19/AB29,"")</f>
        <v>0.88267163229806</v>
      </c>
      <c r="AC32" s="268">
        <f>IFERROR(AC19/AC29,"")</f>
        <v>0.887658299668649</v>
      </c>
      <c r="AD32" s="268">
        <f>IFERROR(AD19/AD29,"")</f>
        <v>0.8791904670218</v>
      </c>
      <c r="AE32" s="268">
        <f>IFERROR(AE19/AE29,"")</f>
        <v>0.898414202013823</v>
      </c>
      <c r="AF32" s="268">
        <f>IFERROR(AF19/AF29,"")</f>
        <v>0.914674064614617</v>
      </c>
      <c r="AG32" s="269">
        <f>IFERROR(AG19/AG29,"")</f>
        <v>0.89718808176421</v>
      </c>
      <c r="AH32" s="269">
        <f>IFERROR(AH19/AH29,"")</f>
        <v>0.921962874471605</v>
      </c>
      <c r="AI32" s="269">
        <f>IFERROR(AI19/AI29,"")</f>
        <v>0.925193045177248</v>
      </c>
    </row>
    <row r="33"/>
    <row r="34">
      <c r="C34" s="12" t="inlineStr">
        <is>
          <t>Segmentos operacionais (USD milhões)</t>
        </is>
      </c>
      <c r="D34" s="12" t="str">
        <f>D7</f>
        <v>1Q20</v>
      </c>
      <c r="E34" s="12" t="str">
        <f>E7</f>
        <v>2Q20</v>
      </c>
      <c r="F34" s="12" t="str">
        <f>F7</f>
        <v>3Q20</v>
      </c>
      <c r="G34" s="12" t="str">
        <f>G7</f>
        <v>4Q20</v>
      </c>
      <c r="H34" s="12">
        <f>H7</f>
        <v>2020</v>
      </c>
      <c r="I34" s="12" t="str">
        <f>I7</f>
        <v>1Q21</v>
      </c>
      <c r="J34" s="12" t="str">
        <f>J7</f>
        <v>2Q21</v>
      </c>
      <c r="K34" s="12" t="str">
        <f>K7</f>
        <v>3Q21</v>
      </c>
      <c r="L34" s="12" t="str">
        <f>L7</f>
        <v>4Q21</v>
      </c>
      <c r="M34" s="12">
        <f>M7</f>
        <v>2021</v>
      </c>
      <c r="N34" s="12" t="str">
        <f>N7</f>
        <v>1Q22</v>
      </c>
      <c r="O34" s="12" t="str">
        <f>O7</f>
        <v>2Q22</v>
      </c>
      <c r="P34" s="12" t="str">
        <f>P7</f>
        <v>3Q22</v>
      </c>
      <c r="Q34" s="12" t="str">
        <f>Q7</f>
        <v>4Q22</v>
      </c>
      <c r="R34" s="12">
        <f>R7</f>
        <v>2022</v>
      </c>
      <c r="S34" s="12" t="str">
        <f>S7</f>
        <v>1Q23</v>
      </c>
      <c r="T34" s="12" t="str">
        <f>T7</f>
        <v>2Q23</v>
      </c>
      <c r="U34" s="12" t="str">
        <f>U7</f>
        <v>3Q23</v>
      </c>
      <c r="V34" s="12" t="str">
        <f>V7</f>
        <v>4Q23</v>
      </c>
      <c r="W34" s="12">
        <f>W7</f>
        <v>2023</v>
      </c>
      <c r="X34" s="12" t="str">
        <f>X7</f>
        <v>1Q24</v>
      </c>
      <c r="Y34" s="12" t="str">
        <f>Y7</f>
        <v>2Q24</v>
      </c>
      <c r="Z34" s="12" t="str">
        <f>Z7</f>
        <v>3Q24</v>
      </c>
      <c r="AA34" s="12" t="str">
        <f>AA7</f>
        <v>4Q24</v>
      </c>
      <c r="AB34" s="12">
        <f>AB7</f>
        <v>2024</v>
      </c>
      <c r="AC34" s="12" t="str">
        <f>AC7</f>
        <v>1Q25</v>
      </c>
      <c r="AD34" s="12" t="str">
        <f>AD7</f>
        <v>2Q25</v>
      </c>
      <c r="AE34" s="12" t="str">
        <f>AE7</f>
        <v>3Q25</v>
      </c>
      <c r="AF34" s="12" t="str">
        <f>AF7</f>
        <v>4Q25</v>
      </c>
      <c r="AG34" s="12">
        <f>AG7</f>
        <v>2025</v>
      </c>
      <c r="AH34" s="12" t="str">
        <f>AH7</f>
        <v>1Q26</v>
      </c>
      <c r="AI34" s="12" t="str">
        <f>AI7</f>
        <v>2Q26</v>
      </c>
    </row>
    <row r="35">
      <c r="C35" s="14" t="inlineStr">
        <is>
          <t xml:space="preserve">   Receita Compute &amp; Networking</t>
        </is>
      </c>
      <c r="D35" s="266">
        <f>IFERROR(INDEX('Inputs (2)'!$D$63:$AL$63,MATCH(D$7,'Inputs (2)'!$D$2:$AL$2,0)),"")</f>
        <v>1174</v>
      </c>
      <c r="E35" s="266">
        <f>IFERROR(INDEX('Inputs (2)'!$D$63:$AL$63,MATCH(E$7,'Inputs (2)'!$D$2:$AL$2,0)),"")</f>
        <v>1781</v>
      </c>
      <c r="F35" s="266">
        <f>IFERROR(INDEX('Inputs (2)'!$D$63:$AL$63,MATCH(F$7,'Inputs (2)'!$D$2:$AL$2,0)),"")</f>
        <v>1939</v>
      </c>
      <c r="G35" s="266">
        <f>IFERROR(INDEX('Inputs (2)'!$D$63:$AL$63,MATCH(G$7,'Inputs (2)'!$D$2:$AL$2,0)),"")</f>
        <v>1947</v>
      </c>
      <c r="H35" s="267">
        <f>IF(COUNT(D35:G35)=4,SUM(D35:G35),"")</f>
        <v>6841</v>
      </c>
      <c r="I35" s="266">
        <f>IFERROR(INDEX('Inputs (2)'!$D$63:$AL$63,MATCH(I$7,'Inputs (2)'!$D$2:$AL$2,0)),"")</f>
        <v>2210</v>
      </c>
      <c r="J35" s="266">
        <f>IFERROR(INDEX('Inputs (2)'!$D$63:$AL$63,MATCH(J$7,'Inputs (2)'!$D$2:$AL$2,0)),"")</f>
        <v>2600</v>
      </c>
      <c r="K35" s="266">
        <f>IFERROR(INDEX('Inputs (2)'!$D$63:$AL$63,MATCH(K$7,'Inputs (2)'!$D$2:$AL$2,0)),"")</f>
        <v>3011</v>
      </c>
      <c r="L35" s="266">
        <f>IFERROR(INDEX('Inputs (2)'!$D$63:$AL$63,MATCH(L$7,'Inputs (2)'!$D$2:$AL$2,0)),"")</f>
        <v>3225</v>
      </c>
      <c r="M35" s="267">
        <f>IF(COUNT(I35:L35)=4,SUM(I35:L35),"")</f>
        <v>11046</v>
      </c>
      <c r="N35" s="266">
        <f>IFERROR(INDEX('Inputs (2)'!$D$63:$AL$63,MATCH(N$7,'Inputs (2)'!$D$2:$AL$2,0)),"")</f>
        <v>3672</v>
      </c>
      <c r="O35" s="266">
        <f>IFERROR(INDEX('Inputs (2)'!$D$63:$AL$63,MATCH(O$7,'Inputs (2)'!$D$2:$AL$2,0)),"")</f>
        <v>3907</v>
      </c>
      <c r="P35" s="266">
        <f>IFERROR(INDEX('Inputs (2)'!$D$63:$AL$63,MATCH(P$7,'Inputs (2)'!$D$2:$AL$2,0)),"")</f>
        <v>3816</v>
      </c>
      <c r="Q35" s="266">
        <f>IFERROR(INDEX('Inputs (2)'!$D$63:$AL$63,MATCH(Q$7,'Inputs (2)'!$D$2:$AL$2,0)),"")</f>
        <v>3673</v>
      </c>
      <c r="R35" s="267">
        <f>IF(COUNT(N35:Q35)=4,SUM(N35:Q35),"")</f>
        <v>15068</v>
      </c>
      <c r="S35" s="266">
        <f>IFERROR(INDEX('Inputs (2)'!$D$63:$AL$63,MATCH(S$7,'Inputs (2)'!$D$2:$AL$2,0)),"")</f>
        <v>4460</v>
      </c>
      <c r="T35" s="266">
        <f>IFERROR(INDEX('Inputs (2)'!$D$63:$AL$63,MATCH(T$7,'Inputs (2)'!$D$2:$AL$2,0)),"")</f>
        <v>10402</v>
      </c>
      <c r="U35" s="266">
        <f>IFERROR(INDEX('Inputs (2)'!$D$63:$AL$63,MATCH(U$7,'Inputs (2)'!$D$2:$AL$2,0)),"")</f>
        <v>14645</v>
      </c>
      <c r="V35" s="266">
        <f>IFERROR(INDEX('Inputs (2)'!$D$63:$AL$63,MATCH(V$7,'Inputs (2)'!$D$2:$AL$2,0)),"")</f>
        <v>17898</v>
      </c>
      <c r="W35" s="267">
        <f>IF(COUNT(S35:V35)=4,SUM(S35:V35),"")</f>
        <v>47405</v>
      </c>
      <c r="X35" s="266">
        <f>IFERROR(INDEX('Inputs (2)'!$D$63:$AL$63,MATCH(X$7,'Inputs (2)'!$D$2:$AL$2,0)),"")</f>
        <v>22675</v>
      </c>
      <c r="Y35" s="266">
        <f>IFERROR(INDEX('Inputs (2)'!$D$63:$AL$63,MATCH(Y$7,'Inputs (2)'!$D$2:$AL$2,0)),"")</f>
        <v>26446</v>
      </c>
      <c r="Z35" s="266">
        <f>IFERROR(INDEX('Inputs (2)'!$D$63:$AL$63,MATCH(Z$7,'Inputs (2)'!$D$2:$AL$2,0)),"")</f>
        <v>31036</v>
      </c>
      <c r="AA35" s="266">
        <f>IFERROR(INDEX('Inputs (2)'!$D$63:$AL$63,MATCH(AA$7,'Inputs (2)'!$D$2:$AL$2,0)),"")</f>
        <v>36036</v>
      </c>
      <c r="AB35" s="267">
        <f>IF(COUNT(X35:AA35)=4,SUM(X35:AA35),"")</f>
        <v>116193</v>
      </c>
      <c r="AC35" s="266">
        <f>IFERROR(INDEX('Inputs (2)'!$D$63:$AL$63,MATCH(AC$7,'Inputs (2)'!$D$2:$AL$2,0)),"")</f>
        <v>39589</v>
      </c>
      <c r="AD35" s="266">
        <f>IFERROR(INDEX('Inputs (2)'!$D$63:$AL$63,MATCH(AD$7,'Inputs (2)'!$D$2:$AL$2,0)),"")</f>
        <v>41331</v>
      </c>
      <c r="AE35" s="266">
        <f>IFERROR(INDEX('Inputs (2)'!$D$63:$AL$63,MATCH(AE$7,'Inputs (2)'!$D$2:$AL$2,0)),"")</f>
        <v>50908</v>
      </c>
      <c r="AF35" s="266">
        <f>IFERROR(INDEX('Inputs (2)'!$D$63:$AL$63,MATCH(AF$7,'Inputs (2)'!$D$2:$AL$2,0)),"")</f>
        <v>61651</v>
      </c>
      <c r="AG35" s="267">
        <f>IF(COUNT(AC35:AF35)=4,SUM(AC35:AF35),"")</f>
        <v>193479</v>
      </c>
      <c r="AH35" s="267">
        <f>IFERROR(INDEX('Inputs (2)'!$D$63:$AL$63,MATCH(AH$7,'Inputs (2)'!$D$2:$AL$2,0)),"")</f>
        <v>74550</v>
      </c>
      <c r="AI35" s="267">
        <f>IFERROR(INDEX('Inputs (2)'!$D$63:$AL$63,MATCH(AI$7,'Inputs (2)'!$D$2:$AL$2,0)),"")</f>
        <v>88299</v>
      </c>
    </row>
    <row r="36">
      <c r="C36" s="14" t="inlineStr">
        <is>
          <t xml:space="preserve">   Receita Graphics</t>
        </is>
      </c>
      <c r="D36" s="266">
        <f>IFERROR(INDEX('Inputs (2)'!$D$64:$AL$64,MATCH(D$7,'Inputs (2)'!$D$2:$AL$2,0)),"")</f>
        <v>1906</v>
      </c>
      <c r="E36" s="266">
        <f>IFERROR(INDEX('Inputs (2)'!$D$64:$AL$64,MATCH(E$7,'Inputs (2)'!$D$2:$AL$2,0)),"")</f>
        <v>2085</v>
      </c>
      <c r="F36" s="266">
        <f>IFERROR(INDEX('Inputs (2)'!$D$64:$AL$64,MATCH(F$7,'Inputs (2)'!$D$2:$AL$2,0)),"")</f>
        <v>2787</v>
      </c>
      <c r="G36" s="266">
        <f>IFERROR(INDEX('Inputs (2)'!$D$64:$AL$64,MATCH(G$7,'Inputs (2)'!$D$2:$AL$2,0)),"")</f>
        <v>3056</v>
      </c>
      <c r="H36" s="267">
        <f>IF(COUNT(D36:G36)=4,SUM(D36:G36),"")</f>
        <v>9834</v>
      </c>
      <c r="I36" s="266">
        <f>IFERROR(INDEX('Inputs (2)'!$D$64:$AL$64,MATCH(I$7,'Inputs (2)'!$D$2:$AL$2,0)),"")</f>
        <v>3451</v>
      </c>
      <c r="J36" s="266">
        <f>IFERROR(INDEX('Inputs (2)'!$D$64:$AL$64,MATCH(J$7,'Inputs (2)'!$D$2:$AL$2,0)),"")</f>
        <v>3907</v>
      </c>
      <c r="K36" s="266">
        <f>IFERROR(INDEX('Inputs (2)'!$D$64:$AL$64,MATCH(K$7,'Inputs (2)'!$D$2:$AL$2,0)),"")</f>
        <v>4092</v>
      </c>
      <c r="L36" s="266">
        <f>IFERROR(INDEX('Inputs (2)'!$D$64:$AL$64,MATCH(L$7,'Inputs (2)'!$D$2:$AL$2,0)),"")</f>
        <v>4418</v>
      </c>
      <c r="M36" s="267">
        <f>IF(COUNT(I36:L36)=4,SUM(I36:L36),"")</f>
        <v>15868</v>
      </c>
      <c r="N36" s="266">
        <f>IFERROR(INDEX('Inputs (2)'!$D$64:$AL$64,MATCH(N$7,'Inputs (2)'!$D$2:$AL$2,0)),"")</f>
        <v>4616</v>
      </c>
      <c r="O36" s="266">
        <f>IFERROR(INDEX('Inputs (2)'!$D$64:$AL$64,MATCH(O$7,'Inputs (2)'!$D$2:$AL$2,0)),"")</f>
        <v>2797</v>
      </c>
      <c r="P36" s="266">
        <f>IFERROR(INDEX('Inputs (2)'!$D$64:$AL$64,MATCH(P$7,'Inputs (2)'!$D$2:$AL$2,0)),"")</f>
        <v>2115</v>
      </c>
      <c r="Q36" s="266">
        <f>IFERROR(INDEX('Inputs (2)'!$D$64:$AL$64,MATCH(Q$7,'Inputs (2)'!$D$2:$AL$2,0)),"")</f>
        <v>2378</v>
      </c>
      <c r="R36" s="267">
        <f>IF(COUNT(N36:Q36)=4,SUM(N36:Q36),"")</f>
        <v>11906</v>
      </c>
      <c r="S36" s="266">
        <f>IFERROR(INDEX('Inputs (2)'!$D$64:$AL$64,MATCH(S$7,'Inputs (2)'!$D$2:$AL$2,0)),"")</f>
        <v>2732</v>
      </c>
      <c r="T36" s="266">
        <f>IFERROR(INDEX('Inputs (2)'!$D$64:$AL$64,MATCH(T$7,'Inputs (2)'!$D$2:$AL$2,0)),"")</f>
        <v>3105</v>
      </c>
      <c r="U36" s="266">
        <f>IFERROR(INDEX('Inputs (2)'!$D$64:$AL$64,MATCH(U$7,'Inputs (2)'!$D$2:$AL$2,0)),"")</f>
        <v>3475</v>
      </c>
      <c r="V36" s="266">
        <f>IFERROR(INDEX('Inputs (2)'!$D$64:$AL$64,MATCH(V$7,'Inputs (2)'!$D$2:$AL$2,0)),"")</f>
        <v>4205</v>
      </c>
      <c r="W36" s="267">
        <f>IF(COUNT(S36:V36)=4,SUM(S36:V36),"")</f>
        <v>13517</v>
      </c>
      <c r="X36" s="266">
        <f>IFERROR(INDEX('Inputs (2)'!$D$64:$AL$64,MATCH(X$7,'Inputs (2)'!$D$2:$AL$2,0)),"")</f>
        <v>3369</v>
      </c>
      <c r="Y36" s="266">
        <f>IFERROR(INDEX('Inputs (2)'!$D$64:$AL$64,MATCH(Y$7,'Inputs (2)'!$D$2:$AL$2,0)),"")</f>
        <v>3594</v>
      </c>
      <c r="Z36" s="266">
        <f>IFERROR(INDEX('Inputs (2)'!$D$64:$AL$64,MATCH(Z$7,'Inputs (2)'!$D$2:$AL$2,0)),"")</f>
        <v>4046</v>
      </c>
      <c r="AA36" s="266">
        <f>IFERROR(INDEX('Inputs (2)'!$D$64:$AL$64,MATCH(AA$7,'Inputs (2)'!$D$2:$AL$2,0)),"")</f>
        <v>3295</v>
      </c>
      <c r="AB36" s="267">
        <f>IF(COUNT(X36:AA36)=4,SUM(X36:AA36),"")</f>
        <v>14304</v>
      </c>
      <c r="AC36" s="266">
        <f>IFERROR(INDEX('Inputs (2)'!$D$64:$AL$64,MATCH(AC$7,'Inputs (2)'!$D$2:$AL$2,0)),"")</f>
        <v>4473</v>
      </c>
      <c r="AD36" s="266">
        <f>IFERROR(INDEX('Inputs (2)'!$D$64:$AL$64,MATCH(AD$7,'Inputs (2)'!$D$2:$AL$2,0)),"")</f>
        <v>5412</v>
      </c>
      <c r="AE36" s="266">
        <f>IFERROR(INDEX('Inputs (2)'!$D$64:$AL$64,MATCH(AE$7,'Inputs (2)'!$D$2:$AL$2,0)),"")</f>
        <v>6098</v>
      </c>
      <c r="AF36" s="266">
        <f>IFERROR(INDEX('Inputs (2)'!$D$64:$AL$64,MATCH(AF$7,'Inputs (2)'!$D$2:$AL$2,0)),"")</f>
        <v>6476</v>
      </c>
      <c r="AG36" s="267">
        <f>IF(COUNT(AC36:AF36)=4,SUM(AC36:AF36),"")</f>
        <v>22459</v>
      </c>
      <c r="AH36" s="267">
        <f>IFERROR(INDEX('Inputs (2)'!$D$64:$AL$64,MATCH(AH$7,'Inputs (2)'!$D$2:$AL$2,0)),"")</f>
        <v>7065</v>
      </c>
      <c r="AI36" s="267">
        <f>IFERROR(INDEX('Inputs (2)'!$D$64:$AL$64,MATCH(AI$7,'Inputs (2)'!$D$2:$AL$2,0)),"")</f>
        <v>7922</v>
      </c>
    </row>
    <row r="37">
      <c r="C37" s="14" t="inlineStr">
        <is>
          <t>Check segmentos vs Net Revenues (linha 15)</t>
        </is>
      </c>
      <c r="D37" s="266">
        <f>IF(COUNT(D35,D36)=0,"",ROUND(D15-N(D35)-N(D36),1))</f>
        <v>0</v>
      </c>
      <c r="E37" s="266">
        <f>IF(COUNT(E35,E36)=0,"",ROUND(E15-N(E35)-N(E36),1))</f>
        <v>0</v>
      </c>
      <c r="F37" s="266">
        <f>IF(COUNT(F35,F36)=0,"",ROUND(F15-N(F35)-N(F36),1))</f>
        <v>0</v>
      </c>
      <c r="G37" s="266">
        <f>IF(COUNT(G35,G36)=0,"",ROUND(G15-N(G35)-N(G36),1))</f>
        <v>0</v>
      </c>
      <c r="H37" s="267">
        <f>IF(COUNT(H35,H36)=0,"",ROUND(H15-N(H35)-N(H36),1))</f>
        <v>0</v>
      </c>
      <c r="I37" s="266">
        <f>IF(COUNT(I35,I36)=0,"",ROUND(I15-N(I35)-N(I36),1))</f>
        <v>0</v>
      </c>
      <c r="J37" s="266">
        <f>IF(COUNT(J35,J36)=0,"",ROUND(J15-N(J35)-N(J36),1))</f>
        <v>0</v>
      </c>
      <c r="K37" s="266">
        <f>IF(COUNT(K35,K36)=0,"",ROUND(K15-N(K35)-N(K36),1))</f>
        <v>0</v>
      </c>
      <c r="L37" s="266">
        <f>IF(COUNT(L35,L36)=0,"",ROUND(L15-N(L35)-N(L36),1))</f>
        <v>0</v>
      </c>
      <c r="M37" s="267">
        <f>IF(COUNT(M35,M36)=0,"",ROUND(M15-N(M35)-N(M36),1))</f>
        <v>0</v>
      </c>
      <c r="N37" s="266">
        <f>IF(COUNT(N35,N36)=0,"",ROUND(N15-N(N35)-N(N36),1))</f>
        <v>0</v>
      </c>
      <c r="O37" s="266">
        <f>IF(COUNT(O35,O36)=0,"",ROUND(O15-N(O35)-N(O36),1))</f>
        <v>0</v>
      </c>
      <c r="P37" s="266">
        <f>IF(COUNT(P35,P36)=0,"",ROUND(P15-N(P35)-N(P36),1))</f>
        <v>0</v>
      </c>
      <c r="Q37" s="266">
        <f>IF(COUNT(Q35,Q36)=0,"",ROUND(Q15-N(Q35)-N(Q36),1))</f>
        <v>0</v>
      </c>
      <c r="R37" s="267">
        <f>IF(COUNT(R35,R36)=0,"",ROUND(R15-N(R35)-N(R36),1))</f>
        <v>0</v>
      </c>
      <c r="S37" s="266">
        <f>IF(COUNT(S35,S36)=0,"",ROUND(S15-N(S35)-N(S36),1))</f>
        <v>0</v>
      </c>
      <c r="T37" s="266">
        <f>IF(COUNT(T35,T36)=0,"",ROUND(T15-N(T35)-N(T36),1))</f>
        <v>0</v>
      </c>
      <c r="U37" s="266">
        <f>IF(COUNT(U35,U36)=0,"",ROUND(U15-N(U35)-N(U36),1))</f>
        <v>0</v>
      </c>
      <c r="V37" s="266">
        <f>IF(COUNT(V35,V36)=0,"",ROUND(V15-N(V35)-N(V36),1))</f>
        <v>0</v>
      </c>
      <c r="W37" s="267">
        <f>IF(COUNT(W35,W36)=0,"",ROUND(W15-N(W35)-N(W36),1))</f>
        <v>0</v>
      </c>
      <c r="X37" s="266">
        <f>IF(COUNT(X35,X36)=0,"",ROUND(X15-N(X35)-N(X36),1))</f>
        <v>0</v>
      </c>
      <c r="Y37" s="266">
        <f>IF(COUNT(Y35,Y36)=0,"",ROUND(Y15-N(Y35)-N(Y36),1))</f>
        <v>0</v>
      </c>
      <c r="Z37" s="266">
        <f>IF(COUNT(Z35,Z36)=0,"",ROUND(Z15-N(Z35)-N(Z36),1))</f>
        <v>0</v>
      </c>
      <c r="AA37" s="266">
        <f>IF(COUNT(AA35,AA36)=0,"",ROUND(AA15-N(AA35)-N(AA36),1))</f>
        <v>0</v>
      </c>
      <c r="AB37" s="267">
        <f>IF(COUNT(AB35,AB36)=0,"",ROUND(AB15-N(AB35)-N(AB36),1))</f>
        <v>0</v>
      </c>
      <c r="AC37" s="266">
        <f>IF(COUNT(AC35,AC36)=0,"",ROUND(AC15-N(AC35)-N(AC36),1))</f>
        <v>0</v>
      </c>
      <c r="AD37" s="266">
        <f>IF(COUNT(AD35,AD36)=0,"",ROUND(AD15-N(AD35)-N(AD36),1))</f>
        <v>0</v>
      </c>
      <c r="AE37" s="266">
        <f>IF(COUNT(AE35,AE36)=0,"",ROUND(AE15-N(AE35)-N(AE36),1))</f>
        <v>0</v>
      </c>
      <c r="AF37" s="266">
        <f>IF(COUNT(AF35,AF36)=0,"",ROUND(AF15-N(AF35)-N(AF36),1))</f>
        <v>0</v>
      </c>
      <c r="AG37" s="267">
        <f>IF(COUNT(AG35,AG36)=0,"",ROUND(AG15-N(AG35)-N(AG36),1))</f>
        <v>0</v>
      </c>
      <c r="AH37" s="267">
        <f>IF(COUNT(AH35,AH36)=0,"",ROUND(AH15-N(AH35)-N(AH36),1))</f>
        <v>0</v>
      </c>
      <c r="AI37" s="267">
        <f>IF(COUNT(AI35,AI36)=0,"",ROUND(AI15-N(AI35)-N(AI36),1))</f>
        <v>0</v>
      </c>
    </row>
    <row r="38">
      <c r="C38" s="14" t="inlineStr">
        <is>
          <t xml:space="preserve">   Lucro operacional Compute &amp; Networking</t>
        </is>
      </c>
      <c r="D38" s="266">
        <f>IFERROR(INDEX('Inputs (2)'!$D$65:$AL$65,MATCH(D$7,'Inputs (2)'!$D$2:$AL$2,0)),"")</f>
        <v>451</v>
      </c>
      <c r="E38" s="266">
        <f>IFERROR(INDEX('Inputs (2)'!$D$65:$AL$65,MATCH(E$7,'Inputs (2)'!$D$2:$AL$2,0)),"")</f>
        <v>691</v>
      </c>
      <c r="F38" s="266">
        <f>IFERROR(INDEX('Inputs (2)'!$D$65:$AL$65,MATCH(F$7,'Inputs (2)'!$D$2:$AL$2,0)),"")</f>
        <v>738</v>
      </c>
      <c r="G38" s="266">
        <f>IFERROR(INDEX('Inputs (2)'!$D$65:$AL$65,MATCH(G$7,'Inputs (2)'!$D$2:$AL$2,0)),"")</f>
        <v>668</v>
      </c>
      <c r="H38" s="267">
        <f>IF(COUNT(D38:G38)=4,SUM(D38:G38),"")</f>
        <v>2548</v>
      </c>
      <c r="I38" s="266">
        <f>IFERROR(INDEX('Inputs (2)'!$D$65:$AL$65,MATCH(I$7,'Inputs (2)'!$D$2:$AL$2,0)),"")</f>
        <v>861</v>
      </c>
      <c r="J38" s="266">
        <f>IFERROR(INDEX('Inputs (2)'!$D$65:$AL$65,MATCH(J$7,'Inputs (2)'!$D$2:$AL$2,0)),"")</f>
        <v>1034</v>
      </c>
      <c r="K38" s="266">
        <f>IFERROR(INDEX('Inputs (2)'!$D$65:$AL$65,MATCH(K$7,'Inputs (2)'!$D$2:$AL$2,0)),"")</f>
        <v>1332</v>
      </c>
      <c r="L38" s="266">
        <f>IFERROR(INDEX('Inputs (2)'!$D$65:$AL$65,MATCH(L$7,'Inputs (2)'!$D$2:$AL$2,0)),"")</f>
        <v>1371</v>
      </c>
      <c r="M38" s="267">
        <f>IF(COUNT(I38:L38)=4,SUM(I38:L38),"")</f>
        <v>4598</v>
      </c>
      <c r="N38" s="266">
        <f>IFERROR(INDEX('Inputs (2)'!$D$65:$AL$65,MATCH(N$7,'Inputs (2)'!$D$2:$AL$2,0)),"")</f>
        <v>1606</v>
      </c>
      <c r="O38" s="266">
        <f>IFERROR(INDEX('Inputs (2)'!$D$65:$AL$65,MATCH(O$7,'Inputs (2)'!$D$2:$AL$2,0)),"")</f>
        <v>816</v>
      </c>
      <c r="P38" s="266">
        <f>IFERROR(INDEX('Inputs (2)'!$D$65:$AL$65,MATCH(P$7,'Inputs (2)'!$D$2:$AL$2,0)),"")</f>
        <v>1086</v>
      </c>
      <c r="Q38" s="266">
        <f>IFERROR(INDEX('Inputs (2)'!$D$65:$AL$65,MATCH(Q$7,'Inputs (2)'!$D$2:$AL$2,0)),"")</f>
        <v>1574</v>
      </c>
      <c r="R38" s="267">
        <f>IF(COUNT(N38:Q38)=4,SUM(N38:Q38),"")</f>
        <v>5082</v>
      </c>
      <c r="S38" s="266">
        <f>IFERROR(INDEX('Inputs (2)'!$D$65:$AL$65,MATCH(S$7,'Inputs (2)'!$D$2:$AL$2,0)),"")</f>
        <v>2160</v>
      </c>
      <c r="T38" s="266">
        <f>IFERROR(INDEX('Inputs (2)'!$D$65:$AL$65,MATCH(T$7,'Inputs (2)'!$D$2:$AL$2,0)),"")</f>
        <v>6728</v>
      </c>
      <c r="U38" s="266">
        <f>IFERROR(INDEX('Inputs (2)'!$D$65:$AL$65,MATCH(U$7,'Inputs (2)'!$D$2:$AL$2,0)),"")</f>
        <v>10262</v>
      </c>
      <c r="V38" s="266">
        <f>IFERROR(INDEX('Inputs (2)'!$D$65:$AL$65,MATCH(V$7,'Inputs (2)'!$D$2:$AL$2,0)),"")</f>
        <v>12867</v>
      </c>
      <c r="W38" s="267">
        <f>IF(COUNT(S38:V38)=4,SUM(S38:V38),"")</f>
        <v>32017</v>
      </c>
      <c r="X38" s="266">
        <f>IFERROR(INDEX('Inputs (2)'!$D$65:$AL$65,MATCH(X$7,'Inputs (2)'!$D$2:$AL$2,0)),"")</f>
        <v>17047</v>
      </c>
      <c r="Y38" s="266">
        <f>IFERROR(INDEX('Inputs (2)'!$D$65:$AL$65,MATCH(Y$7,'Inputs (2)'!$D$2:$AL$2,0)),"")</f>
        <v>18848</v>
      </c>
      <c r="Z38" s="266">
        <f>IFERROR(INDEX('Inputs (2)'!$D$65:$AL$65,MATCH(Z$7,'Inputs (2)'!$D$2:$AL$2,0)),"")</f>
        <v>22081</v>
      </c>
      <c r="AA38" s="266">
        <f>IFERROR(INDEX('Inputs (2)'!$D$65:$AL$65,MATCH(AA$7,'Inputs (2)'!$D$2:$AL$2,0)),"")</f>
        <v>24898</v>
      </c>
      <c r="AB38" s="267">
        <f>IF(COUNT(X38:AA38)=4,SUM(X38:AA38),"")</f>
        <v>82874</v>
      </c>
      <c r="AC38" s="266">
        <f>IFERROR(INDEX('Inputs (2)'!$D$65:$AL$65,MATCH(AC$7,'Inputs (2)'!$D$2:$AL$2,0)),"")</f>
        <v>22054</v>
      </c>
      <c r="AD38" s="266">
        <f>IFERROR(INDEX('Inputs (2)'!$D$65:$AL$65,MATCH(AD$7,'Inputs (2)'!$D$2:$AL$2,0)),"")</f>
        <v>28363</v>
      </c>
      <c r="AE38" s="266">
        <f>IFERROR(INDEX('Inputs (2)'!$D$65:$AL$65,MATCH(AE$7,'Inputs (2)'!$D$2:$AL$2,0)),"")</f>
        <v>35721</v>
      </c>
      <c r="AF38" s="266">
        <f>IFERROR(INDEX('Inputs (2)'!$D$65:$AL$65,MATCH(AF$7,'Inputs (2)'!$D$2:$AL$2,0)),"")</f>
        <v>44002</v>
      </c>
      <c r="AG38" s="267">
        <f>IF(COUNT(AC38:AF38)=4,SUM(AC38:AF38),"")</f>
        <v>130140</v>
      </c>
      <c r="AH38" s="267">
        <f>IFERROR(INDEX('Inputs (2)'!$D$65:$AL$65,MATCH(AH$7,'Inputs (2)'!$D$2:$AL$2,0)),"")</f>
        <v>53335</v>
      </c>
      <c r="AI38" s="267">
        <f>IFERROR(INDEX('Inputs (2)'!$D$65:$AL$65,MATCH(AI$7,'Inputs (2)'!$D$2:$AL$2,0)),"")</f>
        <v>62696</v>
      </c>
    </row>
    <row r="39">
      <c r="C39" s="14" t="inlineStr">
        <is>
          <t xml:space="preserve">   Lucro operacional Graphics</t>
        </is>
      </c>
      <c r="D39" s="266">
        <f>IFERROR(INDEX('Inputs (2)'!$D$66:$AL$66,MATCH(D$7,'Inputs (2)'!$D$2:$AL$2,0)),"")</f>
        <v>836</v>
      </c>
      <c r="E39" s="266">
        <f>IFERROR(INDEX('Inputs (2)'!$D$66:$AL$66,MATCH(E$7,'Inputs (2)'!$D$2:$AL$2,0)),"")</f>
        <v>911</v>
      </c>
      <c r="F39" s="266">
        <f>IFERROR(INDEX('Inputs (2)'!$D$66:$AL$66,MATCH(F$7,'Inputs (2)'!$D$2:$AL$2,0)),"")</f>
        <v>1345</v>
      </c>
      <c r="G39" s="266">
        <f>IFERROR(INDEX('Inputs (2)'!$D$66:$AL$66,MATCH(G$7,'Inputs (2)'!$D$2:$AL$2,0)),"")</f>
        <v>1520</v>
      </c>
      <c r="H39" s="267">
        <f>IF(COUNT(D39:G39)=4,SUM(D39:G39),"")</f>
        <v>4612</v>
      </c>
      <c r="I39" s="266">
        <f>IFERROR(INDEX('Inputs (2)'!$D$66:$AL$66,MATCH(I$7,'Inputs (2)'!$D$2:$AL$2,0)),"")</f>
        <v>1786</v>
      </c>
      <c r="J39" s="266">
        <f>IFERROR(INDEX('Inputs (2)'!$D$66:$AL$66,MATCH(J$7,'Inputs (2)'!$D$2:$AL$2,0)),"")</f>
        <v>2127</v>
      </c>
      <c r="K39" s="266">
        <f>IFERROR(INDEX('Inputs (2)'!$D$66:$AL$66,MATCH(K$7,'Inputs (2)'!$D$2:$AL$2,0)),"")</f>
        <v>2160</v>
      </c>
      <c r="L39" s="266">
        <f>IFERROR(INDEX('Inputs (2)'!$D$66:$AL$66,MATCH(L$7,'Inputs (2)'!$D$2:$AL$2,0)),"")</f>
        <v>2419</v>
      </c>
      <c r="M39" s="267">
        <f>IF(COUNT(I39:L39)=4,SUM(I39:L39),"")</f>
        <v>8492</v>
      </c>
      <c r="N39" s="266">
        <f>IFERROR(INDEX('Inputs (2)'!$D$66:$AL$66,MATCH(N$7,'Inputs (2)'!$D$2:$AL$2,0)),"")</f>
        <v>2476</v>
      </c>
      <c r="O39" s="266">
        <f>IFERROR(INDEX('Inputs (2)'!$D$66:$AL$66,MATCH(O$7,'Inputs (2)'!$D$2:$AL$2,0)),"")</f>
        <v>657</v>
      </c>
      <c r="P39" s="266">
        <f>IFERROR(INDEX('Inputs (2)'!$D$66:$AL$66,MATCH(P$7,'Inputs (2)'!$D$2:$AL$2,0)),"")</f>
        <v>606</v>
      </c>
      <c r="Q39" s="266">
        <f>IFERROR(INDEX('Inputs (2)'!$D$66:$AL$66,MATCH(Q$7,'Inputs (2)'!$D$2:$AL$2,0)),"")</f>
        <v>813</v>
      </c>
      <c r="R39" s="267">
        <f>IF(COUNT(N39:Q39)=4,SUM(N39:Q39),"")</f>
        <v>4552</v>
      </c>
      <c r="S39" s="266">
        <f>IFERROR(INDEX('Inputs (2)'!$D$66:$AL$66,MATCH(S$7,'Inputs (2)'!$D$2:$AL$2,0)),"")</f>
        <v>1046</v>
      </c>
      <c r="T39" s="266">
        <f>IFERROR(INDEX('Inputs (2)'!$D$66:$AL$66,MATCH(T$7,'Inputs (2)'!$D$2:$AL$2,0)),"")</f>
        <v>1211</v>
      </c>
      <c r="U39" s="266">
        <f>IFERROR(INDEX('Inputs (2)'!$D$66:$AL$66,MATCH(U$7,'Inputs (2)'!$D$2:$AL$2,0)),"")</f>
        <v>1493</v>
      </c>
      <c r="V39" s="266">
        <f>IFERROR(INDEX('Inputs (2)'!$D$66:$AL$66,MATCH(V$7,'Inputs (2)'!$D$2:$AL$2,0)),"")</f>
        <v>2095</v>
      </c>
      <c r="W39" s="267">
        <f>IF(COUNT(S39:V39)=4,SUM(S39:V39),"")</f>
        <v>5845</v>
      </c>
      <c r="X39" s="266">
        <f>IFERROR(INDEX('Inputs (2)'!$D$66:$AL$66,MATCH(X$7,'Inputs (2)'!$D$2:$AL$2,0)),"")</f>
        <v>1241</v>
      </c>
      <c r="Y39" s="266">
        <f>IFERROR(INDEX('Inputs (2)'!$D$66:$AL$66,MATCH(Y$7,'Inputs (2)'!$D$2:$AL$2,0)),"")</f>
        <v>1369</v>
      </c>
      <c r="Z39" s="266">
        <f>IFERROR(INDEX('Inputs (2)'!$D$66:$AL$66,MATCH(Z$7,'Inputs (2)'!$D$2:$AL$2,0)),"")</f>
        <v>1502</v>
      </c>
      <c r="AA39" s="266">
        <f>IFERROR(INDEX('Inputs (2)'!$D$66:$AL$66,MATCH(AA$7,'Inputs (2)'!$D$2:$AL$2,0)),"")</f>
        <v>974</v>
      </c>
      <c r="AB39" s="267">
        <f>IF(COUNT(X39:AA39)=4,SUM(X39:AA39),"")</f>
        <v>5086</v>
      </c>
      <c r="AC39" s="266">
        <f>IFERROR(INDEX('Inputs (2)'!$D$66:$AL$66,MATCH(AC$7,'Inputs (2)'!$D$2:$AL$2,0)),"")</f>
        <v>1640</v>
      </c>
      <c r="AD39" s="266">
        <f>IFERROR(INDEX('Inputs (2)'!$D$66:$AL$66,MATCH(AD$7,'Inputs (2)'!$D$2:$AL$2,0)),"")</f>
        <v>2242</v>
      </c>
      <c r="AE39" s="266">
        <f>IFERROR(INDEX('Inputs (2)'!$D$66:$AL$66,MATCH(AE$7,'Inputs (2)'!$D$2:$AL$2,0)),"")</f>
        <v>2546</v>
      </c>
      <c r="AF39" s="266">
        <f>IFERROR(INDEX('Inputs (2)'!$D$66:$AL$66,MATCH(AF$7,'Inputs (2)'!$D$2:$AL$2,0)),"")</f>
        <v>2728</v>
      </c>
      <c r="AG39" s="267">
        <f>IF(COUNT(AC39:AF39)=4,SUM(AC39:AF39),"")</f>
        <v>9156</v>
      </c>
      <c r="AH39" s="267">
        <f>IFERROR(INDEX('Inputs (2)'!$D$66:$AL$66,MATCH(AH$7,'Inputs (2)'!$D$2:$AL$2,0)),"")</f>
        <v>2941</v>
      </c>
      <c r="AI39" s="267">
        <f>IFERROR(INDEX('Inputs (2)'!$D$66:$AL$66,MATCH(AI$7,'Inputs (2)'!$D$2:$AL$2,0)),"")</f>
        <v>3899</v>
      </c>
    </row>
    <row r="40">
      <c r="C40" s="14" t="inlineStr">
        <is>
          <t xml:space="preserve">   Margem operacional Compute &amp; Networking</t>
        </is>
      </c>
      <c r="D40" s="268">
        <f>IFERROR(D38/D35,"")</f>
        <v>0.384156729131176</v>
      </c>
      <c r="E40" s="268">
        <f>IFERROR(E38/E35,"")</f>
        <v>0.387984278495227</v>
      </c>
      <c r="F40" s="268">
        <f>IFERROR(F38/F35,"")</f>
        <v>0.380608561113976</v>
      </c>
      <c r="G40" s="268">
        <f>IFERROR(G38/G35,"")</f>
        <v>0.343091936312275</v>
      </c>
      <c r="H40" s="269">
        <f>IFERROR(H38/H35,"")</f>
        <v>0.372460166642304</v>
      </c>
      <c r="I40" s="268">
        <f>IFERROR(I38/I35,"")</f>
        <v>0.389592760180996</v>
      </c>
      <c r="J40" s="268">
        <f>IFERROR(J38/J35,"")</f>
        <v>0.397692307692308</v>
      </c>
      <c r="K40" s="268">
        <f>IFERROR(K38/K35,"")</f>
        <v>0.442377947525739</v>
      </c>
      <c r="L40" s="268">
        <f>IFERROR(L38/L35,"")</f>
        <v>0.425116279069767</v>
      </c>
      <c r="M40" s="269">
        <f>IFERROR(M38/M35,"")</f>
        <v>0.41625927937715</v>
      </c>
      <c r="N40" s="268">
        <f>IFERROR(N38/N35,"")</f>
        <v>0.437363834422658</v>
      </c>
      <c r="O40" s="268">
        <f>IFERROR(O38/O35,"")</f>
        <v>0.208855899667264</v>
      </c>
      <c r="P40" s="268">
        <f>IFERROR(P38/P35,"")</f>
        <v>0.284591194968553</v>
      </c>
      <c r="Q40" s="268">
        <f>IFERROR(Q38/Q35,"")</f>
        <v>0.428532534712769</v>
      </c>
      <c r="R40" s="269">
        <f>IFERROR(R38/R35,"")</f>
        <v>0.337271037961242</v>
      </c>
      <c r="S40" s="268">
        <f>IFERROR(S38/S35,"")</f>
        <v>0.484304932735426</v>
      </c>
      <c r="T40" s="268">
        <f>IFERROR(T38/T35,"")</f>
        <v>0.646798692559123</v>
      </c>
      <c r="U40" s="268">
        <f>IFERROR(U38/U35,"")</f>
        <v>0.700716968248549</v>
      </c>
      <c r="V40" s="268">
        <f>IFERROR(V38/V35,"")</f>
        <v>0.718907140462622</v>
      </c>
      <c r="W40" s="269">
        <f>IFERROR(W38/W35,"")</f>
        <v>0.675392891045248</v>
      </c>
      <c r="X40" s="268">
        <f>IFERROR(X38/X35,"")</f>
        <v>0.751797133406836</v>
      </c>
      <c r="Y40" s="268">
        <f>IFERROR(Y38/Y35,"")</f>
        <v>0.712697572411707</v>
      </c>
      <c r="Z40" s="268">
        <f>IFERROR(Z38/Z35,"")</f>
        <v>0.711464106199253</v>
      </c>
      <c r="AA40" s="268">
        <f>IFERROR(AA38/AA35,"")</f>
        <v>0.690920190920191</v>
      </c>
      <c r="AB40" s="269">
        <f>IFERROR(AB38/AB35,"")</f>
        <v>0.713244343463031</v>
      </c>
      <c r="AC40" s="268">
        <f>IFERROR(AC38/AC35,"")</f>
        <v>0.557073934678825</v>
      </c>
      <c r="AD40" s="268">
        <f>IFERROR(AD38/AD35,"")</f>
        <v>0.686240352277951</v>
      </c>
      <c r="AE40" s="268">
        <f>IFERROR(AE38/AE35,"")</f>
        <v>0.701677535947199</v>
      </c>
      <c r="AF40" s="268">
        <f>IFERROR(AF38/AF35,"")</f>
        <v>0.713727271252697</v>
      </c>
      <c r="AG40" s="269">
        <f>IFERROR(AG38/AG35,"")</f>
        <v>0.672631138263067</v>
      </c>
      <c r="AH40" s="269">
        <f>IFERROR(AH38/AH35,"")</f>
        <v>0.715425888665325</v>
      </c>
      <c r="AI40" s="269">
        <f>IFERROR(AI38/AI35,"")</f>
        <v>0.710042016330876</v>
      </c>
    </row>
    <row r="41">
      <c r="C41" s="14" t="inlineStr">
        <is>
          <t xml:space="preserve">   Margem operacional Graphics</t>
        </is>
      </c>
      <c r="D41" s="268">
        <f>IFERROR(D39/D36,"")</f>
        <v>0.438614900314795</v>
      </c>
      <c r="E41" s="268">
        <f>IFERROR(E39/E36,"")</f>
        <v>0.436930455635492</v>
      </c>
      <c r="F41" s="268">
        <f>IFERROR(F39/F36,"")</f>
        <v>0.482597775385719</v>
      </c>
      <c r="G41" s="268">
        <f>IFERROR(G39/G36,"")</f>
        <v>0.49738219895288</v>
      </c>
      <c r="H41" s="269">
        <f>IFERROR(H39/H36,"")</f>
        <v>0.468985153548912</v>
      </c>
      <c r="I41" s="268">
        <f>IFERROR(I39/I36,"")</f>
        <v>0.517531150391191</v>
      </c>
      <c r="J41" s="268">
        <f>IFERROR(J39/J36,"")</f>
        <v>0.544407473765037</v>
      </c>
      <c r="K41" s="268">
        <f>IFERROR(K39/K36,"")</f>
        <v>0.527859237536657</v>
      </c>
      <c r="L41" s="268">
        <f>IFERROR(L39/L36,"")</f>
        <v>0.54753282028067</v>
      </c>
      <c r="M41" s="269">
        <f>IFERROR(M39/M36,"")</f>
        <v>0.535165112175448</v>
      </c>
      <c r="N41" s="268">
        <f>IFERROR(N39/N36,"")</f>
        <v>0.536395147313692</v>
      </c>
      <c r="O41" s="268">
        <f>IFERROR(O39/O36,"")</f>
        <v>0.234894529853414</v>
      </c>
      <c r="P41" s="268">
        <f>IFERROR(P39/P36,"")</f>
        <v>0.286524822695036</v>
      </c>
      <c r="Q41" s="268">
        <f>IFERROR(Q39/Q36,"")</f>
        <v>0.34188393608074</v>
      </c>
      <c r="R41" s="269">
        <f>IFERROR(R39/R36,"")</f>
        <v>0.382328237863262</v>
      </c>
      <c r="S41" s="268">
        <f>IFERROR(S39/S36,"")</f>
        <v>0.382869692532943</v>
      </c>
      <c r="T41" s="268">
        <f>IFERROR(T39/T36,"")</f>
        <v>0.390016103059581</v>
      </c>
      <c r="U41" s="268">
        <f>IFERROR(U39/U36,"")</f>
        <v>0.429640287769784</v>
      </c>
      <c r="V41" s="268">
        <f>IFERROR(V39/V36,"")</f>
        <v>0.498216409036861</v>
      </c>
      <c r="W41" s="269">
        <f>IFERROR(W39/W36,"")</f>
        <v>0.432418436043501</v>
      </c>
      <c r="X41" s="268">
        <f>IFERROR(X39/X36,"")</f>
        <v>0.36835856337192</v>
      </c>
      <c r="Y41" s="268">
        <f>IFERROR(Y39/Y36,"")</f>
        <v>0.380912632164719</v>
      </c>
      <c r="Z41" s="268">
        <f>IFERROR(Z39/Z36,"")</f>
        <v>0.371230845279288</v>
      </c>
      <c r="AA41" s="268">
        <f>IFERROR(AA39/AA36,"")</f>
        <v>0.295599393019727</v>
      </c>
      <c r="AB41" s="269">
        <f>IFERROR(AB39/AB36,"")</f>
        <v>0.355564876957494</v>
      </c>
      <c r="AC41" s="268">
        <f>IFERROR(AC39/AC36,"")</f>
        <v>0.366644310306282</v>
      </c>
      <c r="AD41" s="268">
        <f>IFERROR(AD39/AD36,"")</f>
        <v>0.414264597191426</v>
      </c>
      <c r="AE41" s="268">
        <f>IFERROR(AE39/AE36,"")</f>
        <v>0.417513938996392</v>
      </c>
      <c r="AF41" s="268">
        <f>IFERROR(AF39/AF36,"")</f>
        <v>0.421247683755405</v>
      </c>
      <c r="AG41" s="269">
        <f>IFERROR(AG39/AG36,"")</f>
        <v>0.407676209982635</v>
      </c>
      <c r="AH41" s="269">
        <f>IFERROR(AH39/AH36,"")</f>
        <v>0.416277423920736</v>
      </c>
      <c r="AI41" s="269">
        <f>IFERROR(AI39/AI36,"")</f>
        <v>0.492173693511739</v>
      </c>
    </row>
    <row r="42"/>
    <row r="43">
      <c r="C43" s="12" t="inlineStr">
        <is>
          <t>Receita por local de faturamento do cliente (USD milhões)</t>
        </is>
      </c>
      <c r="D43" s="12" t="str">
        <f>D7</f>
        <v>1Q20</v>
      </c>
      <c r="E43" s="12" t="str">
        <f>E7</f>
        <v>2Q20</v>
      </c>
      <c r="F43" s="12" t="str">
        <f>F7</f>
        <v>3Q20</v>
      </c>
      <c r="G43" s="12" t="str">
        <f>G7</f>
        <v>4Q20</v>
      </c>
      <c r="H43" s="12">
        <f>H7</f>
        <v>2020</v>
      </c>
      <c r="I43" s="12" t="str">
        <f>I7</f>
        <v>1Q21</v>
      </c>
      <c r="J43" s="12" t="str">
        <f>J7</f>
        <v>2Q21</v>
      </c>
      <c r="K43" s="12" t="str">
        <f>K7</f>
        <v>3Q21</v>
      </c>
      <c r="L43" s="12" t="str">
        <f>L7</f>
        <v>4Q21</v>
      </c>
      <c r="M43" s="12">
        <f>M7</f>
        <v>2021</v>
      </c>
      <c r="N43" s="12" t="str">
        <f>N7</f>
        <v>1Q22</v>
      </c>
      <c r="O43" s="12" t="str">
        <f>O7</f>
        <v>2Q22</v>
      </c>
      <c r="P43" s="12" t="str">
        <f>P7</f>
        <v>3Q22</v>
      </c>
      <c r="Q43" s="12" t="str">
        <f>Q7</f>
        <v>4Q22</v>
      </c>
      <c r="R43" s="12">
        <f>R7</f>
        <v>2022</v>
      </c>
      <c r="S43" s="12" t="str">
        <f>S7</f>
        <v>1Q23</v>
      </c>
      <c r="T43" s="12" t="str">
        <f>T7</f>
        <v>2Q23</v>
      </c>
      <c r="U43" s="12" t="str">
        <f>U7</f>
        <v>3Q23</v>
      </c>
      <c r="V43" s="12" t="str">
        <f>V7</f>
        <v>4Q23</v>
      </c>
      <c r="W43" s="12">
        <f>W7</f>
        <v>2023</v>
      </c>
      <c r="X43" s="12" t="str">
        <f>X7</f>
        <v>1Q24</v>
      </c>
      <c r="Y43" s="12" t="str">
        <f>Y7</f>
        <v>2Q24</v>
      </c>
      <c r="Z43" s="12" t="str">
        <f>Z7</f>
        <v>3Q24</v>
      </c>
      <c r="AA43" s="12" t="str">
        <f>AA7</f>
        <v>4Q24</v>
      </c>
      <c r="AB43" s="12">
        <f>AB7</f>
        <v>2024</v>
      </c>
      <c r="AC43" s="12" t="str">
        <f>AC7</f>
        <v>1Q25</v>
      </c>
      <c r="AD43" s="12" t="str">
        <f>AD7</f>
        <v>2Q25</v>
      </c>
      <c r="AE43" s="12" t="str">
        <f>AE7</f>
        <v>3Q25</v>
      </c>
      <c r="AF43" s="12" t="str">
        <f>AF7</f>
        <v>4Q25</v>
      </c>
      <c r="AG43" s="12">
        <f>AG7</f>
        <v>2025</v>
      </c>
      <c r="AH43" s="12" t="str">
        <f>AH7</f>
        <v>1Q26</v>
      </c>
      <c r="AI43" s="12" t="str">
        <f>AI7</f>
        <v>2Q26</v>
      </c>
    </row>
    <row r="44">
      <c r="C44" s="14" t="inlineStr">
        <is>
          <t xml:space="preserve">   Estados Unidos</t>
        </is>
      </c>
      <c r="D44" s="266">
        <f>IFERROR(INDEX('Inputs (2)'!$D$67:$AL$67,MATCH(D$7,'Inputs (2)'!$D$2:$AL$2,0)),"")</f>
        <v>497</v>
      </c>
      <c r="E44" s="266">
        <f>IFERROR(INDEX('Inputs (2)'!$D$67:$AL$67,MATCH(E$7,'Inputs (2)'!$D$2:$AL$2,0)),"")</f>
        <v>944</v>
      </c>
      <c r="F44" s="266">
        <f>IFERROR(INDEX('Inputs (2)'!$D$67:$AL$67,MATCH(F$7,'Inputs (2)'!$D$2:$AL$2,0)),"")</f>
        <v>890</v>
      </c>
      <c r="G44" s="266">
        <f>IFERROR(INDEX('Inputs (2)'!$D$67:$AL$67,MATCH(G$7,'Inputs (2)'!$D$2:$AL$2,0)),"")</f>
        <v>883</v>
      </c>
      <c r="H44" s="267">
        <f>IF(COUNT(D44:G44)=4,SUM(D44:G44),"")</f>
        <v>3214</v>
      </c>
      <c r="I44" s="266">
        <f>IFERROR(INDEX('Inputs (2)'!$D$67:$AL$67,MATCH(I$7,'Inputs (2)'!$D$2:$AL$2,0)),"")</f>
        <v>768</v>
      </c>
      <c r="J44" s="266">
        <f>IFERROR(INDEX('Inputs (2)'!$D$67:$AL$67,MATCH(J$7,'Inputs (2)'!$D$2:$AL$2,0)),"")</f>
        <v>996</v>
      </c>
      <c r="K44" s="266">
        <f>IFERROR(INDEX('Inputs (2)'!$D$67:$AL$67,MATCH(K$7,'Inputs (2)'!$D$2:$AL$2,0)),"")</f>
        <v>1126</v>
      </c>
      <c r="L44" s="266">
        <f>IFERROR(INDEX('Inputs (2)'!$D$67:$AL$67,MATCH(L$7,'Inputs (2)'!$D$2:$AL$2,0)),"")</f>
        <v>1459</v>
      </c>
      <c r="M44" s="267">
        <f>IF(COUNT(I44:L44)=4,SUM(I44:L44),"")</f>
        <v>4349</v>
      </c>
      <c r="N44" s="266">
        <f>IFERROR(INDEX('Inputs (2)'!$D$67:$AL$67,MATCH(N$7,'Inputs (2)'!$D$2:$AL$2,0)),"")</f>
        <v>1932</v>
      </c>
      <c r="O44" s="266">
        <f>IFERROR(INDEX('Inputs (2)'!$D$67:$AL$67,MATCH(O$7,'Inputs (2)'!$D$2:$AL$2,0)),"")</f>
        <v>1988</v>
      </c>
      <c r="P44" s="266">
        <f>IFERROR(INDEX('Inputs (2)'!$D$67:$AL$67,MATCH(P$7,'Inputs (2)'!$D$2:$AL$2,0)),"")</f>
        <v>2148</v>
      </c>
      <c r="Q44" s="266">
        <f>IFERROR(INDEX('Inputs (2)'!$D$67:$AL$67,MATCH(Q$7,'Inputs (2)'!$D$2:$AL$2,0)),"")</f>
        <v>2223</v>
      </c>
      <c r="R44" s="267">
        <f>IF(COUNT(N44:Q44)=4,SUM(N44:Q44),"")</f>
        <v>8291</v>
      </c>
      <c r="S44" s="266">
        <f>IFERROR(INDEX('Inputs (2)'!$D$67:$AL$67,MATCH(S$7,'Inputs (2)'!$D$2:$AL$2,0)),"")</f>
        <v>2385</v>
      </c>
      <c r="T44" s="266">
        <f>IFERROR(INDEX('Inputs (2)'!$D$67:$AL$67,MATCH(T$7,'Inputs (2)'!$D$2:$AL$2,0)),"")</f>
        <v>6043</v>
      </c>
      <c r="U44" s="266">
        <f>IFERROR(INDEX('Inputs (2)'!$D$67:$AL$67,MATCH(U$7,'Inputs (2)'!$D$2:$AL$2,0)),"")</f>
        <v>6302</v>
      </c>
      <c r="V44" s="266">
        <f>IFERROR(INDEX('Inputs (2)'!$D$67:$AL$67,MATCH(V$7,'Inputs (2)'!$D$2:$AL$2,0)),"")</f>
        <v>12236</v>
      </c>
      <c r="W44" s="267">
        <f>IF(COUNT(S44:V44)=4,SUM(S44:V44),"")</f>
        <v>26966</v>
      </c>
      <c r="X44" s="266">
        <f>IFERROR(INDEX('Inputs (2)'!$D$67:$AL$67,MATCH(X$7,'Inputs (2)'!$D$2:$AL$2,0)),"")</f>
        <v>13496</v>
      </c>
      <c r="Y44" s="266">
        <f>IFERROR(INDEX('Inputs (2)'!$D$67:$AL$67,MATCH(Y$7,'Inputs (2)'!$D$2:$AL$2,0)),"")</f>
        <v>13022</v>
      </c>
      <c r="Z44" s="266">
        <f>IFERROR(INDEX('Inputs (2)'!$D$67:$AL$67,MATCH(Z$7,'Inputs (2)'!$D$2:$AL$2,0)),"")</f>
        <v>14800</v>
      </c>
      <c r="AA44" s="266">
        <f>IFERROR(INDEX('Inputs (2)'!$D$67:$AL$67,MATCH(AA$7,'Inputs (2)'!$D$2:$AL$2,0)),"")</f>
        <v>19939</v>
      </c>
      <c r="AB44" s="267">
        <f>IF(COUNT(X44:AA44)=4,SUM(X44:AA44),"")</f>
        <v>61257</v>
      </c>
      <c r="AC44" s="266">
        <f>IFERROR(INDEX('Inputs (2)'!$D$67:$AL$67,MATCH(AC$7,'Inputs (2)'!$D$2:$AL$2,0)),"")</f>
        <v>20739</v>
      </c>
      <c r="AD44" s="266">
        <f>IFERROR(INDEX('Inputs (2)'!$D$67:$AL$67,MATCH(AD$7,'Inputs (2)'!$D$2:$AL$2,0)),"")</f>
        <v>23470</v>
      </c>
      <c r="AE44" s="266">
        <f>IFERROR(INDEX('Inputs (2)'!$D$67:$AL$67,MATCH(AE$7,'Inputs (2)'!$D$2:$AL$2,0)),"")</f>
        <v>39177</v>
      </c>
      <c r="AF44" s="266">
        <f>IFERROR(INDEX('Inputs (2)'!$D$67:$AL$67,MATCH(AF$7,'Inputs (2)'!$D$2:$AL$2,0)),"")</f>
        <v>51858</v>
      </c>
      <c r="AG44" s="267">
        <f>IF(COUNT(AC44:AF44)=4,SUM(AC44:AF44),"")</f>
        <v>135244</v>
      </c>
      <c r="AH44" s="267">
        <f>IFERROR(INDEX('Inputs (2)'!$D$67:$AL$67,MATCH(AH$7,'Inputs (2)'!$D$2:$AL$2,0)),"")</f>
        <v>63769</v>
      </c>
      <c r="AI44" s="267">
        <f>IFERROR(INDEX('Inputs (2)'!$D$67:$AL$67,MATCH(AI$7,'Inputs (2)'!$D$2:$AL$2,0)),"")</f>
        <v>60074</v>
      </c>
    </row>
    <row r="45">
      <c r="C45" s="14" t="inlineStr">
        <is>
          <t xml:space="preserve">   Taiwan</t>
        </is>
      </c>
      <c r="D45" s="266">
        <f>IFERROR(INDEX('Inputs (2)'!$D$68:$AL$68,MATCH(D$7,'Inputs (2)'!$D$2:$AL$2,0)),"")</f>
        <v>813</v>
      </c>
      <c r="E45" s="266">
        <f>IFERROR(INDEX('Inputs (2)'!$D$68:$AL$68,MATCH(E$7,'Inputs (2)'!$D$2:$AL$2,0)),"")</f>
        <v>954</v>
      </c>
      <c r="F45" s="266">
        <f>IFERROR(INDEX('Inputs (2)'!$D$68:$AL$68,MATCH(F$7,'Inputs (2)'!$D$2:$AL$2,0)),"")</f>
        <v>1296</v>
      </c>
      <c r="G45" s="266">
        <f>IFERROR(INDEX('Inputs (2)'!$D$68:$AL$68,MATCH(G$7,'Inputs (2)'!$D$2:$AL$2,0)),"")</f>
        <v>1469</v>
      </c>
      <c r="H45" s="267">
        <f>IF(COUNT(D45:G45)=4,SUM(D45:G45),"")</f>
        <v>4532</v>
      </c>
      <c r="I45" s="266">
        <f>IFERROR(INDEX('Inputs (2)'!$D$68:$AL$68,MATCH(I$7,'Inputs (2)'!$D$2:$AL$2,0)),"")</f>
        <v>1784</v>
      </c>
      <c r="J45" s="266">
        <f>IFERROR(INDEX('Inputs (2)'!$D$68:$AL$68,MATCH(J$7,'Inputs (2)'!$D$2:$AL$2,0)),"")</f>
        <v>1961</v>
      </c>
      <c r="K45" s="266">
        <f>IFERROR(INDEX('Inputs (2)'!$D$68:$AL$68,MATCH(K$7,'Inputs (2)'!$D$2:$AL$2,0)),"")</f>
        <v>2187</v>
      </c>
      <c r="L45" s="266">
        <f>IFERROR(INDEX('Inputs (2)'!$D$68:$AL$68,MATCH(L$7,'Inputs (2)'!$D$2:$AL$2,0)),"")</f>
        <v>2612</v>
      </c>
      <c r="M45" s="267">
        <f>IF(COUNT(I45:L45)=4,SUM(I45:L45),"")</f>
        <v>8544</v>
      </c>
      <c r="N45" s="266">
        <f>IFERROR(INDEX('Inputs (2)'!$D$68:$AL$68,MATCH(N$7,'Inputs (2)'!$D$2:$AL$2,0)),"")</f>
        <v>2777</v>
      </c>
      <c r="O45" s="266">
        <f>IFERROR(INDEX('Inputs (2)'!$D$68:$AL$68,MATCH(O$7,'Inputs (2)'!$D$2:$AL$2,0)),"")</f>
        <v>1204</v>
      </c>
      <c r="P45" s="266">
        <f>IFERROR(INDEX('Inputs (2)'!$D$68:$AL$68,MATCH(P$7,'Inputs (2)'!$D$2:$AL$2,0)),"")</f>
        <v>1153</v>
      </c>
      <c r="Q45" s="266">
        <f>IFERROR(INDEX('Inputs (2)'!$D$68:$AL$68,MATCH(Q$7,'Inputs (2)'!$D$2:$AL$2,0)),"")</f>
        <v>1852</v>
      </c>
      <c r="R45" s="267">
        <f>IF(COUNT(N45:Q45)=4,SUM(N45:Q45),"")</f>
        <v>6986</v>
      </c>
      <c r="S45" s="266">
        <f>IFERROR(INDEX('Inputs (2)'!$D$68:$AL$68,MATCH(S$7,'Inputs (2)'!$D$2:$AL$2,0)),"")</f>
        <v>1796</v>
      </c>
      <c r="T45" s="266">
        <f>IFERROR(INDEX('Inputs (2)'!$D$68:$AL$68,MATCH(T$7,'Inputs (2)'!$D$2:$AL$2,0)),"")</f>
        <v>2839</v>
      </c>
      <c r="U45" s="266">
        <f>IFERROR(INDEX('Inputs (2)'!$D$68:$AL$68,MATCH(U$7,'Inputs (2)'!$D$2:$AL$2,0)),"")</f>
        <v>4333</v>
      </c>
      <c r="V45" s="266">
        <f>IFERROR(INDEX('Inputs (2)'!$D$68:$AL$68,MATCH(V$7,'Inputs (2)'!$D$2:$AL$2,0)),"")</f>
        <v>4437</v>
      </c>
      <c r="W45" s="267">
        <f>IF(COUNT(S45:V45)=4,SUM(S45:V45),"")</f>
        <v>13405</v>
      </c>
      <c r="X45" s="266">
        <f>IFERROR(INDEX('Inputs (2)'!$D$68:$AL$68,MATCH(X$7,'Inputs (2)'!$D$2:$AL$2,0)),"")</f>
        <v>4373</v>
      </c>
      <c r="Y45" s="266">
        <f>IFERROR(INDEX('Inputs (2)'!$D$68:$AL$68,MATCH(Y$7,'Inputs (2)'!$D$2:$AL$2,0)),"")</f>
        <v>5740</v>
      </c>
      <c r="Z45" s="266">
        <f>IFERROR(INDEX('Inputs (2)'!$D$68:$AL$68,MATCH(Z$7,'Inputs (2)'!$D$2:$AL$2,0)),"")</f>
        <v>5153</v>
      </c>
      <c r="AA45" s="266">
        <f>IFERROR(INDEX('Inputs (2)'!$D$68:$AL$68,MATCH(AA$7,'Inputs (2)'!$D$2:$AL$2,0)),"")</f>
        <v>5307</v>
      </c>
      <c r="AB45" s="267">
        <f>IF(COUNT(X45:AA45)=4,SUM(X45:AA45),"")</f>
        <v>20573</v>
      </c>
      <c r="AC45" s="266">
        <f>IFERROR(INDEX('Inputs (2)'!$D$68:$AL$68,MATCH(AC$7,'Inputs (2)'!$D$2:$AL$2,0)),"")</f>
        <v>7158</v>
      </c>
      <c r="AD45" s="266">
        <f>IFERROR(INDEX('Inputs (2)'!$D$68:$AL$68,MATCH(AD$7,'Inputs (2)'!$D$2:$AL$2,0)),"")</f>
        <v>8529</v>
      </c>
      <c r="AE45" s="266">
        <f>IFERROR(INDEX('Inputs (2)'!$D$68:$AL$68,MATCH(AE$7,'Inputs (2)'!$D$2:$AL$2,0)),"")</f>
        <v>13751</v>
      </c>
      <c r="AF45" s="266">
        <f>IFERROR(INDEX('Inputs (2)'!$D$68:$AL$68,MATCH(AF$7,'Inputs (2)'!$D$2:$AL$2,0)),"")</f>
        <v>12044</v>
      </c>
      <c r="AG45" s="267">
        <f>IF(COUNT(AC45:AF45)=4,SUM(AC45:AF45),"")</f>
        <v>41482</v>
      </c>
      <c r="AH45" s="267">
        <f>IFERROR(INDEX('Inputs (2)'!$D$68:$AL$68,MATCH(AH$7,'Inputs (2)'!$D$2:$AL$2,0)),"")</f>
        <v>12006</v>
      </c>
      <c r="AI45" s="267">
        <f>IFERROR(INDEX('Inputs (2)'!$D$68:$AL$68,MATCH(AI$7,'Inputs (2)'!$D$2:$AL$2,0)),"")</f>
        <v>26985</v>
      </c>
    </row>
    <row r="46">
      <c r="C46" s="14" t="inlineStr">
        <is>
          <t xml:space="preserve">   China (inclui Hong Kong)</t>
        </is>
      </c>
      <c r="D46" s="266">
        <f>IFERROR(INDEX('Inputs (2)'!$D$69:$AL$69,MATCH(D$7,'Inputs (2)'!$D$2:$AL$2,0)),"")</f>
        <v>758</v>
      </c>
      <c r="E46" s="266">
        <f>IFERROR(INDEX('Inputs (2)'!$D$69:$AL$69,MATCH(E$7,'Inputs (2)'!$D$2:$AL$2,0)),"")</f>
        <v>855</v>
      </c>
      <c r="F46" s="266">
        <f>IFERROR(INDEX('Inputs (2)'!$D$69:$AL$69,MATCH(F$7,'Inputs (2)'!$D$2:$AL$2,0)),"")</f>
        <v>1113</v>
      </c>
      <c r="G46" s="266">
        <f>IFERROR(INDEX('Inputs (2)'!$D$69:$AL$69,MATCH(G$7,'Inputs (2)'!$D$2:$AL$2,0)),"")</f>
        <v>1159</v>
      </c>
      <c r="H46" s="267">
        <f>IF(COUNT(D46:G46)=4,SUM(D46:G46),"")</f>
        <v>3885</v>
      </c>
      <c r="I46" s="266">
        <f>IFERROR(INDEX('Inputs (2)'!$D$69:$AL$69,MATCH(I$7,'Inputs (2)'!$D$2:$AL$2,0)),"")</f>
        <v>1391</v>
      </c>
      <c r="J46" s="266">
        <f>IFERROR(INDEX('Inputs (2)'!$D$69:$AL$69,MATCH(J$7,'Inputs (2)'!$D$2:$AL$2,0)),"")</f>
        <v>1720</v>
      </c>
      <c r="K46" s="266">
        <f>IFERROR(INDEX('Inputs (2)'!$D$69:$AL$69,MATCH(K$7,'Inputs (2)'!$D$2:$AL$2,0)),"")</f>
        <v>2017</v>
      </c>
      <c r="L46" s="266">
        <f>IFERROR(INDEX('Inputs (2)'!$D$69:$AL$69,MATCH(L$7,'Inputs (2)'!$D$2:$AL$2,0)),"")</f>
        <v>1983</v>
      </c>
      <c r="M46" s="267">
        <f>IF(COUNT(I46:L46)=4,SUM(I46:L46),"")</f>
        <v>7111</v>
      </c>
      <c r="N46" s="266">
        <f>IFERROR(INDEX('Inputs (2)'!$D$69:$AL$69,MATCH(N$7,'Inputs (2)'!$D$2:$AL$2,0)),"")</f>
        <v>2081</v>
      </c>
      <c r="O46" s="266">
        <f>IFERROR(INDEX('Inputs (2)'!$D$69:$AL$69,MATCH(O$7,'Inputs (2)'!$D$2:$AL$2,0)),"")</f>
        <v>1602</v>
      </c>
      <c r="P46" s="266">
        <f>IFERROR(INDEX('Inputs (2)'!$D$69:$AL$69,MATCH(P$7,'Inputs (2)'!$D$2:$AL$2,0)),"")</f>
        <v>1148</v>
      </c>
      <c r="Q46" s="266">
        <f>IFERROR(INDEX('Inputs (2)'!$D$69:$AL$69,MATCH(Q$7,'Inputs (2)'!$D$2:$AL$2,0)),"")</f>
        <v>954</v>
      </c>
      <c r="R46" s="267">
        <f>IF(COUNT(N46:Q46)=4,SUM(N46:Q46),"")</f>
        <v>5785</v>
      </c>
      <c r="S46" s="266">
        <f>IFERROR(INDEX('Inputs (2)'!$D$69:$AL$69,MATCH(S$7,'Inputs (2)'!$D$2:$AL$2,0)),"")</f>
        <v>1590</v>
      </c>
      <c r="T46" s="266">
        <f>IFERROR(INDEX('Inputs (2)'!$D$69:$AL$69,MATCH(T$7,'Inputs (2)'!$D$2:$AL$2,0)),"")</f>
        <v>2740</v>
      </c>
      <c r="U46" s="266">
        <f>IFERROR(INDEX('Inputs (2)'!$D$69:$AL$69,MATCH(U$7,'Inputs (2)'!$D$2:$AL$2,0)),"")</f>
        <v>4030</v>
      </c>
      <c r="V46" s="266">
        <f>IFERROR(INDEX('Inputs (2)'!$D$69:$AL$69,MATCH(V$7,'Inputs (2)'!$D$2:$AL$2,0)),"")</f>
        <v>1946</v>
      </c>
      <c r="W46" s="267">
        <f>IF(COUNT(S46:V46)=4,SUM(S46:V46),"")</f>
        <v>10306</v>
      </c>
      <c r="X46" s="266">
        <f>IFERROR(INDEX('Inputs (2)'!$D$69:$AL$69,MATCH(X$7,'Inputs (2)'!$D$2:$AL$2,0)),"")</f>
        <v>2491</v>
      </c>
      <c r="Y46" s="266">
        <f>IFERROR(INDEX('Inputs (2)'!$D$69:$AL$69,MATCH(Y$7,'Inputs (2)'!$D$2:$AL$2,0)),"")</f>
        <v>3667</v>
      </c>
      <c r="Z46" s="266">
        <f>IFERROR(INDEX('Inputs (2)'!$D$69:$AL$69,MATCH(Z$7,'Inputs (2)'!$D$2:$AL$2,0)),"")</f>
        <v>5416</v>
      </c>
      <c r="AA46" s="266">
        <f>IFERROR(INDEX('Inputs (2)'!$D$69:$AL$69,MATCH(AA$7,'Inputs (2)'!$D$2:$AL$2,0)),"")</f>
        <v>5534</v>
      </c>
      <c r="AB46" s="267">
        <f>IF(COUNT(X46:AA46)=4,SUM(X46:AA46),"")</f>
        <v>17108</v>
      </c>
      <c r="AC46" s="266">
        <f>IFERROR(INDEX('Inputs (2)'!$D$69:$AL$69,MATCH(AC$7,'Inputs (2)'!$D$2:$AL$2,0)),"")</f>
        <v>5522</v>
      </c>
      <c r="AD46" s="266">
        <f>IFERROR(INDEX('Inputs (2)'!$D$69:$AL$69,MATCH(AD$7,'Inputs (2)'!$D$2:$AL$2,0)),"")</f>
        <v>2769</v>
      </c>
      <c r="AE46" s="266">
        <f>IFERROR(INDEX('Inputs (2)'!$D$69:$AL$69,MATCH(AE$7,'Inputs (2)'!$D$2:$AL$2,0)),"")</f>
        <v>2973</v>
      </c>
      <c r="AF46" s="266">
        <f>IFERROR(INDEX('Inputs (2)'!$D$69:$AL$69,MATCH(AF$7,'Inputs (2)'!$D$2:$AL$2,0)),"")</f>
        <v>3060</v>
      </c>
      <c r="AG46" s="267">
        <f>IF(COUNT(AC46:AF46)=4,SUM(AC46:AF46),"")</f>
        <v>14324</v>
      </c>
      <c r="AH46" s="267">
        <f>IFERROR(INDEX('Inputs (2)'!$D$69:$AL$69,MATCH(AH$7,'Inputs (2)'!$D$2:$AL$2,0)),"")</f>
        <v>4550</v>
      </c>
      <c r="AI46" s="267">
        <f>IFERROR(INDEX('Inputs (2)'!$D$69:$AL$69,MATCH(AI$7,'Inputs (2)'!$D$2:$AL$2,0)),"")</f>
        <v>7880</v>
      </c>
    </row>
    <row r="47">
      <c r="C47" s="14" t="inlineStr">
        <is>
          <t xml:space="preserve">   Outros países (receita total - os três)</t>
        </is>
      </c>
      <c r="D47" s="266">
        <f>IF(COUNT(D44)=0,"",D15-N(D44)-N(D45)-N(D46))</f>
        <v>1012</v>
      </c>
      <c r="E47" s="266">
        <f>IF(COUNT(E44)=0,"",E15-N(E44)-N(E45)-N(E46))</f>
        <v>1113</v>
      </c>
      <c r="F47" s="266">
        <f>IF(COUNT(F44)=0,"",F15-N(F44)-N(F45)-N(F46))</f>
        <v>1427</v>
      </c>
      <c r="G47" s="266">
        <f>IF(COUNT(G44)=0,"",G15-N(G44)-N(G45)-N(G46))</f>
        <v>1492</v>
      </c>
      <c r="H47" s="267">
        <f>IF(COUNT(H44)=0,"",H15-N(H44)-N(H45)-N(H46))</f>
        <v>5044</v>
      </c>
      <c r="I47" s="266">
        <f>IF(COUNT(I44)=0,"",I15-N(I44)-N(I45)-N(I46))</f>
        <v>1718</v>
      </c>
      <c r="J47" s="266">
        <f>IF(COUNT(J44)=0,"",J15-N(J44)-N(J45)-N(J46))</f>
        <v>1830</v>
      </c>
      <c r="K47" s="266">
        <f>IF(COUNT(K44)=0,"",K15-N(K44)-N(K45)-N(K46))</f>
        <v>1773</v>
      </c>
      <c r="L47" s="266">
        <f>IF(COUNT(L44)=0,"",L15-N(L44)-N(L45)-N(L46))</f>
        <v>1589</v>
      </c>
      <c r="M47" s="267">
        <f>IF(COUNT(M44)=0,"",M15-N(M44)-N(M45)-N(M46))</f>
        <v>6910</v>
      </c>
      <c r="N47" s="266">
        <f>IF(COUNT(N44)=0,"",N15-N(N44)-N(N45)-N(N46))</f>
        <v>1498</v>
      </c>
      <c r="O47" s="266">
        <f>IF(COUNT(O44)=0,"",O15-N(O44)-N(O45)-N(O46))</f>
        <v>1910</v>
      </c>
      <c r="P47" s="266">
        <f>IF(COUNT(P44)=0,"",P15-N(P44)-N(P45)-N(P46))</f>
        <v>1482</v>
      </c>
      <c r="Q47" s="266">
        <f>IF(COUNT(Q44)=0,"",Q15-N(Q44)-N(Q45)-N(Q46))</f>
        <v>1022</v>
      </c>
      <c r="R47" s="267">
        <f>IF(COUNT(R44)=0,"",R15-N(R44)-N(R45)-N(R46))</f>
        <v>5912</v>
      </c>
      <c r="S47" s="266">
        <f>IF(COUNT(S44)=0,"",S15-N(S44)-N(S45)-N(S46))</f>
        <v>1421</v>
      </c>
      <c r="T47" s="266">
        <f>IF(COUNT(T44)=0,"",T15-N(T44)-N(T45)-N(T46))</f>
        <v>1885</v>
      </c>
      <c r="U47" s="266">
        <f>IF(COUNT(U44)=0,"",U15-N(U44)-N(U45)-N(U46))</f>
        <v>3455</v>
      </c>
      <c r="V47" s="266">
        <f>IF(COUNT(V44)=0,"",V15-N(V44)-N(V45)-N(V46))</f>
        <v>3484</v>
      </c>
      <c r="W47" s="267">
        <f>IF(COUNT(W44)=0,"",W15-N(W44)-N(W45)-N(W46))</f>
        <v>10245</v>
      </c>
      <c r="X47" s="266">
        <f>IF(COUNT(X44)=0,"",X15-N(X44)-N(X45)-N(X46))</f>
        <v>5684</v>
      </c>
      <c r="Y47" s="266">
        <f>IF(COUNT(Y44)=0,"",Y15-N(Y44)-N(Y45)-N(Y46))</f>
        <v>7611</v>
      </c>
      <c r="Z47" s="266">
        <f>IF(COUNT(Z44)=0,"",Z15-N(Z44)-N(Z45)-N(Z46))</f>
        <v>9713</v>
      </c>
      <c r="AA47" s="266">
        <f>IF(COUNT(AA44)=0,"",AA15-N(AA44)-N(AA45)-N(AA46))</f>
        <v>8551</v>
      </c>
      <c r="AB47" s="267">
        <f>IF(COUNT(AB44)=0,"",AB15-N(AB44)-N(AB45)-N(AB46))</f>
        <v>31559</v>
      </c>
      <c r="AC47" s="266">
        <f>IF(COUNT(AC44)=0,"",AC15-N(AC44)-N(AC45)-N(AC46))</f>
        <v>10643</v>
      </c>
      <c r="AD47" s="266">
        <f>IF(COUNT(AD44)=0,"",AD15-N(AD44)-N(AD45)-N(AD46))</f>
        <v>11975</v>
      </c>
      <c r="AE47" s="266">
        <f>IF(COUNT(AE44)=0,"",AE15-N(AE44)-N(AE45)-N(AE46))</f>
        <v>1105</v>
      </c>
      <c r="AF47" s="266">
        <f>IF(COUNT(AF44)=0,"",AF15-N(AF44)-N(AF45)-N(AF46))</f>
        <v>1165</v>
      </c>
      <c r="AG47" s="267">
        <f>IF(COUNT(AG44)=0,"",AG15-N(AG44)-N(AG45)-N(AG46))</f>
        <v>24888</v>
      </c>
      <c r="AH47" s="267">
        <f>IF(COUNT(AH44)=0,"",AH15-N(AH44)-N(AH45)-N(AH46))</f>
        <v>1290</v>
      </c>
      <c r="AI47" s="267">
        <f>IF(COUNT(AI44)=0,"",AI15-N(AI44)-N(AI45)-N(AI46))</f>
        <v>1282</v>
      </c>
    </row>
    <row r="48">
      <c r="C48" s="14" t="inlineStr">
        <is>
          <t xml:space="preserve">   % YoY China</t>
        </is>
      </c>
      <c r="D48" s="268" t="str">
        <f>""</f>
        <v/>
      </c>
      <c r="E48" s="268" t="str">
        <f>""</f>
        <v/>
      </c>
      <c r="F48" s="268" t="str">
        <f>""</f>
        <v/>
      </c>
      <c r="G48" s="268" t="str">
        <f>""</f>
        <v/>
      </c>
      <c r="H48" s="269" t="str">
        <f>""</f>
        <v/>
      </c>
      <c r="I48" s="268">
        <f>IFERROR(I46/D46-1,"")</f>
        <v>0.83509234828496</v>
      </c>
      <c r="J48" s="268">
        <f>IFERROR(J46/E46-1,"")</f>
        <v>1.01169590643275</v>
      </c>
      <c r="K48" s="268">
        <f>IFERROR(K46/F46-1,"")</f>
        <v>0.812219227313567</v>
      </c>
      <c r="L48" s="268">
        <f>IFERROR(L46/G46-1,"")</f>
        <v>0.710957722174288</v>
      </c>
      <c r="M48" s="269">
        <f>IFERROR(M46/H46-1,"")</f>
        <v>0.83037323037323</v>
      </c>
      <c r="N48" s="268">
        <f>IFERROR(N46/I46-1,"")</f>
        <v>0.496046010064702</v>
      </c>
      <c r="O48" s="268">
        <f>IFERROR(O46/J46-1,"")</f>
        <v>-0.0686046511627907</v>
      </c>
      <c r="P48" s="268">
        <f>IFERROR(P46/K46-1,"")</f>
        <v>-0.430837878036688</v>
      </c>
      <c r="Q48" s="268">
        <f>IFERROR(Q46/L46-1,"")</f>
        <v>-0.518910741301059</v>
      </c>
      <c r="R48" s="269">
        <f>IFERROR(R46/M46-1,"")</f>
        <v>-0.186471663619744</v>
      </c>
      <c r="S48" s="268">
        <f>IFERROR(S46/N46-1,"")</f>
        <v>-0.235944257568477</v>
      </c>
      <c r="T48" s="268">
        <f>IFERROR(T46/O46-1,"")</f>
        <v>0.710362047440699</v>
      </c>
      <c r="U48" s="268">
        <f>IFERROR(U46/P46-1,"")</f>
        <v>2.51045296167247</v>
      </c>
      <c r="V48" s="268">
        <f>IFERROR(V46/Q46-1,"")</f>
        <v>1.0398322851153</v>
      </c>
      <c r="W48" s="269">
        <f>IFERROR(W46/R46-1,"")</f>
        <v>0.781503889369058</v>
      </c>
      <c r="X48" s="268">
        <f>IFERROR(X46/S46-1,"")</f>
        <v>0.566666666666667</v>
      </c>
      <c r="Y48" s="268">
        <f>IFERROR(Y46/T46-1,"")</f>
        <v>0.338321167883212</v>
      </c>
      <c r="Z48" s="268">
        <f>IFERROR(Z46/U46-1,"")</f>
        <v>0.343920595533499</v>
      </c>
      <c r="AA48" s="268">
        <f>IFERROR(AA46/V46-1,"")</f>
        <v>1.84378211716341</v>
      </c>
      <c r="AB48" s="269">
        <f>IFERROR(AB46/W46-1,"")</f>
        <v>0.660003881234233</v>
      </c>
      <c r="AC48" s="268">
        <f>IFERROR(AC46/X46-1,"")</f>
        <v>1.21678040947411</v>
      </c>
      <c r="AD48" s="268">
        <f>IFERROR(AD46/Y46-1,"")</f>
        <v>-0.244886828470139</v>
      </c>
      <c r="AE48" s="268">
        <f>IFERROR(AE46/Z46-1,"")</f>
        <v>-0.451070901033973</v>
      </c>
      <c r="AF48" s="268">
        <f>IFERROR(AF46/AA46-1,"")</f>
        <v>-0.447054571738345</v>
      </c>
      <c r="AG48" s="269">
        <f>IFERROR(AG46/AB46-1,"")</f>
        <v>-0.162730886135141</v>
      </c>
      <c r="AH48" s="269">
        <f>IFERROR(AH46/AC46-1,"")</f>
        <v>-0.176023180007244</v>
      </c>
      <c r="AI48" s="269">
        <f>IFERROR(AI46/AD46-1,"")</f>
        <v>1.84579270494763</v>
      </c>
    </row>
    <row r="49">
      <c r="C49" s="14" t="inlineStr">
        <is>
          <t xml:space="preserve">   % China na receita</t>
        </is>
      </c>
      <c r="D49" s="268">
        <f>IFERROR(D46/D29,"")</f>
        <v>0.246103896103896</v>
      </c>
      <c r="E49" s="268">
        <f>IFERROR(E46/E29,"")</f>
        <v>0.221158820486291</v>
      </c>
      <c r="F49" s="268">
        <f>IFERROR(F46/F29,"")</f>
        <v>0.235505713076598</v>
      </c>
      <c r="G49" s="268">
        <f>IFERROR(G46/G29,"")</f>
        <v>0.231661003397961</v>
      </c>
      <c r="H49" s="269">
        <f>IFERROR(H46/H29,"")</f>
        <v>0.232983508245877</v>
      </c>
      <c r="I49" s="268">
        <f>IFERROR(I46/I29,"")</f>
        <v>0.245716304539834</v>
      </c>
      <c r="J49" s="268">
        <f>IFERROR(J46/J29,"")</f>
        <v>0.264330720762256</v>
      </c>
      <c r="K49" s="268">
        <f>IFERROR(K46/K29,"")</f>
        <v>0.283964522032944</v>
      </c>
      <c r="L49" s="268">
        <f>IFERROR(L46/L29,"")</f>
        <v>0.259453094334685</v>
      </c>
      <c r="M49" s="269">
        <f>IFERROR(M46/M29,"")</f>
        <v>0.264211934309281</v>
      </c>
      <c r="N49" s="268">
        <f>IFERROR(N46/N29,"")</f>
        <v>0.251085907335907</v>
      </c>
      <c r="O49" s="268">
        <f>IFERROR(O46/O29,"")</f>
        <v>0.238961813842482</v>
      </c>
      <c r="P49" s="268">
        <f>IFERROR(P46/P29,"")</f>
        <v>0.193559264879447</v>
      </c>
      <c r="Q49" s="268">
        <f>IFERROR(Q46/Q29,"")</f>
        <v>0.15765989092712</v>
      </c>
      <c r="R49" s="269">
        <f>IFERROR(R46/R29,"")</f>
        <v>0.214465781864017</v>
      </c>
      <c r="S49" s="268">
        <f>IFERROR(S46/S29,"")</f>
        <v>0.221078976640712</v>
      </c>
      <c r="T49" s="268">
        <f>IFERROR(T46/T29,"")</f>
        <v>0.20285777744873</v>
      </c>
      <c r="U49" s="268">
        <f>IFERROR(U46/U29,"")</f>
        <v>0.222406181015453</v>
      </c>
      <c r="V49" s="268">
        <f>IFERROR(V46/V29,"")</f>
        <v>0.0880423471926888</v>
      </c>
      <c r="W49" s="269">
        <f>IFERROR(W46/W29,"")</f>
        <v>0.169167131742228</v>
      </c>
      <c r="X49" s="268">
        <f>IFERROR(X46/X29,"")</f>
        <v>0.09564583013362</v>
      </c>
      <c r="Y49" s="268">
        <f>IFERROR(Y46/Y29,"")</f>
        <v>0.122070572569907</v>
      </c>
      <c r="Z49" s="268">
        <f>IFERROR(Z46/Z29,"")</f>
        <v>0.154381164129753</v>
      </c>
      <c r="AA49" s="268">
        <f>IFERROR(AA46/AA29,"")</f>
        <v>0.140703262057919</v>
      </c>
      <c r="AB49" s="269">
        <f>IFERROR(AB46/AB29,"")</f>
        <v>0.131098799206112</v>
      </c>
      <c r="AC49" s="268">
        <f>IFERROR(AC46/AC29,"")</f>
        <v>0.125323407925196</v>
      </c>
      <c r="AD49" s="268">
        <f>IFERROR(AD46/AD29,"")</f>
        <v>0.0592388165072845</v>
      </c>
      <c r="AE49" s="268">
        <f>IFERROR(AE46/AE29,"")</f>
        <v>0.0521524050099989</v>
      </c>
      <c r="AF49" s="268">
        <f>IFERROR(AF46/AF29,"")</f>
        <v>0.0449161125544938</v>
      </c>
      <c r="AG49" s="269">
        <f>IFERROR(AG46/AG29,"")</f>
        <v>0.0663338550880345</v>
      </c>
      <c r="AH49" s="269">
        <f>IFERROR(AH46/AH29,"")</f>
        <v>0.0557495558414507</v>
      </c>
      <c r="AI49" s="269">
        <f>IFERROR(AI46/AI29,"")</f>
        <v>0.0818948046684196</v>
      </c>
    </row>
    <row r="50"/>
    <row r="51" hidden="1" outlineLevel="1" customFormat="1" s="23">
      <c r="A51" s="18" t="n"/>
      <c r="B51" s="19" t="n"/>
      <c r="C51" s="20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  <c r="AO51" s="21" t="n"/>
      <c r="AP51" s="21" t="n"/>
      <c r="AQ51" s="21" t="n"/>
      <c r="AR51" s="21" t="n"/>
      <c r="AS51" s="21" t="n"/>
      <c r="AT51" s="21" t="n"/>
      <c r="AU51" s="21" t="n"/>
      <c r="AV51" s="21" t="n"/>
      <c r="AW51" s="21" t="n"/>
      <c r="AX51" s="21" t="n"/>
      <c r="AY51" s="21" t="n"/>
      <c r="AZ51" s="21" t="n"/>
      <c r="BA51" s="21" t="n"/>
      <c r="BB51" s="21" t="n"/>
      <c r="BC51" s="21" t="n"/>
      <c r="BD51" s="21" t="n"/>
      <c r="BE51" s="21" t="n"/>
      <c r="BF51" s="21" t="n"/>
      <c r="BG51" s="21" t="n"/>
      <c r="BH51" s="21" t="n"/>
      <c r="BI51" s="21" t="n"/>
      <c r="BJ51" s="21" t="n"/>
      <c r="BK51" s="21" t="n"/>
      <c r="BL51" s="21" t="n"/>
      <c r="BM51" s="21" t="n"/>
      <c r="BN51" s="21" t="n"/>
      <c r="BO51" s="21" t="n"/>
      <c r="BP51" s="21" t="n"/>
      <c r="BQ51" s="21" t="n"/>
      <c r="BR51" s="21" t="n"/>
      <c r="BS51" s="21" t="n"/>
      <c r="BT51" s="21" t="n"/>
      <c r="BU51" s="21" t="n"/>
      <c r="BV51" s="21" t="n"/>
      <c r="BW51" s="21" t="n"/>
      <c r="BX51" s="21" t="n"/>
      <c r="BY51" s="21" t="n"/>
      <c r="BZ51" s="21" t="n"/>
      <c r="CA51" s="21" t="n"/>
      <c r="CB51" s="21" t="n"/>
      <c r="CC51" s="21" t="n"/>
      <c r="CD51" s="21" t="n"/>
      <c r="CE51" s="21" t="n"/>
      <c r="CF51" s="21" t="n"/>
      <c r="CG51" s="21" t="n"/>
      <c r="CH51" s="21" t="n"/>
      <c r="CI51" s="21" t="n"/>
      <c r="CJ51" s="21" t="n"/>
      <c r="CK51" s="21" t="n"/>
      <c r="CL51" s="21" t="n"/>
      <c r="CM51" s="21" t="n"/>
      <c r="CN51" s="21" t="n"/>
      <c r="CO51" s="21" t="n"/>
      <c r="CP51" s="21" t="n"/>
      <c r="CQ51" s="21" t="n"/>
      <c r="CR51" s="21" t="n"/>
      <c r="CS51" s="21" t="n"/>
      <c r="CT51" s="21" t="n"/>
      <c r="CU51" s="21" t="n"/>
      <c r="CV51" s="21" t="n"/>
      <c r="CW51" s="21" t="n"/>
      <c r="CX51" s="21" t="n"/>
      <c r="CY51" s="21" t="n"/>
    </row>
    <row r="52" hidden="1" outlineLevel="1" customFormat="1" s="23">
      <c r="A52" s="18" t="n"/>
      <c r="B52" s="19" t="n"/>
      <c r="C52" s="20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  <c r="AO52" s="21" t="n"/>
      <c r="AP52" s="21" t="n"/>
      <c r="AQ52" s="21" t="n"/>
      <c r="AR52" s="21" t="n"/>
      <c r="AS52" s="21" t="n"/>
      <c r="AT52" s="21" t="n"/>
      <c r="AU52" s="21" t="n"/>
      <c r="AV52" s="21" t="n"/>
      <c r="AW52" s="21" t="n"/>
      <c r="AX52" s="21" t="n"/>
      <c r="AY52" s="21" t="n"/>
      <c r="AZ52" s="21" t="n"/>
      <c r="BA52" s="21" t="n"/>
      <c r="BB52" s="21" t="n"/>
      <c r="BC52" s="21" t="n"/>
      <c r="BD52" s="21" t="n"/>
      <c r="BE52" s="21" t="n"/>
      <c r="BF52" s="21" t="n"/>
      <c r="BG52" s="21" t="n"/>
      <c r="BH52" s="21" t="n"/>
      <c r="BI52" s="21" t="n"/>
      <c r="BJ52" s="21" t="n"/>
      <c r="BK52" s="21" t="n"/>
      <c r="BL52" s="21" t="n"/>
      <c r="BM52" s="21" t="n"/>
      <c r="BN52" s="21" t="n"/>
      <c r="BO52" s="21" t="n"/>
      <c r="BP52" s="21" t="n"/>
      <c r="BQ52" s="21" t="n"/>
      <c r="BR52" s="21" t="n"/>
      <c r="BS52" s="21" t="n"/>
      <c r="BT52" s="21" t="n"/>
      <c r="BU52" s="21" t="n"/>
      <c r="BV52" s="21" t="n"/>
      <c r="BW52" s="21" t="n"/>
      <c r="BX52" s="21" t="n"/>
      <c r="BY52" s="21" t="n"/>
      <c r="BZ52" s="21" t="n"/>
      <c r="CA52" s="21" t="n"/>
      <c r="CB52" s="21" t="n"/>
      <c r="CC52" s="21" t="n"/>
      <c r="CD52" s="21" t="n"/>
      <c r="CE52" s="21" t="n"/>
      <c r="CF52" s="21" t="n"/>
      <c r="CG52" s="21" t="n"/>
      <c r="CH52" s="21" t="n"/>
      <c r="CI52" s="21" t="n"/>
      <c r="CJ52" s="21" t="n"/>
      <c r="CK52" s="21" t="n"/>
      <c r="CL52" s="21" t="n"/>
      <c r="CM52" s="21" t="n"/>
      <c r="CN52" s="21" t="n"/>
      <c r="CO52" s="21" t="n"/>
      <c r="CP52" s="21" t="n"/>
      <c r="CQ52" s="21" t="n"/>
      <c r="CR52" s="21" t="n"/>
      <c r="CS52" s="21" t="n"/>
      <c r="CT52" s="21" t="n"/>
      <c r="CU52" s="21" t="n"/>
      <c r="CV52" s="21" t="n"/>
      <c r="CW52" s="21" t="n"/>
      <c r="CX52" s="21" t="n"/>
      <c r="CY52" s="21" t="n"/>
    </row>
    <row r="53" collapsed="1">
      <c r="C53" s="24" t="inlineStr">
        <is>
          <t>COGS (cash)</t>
        </is>
      </c>
      <c r="D53" s="25">
        <f>INDEX('Inputs (2)'!$D$5:$AL$5,MATCH(D$7,'Inputs (2)'!$D$2:$AL$2,0))</f>
        <v>-1076</v>
      </c>
      <c r="E53" s="25">
        <f>INDEX('Inputs (2)'!$D$5:$AL$5,MATCH(E$7,'Inputs (2)'!$D$2:$AL$2,0))</f>
        <v>-1591</v>
      </c>
      <c r="F53" s="25">
        <f>INDEX('Inputs (2)'!$D$5:$AL$5,MATCH(F$7,'Inputs (2)'!$D$2:$AL$2,0))</f>
        <v>-1766</v>
      </c>
      <c r="G53" s="25">
        <f>INDEX('Inputs (2)'!$D$5:$AL$5,MATCH(G$7,'Inputs (2)'!$D$2:$AL$2,0))</f>
        <v>-1847</v>
      </c>
      <c r="H53" s="3">
        <f>SUM(D53:G53)</f>
        <v>-6280</v>
      </c>
      <c r="I53" s="25">
        <f>INDEX('Inputs (2)'!$D$5:$AL$5,MATCH(I$7,'Inputs (2)'!$D$2:$AL$2,0))</f>
        <v>-2032</v>
      </c>
      <c r="J53" s="25">
        <f>INDEX('Inputs (2)'!$D$5:$AL$5,MATCH(J$7,'Inputs (2)'!$D$2:$AL$2,0))</f>
        <v>-2292</v>
      </c>
      <c r="K53" s="25">
        <f>INDEX('Inputs (2)'!$D$5:$AL$5,MATCH(K$7,'Inputs (2)'!$D$2:$AL$2,0))</f>
        <v>-2472</v>
      </c>
      <c r="L53" s="25">
        <f>INDEX('Inputs (2)'!$D$5:$AL$5,MATCH(L$7,'Inputs (2)'!$D$2:$AL$2,0))</f>
        <v>-2644</v>
      </c>
      <c r="M53" s="3">
        <f>SUM(I53:L53)</f>
        <v>-9440</v>
      </c>
      <c r="N53" s="25">
        <f>INDEX('Inputs (2)'!$D$5:$AL$5,MATCH(N$7,'Inputs (2)'!$D$2:$AL$2,0))</f>
        <v>-2857</v>
      </c>
      <c r="O53" s="25">
        <f>INDEX('Inputs (2)'!$D$5:$AL$5,MATCH(O$7,'Inputs (2)'!$D$2:$AL$2,0))</f>
        <v>-3789</v>
      </c>
      <c r="P53" s="25">
        <f>INDEX('Inputs (2)'!$D$5:$AL$5,MATCH(P$7,'Inputs (2)'!$D$2:$AL$2,0))</f>
        <v>-2754</v>
      </c>
      <c r="Q53" s="25">
        <f>INDEX('Inputs (2)'!$D$5:$AL$5,MATCH(Q$7,'Inputs (2)'!$D$2:$AL$2,0))</f>
        <v>-2218</v>
      </c>
      <c r="R53" s="3">
        <f>SUM(N53:Q53)</f>
        <v>-11618</v>
      </c>
      <c r="S53" s="25">
        <f>INDEX('Inputs (2)'!$D$5:$AL$5,MATCH(S$7,'Inputs (2)'!$D$2:$AL$2,0))</f>
        <v>-2544</v>
      </c>
      <c r="T53" s="25">
        <f>INDEX('Inputs (2)'!$D$5:$AL$5,MATCH(T$7,'Inputs (2)'!$D$2:$AL$2,0))</f>
        <v>-4045</v>
      </c>
      <c r="U53" s="25">
        <f>INDEX('Inputs (2)'!$D$5:$AL$5,MATCH(U$7,'Inputs (2)'!$D$2:$AL$2,0))</f>
        <v>-4720</v>
      </c>
      <c r="V53" s="25">
        <f>INDEX('Inputs (2)'!$D$5:$AL$5,MATCH(V$7,'Inputs (2)'!$D$2:$AL$2,0))</f>
        <v>-5312</v>
      </c>
      <c r="W53" s="3">
        <f>SUM(S53:V53)</f>
        <v>-16621</v>
      </c>
      <c r="X53" s="25">
        <f>INDEX('Inputs (2)'!$D$5:$AL$5,MATCH(X$7,'Inputs (2)'!$D$2:$AL$2,0))</f>
        <v>-5638</v>
      </c>
      <c r="Y53" s="25">
        <f>INDEX('Inputs (2)'!$D$5:$AL$5,MATCH(Y$7,'Inputs (2)'!$D$2:$AL$2,0))</f>
        <v>-7466</v>
      </c>
      <c r="Z53" s="25">
        <f>INDEX('Inputs (2)'!$D$5:$AL$5,MATCH(Z$7,'Inputs (2)'!$D$2:$AL$2,0))</f>
        <v>-8926</v>
      </c>
      <c r="AA53" s="25">
        <f>INDEX('Inputs (2)'!$D$5:$AL$5,MATCH(AA$7,'Inputs (2)'!$D$2:$AL$2,0))</f>
        <v>-10608</v>
      </c>
      <c r="AB53" s="3">
        <f>SUM(X53:AA53)</f>
        <v>-32638</v>
      </c>
      <c r="AC53" s="25">
        <f>INDEX('Inputs (2)'!$D$5:$AL$5,MATCH(AC$7,'Inputs (2)'!$D$2:$AL$2,0))</f>
        <v>-17394</v>
      </c>
      <c r="AD53" s="25">
        <f>INDEX('Inputs (2)'!$D$5:$AL$5,MATCH(AD$7,'Inputs (2)'!$D$2:$AL$2,0))</f>
        <v>-12890</v>
      </c>
      <c r="AE53" s="25">
        <f>INDEX('Inputs (2)'!$D$5:$AL$5,MATCH(AE$7,'Inputs (2)'!$D$2:$AL$2,0))</f>
        <v>-15157</v>
      </c>
      <c r="AF53" s="25">
        <f>INDEX('Inputs (2)'!$D$5:$AL$5,MATCH(AF$7,'Inputs (2)'!$D$2:$AL$2,0))</f>
        <v>-17034</v>
      </c>
      <c r="AG53" s="3">
        <f>SUM(AC53:AF53)</f>
        <v>-62475</v>
      </c>
      <c r="AH53" s="3">
        <f>INDEX('Inputs (2)'!$D$5:$AL$5,MATCH(AH$7,'Inputs (2)'!$D$2:$AL$2,0))</f>
        <v>-20458</v>
      </c>
      <c r="AI53" s="3">
        <f>INDEX('Inputs (2)'!$D$5:$AL$5,MATCH(AI$7,'Inputs (2)'!$D$2:$AL$2,0))</f>
        <v>-24079</v>
      </c>
      <c r="AJ53" s="3">
        <f>(100%-AJ54)*-AJ15</f>
        <v>-57006</v>
      </c>
      <c r="AK53" s="3">
        <f>(100%-AK54)*-AK15</f>
        <v>-68127</v>
      </c>
      <c r="AL53" s="3">
        <f>SUM(AH53:AK53)</f>
        <v>-169670</v>
      </c>
      <c r="AM53" s="3">
        <f>(100%-AM54)*-AM15</f>
        <v>-81615</v>
      </c>
      <c r="AN53" s="3">
        <f>(100%-AN54)*-AN15</f>
        <v>-96221</v>
      </c>
      <c r="AO53" s="3">
        <f>(100%-AO54)*-AO15</f>
        <v>-57006</v>
      </c>
      <c r="AP53" s="3">
        <f>(100%-AP54)*-AP15</f>
        <v>-68127</v>
      </c>
      <c r="AQ53" s="3">
        <f>SUM(AM53:AP53)</f>
        <v>-302969</v>
      </c>
      <c r="AR53" s="3">
        <f>(100%-AR54)*-AR15</f>
        <v>-81615</v>
      </c>
      <c r="AS53" s="3">
        <f>(100%-AS54)*-AS15</f>
        <v>-96221</v>
      </c>
      <c r="AT53" s="3">
        <f>(100%-AT54)*-AT15</f>
        <v>-57006</v>
      </c>
      <c r="AU53" s="3">
        <f>(100%-AU54)*-AU15</f>
        <v>-68127</v>
      </c>
      <c r="AV53" s="3">
        <f>SUM(AR53:AU53)</f>
        <v>-302969</v>
      </c>
      <c r="AW53" s="3">
        <f>(100%-AW54)*-AW15</f>
        <v>-81615</v>
      </c>
      <c r="AX53" s="3">
        <f>(100%-AX54)*-AX15</f>
        <v>-96221</v>
      </c>
      <c r="AY53" s="3">
        <f>(100%-AY54)*-AY15</f>
        <v>-57006</v>
      </c>
      <c r="AZ53" s="3">
        <f>(100%-AZ54)*-AZ15</f>
        <v>-68127</v>
      </c>
      <c r="BA53" s="3">
        <f>SUM(AW53:AZ53)</f>
        <v>-302969</v>
      </c>
      <c r="BB53" s="3">
        <f>(100%-BB54)*-BB15</f>
        <v>-81615</v>
      </c>
      <c r="BC53" s="3">
        <f>(100%-BC54)*-BC15</f>
        <v>-96221</v>
      </c>
      <c r="BD53" s="3">
        <f>(100%-BD54)*-BD15</f>
        <v>-57006</v>
      </c>
      <c r="BE53" s="3">
        <f>(100%-BE54)*-BE15</f>
        <v>-68127</v>
      </c>
      <c r="BF53" s="3">
        <f>SUM(BB53:BE53)</f>
        <v>-302969</v>
      </c>
      <c r="BG53" s="3">
        <f>(100%-BG54)*-BG15</f>
        <v>-81615</v>
      </c>
      <c r="BH53" s="3">
        <f>(100%-BH54)*-BH15</f>
        <v>-96221</v>
      </c>
      <c r="BI53" s="3">
        <f>(100%-BI54)*-BI15</f>
        <v>-57006</v>
      </c>
      <c r="BJ53" s="3">
        <f>(100%-BJ54)*-BJ15</f>
        <v>-68127</v>
      </c>
      <c r="BK53" s="3">
        <f>SUM(BG53:BJ53)</f>
        <v>-302969</v>
      </c>
      <c r="BL53" s="3">
        <f>(100%-BL54)*-BL15</f>
        <v>-81615</v>
      </c>
      <c r="BM53" s="3">
        <f>(100%-BM54)*-BM15</f>
        <v>-96221</v>
      </c>
      <c r="BN53" s="3">
        <f>(100%-BN54)*-BN15</f>
        <v>-57006</v>
      </c>
      <c r="BO53" s="3">
        <f>(100%-BO54)*-BO15</f>
        <v>-68127</v>
      </c>
      <c r="BP53" s="3">
        <f>SUM(BL53:BO53)</f>
        <v>-302969</v>
      </c>
      <c r="BQ53" s="3">
        <f>(100%-BQ54)*-BQ15</f>
        <v>-81615</v>
      </c>
      <c r="BR53" s="3">
        <f>(100%-BR54)*-BR15</f>
        <v>-96221</v>
      </c>
      <c r="BS53" s="3">
        <f>(100%-BS54)*-BS15</f>
        <v>-57006</v>
      </c>
      <c r="BT53" s="3">
        <f>(100%-BT54)*-BT15</f>
        <v>-68127</v>
      </c>
      <c r="BU53" s="3">
        <f>SUM(BQ53:BT53)</f>
        <v>-302969</v>
      </c>
      <c r="BV53" s="3">
        <f>(100%-BV54)*-BV15</f>
        <v>-81615</v>
      </c>
      <c r="BW53" s="3">
        <f>(100%-BW54)*-BW15</f>
        <v>-96221</v>
      </c>
      <c r="BX53" s="3">
        <f>(100%-BX54)*-BX15</f>
        <v>-57006</v>
      </c>
      <c r="BY53" s="3">
        <f>(100%-BY54)*-BY15</f>
        <v>-68127</v>
      </c>
      <c r="BZ53" s="3">
        <f>SUM(BV53:BY53)</f>
        <v>-302969</v>
      </c>
      <c r="CA53" s="3">
        <f>(100%-CA54)*-CA15</f>
        <v>-81615</v>
      </c>
      <c r="CB53" s="3">
        <f>(100%-CB54)*-CB15</f>
        <v>-96221</v>
      </c>
      <c r="CC53" s="3">
        <f>(100%-CC54)*-CC15</f>
        <v>-57006</v>
      </c>
      <c r="CD53" s="3">
        <f>(100%-CD54)*-CD15</f>
        <v>-68127</v>
      </c>
      <c r="CE53" s="3">
        <f>SUM(CA53:CD53)</f>
        <v>-302969</v>
      </c>
      <c r="CF53" s="3">
        <f>(100%-CF54)*-CF15</f>
        <v>-81615</v>
      </c>
      <c r="CG53" s="3">
        <f>(100%-CG54)*-CG15</f>
        <v>-96221</v>
      </c>
      <c r="CH53" s="3">
        <f>(100%-CH54)*-CH15</f>
        <v>-57006</v>
      </c>
      <c r="CI53" s="3">
        <f>(100%-CI54)*-CI15</f>
        <v>-68127</v>
      </c>
      <c r="CJ53" s="3">
        <f>SUM(CF53:CI53)</f>
        <v>-302969</v>
      </c>
      <c r="CK53" s="3">
        <f>(100%-CK54)*-CK15</f>
        <v>-81615</v>
      </c>
      <c r="CL53" s="3">
        <f>(100%-CL54)*-CL15</f>
        <v>-96221</v>
      </c>
      <c r="CM53" s="3">
        <f>(100%-CM54)*-CM15</f>
        <v>-57006</v>
      </c>
      <c r="CN53" s="3">
        <f>(100%-CN54)*-CN15</f>
        <v>-68127</v>
      </c>
      <c r="CO53" s="3">
        <f>SUM(CK53:CN53)</f>
        <v>-302969</v>
      </c>
      <c r="CP53" s="3">
        <f>(100%-CP54)*-CP15</f>
        <v>-81615</v>
      </c>
      <c r="CQ53" s="3">
        <f>(100%-CQ54)*-CQ15</f>
        <v>-96221</v>
      </c>
      <c r="CR53" s="3">
        <f>(100%-CR54)*-CR15</f>
        <v>-57006</v>
      </c>
      <c r="CS53" s="3">
        <f>(100%-CS54)*-CS15</f>
        <v>-68127</v>
      </c>
      <c r="CT53" s="3">
        <f>SUM(CP53:CS53)</f>
        <v>-302969</v>
      </c>
      <c r="CU53" s="3">
        <f>(100%-CU54)*-CU15</f>
        <v>-81615</v>
      </c>
      <c r="CV53" s="3">
        <f>(100%-CV54)*-CV15</f>
        <v>-96221</v>
      </c>
      <c r="CW53" s="3">
        <f>(100%-CW54)*-CW15</f>
        <v>-57006</v>
      </c>
      <c r="CX53" s="3">
        <f>(100%-CX54)*-CX15</f>
        <v>-68127</v>
      </c>
      <c r="CY53" s="3">
        <f>SUM(CU53:CX53)</f>
        <v>-302969</v>
      </c>
    </row>
    <row r="54" hidden="1" outlineLevel="1" customFormat="1" s="1">
      <c r="C54" s="57" t="inlineStr">
        <is>
          <t>% Gross Margin</t>
        </is>
      </c>
      <c r="D54" s="54">
        <f>(D15+D53)/D$15</f>
        <v>0.650649350649351</v>
      </c>
      <c r="E54" s="54">
        <f>(E15+E53)/E$15</f>
        <v>0.588463528194516</v>
      </c>
      <c r="F54" s="54">
        <f>(F15+F53)/F$15</f>
        <v>0.626322471434617</v>
      </c>
      <c r="G54" s="54">
        <f>(G15+G53)/G$15</f>
        <v>0.630821507095743</v>
      </c>
      <c r="H54" s="54">
        <f>(H15+H53)/H$15</f>
        <v>0.623388305847077</v>
      </c>
      <c r="I54" s="54">
        <f>(I15+I53)/I$15</f>
        <v>0.641052817523406</v>
      </c>
      <c r="J54" s="54">
        <f>(J15+J53)/J$15</f>
        <v>0.647763946519133</v>
      </c>
      <c r="K54" s="54">
        <f>(K15+K53)/K$15</f>
        <v>0.651978037448965</v>
      </c>
      <c r="L54" s="54">
        <f>(L15+L53)/L$15</f>
        <v>0.654062540887086</v>
      </c>
      <c r="M54" s="54">
        <f>(M15+M53)/M$15</f>
        <v>0.649253176785316</v>
      </c>
      <c r="N54" s="54">
        <f>(N15+N53)/N$15</f>
        <v>0.655284749034749</v>
      </c>
      <c r="O54" s="54">
        <f>(O15+O53)/O$15</f>
        <v>0.434815035799523</v>
      </c>
      <c r="P54" s="54">
        <f>(P15+P53)/P$15</f>
        <v>0.535660091047041</v>
      </c>
      <c r="Q54" s="54">
        <f>(Q15+Q53)/Q$15</f>
        <v>0.633449016691456</v>
      </c>
      <c r="R54" s="54">
        <f>(R15+R53)/R$15</f>
        <v>0.569288944909913</v>
      </c>
      <c r="S54" s="54">
        <f>(S15+S53)/S$15</f>
        <v>0.646273637374861</v>
      </c>
      <c r="T54" s="54">
        <f>(T15+T53)/T$15</f>
        <v>0.700525653364922</v>
      </c>
      <c r="U54" s="54">
        <f>(U15+U53)/U$15</f>
        <v>0.739514348785872</v>
      </c>
      <c r="V54" s="54">
        <f>(V15+V53)/V$15</f>
        <v>0.759670632945754</v>
      </c>
      <c r="W54" s="54">
        <f>(W15+W53)/W$15</f>
        <v>0.72717573290437</v>
      </c>
      <c r="X54" s="54">
        <f>(X15+X53)/X$15</f>
        <v>0.783520196590386</v>
      </c>
      <c r="Y54" s="54">
        <f>(Y15+Y53)/Y$15</f>
        <v>0.751464713715047</v>
      </c>
      <c r="Z54" s="54">
        <f>(Z15+Z53)/Z$15</f>
        <v>0.745567527506984</v>
      </c>
      <c r="AA54" s="54">
        <f>(AA15+AA53)/AA$15</f>
        <v>0.730289084945717</v>
      </c>
      <c r="AB54" s="54">
        <f>(AB15+AB53)/AB$15</f>
        <v>0.749894633593109</v>
      </c>
      <c r="AC54" s="54">
        <f>(AC15+AC53)/AC$15</f>
        <v>0.60523807362353</v>
      </c>
      <c r="AD54" s="54">
        <f>(AD15+AD53)/AD$15</f>
        <v>0.724236784117408</v>
      </c>
      <c r="AE54" s="54">
        <f>(AE15+AE53)/AE$15</f>
        <v>0.734115707118549</v>
      </c>
      <c r="AF54" s="44">
        <f>(AF15+AF53)/AF$15</f>
        <v>0.749966973446651</v>
      </c>
      <c r="AG54" s="54">
        <f>(AG15+AG53)/AG$15</f>
        <v>0.710680843575471</v>
      </c>
      <c r="AH54" s="55">
        <f>(AH15+AH53)/AH$15</f>
        <v>0.749335293757275</v>
      </c>
      <c r="AI54" s="55">
        <f>(AI15+AI53)/AI$15</f>
        <v>0.749753172384407</v>
      </c>
      <c r="AJ54" s="55" t="n"/>
      <c r="AK54" s="55" t="n"/>
      <c r="AL54" s="54">
        <f>(AL15+AL53)/AL$15</f>
        <v>0.439975707085543</v>
      </c>
      <c r="AM54" s="55" t="n"/>
      <c r="AN54" s="55" t="n"/>
      <c r="AO54" s="55" t="n"/>
      <c r="AP54" s="55" t="n"/>
      <c r="AQ54" s="54">
        <f>(AQ15+AQ53)/AQ$15</f>
        <v>0</v>
      </c>
      <c r="AR54" s="55" t="n"/>
      <c r="AS54" s="55" t="n"/>
      <c r="AT54" s="55" t="n"/>
      <c r="AU54" s="55" t="n"/>
      <c r="AV54" s="54">
        <f>(AV15+AV53)/AV$15</f>
        <v>0</v>
      </c>
      <c r="AW54" s="55" t="n"/>
      <c r="AX54" s="55" t="n"/>
      <c r="AY54" s="55" t="n"/>
      <c r="AZ54" s="55" t="n"/>
      <c r="BA54" s="54">
        <f>(BA15+BA53)/BA$15</f>
        <v>0</v>
      </c>
      <c r="BB54" s="55" t="n"/>
      <c r="BC54" s="55" t="n"/>
      <c r="BD54" s="55" t="n"/>
      <c r="BE54" s="55" t="n"/>
      <c r="BF54" s="54">
        <f>(BF15+BF53)/BF$15</f>
        <v>0</v>
      </c>
      <c r="BG54" s="55" t="n"/>
      <c r="BH54" s="55" t="n"/>
      <c r="BI54" s="55" t="n"/>
      <c r="BJ54" s="55" t="n"/>
      <c r="BK54" s="54">
        <f>(BK15+BK53)/BK$15</f>
        <v>0</v>
      </c>
      <c r="BL54" s="55" t="n"/>
      <c r="BM54" s="55" t="n"/>
      <c r="BN54" s="55" t="n"/>
      <c r="BO54" s="55" t="n"/>
      <c r="BP54" s="54">
        <f>(BP15+BP53)/BP$15</f>
        <v>0</v>
      </c>
      <c r="BQ54" s="55" t="n"/>
      <c r="BR54" s="55" t="n"/>
      <c r="BS54" s="55" t="n"/>
      <c r="BT54" s="55" t="n"/>
      <c r="BU54" s="54">
        <f>(BU15+BU53)/BU$15</f>
        <v>0</v>
      </c>
      <c r="BV54" s="55" t="n"/>
      <c r="BW54" s="55" t="n"/>
      <c r="BX54" s="55" t="n"/>
      <c r="BY54" s="55" t="n"/>
      <c r="BZ54" s="54">
        <f>(BZ15+BZ53)/BZ$15</f>
        <v>0</v>
      </c>
      <c r="CA54" s="55" t="n"/>
      <c r="CB54" s="55" t="n"/>
      <c r="CC54" s="55" t="n"/>
      <c r="CD54" s="55" t="n"/>
      <c r="CE54" s="54">
        <f>(CE15+CE53)/CE$15</f>
        <v>0</v>
      </c>
      <c r="CF54" s="55" t="n"/>
      <c r="CG54" s="55" t="n"/>
      <c r="CH54" s="55" t="n"/>
      <c r="CI54" s="55" t="n"/>
      <c r="CJ54" s="54">
        <f>(CJ15+CJ53)/CJ$15</f>
        <v>0</v>
      </c>
      <c r="CK54" s="55" t="n"/>
      <c r="CL54" s="55" t="n"/>
      <c r="CM54" s="55" t="n"/>
      <c r="CN54" s="55" t="n"/>
      <c r="CO54" s="54">
        <f>(CO15+CO53)/CO$15</f>
        <v>0</v>
      </c>
      <c r="CP54" s="55" t="n"/>
      <c r="CQ54" s="55" t="n"/>
      <c r="CR54" s="55" t="n"/>
      <c r="CS54" s="55" t="n"/>
      <c r="CT54" s="54">
        <f>(CT15+CT53)/CT$15</f>
        <v>0</v>
      </c>
      <c r="CU54" s="55" t="n"/>
      <c r="CV54" s="55" t="n"/>
      <c r="CW54" s="55" t="n"/>
      <c r="CX54" s="55" t="n"/>
      <c r="CY54" s="54">
        <f>(CY15+CY53)/CY$15</f>
        <v>0</v>
      </c>
    </row>
    <row r="55" hidden="1" outlineLevel="1">
      <c r="C55" s="32" t="n"/>
      <c r="D55" s="32" t="n"/>
      <c r="E55" s="32" t="n"/>
      <c r="F55" s="32" t="n"/>
      <c r="G55" s="32" t="n"/>
      <c r="H55" s="32" t="n"/>
      <c r="I55" s="32" t="n"/>
      <c r="J55" s="32" t="n"/>
      <c r="K55" s="32" t="n"/>
      <c r="L55" s="32" t="n"/>
      <c r="M55" s="32" t="n"/>
      <c r="N55" s="32" t="n"/>
      <c r="O55" s="32" t="n"/>
      <c r="P55" s="32" t="n"/>
      <c r="Q55" s="32" t="n"/>
      <c r="R55" s="32" t="n"/>
      <c r="S55" s="32" t="n"/>
      <c r="T55" s="32" t="n"/>
      <c r="U55" s="32" t="n"/>
      <c r="V55" s="32" t="n"/>
      <c r="W55" s="32" t="n"/>
      <c r="X55" s="32" t="n"/>
      <c r="Y55" s="32" t="n"/>
      <c r="Z55" s="32" t="n"/>
      <c r="AA55" s="32" t="n"/>
      <c r="AB55" s="32" t="n"/>
      <c r="AC55" s="32" t="n"/>
      <c r="AD55" s="32" t="n"/>
      <c r="AE55" s="32" t="n"/>
      <c r="AF55" s="32" t="n"/>
      <c r="AG55" s="32" t="n"/>
      <c r="AH55" s="32" t="n"/>
      <c r="AI55" s="32" t="n"/>
      <c r="AJ55" s="32" t="n"/>
      <c r="AK55" s="32" t="n"/>
      <c r="AL55" s="32" t="n"/>
      <c r="AM55" s="32" t="n"/>
      <c r="AN55" s="32" t="n"/>
      <c r="AO55" s="32" t="n"/>
      <c r="AP55" s="32" t="n"/>
      <c r="AQ55" s="32" t="n"/>
      <c r="AR55" s="32" t="n"/>
      <c r="AS55" s="32" t="n"/>
      <c r="AT55" s="32" t="n"/>
      <c r="AU55" s="32" t="n"/>
      <c r="AV55" s="32" t="n"/>
      <c r="AW55" s="32" t="n"/>
      <c r="AX55" s="32" t="n"/>
      <c r="AY55" s="32" t="n"/>
      <c r="AZ55" s="32" t="n"/>
      <c r="BA55" s="32" t="n"/>
      <c r="BB55" s="32" t="n"/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2" t="n"/>
      <c r="BQ55" s="32" t="n"/>
      <c r="BR55" s="32" t="n"/>
      <c r="BS55" s="32" t="n"/>
      <c r="BT55" s="32" t="n"/>
      <c r="BU55" s="32" t="n"/>
      <c r="BV55" s="32" t="n"/>
      <c r="BW55" s="32" t="n"/>
      <c r="BX55" s="32" t="n"/>
      <c r="BY55" s="32" t="n"/>
      <c r="BZ55" s="32" t="n"/>
      <c r="CA55" s="32" t="n"/>
      <c r="CB55" s="32" t="n"/>
      <c r="CC55" s="32" t="n"/>
      <c r="CD55" s="32" t="n"/>
      <c r="CE55" s="32" t="n"/>
      <c r="CF55" s="32" t="n"/>
      <c r="CG55" s="32" t="n"/>
      <c r="CH55" s="32" t="n"/>
      <c r="CI55" s="32" t="n"/>
      <c r="CJ55" s="32" t="n"/>
      <c r="CK55" s="32" t="n"/>
      <c r="CL55" s="32" t="n"/>
      <c r="CM55" s="32" t="n"/>
      <c r="CN55" s="32" t="n"/>
      <c r="CO55" s="32" t="n"/>
      <c r="CP55" s="32" t="n"/>
      <c r="CQ55" s="32" t="n"/>
      <c r="CR55" s="32" t="n"/>
      <c r="CS55" s="32" t="n"/>
      <c r="CT55" s="32" t="n"/>
      <c r="CU55" s="32" t="n"/>
      <c r="CV55" s="32" t="n"/>
      <c r="CW55" s="32" t="n"/>
      <c r="CX55" s="32" t="n"/>
      <c r="CY55" s="32" t="n"/>
    </row>
    <row r="56" hidden="1" outlineLevel="1">
      <c r="C56" s="32" t="n"/>
      <c r="D56" s="32" t="n"/>
      <c r="E56" s="32" t="n"/>
      <c r="F56" s="32" t="n"/>
      <c r="G56" s="32" t="n"/>
      <c r="H56" s="32" t="n"/>
      <c r="I56" s="32" t="n"/>
      <c r="J56" s="32" t="n"/>
      <c r="K56" s="32" t="n"/>
      <c r="L56" s="32" t="n"/>
      <c r="M56" s="32" t="n"/>
      <c r="N56" s="32" t="n"/>
      <c r="O56" s="32" t="n"/>
      <c r="P56" s="32" t="n"/>
      <c r="Q56" s="32" t="n"/>
      <c r="R56" s="32" t="n"/>
      <c r="S56" s="32" t="n"/>
      <c r="T56" s="32" t="n"/>
      <c r="U56" s="32" t="n"/>
      <c r="V56" s="32" t="n"/>
      <c r="W56" s="32" t="n"/>
      <c r="X56" s="32" t="n"/>
      <c r="Y56" s="32" t="n"/>
      <c r="Z56" s="32" t="n"/>
      <c r="AA56" s="32" t="n"/>
      <c r="AB56" s="32" t="n"/>
      <c r="AC56" s="32" t="n"/>
      <c r="AD56" s="32" t="n"/>
      <c r="AE56" s="32" t="n"/>
      <c r="AF56" s="32" t="n"/>
      <c r="AG56" s="32" t="n"/>
      <c r="AH56" s="32" t="n"/>
      <c r="AI56" s="32" t="n"/>
      <c r="AJ56" s="32" t="n"/>
      <c r="AK56" s="32" t="n"/>
      <c r="AL56" s="32" t="n"/>
      <c r="AM56" s="32" t="n"/>
      <c r="AN56" s="32" t="n"/>
      <c r="AO56" s="32" t="n"/>
      <c r="AP56" s="32" t="n"/>
      <c r="AQ56" s="32" t="n"/>
      <c r="AR56" s="32" t="n"/>
      <c r="AS56" s="32" t="n"/>
      <c r="AT56" s="32" t="n"/>
      <c r="AU56" s="32" t="n"/>
      <c r="AV56" s="32" t="n"/>
      <c r="AW56" s="32" t="n"/>
      <c r="AX56" s="32" t="n"/>
      <c r="AY56" s="32" t="n"/>
      <c r="AZ56" s="32" t="n"/>
      <c r="BA56" s="32" t="n"/>
      <c r="BB56" s="32" t="n"/>
      <c r="BC56" s="32" t="n"/>
      <c r="BD56" s="32" t="n"/>
      <c r="BE56" s="32" t="n"/>
      <c r="BF56" s="32" t="n"/>
      <c r="BG56" s="32" t="n"/>
      <c r="BH56" s="32" t="n"/>
      <c r="BI56" s="32" t="n"/>
      <c r="BJ56" s="32" t="n"/>
      <c r="BK56" s="32" t="n"/>
      <c r="BL56" s="32" t="n"/>
      <c r="BM56" s="32" t="n"/>
      <c r="BN56" s="32" t="n"/>
      <c r="BO56" s="32" t="n"/>
      <c r="BP56" s="32" t="n"/>
      <c r="BQ56" s="32" t="n"/>
      <c r="BR56" s="32" t="n"/>
      <c r="BS56" s="32" t="n"/>
      <c r="BT56" s="32" t="n"/>
      <c r="BU56" s="32" t="n"/>
      <c r="BV56" s="32" t="n"/>
      <c r="BW56" s="32" t="n"/>
      <c r="BX56" s="32" t="n"/>
      <c r="BY56" s="32" t="n"/>
      <c r="BZ56" s="32" t="n"/>
      <c r="CA56" s="32" t="n"/>
      <c r="CB56" s="32" t="n"/>
      <c r="CC56" s="32" t="n"/>
      <c r="CD56" s="32" t="n"/>
      <c r="CE56" s="32" t="n"/>
      <c r="CF56" s="32" t="n"/>
      <c r="CG56" s="32" t="n"/>
      <c r="CH56" s="32" t="n"/>
      <c r="CI56" s="32" t="n"/>
      <c r="CJ56" s="32" t="n"/>
      <c r="CK56" s="32" t="n"/>
      <c r="CL56" s="32" t="n"/>
      <c r="CM56" s="32" t="n"/>
      <c r="CN56" s="32" t="n"/>
      <c r="CO56" s="32" t="n"/>
      <c r="CP56" s="32" t="n"/>
      <c r="CQ56" s="32" t="n"/>
      <c r="CR56" s="32" t="n"/>
      <c r="CS56" s="32" t="n"/>
      <c r="CT56" s="32" t="n"/>
      <c r="CU56" s="32" t="n"/>
      <c r="CV56" s="32" t="n"/>
      <c r="CW56" s="32" t="n"/>
      <c r="CX56" s="32" t="n"/>
      <c r="CY56" s="32" t="n"/>
    </row>
    <row r="57" collapsed="1">
      <c r="C57" s="24" t="inlineStr">
        <is>
          <t>SG&amp;A and Other (cash)</t>
        </is>
      </c>
      <c r="D57" s="25">
        <f>INDEX('Inputs (2)'!$D$6:$AL$6,MATCH(D$7,'Inputs (2)'!$D$2:$AL$2,0))</f>
        <v>-921</v>
      </c>
      <c r="E57" s="25">
        <f>INDEX('Inputs (2)'!$D$6:$AL$6,MATCH(E$7,'Inputs (2)'!$D$2:$AL$2,0))</f>
        <v>-1220</v>
      </c>
      <c r="F57" s="25">
        <f>INDEX('Inputs (2)'!$D$6:$AL$6,MATCH(F$7,'Inputs (2)'!$D$2:$AL$2,0))</f>
        <v>-1263</v>
      </c>
      <c r="G57" s="25">
        <f>INDEX('Inputs (2)'!$D$6:$AL$6,MATCH(G$7,'Inputs (2)'!$D$2:$AL$2,0))</f>
        <v>-1361</v>
      </c>
      <c r="H57" s="3">
        <f>SUM(D57:G57)</f>
        <v>-4765</v>
      </c>
      <c r="I57" s="25">
        <f>INDEX('Inputs (2)'!$D$6:$AL$6,MATCH(I$7,'Inputs (2)'!$D$2:$AL$2,0))</f>
        <v>-1392</v>
      </c>
      <c r="J57" s="25">
        <f>INDEX('Inputs (2)'!$D$6:$AL$6,MATCH(J$7,'Inputs (2)'!$D$2:$AL$2,0))</f>
        <v>-1485</v>
      </c>
      <c r="K57" s="25">
        <f>INDEX('Inputs (2)'!$D$6:$AL$6,MATCH(K$7,'Inputs (2)'!$D$2:$AL$2,0))</f>
        <v>-1662</v>
      </c>
      <c r="L57" s="25">
        <f>INDEX('Inputs (2)'!$D$6:$AL$6,MATCH(L$7,'Inputs (2)'!$D$2:$AL$2,0))</f>
        <v>-1720</v>
      </c>
      <c r="M57" s="3">
        <f>SUM(I57:L57)</f>
        <v>-6259</v>
      </c>
      <c r="N57" s="25">
        <f>INDEX('Inputs (2)'!$D$6:$AL$6,MATCH(N$7,'Inputs (2)'!$D$2:$AL$2,0))</f>
        <v>-3229</v>
      </c>
      <c r="O57" s="25">
        <f>INDEX('Inputs (2)'!$D$6:$AL$6,MATCH(O$7,'Inputs (2)'!$D$2:$AL$2,0))</f>
        <v>-2038</v>
      </c>
      <c r="P57" s="25">
        <f>INDEX('Inputs (2)'!$D$6:$AL$6,MATCH(P$7,'Inputs (2)'!$D$2:$AL$2,0))</f>
        <v>-2170</v>
      </c>
      <c r="Q57" s="25">
        <f>INDEX('Inputs (2)'!$D$6:$AL$6,MATCH(Q$7,'Inputs (2)'!$D$2:$AL$2,0))</f>
        <v>-2151</v>
      </c>
      <c r="R57" s="3">
        <f>SUM(N57:Q57)</f>
        <v>-9588</v>
      </c>
      <c r="S57" s="25">
        <f>INDEX('Inputs (2)'!$D$6:$AL$6,MATCH(S$7,'Inputs (2)'!$D$2:$AL$2,0))</f>
        <v>-2124</v>
      </c>
      <c r="T57" s="25">
        <f>INDEX('Inputs (2)'!$D$6:$AL$6,MATCH(T$7,'Inputs (2)'!$D$2:$AL$2,0))</f>
        <v>-2297</v>
      </c>
      <c r="U57" s="25">
        <f>INDEX('Inputs (2)'!$D$6:$AL$6,MATCH(U$7,'Inputs (2)'!$D$2:$AL$2,0))</f>
        <v>-2611</v>
      </c>
      <c r="V57" s="25">
        <f>INDEX('Inputs (2)'!$D$6:$AL$6,MATCH(V$7,'Inputs (2)'!$D$2:$AL$2,0))</f>
        <v>-2790</v>
      </c>
      <c r="W57" s="3">
        <f>SUM(S57:V57)</f>
        <v>-9822</v>
      </c>
      <c r="X57" s="25">
        <f>INDEX('Inputs (2)'!$D$6:$AL$6,MATCH(X$7,'Inputs (2)'!$D$2:$AL$2,0))</f>
        <v>-3087</v>
      </c>
      <c r="Y57" s="25">
        <f>INDEX('Inputs (2)'!$D$6:$AL$6,MATCH(Y$7,'Inputs (2)'!$D$2:$AL$2,0))</f>
        <v>-3499</v>
      </c>
      <c r="Z57" s="25">
        <f>INDEX('Inputs (2)'!$D$6:$AL$6,MATCH(Z$7,'Inputs (2)'!$D$2:$AL$2,0))</f>
        <v>-3809</v>
      </c>
      <c r="AA57" s="25">
        <f>INDEX('Inputs (2)'!$D$6:$AL$6,MATCH(AA$7,'Inputs (2)'!$D$2:$AL$2,0))</f>
        <v>-4146</v>
      </c>
      <c r="AB57" s="3">
        <f>SUM(X57:AA57)</f>
        <v>-14541</v>
      </c>
      <c r="AC57" s="25">
        <f>INDEX('Inputs (2)'!$D$6:$AL$6,MATCH(AC$7,'Inputs (2)'!$D$2:$AL$2,0))</f>
        <v>-4419</v>
      </c>
      <c r="AD57" s="25">
        <f>INDEX('Inputs (2)'!$D$6:$AL$6,MATCH(AD$7,'Inputs (2)'!$D$2:$AL$2,0))</f>
        <v>-4744</v>
      </c>
      <c r="AE57" s="25">
        <f>INDEX('Inputs (2)'!$D$6:$AL$6,MATCH(AE$7,'Inputs (2)'!$D$2:$AL$2,0))</f>
        <v>-5088</v>
      </c>
      <c r="AF57" s="25">
        <f>INDEX('Inputs (2)'!$D$6:$AL$6,MATCH(AF$7,'Inputs (2)'!$D$2:$AL$2,0))</f>
        <v>-5982</v>
      </c>
      <c r="AG57" s="3">
        <f>SUM(AC57:AF57)</f>
        <v>-20233</v>
      </c>
      <c r="AH57" s="3">
        <f>INDEX('Inputs (2)'!$D$6:$AL$6,MATCH(AH$7,'Inputs (2)'!$D$2:$AL$2,0))</f>
        <v>-6624</v>
      </c>
      <c r="AI57" s="3">
        <f>INDEX('Inputs (2)'!$D$6:$AL$6,MATCH(AI$7,'Inputs (2)'!$D$2:$AL$2,0))</f>
        <v>-7281</v>
      </c>
      <c r="AJ57" s="3">
        <f>-AJ15*AJ58</f>
        <v>0</v>
      </c>
      <c r="AK57" s="3">
        <f>-AK15*AK58</f>
        <v>0</v>
      </c>
      <c r="AL57" s="3">
        <f>SUM(AH57:AK57)</f>
        <v>-13905</v>
      </c>
      <c r="AM57" s="3">
        <f>-AM15*AM58</f>
        <v>0</v>
      </c>
      <c r="AN57" s="3">
        <f>-AN15*AN58</f>
        <v>0</v>
      </c>
      <c r="AO57" s="3">
        <f>-AO15*AO58</f>
        <v>0</v>
      </c>
      <c r="AP57" s="3">
        <f>-AP15*AP58</f>
        <v>0</v>
      </c>
      <c r="AQ57" s="3">
        <f>SUM(AM57:AP57)</f>
        <v>0</v>
      </c>
      <c r="AR57" s="3">
        <f>-AR15*AR58</f>
        <v>0</v>
      </c>
      <c r="AS57" s="3">
        <f>-AS15*AS58</f>
        <v>0</v>
      </c>
      <c r="AT57" s="3">
        <f>-AT15*AT58</f>
        <v>0</v>
      </c>
      <c r="AU57" s="3">
        <f>-AU15*AU58</f>
        <v>0</v>
      </c>
      <c r="AV57" s="3">
        <f>SUM(AR57:AU57)</f>
        <v>0</v>
      </c>
      <c r="AW57" s="3">
        <f>-AW15*AW58</f>
        <v>0</v>
      </c>
      <c r="AX57" s="3">
        <f>-AX15*AX58</f>
        <v>0</v>
      </c>
      <c r="AY57" s="3">
        <f>-AY15*AY58</f>
        <v>0</v>
      </c>
      <c r="AZ57" s="3">
        <f>-AZ15*AZ58</f>
        <v>0</v>
      </c>
      <c r="BA57" s="3">
        <f>SUM(AW57:AZ57)</f>
        <v>0</v>
      </c>
      <c r="BB57" s="3">
        <f>-BB15*BB58</f>
        <v>0</v>
      </c>
      <c r="BC57" s="3">
        <f>-BC15*BC58</f>
        <v>0</v>
      </c>
      <c r="BD57" s="3">
        <f>-BD15*BD58</f>
        <v>0</v>
      </c>
      <c r="BE57" s="3">
        <f>-BE15*BE58</f>
        <v>0</v>
      </c>
      <c r="BF57" s="3">
        <f>SUM(BB57:BE57)</f>
        <v>0</v>
      </c>
      <c r="BG57" s="3">
        <f>-BG15*BG58</f>
        <v>0</v>
      </c>
      <c r="BH57" s="3">
        <f>-BH15*BH58</f>
        <v>0</v>
      </c>
      <c r="BI57" s="3">
        <f>-BI15*BI58</f>
        <v>0</v>
      </c>
      <c r="BJ57" s="3">
        <f>-BJ15*BJ58</f>
        <v>0</v>
      </c>
      <c r="BK57" s="3">
        <f>SUM(BG57:BJ57)</f>
        <v>0</v>
      </c>
      <c r="BL57" s="3">
        <f>-BL15*BL58</f>
        <v>0</v>
      </c>
      <c r="BM57" s="3">
        <f>-BM15*BM58</f>
        <v>0</v>
      </c>
      <c r="BN57" s="3">
        <f>-BN15*BN58</f>
        <v>0</v>
      </c>
      <c r="BO57" s="3">
        <f>-BO15*BO58</f>
        <v>0</v>
      </c>
      <c r="BP57" s="3">
        <f>SUM(BL57:BO57)</f>
        <v>0</v>
      </c>
      <c r="BQ57" s="3">
        <f>-BQ15*BQ58</f>
        <v>0</v>
      </c>
      <c r="BR57" s="3">
        <f>-BR15*BR58</f>
        <v>0</v>
      </c>
      <c r="BS57" s="3">
        <f>-BS15*BS58</f>
        <v>0</v>
      </c>
      <c r="BT57" s="3">
        <f>-BT15*BT58</f>
        <v>0</v>
      </c>
      <c r="BU57" s="3">
        <f>SUM(BQ57:BT57)</f>
        <v>0</v>
      </c>
      <c r="BV57" s="3">
        <f>-BV15*BV58</f>
        <v>0</v>
      </c>
      <c r="BW57" s="3">
        <f>-BW15*BW58</f>
        <v>0</v>
      </c>
      <c r="BX57" s="3">
        <f>-BX15*BX58</f>
        <v>0</v>
      </c>
      <c r="BY57" s="3">
        <f>-BY15*BY58</f>
        <v>0</v>
      </c>
      <c r="BZ57" s="3">
        <f>SUM(BV57:BY57)</f>
        <v>0</v>
      </c>
      <c r="CA57" s="3">
        <f>-CA15*CA58</f>
        <v>0</v>
      </c>
      <c r="CB57" s="3">
        <f>-CB15*CB58</f>
        <v>0</v>
      </c>
      <c r="CC57" s="3">
        <f>-CC15*CC58</f>
        <v>0</v>
      </c>
      <c r="CD57" s="3">
        <f>-CD15*CD58</f>
        <v>0</v>
      </c>
      <c r="CE57" s="3">
        <f>SUM(CA57:CD57)</f>
        <v>0</v>
      </c>
      <c r="CF57" s="3">
        <f>-CF15*CF58</f>
        <v>0</v>
      </c>
      <c r="CG57" s="3">
        <f>-CG15*CG58</f>
        <v>0</v>
      </c>
      <c r="CH57" s="3">
        <f>-CH15*CH58</f>
        <v>0</v>
      </c>
      <c r="CI57" s="3">
        <f>-CI15*CI58</f>
        <v>0</v>
      </c>
      <c r="CJ57" s="3">
        <f>SUM(CF57:CI57)</f>
        <v>0</v>
      </c>
      <c r="CK57" s="3">
        <f>-CK15*CK58</f>
        <v>0</v>
      </c>
      <c r="CL57" s="3">
        <f>-CL15*CL58</f>
        <v>0</v>
      </c>
      <c r="CM57" s="3">
        <f>-CM15*CM58</f>
        <v>0</v>
      </c>
      <c r="CN57" s="3">
        <f>-CN15*CN58</f>
        <v>0</v>
      </c>
      <c r="CO57" s="3">
        <f>SUM(CK57:CN57)</f>
        <v>0</v>
      </c>
      <c r="CP57" s="3">
        <f>-CP15*CP58</f>
        <v>0</v>
      </c>
      <c r="CQ57" s="3">
        <f>-CQ15*CQ58</f>
        <v>0</v>
      </c>
      <c r="CR57" s="3">
        <f>-CR15*CR58</f>
        <v>0</v>
      </c>
      <c r="CS57" s="3">
        <f>-CS15*CS58</f>
        <v>0</v>
      </c>
      <c r="CT57" s="3">
        <f>SUM(CP57:CS57)</f>
        <v>0</v>
      </c>
      <c r="CU57" s="3">
        <f>-CU15*CU58</f>
        <v>0</v>
      </c>
      <c r="CV57" s="3">
        <f>-CV15*CV58</f>
        <v>0</v>
      </c>
      <c r="CW57" s="3">
        <f>-CW15*CW58</f>
        <v>0</v>
      </c>
      <c r="CX57" s="3">
        <f>-CX15*CX58</f>
        <v>0</v>
      </c>
      <c r="CY57" s="3">
        <f>SUM(CU57:CX57)</f>
        <v>0</v>
      </c>
    </row>
    <row r="58" hidden="1" outlineLevel="1">
      <c r="C58" s="33" t="inlineStr">
        <is>
          <t>% SG&amp;A and Other Margin</t>
        </is>
      </c>
      <c r="D58" s="56">
        <f>-(D57/D$15)</f>
        <v>0.299025974025974</v>
      </c>
      <c r="E58" s="56">
        <f>-(E57/E$15)</f>
        <v>0.315571650284532</v>
      </c>
      <c r="F58" s="56">
        <f>-(F57/F$15)</f>
        <v>0.267245027507406</v>
      </c>
      <c r="G58" s="56">
        <f>-(G57/G$15)</f>
        <v>0.27203677793324</v>
      </c>
      <c r="H58" s="56">
        <f>-(H57/H$15)</f>
        <v>0.28575712143928</v>
      </c>
      <c r="I58" s="56">
        <f>-(I57/I$15)</f>
        <v>0.245892951775305</v>
      </c>
      <c r="J58" s="56">
        <f>-(J57/J$15)</f>
        <v>0.228215767634855</v>
      </c>
      <c r="K58" s="56">
        <f>-(K57/K$15)</f>
        <v>0.233985639870477</v>
      </c>
      <c r="L58" s="56">
        <f>-(L57/L$15)</f>
        <v>0.225042522569672</v>
      </c>
      <c r="M58" s="56">
        <f>-(M57/M$15)</f>
        <v>0.232555547298804</v>
      </c>
      <c r="N58" s="56">
        <f>-(N57/N$15)</f>
        <v>0.389599420849421</v>
      </c>
      <c r="O58" s="56">
        <f>-(O57/O$15)</f>
        <v>0.303997613365155</v>
      </c>
      <c r="P58" s="56">
        <f>-(P57/P$15)</f>
        <v>0.365874220198955</v>
      </c>
      <c r="Q58" s="56">
        <f>-(Q57/Q$15)</f>
        <v>0.355478433316807</v>
      </c>
      <c r="R58" s="56">
        <f>-(R57/R$15)</f>
        <v>0.355453399569956</v>
      </c>
      <c r="S58" s="56">
        <f>-(S57/S$15)</f>
        <v>0.295328142380423</v>
      </c>
      <c r="T58" s="56">
        <f>-(T57/T$15)</f>
        <v>0.170059968905012</v>
      </c>
      <c r="U58" s="56">
        <f>-(U57/U$15)</f>
        <v>0.144094922737307</v>
      </c>
      <c r="V58" s="56">
        <f>-(V57/V$15)</f>
        <v>0.126227208976157</v>
      </c>
      <c r="W58" s="56">
        <f>-(W57/W$15)</f>
        <v>0.161222546863202</v>
      </c>
      <c r="X58" s="56">
        <f>-(X57/X$15)</f>
        <v>0.118530179695899</v>
      </c>
      <c r="Y58" s="56">
        <f>-(Y57/Y$15)</f>
        <v>0.116478029294274</v>
      </c>
      <c r="Z58" s="56">
        <f>-(Z57/Z$15)</f>
        <v>0.108574197594208</v>
      </c>
      <c r="AA58" s="56">
        <f>-(AA57/AA$15)</f>
        <v>0.105413032976533</v>
      </c>
      <c r="AB58" s="56">
        <f>-(AB57/AB$15)</f>
        <v>0.111427848916067</v>
      </c>
      <c r="AC58" s="56">
        <f>-(AC57/AC$15)</f>
        <v>0.100290499750352</v>
      </c>
      <c r="AD58" s="56">
        <f>-(AD57/AD$15)</f>
        <v>0.101491132362065</v>
      </c>
      <c r="AE58" s="56">
        <f>-(AE57/AE$15)</f>
        <v>0.0892537627618145</v>
      </c>
      <c r="AF58" s="44">
        <f>-(AF57/AF$15)</f>
        <v>0.0878065965035889</v>
      </c>
      <c r="AG58" s="56">
        <f>-(AG57/AG$15)</f>
        <v>0.093698191147459</v>
      </c>
      <c r="AH58" s="45">
        <f>-(AH57/AH$15)</f>
        <v>0.0811615511854439</v>
      </c>
      <c r="AI58" s="45">
        <f>-(AI57/AI$15)</f>
        <v>0.0756695523846146</v>
      </c>
      <c r="AJ58" s="45" t="n"/>
      <c r="AK58" s="45" t="n"/>
      <c r="AL58" s="56">
        <f>-(AL57/AL$15)</f>
        <v>0.0458957847172483</v>
      </c>
      <c r="AM58" s="45" t="n"/>
      <c r="AN58" s="45" t="n"/>
      <c r="AO58" s="45" t="n"/>
      <c r="AP58" s="45" t="n"/>
      <c r="AQ58" s="56">
        <f>-(AQ57/AQ$15)</f>
        <v>0</v>
      </c>
      <c r="AR58" s="45" t="n"/>
      <c r="AS58" s="45" t="n"/>
      <c r="AT58" s="45" t="n"/>
      <c r="AU58" s="45" t="n"/>
      <c r="AV58" s="56">
        <f>-(AV57/AV$15)</f>
        <v>0</v>
      </c>
      <c r="AW58" s="45" t="n"/>
      <c r="AX58" s="45" t="n"/>
      <c r="AY58" s="45" t="n"/>
      <c r="AZ58" s="45" t="n"/>
      <c r="BA58" s="56">
        <f>-(BA57/BA$15)</f>
        <v>0</v>
      </c>
      <c r="BB58" s="45" t="n"/>
      <c r="BC58" s="45" t="n"/>
      <c r="BD58" s="45" t="n"/>
      <c r="BE58" s="45" t="n"/>
      <c r="BF58" s="56">
        <f>-(BF57/BF$15)</f>
        <v>0</v>
      </c>
      <c r="BG58" s="45" t="n"/>
      <c r="BH58" s="45" t="n"/>
      <c r="BI58" s="45" t="n"/>
      <c r="BJ58" s="45" t="n"/>
      <c r="BK58" s="56">
        <f>-(BK57/BK$15)</f>
        <v>0</v>
      </c>
      <c r="BL58" s="45" t="n"/>
      <c r="BM58" s="45" t="n"/>
      <c r="BN58" s="45" t="n"/>
      <c r="BO58" s="45" t="n"/>
      <c r="BP58" s="56">
        <f>-(BP57/BP$15)</f>
        <v>0</v>
      </c>
      <c r="BQ58" s="45" t="n"/>
      <c r="BR58" s="45" t="n"/>
      <c r="BS58" s="45" t="n"/>
      <c r="BT58" s="45" t="n"/>
      <c r="BU58" s="56">
        <f>-(BU57/BU$15)</f>
        <v>0</v>
      </c>
      <c r="BV58" s="45" t="n"/>
      <c r="BW58" s="45" t="n"/>
      <c r="BX58" s="45" t="n"/>
      <c r="BY58" s="45" t="n"/>
      <c r="BZ58" s="56">
        <f>-(BZ57/BZ$15)</f>
        <v>0</v>
      </c>
      <c r="CA58" s="45" t="n"/>
      <c r="CB58" s="45" t="n"/>
      <c r="CC58" s="45" t="n"/>
      <c r="CD58" s="45" t="n"/>
      <c r="CE58" s="56">
        <f>-(CE57/CE$15)</f>
        <v>0</v>
      </c>
      <c r="CF58" s="45" t="n"/>
      <c r="CG58" s="45" t="n"/>
      <c r="CH58" s="45" t="n"/>
      <c r="CI58" s="45" t="n"/>
      <c r="CJ58" s="56">
        <f>-(CJ57/CJ$15)</f>
        <v>0</v>
      </c>
      <c r="CK58" s="45" t="n"/>
      <c r="CL58" s="45" t="n"/>
      <c r="CM58" s="45" t="n"/>
      <c r="CN58" s="45" t="n"/>
      <c r="CO58" s="56">
        <f>-(CO57/CO$15)</f>
        <v>0</v>
      </c>
      <c r="CP58" s="45" t="n"/>
      <c r="CQ58" s="45" t="n"/>
      <c r="CR58" s="45" t="n"/>
      <c r="CS58" s="45" t="n"/>
      <c r="CT58" s="56">
        <f>-(CT57/CT$15)</f>
        <v>0</v>
      </c>
      <c r="CU58" s="45" t="n"/>
      <c r="CV58" s="45" t="n"/>
      <c r="CW58" s="45" t="n"/>
      <c r="CX58" s="45" t="n"/>
      <c r="CY58" s="56">
        <f>-(CY57/CY$15)</f>
        <v>0</v>
      </c>
    </row>
    <row r="59" hidden="1" outlineLevel="1">
      <c r="C59" s="32" t="n"/>
      <c r="D59" s="32" t="n"/>
      <c r="E59" s="32" t="n"/>
      <c r="F59" s="32" t="n"/>
      <c r="G59" s="32" t="n"/>
      <c r="H59" s="32" t="n"/>
      <c r="I59" s="32" t="n"/>
      <c r="J59" s="32" t="n"/>
      <c r="K59" s="32" t="n"/>
      <c r="L59" s="32" t="n"/>
      <c r="M59" s="32" t="n"/>
      <c r="N59" s="32" t="n"/>
      <c r="O59" s="32" t="n"/>
      <c r="P59" s="32" t="n"/>
      <c r="Q59" s="32" t="n"/>
      <c r="R59" s="32" t="n"/>
      <c r="S59" s="32" t="n"/>
      <c r="T59" s="32" t="n"/>
      <c r="U59" s="32" t="n"/>
      <c r="V59" s="32" t="n"/>
      <c r="W59" s="32" t="n"/>
      <c r="X59" s="32" t="n"/>
      <c r="Y59" s="32" t="n"/>
      <c r="Z59" s="32" t="n"/>
      <c r="AA59" s="32" t="n"/>
      <c r="AB59" s="32" t="n"/>
      <c r="AC59" s="32" t="n"/>
      <c r="AD59" s="32" t="n"/>
      <c r="AE59" s="32" t="n"/>
      <c r="AF59" s="32" t="n"/>
      <c r="AG59" s="32" t="n"/>
      <c r="AH59" s="32" t="n"/>
      <c r="AI59" s="32" t="n"/>
      <c r="AJ59" s="32" t="n"/>
      <c r="AK59" s="32" t="n"/>
      <c r="AL59" s="32" t="n"/>
      <c r="AM59" s="32" t="n"/>
      <c r="AN59" s="32" t="n"/>
      <c r="AO59" s="32" t="n"/>
      <c r="AP59" s="32" t="n"/>
      <c r="AQ59" s="32" t="n"/>
      <c r="AR59" s="32" t="n"/>
      <c r="AS59" s="32" t="n"/>
      <c r="AT59" s="32" t="n"/>
      <c r="AU59" s="32" t="n"/>
      <c r="AV59" s="32" t="n"/>
      <c r="AW59" s="32" t="n"/>
      <c r="AX59" s="32" t="n"/>
      <c r="AY59" s="32" t="n"/>
      <c r="AZ59" s="32" t="n"/>
      <c r="BA59" s="32" t="n"/>
      <c r="BB59" s="32" t="n"/>
      <c r="BC59" s="32" t="n"/>
      <c r="BD59" s="32" t="n"/>
      <c r="BE59" s="32" t="n"/>
      <c r="BF59" s="32" t="n"/>
      <c r="BG59" s="32" t="n"/>
      <c r="BH59" s="32" t="n"/>
      <c r="BI59" s="32" t="n"/>
      <c r="BJ59" s="32" t="n"/>
      <c r="BK59" s="32" t="n"/>
      <c r="BL59" s="32" t="n"/>
      <c r="BM59" s="32" t="n"/>
      <c r="BN59" s="32" t="n"/>
      <c r="BO59" s="32" t="n"/>
      <c r="BP59" s="32" t="n"/>
      <c r="BQ59" s="32" t="n"/>
      <c r="BR59" s="32" t="n"/>
      <c r="BS59" s="32" t="n"/>
      <c r="BT59" s="32" t="n"/>
      <c r="BU59" s="32" t="n"/>
      <c r="BV59" s="32" t="n"/>
      <c r="BW59" s="32" t="n"/>
      <c r="BX59" s="32" t="n"/>
      <c r="BY59" s="32" t="n"/>
      <c r="BZ59" s="32" t="n"/>
      <c r="CA59" s="32" t="n"/>
      <c r="CB59" s="32" t="n"/>
      <c r="CC59" s="32" t="n"/>
      <c r="CD59" s="32" t="n"/>
      <c r="CE59" s="32" t="n"/>
      <c r="CF59" s="32" t="n"/>
      <c r="CG59" s="32" t="n"/>
      <c r="CH59" s="32" t="n"/>
      <c r="CI59" s="32" t="n"/>
      <c r="CJ59" s="32" t="n"/>
      <c r="CK59" s="32" t="n"/>
      <c r="CL59" s="32" t="n"/>
      <c r="CM59" s="32" t="n"/>
      <c r="CN59" s="32" t="n"/>
      <c r="CO59" s="32" t="n"/>
      <c r="CP59" s="32" t="n"/>
      <c r="CQ59" s="32" t="n"/>
      <c r="CR59" s="32" t="n"/>
      <c r="CS59" s="32" t="n"/>
      <c r="CT59" s="32" t="n"/>
      <c r="CU59" s="32" t="n"/>
      <c r="CV59" s="32" t="n"/>
      <c r="CW59" s="32" t="n"/>
      <c r="CX59" s="32" t="n"/>
      <c r="CY59" s="32" t="n"/>
    </row>
    <row r="60" hidden="1" outlineLevel="1">
      <c r="C60" s="32" t="inlineStr">
        <is>
          <t>Com Vendas</t>
        </is>
      </c>
      <c r="D60" s="6" t="n"/>
      <c r="E60" s="6" t="n"/>
      <c r="F60" s="6" t="n"/>
      <c r="G60" s="6" t="n"/>
      <c r="H60" s="32" t="n"/>
      <c r="I60" s="6" t="n"/>
      <c r="J60" s="6" t="n"/>
      <c r="K60" s="6" t="n"/>
      <c r="L60" s="6" t="n"/>
      <c r="M60" s="32" t="n"/>
      <c r="N60" s="6" t="n"/>
      <c r="O60" s="6" t="n"/>
      <c r="P60" s="6" t="n"/>
      <c r="Q60" s="6" t="n"/>
      <c r="R60" s="32" t="n"/>
      <c r="S60" s="6" t="n"/>
      <c r="T60" s="6" t="n"/>
      <c r="U60" s="6" t="n"/>
      <c r="V60" s="6" t="n"/>
      <c r="W60" s="32" t="n"/>
      <c r="X60" s="6" t="n"/>
      <c r="Y60" s="6" t="n"/>
      <c r="Z60" s="6" t="n"/>
      <c r="AA60" s="6" t="n"/>
      <c r="AB60" s="32" t="n"/>
      <c r="AC60" s="6" t="n"/>
      <c r="AD60" s="6" t="n"/>
      <c r="AE60" s="6" t="n"/>
      <c r="AF60" s="6" t="n"/>
      <c r="AG60" s="32" t="n"/>
      <c r="AH60" s="32" t="n"/>
      <c r="AI60" s="32" t="n"/>
      <c r="AJ60" s="32" t="n"/>
      <c r="AK60" s="32" t="n"/>
      <c r="AL60" s="32" t="n"/>
      <c r="AM60" s="32" t="n"/>
      <c r="AN60" s="32" t="n"/>
      <c r="AO60" s="32" t="n"/>
      <c r="AP60" s="32" t="n"/>
      <c r="AQ60" s="32" t="n"/>
      <c r="AR60" s="32" t="n"/>
      <c r="AS60" s="32" t="n"/>
      <c r="AT60" s="32" t="n"/>
      <c r="AU60" s="32" t="n"/>
      <c r="AV60" s="32" t="n"/>
      <c r="AW60" s="32" t="n"/>
      <c r="AX60" s="32" t="n"/>
      <c r="AY60" s="32" t="n"/>
      <c r="AZ60" s="32" t="n"/>
      <c r="BA60" s="32" t="n"/>
      <c r="BB60" s="32" t="n"/>
      <c r="BC60" s="32" t="n"/>
      <c r="BD60" s="32" t="n"/>
      <c r="BE60" s="32" t="n"/>
      <c r="BF60" s="32" t="n"/>
      <c r="BG60" s="32" t="n"/>
      <c r="BH60" s="32" t="n"/>
      <c r="BI60" s="32" t="n"/>
      <c r="BJ60" s="32" t="n"/>
      <c r="BK60" s="32" t="n"/>
      <c r="BL60" s="32" t="n"/>
      <c r="BM60" s="32" t="n"/>
      <c r="BN60" s="32" t="n"/>
      <c r="BO60" s="32" t="n"/>
      <c r="BP60" s="32" t="n"/>
      <c r="BQ60" s="32" t="n"/>
      <c r="BR60" s="32" t="n"/>
      <c r="BS60" s="32" t="n"/>
      <c r="BT60" s="32" t="n"/>
      <c r="BU60" s="32" t="n"/>
      <c r="BV60" s="32" t="n"/>
      <c r="BW60" s="32" t="n"/>
      <c r="BX60" s="32" t="n"/>
      <c r="BY60" s="32" t="n"/>
      <c r="BZ60" s="32" t="n"/>
      <c r="CA60" s="32" t="n"/>
      <c r="CB60" s="32" t="n"/>
      <c r="CC60" s="32" t="n"/>
      <c r="CD60" s="32" t="n"/>
      <c r="CE60" s="32" t="n"/>
      <c r="CF60" s="32" t="n"/>
      <c r="CG60" s="32" t="n"/>
      <c r="CH60" s="32" t="n"/>
      <c r="CI60" s="32" t="n"/>
      <c r="CJ60" s="32" t="n"/>
      <c r="CK60" s="32" t="n"/>
      <c r="CL60" s="32" t="n"/>
      <c r="CM60" s="32" t="n"/>
      <c r="CN60" s="32" t="n"/>
      <c r="CO60" s="32" t="n"/>
      <c r="CP60" s="32" t="n"/>
      <c r="CQ60" s="32" t="n"/>
      <c r="CR60" s="32" t="n"/>
      <c r="CS60" s="32" t="n"/>
      <c r="CT60" s="32" t="n"/>
      <c r="CU60" s="32" t="n"/>
      <c r="CV60" s="32" t="n"/>
      <c r="CW60" s="32" t="n"/>
      <c r="CX60" s="32" t="n"/>
      <c r="CY60" s="32" t="n"/>
    </row>
    <row r="61" hidden="1" outlineLevel="1">
      <c r="C61" s="32" t="inlineStr">
        <is>
          <t>Gerais &amp; Administrativas</t>
        </is>
      </c>
      <c r="D61" s="6" t="n"/>
      <c r="E61" s="6" t="n"/>
      <c r="F61" s="6" t="n"/>
      <c r="G61" s="6" t="n"/>
      <c r="H61" s="32" t="n"/>
      <c r="I61" s="6" t="n"/>
      <c r="J61" s="6" t="n"/>
      <c r="K61" s="6" t="n"/>
      <c r="L61" s="6" t="n"/>
      <c r="M61" s="32" t="n"/>
      <c r="N61" s="6" t="n"/>
      <c r="O61" s="6" t="n"/>
      <c r="P61" s="6" t="n"/>
      <c r="Q61" s="6" t="n"/>
      <c r="R61" s="32" t="n"/>
      <c r="S61" s="6" t="n"/>
      <c r="T61" s="6" t="n"/>
      <c r="U61" s="6" t="n"/>
      <c r="V61" s="6" t="n"/>
      <c r="W61" s="32" t="n"/>
      <c r="X61" s="6" t="n"/>
      <c r="Y61" s="6" t="n"/>
      <c r="Z61" s="6" t="n"/>
      <c r="AA61" s="6" t="n"/>
      <c r="AB61" s="32" t="n"/>
      <c r="AC61" s="6" t="n"/>
      <c r="AD61" s="6" t="n"/>
      <c r="AE61" s="6" t="n"/>
      <c r="AF61" s="6" t="n"/>
      <c r="AG61" s="32" t="n"/>
      <c r="AH61" s="32" t="n"/>
      <c r="AI61" s="32" t="n"/>
      <c r="AJ61" s="32" t="n"/>
      <c r="AK61" s="32" t="n"/>
      <c r="AL61" s="32" t="n"/>
      <c r="AM61" s="32" t="n"/>
      <c r="AN61" s="32" t="n"/>
      <c r="AO61" s="32" t="n"/>
      <c r="AP61" s="32" t="n"/>
      <c r="AQ61" s="32" t="n"/>
      <c r="AR61" s="32" t="n"/>
      <c r="AS61" s="32" t="n"/>
      <c r="AT61" s="32" t="n"/>
      <c r="AU61" s="32" t="n"/>
      <c r="AV61" s="32" t="n"/>
      <c r="AW61" s="32" t="n"/>
      <c r="AX61" s="32" t="n"/>
      <c r="AY61" s="32" t="n"/>
      <c r="AZ61" s="32" t="n"/>
      <c r="BA61" s="32" t="n"/>
      <c r="BB61" s="32" t="n"/>
      <c r="BC61" s="32" t="n"/>
      <c r="BD61" s="32" t="n"/>
      <c r="BE61" s="32" t="n"/>
      <c r="BF61" s="32" t="n"/>
      <c r="BG61" s="32" t="n"/>
      <c r="BH61" s="32" t="n"/>
      <c r="BI61" s="32" t="n"/>
      <c r="BJ61" s="32" t="n"/>
      <c r="BK61" s="32" t="n"/>
      <c r="BL61" s="32" t="n"/>
      <c r="BM61" s="32" t="n"/>
      <c r="BN61" s="32" t="n"/>
      <c r="BO61" s="32" t="n"/>
      <c r="BP61" s="32" t="n"/>
      <c r="BQ61" s="32" t="n"/>
      <c r="BR61" s="32" t="n"/>
      <c r="BS61" s="32" t="n"/>
      <c r="BT61" s="32" t="n"/>
      <c r="BU61" s="32" t="n"/>
      <c r="BV61" s="32" t="n"/>
      <c r="BW61" s="32" t="n"/>
      <c r="BX61" s="32" t="n"/>
      <c r="BY61" s="32" t="n"/>
      <c r="BZ61" s="32" t="n"/>
      <c r="CA61" s="32" t="n"/>
      <c r="CB61" s="32" t="n"/>
      <c r="CC61" s="32" t="n"/>
      <c r="CD61" s="32" t="n"/>
      <c r="CE61" s="32" t="n"/>
      <c r="CF61" s="32" t="n"/>
      <c r="CG61" s="32" t="n"/>
      <c r="CH61" s="32" t="n"/>
      <c r="CI61" s="32" t="n"/>
      <c r="CJ61" s="32" t="n"/>
      <c r="CK61" s="32" t="n"/>
      <c r="CL61" s="32" t="n"/>
      <c r="CM61" s="32" t="n"/>
      <c r="CN61" s="32" t="n"/>
      <c r="CO61" s="32" t="n"/>
      <c r="CP61" s="32" t="n"/>
      <c r="CQ61" s="32" t="n"/>
      <c r="CR61" s="32" t="n"/>
      <c r="CS61" s="32" t="n"/>
      <c r="CT61" s="32" t="n"/>
      <c r="CU61" s="32" t="n"/>
      <c r="CV61" s="32" t="n"/>
      <c r="CW61" s="32" t="n"/>
      <c r="CX61" s="32" t="n"/>
      <c r="CY61" s="32" t="n"/>
    </row>
    <row r="62" hidden="1" outlineLevel="1">
      <c r="C62" s="32" t="inlineStr">
        <is>
          <t>Outras Receitas (Despesas) Operacionais, Líquidas</t>
        </is>
      </c>
      <c r="D62" s="6" t="n"/>
      <c r="E62" s="6" t="n"/>
      <c r="F62" s="6" t="n"/>
      <c r="G62" s="6" t="n"/>
      <c r="H62" s="32" t="n"/>
      <c r="I62" s="6" t="n"/>
      <c r="J62" s="6" t="n"/>
      <c r="K62" s="6" t="n"/>
      <c r="L62" s="6" t="n"/>
      <c r="M62" s="32" t="n"/>
      <c r="N62" s="6" t="n"/>
      <c r="O62" s="6" t="n"/>
      <c r="P62" s="6" t="n"/>
      <c r="Q62" s="6" t="n"/>
      <c r="R62" s="32" t="n"/>
      <c r="S62" s="6" t="n"/>
      <c r="T62" s="6" t="n"/>
      <c r="U62" s="6" t="n"/>
      <c r="V62" s="6" t="n"/>
      <c r="W62" s="32" t="n"/>
      <c r="X62" s="6" t="n"/>
      <c r="Y62" s="6" t="n"/>
      <c r="Z62" s="6" t="n"/>
      <c r="AA62" s="6" t="n"/>
      <c r="AB62" s="32" t="n"/>
      <c r="AC62" s="6" t="n"/>
      <c r="AD62" s="6" t="n"/>
      <c r="AE62" s="6" t="n"/>
      <c r="AF62" s="6" t="n"/>
      <c r="AG62" s="32" t="n"/>
      <c r="AH62" s="32" t="n"/>
      <c r="AI62" s="32" t="n"/>
      <c r="AJ62" s="32" t="n"/>
      <c r="AK62" s="32" t="n"/>
      <c r="AL62" s="32" t="n"/>
      <c r="AM62" s="32" t="n"/>
      <c r="AN62" s="32" t="n"/>
      <c r="AO62" s="32" t="n"/>
      <c r="AP62" s="32" t="n"/>
      <c r="AQ62" s="32" t="n"/>
      <c r="AR62" s="32" t="n"/>
      <c r="AS62" s="32" t="n"/>
      <c r="AT62" s="32" t="n"/>
      <c r="AU62" s="32" t="n"/>
      <c r="AV62" s="32" t="n"/>
      <c r="AW62" s="32" t="n"/>
      <c r="AX62" s="32" t="n"/>
      <c r="AY62" s="32" t="n"/>
      <c r="AZ62" s="32" t="n"/>
      <c r="BA62" s="32" t="n"/>
      <c r="BB62" s="32" t="n"/>
      <c r="BC62" s="32" t="n"/>
      <c r="BD62" s="32" t="n"/>
      <c r="BE62" s="32" t="n"/>
      <c r="BF62" s="32" t="n"/>
      <c r="BG62" s="32" t="n"/>
      <c r="BH62" s="32" t="n"/>
      <c r="BI62" s="32" t="n"/>
      <c r="BJ62" s="32" t="n"/>
      <c r="BK62" s="32" t="n"/>
      <c r="BL62" s="32" t="n"/>
      <c r="BM62" s="32" t="n"/>
      <c r="BN62" s="32" t="n"/>
      <c r="BO62" s="32" t="n"/>
      <c r="BP62" s="32" t="n"/>
      <c r="BQ62" s="32" t="n"/>
      <c r="BR62" s="32" t="n"/>
      <c r="BS62" s="32" t="n"/>
      <c r="BT62" s="32" t="n"/>
      <c r="BU62" s="32" t="n"/>
      <c r="BV62" s="32" t="n"/>
      <c r="BW62" s="32" t="n"/>
      <c r="BX62" s="32" t="n"/>
      <c r="BY62" s="32" t="n"/>
      <c r="BZ62" s="32" t="n"/>
      <c r="CA62" s="32" t="n"/>
      <c r="CB62" s="32" t="n"/>
      <c r="CC62" s="32" t="n"/>
      <c r="CD62" s="32" t="n"/>
      <c r="CE62" s="32" t="n"/>
      <c r="CF62" s="32" t="n"/>
      <c r="CG62" s="32" t="n"/>
      <c r="CH62" s="32" t="n"/>
      <c r="CI62" s="32" t="n"/>
      <c r="CJ62" s="32" t="n"/>
      <c r="CK62" s="32" t="n"/>
      <c r="CL62" s="32" t="n"/>
      <c r="CM62" s="32" t="n"/>
      <c r="CN62" s="32" t="n"/>
      <c r="CO62" s="32" t="n"/>
      <c r="CP62" s="32" t="n"/>
      <c r="CQ62" s="32" t="n"/>
      <c r="CR62" s="32" t="n"/>
      <c r="CS62" s="32" t="n"/>
      <c r="CT62" s="32" t="n"/>
      <c r="CU62" s="32" t="n"/>
      <c r="CV62" s="32" t="n"/>
      <c r="CW62" s="32" t="n"/>
      <c r="CX62" s="32" t="n"/>
      <c r="CY62" s="32" t="n"/>
    </row>
    <row r="63" hidden="1" outlineLevel="1">
      <c r="C63" s="32" t="n"/>
      <c r="D63" s="32" t="n"/>
      <c r="E63" s="32" t="n"/>
      <c r="F63" s="32" t="n"/>
      <c r="G63" s="32" t="n"/>
      <c r="H63" s="32" t="n"/>
      <c r="I63" s="32" t="n"/>
      <c r="J63" s="32" t="n"/>
      <c r="K63" s="32" t="n"/>
      <c r="L63" s="32" t="n"/>
      <c r="M63" s="32" t="n"/>
      <c r="N63" s="32" t="n"/>
      <c r="O63" s="32" t="n"/>
      <c r="P63" s="32" t="n"/>
      <c r="Q63" s="32" t="n"/>
      <c r="R63" s="32" t="n"/>
      <c r="S63" s="32" t="n"/>
      <c r="T63" s="32" t="n"/>
      <c r="U63" s="32" t="n"/>
      <c r="V63" s="32" t="n"/>
      <c r="W63" s="32" t="n"/>
      <c r="X63" s="32" t="n"/>
      <c r="Y63" s="32" t="n"/>
      <c r="Z63" s="32" t="n"/>
      <c r="AA63" s="32" t="n"/>
      <c r="AB63" s="32" t="n"/>
      <c r="AC63" s="32" t="n"/>
      <c r="AD63" s="32" t="n"/>
      <c r="AE63" s="32" t="n"/>
      <c r="AF63" s="32" t="n"/>
      <c r="AG63" s="32" t="n"/>
      <c r="AH63" s="32" t="n"/>
      <c r="AI63" s="32" t="n"/>
      <c r="AJ63" s="32" t="n"/>
      <c r="AK63" s="32" t="n"/>
      <c r="AL63" s="32" t="n"/>
      <c r="AM63" s="32" t="n"/>
      <c r="AN63" s="32" t="n"/>
      <c r="AO63" s="32" t="n"/>
      <c r="AP63" s="32" t="n"/>
      <c r="AQ63" s="32" t="n"/>
      <c r="AR63" s="32" t="n"/>
      <c r="AS63" s="32" t="n"/>
      <c r="AT63" s="32" t="n"/>
      <c r="AU63" s="32" t="n"/>
      <c r="AV63" s="32" t="n"/>
      <c r="AW63" s="32" t="n"/>
      <c r="AX63" s="32" t="n"/>
      <c r="AY63" s="32" t="n"/>
      <c r="AZ63" s="32" t="n"/>
      <c r="BA63" s="32" t="n"/>
      <c r="BB63" s="32" t="n"/>
      <c r="BC63" s="32" t="n"/>
      <c r="BD63" s="32" t="n"/>
      <c r="BE63" s="32" t="n"/>
      <c r="BF63" s="32" t="n"/>
      <c r="BG63" s="32" t="n"/>
      <c r="BH63" s="32" t="n"/>
      <c r="BI63" s="32" t="n"/>
      <c r="BJ63" s="32" t="n"/>
      <c r="BK63" s="32" t="n"/>
      <c r="BL63" s="32" t="n"/>
      <c r="BM63" s="32" t="n"/>
      <c r="BN63" s="32" t="n"/>
      <c r="BO63" s="32" t="n"/>
      <c r="BP63" s="32" t="n"/>
      <c r="BQ63" s="32" t="n"/>
      <c r="BR63" s="32" t="n"/>
      <c r="BS63" s="32" t="n"/>
      <c r="BT63" s="32" t="n"/>
      <c r="BU63" s="32" t="n"/>
      <c r="BV63" s="32" t="n"/>
      <c r="BW63" s="32" t="n"/>
      <c r="BX63" s="32" t="n"/>
      <c r="BY63" s="32" t="n"/>
      <c r="BZ63" s="32" t="n"/>
      <c r="CA63" s="32" t="n"/>
      <c r="CB63" s="32" t="n"/>
      <c r="CC63" s="32" t="n"/>
      <c r="CD63" s="32" t="n"/>
      <c r="CE63" s="32" t="n"/>
      <c r="CF63" s="32" t="n"/>
      <c r="CG63" s="32" t="n"/>
      <c r="CH63" s="32" t="n"/>
      <c r="CI63" s="32" t="n"/>
      <c r="CJ63" s="32" t="n"/>
      <c r="CK63" s="32" t="n"/>
      <c r="CL63" s="32" t="n"/>
      <c r="CM63" s="32" t="n"/>
      <c r="CN63" s="32" t="n"/>
      <c r="CO63" s="32" t="n"/>
      <c r="CP63" s="32" t="n"/>
      <c r="CQ63" s="32" t="n"/>
      <c r="CR63" s="32" t="n"/>
      <c r="CS63" s="32" t="n"/>
      <c r="CT63" s="32" t="n"/>
      <c r="CU63" s="32" t="n"/>
      <c r="CV63" s="32" t="n"/>
      <c r="CW63" s="32" t="n"/>
      <c r="CX63" s="32" t="n"/>
      <c r="CY63" s="32" t="n"/>
    </row>
    <row r="64" hidden="1" outlineLevel="1">
      <c r="C64" s="32" t="inlineStr">
        <is>
          <t>Com Vendas (%)</t>
        </is>
      </c>
      <c r="D64" s="32" t="n"/>
      <c r="E64" s="32" t="n"/>
      <c r="F64" s="32" t="n"/>
      <c r="G64" s="32" t="n"/>
      <c r="H64" s="32" t="n"/>
      <c r="I64" s="32" t="n"/>
      <c r="J64" s="32" t="n"/>
      <c r="K64" s="32" t="n"/>
      <c r="L64" s="32" t="n"/>
      <c r="M64" s="32" t="n"/>
      <c r="N64" s="32" t="n"/>
      <c r="O64" s="32" t="n"/>
      <c r="P64" s="32" t="n"/>
      <c r="Q64" s="32" t="n"/>
      <c r="R64" s="32" t="n"/>
      <c r="S64" s="32" t="n"/>
      <c r="T64" s="32" t="n"/>
      <c r="U64" s="32" t="n"/>
      <c r="V64" s="32" t="n"/>
      <c r="W64" s="32" t="n"/>
      <c r="X64" s="32" t="n"/>
      <c r="Y64" s="32" t="n"/>
      <c r="Z64" s="32" t="n"/>
      <c r="AA64" s="32" t="n"/>
      <c r="AB64" s="32" t="n"/>
      <c r="AC64" s="32" t="n"/>
      <c r="AD64" s="32" t="n"/>
      <c r="AE64" s="32" t="n"/>
      <c r="AF64" s="32" t="n"/>
      <c r="AG64" s="32" t="n"/>
      <c r="AH64" s="32" t="n"/>
      <c r="AI64" s="32" t="n"/>
      <c r="AJ64" s="32" t="n"/>
      <c r="AK64" s="32" t="n"/>
      <c r="AL64" s="32" t="n"/>
      <c r="AM64" s="32" t="n"/>
      <c r="AN64" s="32" t="n"/>
      <c r="AO64" s="32" t="n"/>
      <c r="AP64" s="32" t="n"/>
      <c r="AQ64" s="32" t="n"/>
      <c r="AR64" s="32" t="n"/>
      <c r="AS64" s="32" t="n"/>
      <c r="AT64" s="32" t="n"/>
      <c r="AU64" s="32" t="n"/>
      <c r="AV64" s="32" t="n"/>
      <c r="AW64" s="32" t="n"/>
      <c r="AX64" s="32" t="n"/>
      <c r="AY64" s="32" t="n"/>
      <c r="AZ64" s="32" t="n"/>
      <c r="BA64" s="32" t="n"/>
      <c r="BB64" s="32" t="n"/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2" t="n"/>
      <c r="BQ64" s="32" t="n"/>
      <c r="BR64" s="32" t="n"/>
      <c r="BS64" s="32" t="n"/>
      <c r="BT64" s="32" t="n"/>
      <c r="BU64" s="32" t="n"/>
      <c r="BV64" s="32" t="n"/>
      <c r="BW64" s="32" t="n"/>
      <c r="BX64" s="32" t="n"/>
      <c r="BY64" s="32" t="n"/>
      <c r="BZ64" s="32" t="n"/>
      <c r="CA64" s="32" t="n"/>
      <c r="CB64" s="32" t="n"/>
      <c r="CC64" s="32" t="n"/>
      <c r="CD64" s="32" t="n"/>
      <c r="CE64" s="32" t="n"/>
      <c r="CF64" s="32" t="n"/>
      <c r="CG64" s="32" t="n"/>
      <c r="CH64" s="32" t="n"/>
      <c r="CI64" s="32" t="n"/>
      <c r="CJ64" s="32" t="n"/>
      <c r="CK64" s="32" t="n"/>
      <c r="CL64" s="32" t="n"/>
      <c r="CM64" s="32" t="n"/>
      <c r="CN64" s="32" t="n"/>
      <c r="CO64" s="32" t="n"/>
      <c r="CP64" s="32" t="n"/>
      <c r="CQ64" s="32" t="n"/>
      <c r="CR64" s="32" t="n"/>
      <c r="CS64" s="32" t="n"/>
      <c r="CT64" s="32" t="n"/>
      <c r="CU64" s="32" t="n"/>
      <c r="CV64" s="32" t="n"/>
      <c r="CW64" s="32" t="n"/>
      <c r="CX64" s="32" t="n"/>
      <c r="CY64" s="32" t="n"/>
    </row>
    <row r="65" hidden="1" outlineLevel="1">
      <c r="C65" s="32" t="inlineStr">
        <is>
          <t>Gerais &amp; Administrativas (%)</t>
        </is>
      </c>
      <c r="D65" s="32" t="n"/>
      <c r="E65" s="32" t="n"/>
      <c r="F65" s="32" t="n"/>
      <c r="G65" s="32" t="n"/>
      <c r="H65" s="32" t="n"/>
      <c r="I65" s="32" t="n"/>
      <c r="J65" s="32" t="n"/>
      <c r="K65" s="32" t="n"/>
      <c r="L65" s="32" t="n"/>
      <c r="M65" s="32" t="n"/>
      <c r="N65" s="32" t="n"/>
      <c r="O65" s="32" t="n"/>
      <c r="P65" s="32" t="n"/>
      <c r="Q65" s="32" t="n"/>
      <c r="R65" s="32" t="n"/>
      <c r="S65" s="32" t="n"/>
      <c r="T65" s="32" t="n"/>
      <c r="U65" s="32" t="n"/>
      <c r="V65" s="32" t="n"/>
      <c r="W65" s="32" t="n"/>
      <c r="X65" s="32" t="n"/>
      <c r="Y65" s="32" t="n"/>
      <c r="Z65" s="32" t="n"/>
      <c r="AA65" s="32" t="n"/>
      <c r="AB65" s="32" t="n"/>
      <c r="AC65" s="32" t="n"/>
      <c r="AD65" s="32" t="n"/>
      <c r="AE65" s="32" t="n"/>
      <c r="AF65" s="32" t="n"/>
      <c r="AG65" s="32" t="n"/>
      <c r="AH65" s="32" t="n"/>
      <c r="AI65" s="32" t="n"/>
      <c r="AJ65" s="32" t="n"/>
      <c r="AK65" s="32" t="n"/>
      <c r="AL65" s="32" t="n"/>
      <c r="AM65" s="32" t="n"/>
      <c r="AN65" s="32" t="n"/>
      <c r="AO65" s="32" t="n"/>
      <c r="AP65" s="32" t="n"/>
      <c r="AQ65" s="32" t="n"/>
      <c r="AR65" s="32" t="n"/>
      <c r="AS65" s="32" t="n"/>
      <c r="AT65" s="32" t="n"/>
      <c r="AU65" s="32" t="n"/>
      <c r="AV65" s="32" t="n"/>
      <c r="AW65" s="32" t="n"/>
      <c r="AX65" s="32" t="n"/>
      <c r="AY65" s="32" t="n"/>
      <c r="AZ65" s="32" t="n"/>
      <c r="BA65" s="32" t="n"/>
      <c r="BB65" s="32" t="n"/>
      <c r="BC65" s="32" t="n"/>
      <c r="BD65" s="32" t="n"/>
      <c r="BE65" s="32" t="n"/>
      <c r="BF65" s="32" t="n"/>
      <c r="BG65" s="32" t="n"/>
      <c r="BH65" s="32" t="n"/>
      <c r="BI65" s="32" t="n"/>
      <c r="BJ65" s="32" t="n"/>
      <c r="BK65" s="32" t="n"/>
      <c r="BL65" s="32" t="n"/>
      <c r="BM65" s="32" t="n"/>
      <c r="BN65" s="32" t="n"/>
      <c r="BO65" s="32" t="n"/>
      <c r="BP65" s="32" t="n"/>
      <c r="BQ65" s="32" t="n"/>
      <c r="BR65" s="32" t="n"/>
      <c r="BS65" s="32" t="n"/>
      <c r="BT65" s="32" t="n"/>
      <c r="BU65" s="32" t="n"/>
      <c r="BV65" s="32" t="n"/>
      <c r="BW65" s="32" t="n"/>
      <c r="BX65" s="32" t="n"/>
      <c r="BY65" s="32" t="n"/>
      <c r="BZ65" s="32" t="n"/>
      <c r="CA65" s="32" t="n"/>
      <c r="CB65" s="32" t="n"/>
      <c r="CC65" s="32" t="n"/>
      <c r="CD65" s="32" t="n"/>
      <c r="CE65" s="32" t="n"/>
      <c r="CF65" s="32" t="n"/>
      <c r="CG65" s="32" t="n"/>
      <c r="CH65" s="32" t="n"/>
      <c r="CI65" s="32" t="n"/>
      <c r="CJ65" s="32" t="n"/>
      <c r="CK65" s="32" t="n"/>
      <c r="CL65" s="32" t="n"/>
      <c r="CM65" s="32" t="n"/>
      <c r="CN65" s="32" t="n"/>
      <c r="CO65" s="32" t="n"/>
      <c r="CP65" s="32" t="n"/>
      <c r="CQ65" s="32" t="n"/>
      <c r="CR65" s="32" t="n"/>
      <c r="CS65" s="32" t="n"/>
      <c r="CT65" s="32" t="n"/>
      <c r="CU65" s="32" t="n"/>
      <c r="CV65" s="32" t="n"/>
      <c r="CW65" s="32" t="n"/>
      <c r="CX65" s="32" t="n"/>
      <c r="CY65" s="32" t="n"/>
    </row>
    <row r="66" hidden="1" outlineLevel="1">
      <c r="C66" s="32" t="inlineStr">
        <is>
          <t>Outras Receitas (Despesas) Operacionais, Líquidas (%)</t>
        </is>
      </c>
      <c r="D66" s="32" t="n"/>
      <c r="E66" s="32" t="n"/>
      <c r="F66" s="32" t="n"/>
      <c r="G66" s="32" t="n"/>
      <c r="H66" s="32" t="n"/>
      <c r="I66" s="32" t="n"/>
      <c r="J66" s="32" t="n"/>
      <c r="K66" s="32" t="n"/>
      <c r="L66" s="32" t="n"/>
      <c r="M66" s="32" t="n"/>
      <c r="N66" s="32" t="n"/>
      <c r="O66" s="32" t="n"/>
      <c r="P66" s="32" t="n"/>
      <c r="Q66" s="32" t="n"/>
      <c r="R66" s="32" t="n"/>
      <c r="S66" s="32" t="n"/>
      <c r="T66" s="32" t="n"/>
      <c r="U66" s="32" t="n"/>
      <c r="V66" s="32" t="n"/>
      <c r="W66" s="32" t="n"/>
      <c r="X66" s="32" t="n"/>
      <c r="Y66" s="32" t="n"/>
      <c r="Z66" s="32" t="n"/>
      <c r="AA66" s="32" t="n"/>
      <c r="AB66" s="32" t="n"/>
      <c r="AC66" s="32" t="n"/>
      <c r="AD66" s="32" t="n"/>
      <c r="AE66" s="32" t="n"/>
      <c r="AF66" s="32" t="n"/>
      <c r="AG66" s="32" t="n"/>
      <c r="AH66" s="32" t="n"/>
      <c r="AI66" s="32" t="n"/>
      <c r="AJ66" s="32" t="n"/>
      <c r="AK66" s="32" t="n"/>
      <c r="AL66" s="32" t="n"/>
      <c r="AM66" s="32" t="n"/>
      <c r="AN66" s="32" t="n"/>
      <c r="AO66" s="32" t="n"/>
      <c r="AP66" s="32" t="n"/>
      <c r="AQ66" s="32" t="n"/>
      <c r="AR66" s="32" t="n"/>
      <c r="AS66" s="32" t="n"/>
      <c r="AT66" s="32" t="n"/>
      <c r="AU66" s="32" t="n"/>
      <c r="AV66" s="32" t="n"/>
      <c r="AW66" s="32" t="n"/>
      <c r="AX66" s="32" t="n"/>
      <c r="AY66" s="32" t="n"/>
      <c r="AZ66" s="32" t="n"/>
      <c r="BA66" s="32" t="n"/>
      <c r="BB66" s="32" t="n"/>
      <c r="BC66" s="32" t="n"/>
      <c r="BD66" s="32" t="n"/>
      <c r="BE66" s="32" t="n"/>
      <c r="BF66" s="32" t="n"/>
      <c r="BG66" s="32" t="n"/>
      <c r="BH66" s="32" t="n"/>
      <c r="BI66" s="32" t="n"/>
      <c r="BJ66" s="32" t="n"/>
      <c r="BK66" s="32" t="n"/>
      <c r="BL66" s="32" t="n"/>
      <c r="BM66" s="32" t="n"/>
      <c r="BN66" s="32" t="n"/>
      <c r="BO66" s="32" t="n"/>
      <c r="BP66" s="32" t="n"/>
      <c r="BQ66" s="32" t="n"/>
      <c r="BR66" s="32" t="n"/>
      <c r="BS66" s="32" t="n"/>
      <c r="BT66" s="32" t="n"/>
      <c r="BU66" s="32" t="n"/>
      <c r="BV66" s="32" t="n"/>
      <c r="BW66" s="32" t="n"/>
      <c r="BX66" s="32" t="n"/>
      <c r="BY66" s="32" t="n"/>
      <c r="BZ66" s="32" t="n"/>
      <c r="CA66" s="32" t="n"/>
      <c r="CB66" s="32" t="n"/>
      <c r="CC66" s="32" t="n"/>
      <c r="CD66" s="32" t="n"/>
      <c r="CE66" s="32" t="n"/>
      <c r="CF66" s="32" t="n"/>
      <c r="CG66" s="32" t="n"/>
      <c r="CH66" s="32" t="n"/>
      <c r="CI66" s="32" t="n"/>
      <c r="CJ66" s="32" t="n"/>
      <c r="CK66" s="32" t="n"/>
      <c r="CL66" s="32" t="n"/>
      <c r="CM66" s="32" t="n"/>
      <c r="CN66" s="32" t="n"/>
      <c r="CO66" s="32" t="n"/>
      <c r="CP66" s="32" t="n"/>
      <c r="CQ66" s="32" t="n"/>
      <c r="CR66" s="32" t="n"/>
      <c r="CS66" s="32" t="n"/>
      <c r="CT66" s="32" t="n"/>
      <c r="CU66" s="32" t="n"/>
      <c r="CV66" s="32" t="n"/>
      <c r="CW66" s="32" t="n"/>
      <c r="CX66" s="32" t="n"/>
      <c r="CY66" s="32" t="n"/>
    </row>
    <row r="67" hidden="1" outlineLevel="1">
      <c r="C67" s="32" t="n"/>
      <c r="D67" s="32" t="n"/>
      <c r="E67" s="32" t="n"/>
      <c r="F67" s="32" t="n"/>
      <c r="G67" s="32" t="n"/>
      <c r="H67" s="32" t="n"/>
      <c r="I67" s="32" t="n"/>
      <c r="J67" s="32" t="n"/>
      <c r="K67" s="32" t="n"/>
      <c r="L67" s="32" t="n"/>
      <c r="M67" s="32" t="n"/>
      <c r="N67" s="32" t="n"/>
      <c r="O67" s="32" t="n"/>
      <c r="P67" s="32" t="n"/>
      <c r="Q67" s="32" t="n"/>
      <c r="R67" s="32" t="n"/>
      <c r="S67" s="32" t="n"/>
      <c r="T67" s="32" t="n"/>
      <c r="U67" s="32" t="n"/>
      <c r="V67" s="32" t="n"/>
      <c r="W67" s="32" t="n"/>
      <c r="X67" s="32" t="n"/>
      <c r="Y67" s="32" t="n"/>
      <c r="Z67" s="32" t="n"/>
      <c r="AA67" s="32" t="n"/>
      <c r="AB67" s="32" t="n"/>
      <c r="AC67" s="32" t="n"/>
      <c r="AD67" s="32" t="n"/>
      <c r="AE67" s="32" t="n"/>
      <c r="AF67" s="32" t="n"/>
      <c r="AG67" s="32" t="n"/>
      <c r="AH67" s="32" t="n"/>
      <c r="AI67" s="32" t="n"/>
      <c r="AJ67" s="32" t="n"/>
      <c r="AK67" s="32" t="n"/>
      <c r="AL67" s="32" t="n"/>
      <c r="AM67" s="32" t="n"/>
      <c r="AN67" s="32" t="n"/>
      <c r="AO67" s="32" t="n"/>
      <c r="AP67" s="32" t="n"/>
      <c r="AQ67" s="32" t="n"/>
      <c r="AR67" s="32" t="n"/>
      <c r="AS67" s="32" t="n"/>
      <c r="AT67" s="32" t="n"/>
      <c r="AU67" s="32" t="n"/>
      <c r="AV67" s="32" t="n"/>
      <c r="AW67" s="32" t="n"/>
      <c r="AX67" s="32" t="n"/>
      <c r="AY67" s="32" t="n"/>
      <c r="AZ67" s="32" t="n"/>
      <c r="BA67" s="32" t="n"/>
      <c r="BB67" s="32" t="n"/>
      <c r="BC67" s="32" t="n"/>
      <c r="BD67" s="32" t="n"/>
      <c r="BE67" s="32" t="n"/>
      <c r="BF67" s="32" t="n"/>
      <c r="BG67" s="32" t="n"/>
      <c r="BH67" s="32" t="n"/>
      <c r="BI67" s="32" t="n"/>
      <c r="BJ67" s="32" t="n"/>
      <c r="BK67" s="32" t="n"/>
      <c r="BL67" s="32" t="n"/>
      <c r="BM67" s="32" t="n"/>
      <c r="BN67" s="32" t="n"/>
      <c r="BO67" s="32" t="n"/>
      <c r="BP67" s="32" t="n"/>
      <c r="BQ67" s="32" t="n"/>
      <c r="BR67" s="32" t="n"/>
      <c r="BS67" s="32" t="n"/>
      <c r="BT67" s="32" t="n"/>
      <c r="BU67" s="32" t="n"/>
      <c r="BV67" s="32" t="n"/>
      <c r="BW67" s="32" t="n"/>
      <c r="BX67" s="32" t="n"/>
      <c r="BY67" s="32" t="n"/>
      <c r="BZ67" s="32" t="n"/>
      <c r="CA67" s="32" t="n"/>
      <c r="CB67" s="32" t="n"/>
      <c r="CC67" s="32" t="n"/>
      <c r="CD67" s="32" t="n"/>
      <c r="CE67" s="32" t="n"/>
      <c r="CF67" s="32" t="n"/>
      <c r="CG67" s="32" t="n"/>
      <c r="CH67" s="32" t="n"/>
      <c r="CI67" s="32" t="n"/>
      <c r="CJ67" s="32" t="n"/>
      <c r="CK67" s="32" t="n"/>
      <c r="CL67" s="32" t="n"/>
      <c r="CM67" s="32" t="n"/>
      <c r="CN67" s="32" t="n"/>
      <c r="CO67" s="32" t="n"/>
      <c r="CP67" s="32" t="n"/>
      <c r="CQ67" s="32" t="n"/>
      <c r="CR67" s="32" t="n"/>
      <c r="CS67" s="32" t="n"/>
      <c r="CT67" s="32" t="n"/>
      <c r="CU67" s="32" t="n"/>
      <c r="CV67" s="32" t="n"/>
      <c r="CW67" s="32" t="n"/>
      <c r="CX67" s="32" t="n"/>
      <c r="CY67" s="32" t="n"/>
    </row>
    <row r="68" collapsed="1" customFormat="1" s="17">
      <c r="A68" s="13" t="n"/>
      <c r="B68" s="1" t="n"/>
      <c r="C68" s="14" t="inlineStr">
        <is>
          <t>EBITDA</t>
        </is>
      </c>
      <c r="D68" s="16">
        <f>SUM(D15,D53,D57)</f>
        <v>1083</v>
      </c>
      <c r="E68" s="16">
        <f>SUM(E15,E53,E57)</f>
        <v>1055</v>
      </c>
      <c r="F68" s="16">
        <f>SUM(F15,F53,F57)</f>
        <v>1697</v>
      </c>
      <c r="G68" s="16">
        <f>SUM(G15,G53,G57)</f>
        <v>1795</v>
      </c>
      <c r="H68" s="16">
        <f>SUM(D68:G68)</f>
        <v>5630</v>
      </c>
      <c r="I68" s="16">
        <f>SUM(I15,I53,I57)</f>
        <v>2237</v>
      </c>
      <c r="J68" s="16">
        <f>SUM(J15,J53,J57)</f>
        <v>2730</v>
      </c>
      <c r="K68" s="16">
        <f>SUM(K15,K53,K57)</f>
        <v>2969</v>
      </c>
      <c r="L68" s="16">
        <f>SUM(L15,L53,L57)</f>
        <v>3279</v>
      </c>
      <c r="M68" s="16">
        <f>SUM(I68:L68)</f>
        <v>11215</v>
      </c>
      <c r="N68" s="16">
        <f>SUM(N15,N53,N57)</f>
        <v>2202</v>
      </c>
      <c r="O68" s="16">
        <f>SUM(O15,O53,O57)</f>
        <v>877</v>
      </c>
      <c r="P68" s="16">
        <f>SUM(P15,P53,P57)</f>
        <v>1007</v>
      </c>
      <c r="Q68" s="16">
        <f>SUM(Q15,Q53,Q57)</f>
        <v>1682</v>
      </c>
      <c r="R68" s="16">
        <f>SUM(N68:Q68)</f>
        <v>5768</v>
      </c>
      <c r="S68" s="16">
        <f>SUM(S15,S53,S57)</f>
        <v>2524</v>
      </c>
      <c r="T68" s="16">
        <f>SUM(T15,T53,T57)</f>
        <v>7165</v>
      </c>
      <c r="U68" s="16">
        <f>SUM(U15,U53,U57)</f>
        <v>10789</v>
      </c>
      <c r="V68" s="16">
        <f>SUM(V15,V53,V57)</f>
        <v>14001</v>
      </c>
      <c r="W68" s="16">
        <f>SUM(S68:V68)</f>
        <v>34479</v>
      </c>
      <c r="X68" s="16">
        <f>SUM(X15,X53,X57)</f>
        <v>17319</v>
      </c>
      <c r="Y68" s="16">
        <f>SUM(Y15,Y53,Y57)</f>
        <v>19075</v>
      </c>
      <c r="Z68" s="16">
        <f>SUM(Z15,Z53,Z57)</f>
        <v>22347</v>
      </c>
      <c r="AA68" s="16">
        <f>SUM(AA15,AA53,AA57)</f>
        <v>24577</v>
      </c>
      <c r="AB68" s="16">
        <f>SUM(X68:AA68)</f>
        <v>83318</v>
      </c>
      <c r="AC68" s="16">
        <f>SUM(AC15,AC53,AC57)</f>
        <v>22249</v>
      </c>
      <c r="AD68" s="16">
        <f>SUM(AD15,AD53,AD57)</f>
        <v>29109</v>
      </c>
      <c r="AE68" s="16">
        <f>SUM(AE15,AE53,AE57)</f>
        <v>36761</v>
      </c>
      <c r="AF68" s="16">
        <f>SUM(AF15,AF53,AF57)</f>
        <v>45111</v>
      </c>
      <c r="AG68" s="16">
        <f>SUM(AC68:AF68)</f>
        <v>133230</v>
      </c>
      <c r="AH68" s="16">
        <f>SUM(AH15,AH53,AH57)</f>
        <v>54533</v>
      </c>
      <c r="AI68" s="16">
        <f>SUM(AI15,AI53,AI57)</f>
        <v>64861</v>
      </c>
      <c r="AJ68" s="16">
        <f>SUM(AJ15,AJ53,AJ57)</f>
        <v>0</v>
      </c>
      <c r="AK68" s="16">
        <f>SUM(AK15,AK53,AK57)</f>
        <v>0</v>
      </c>
      <c r="AL68" s="16">
        <f>SUM(AH68:AK68)</f>
        <v>119394</v>
      </c>
      <c r="AM68" s="16">
        <f>SUM(AM15,AM53,AM57)</f>
        <v>0</v>
      </c>
      <c r="AN68" s="16">
        <f>SUM(AN15,AN53,AN57)</f>
        <v>0</v>
      </c>
      <c r="AO68" s="16">
        <f>SUM(AO15,AO53,AO57)</f>
        <v>0</v>
      </c>
      <c r="AP68" s="16">
        <f>SUM(AP15,AP53,AP57)</f>
        <v>0</v>
      </c>
      <c r="AQ68" s="16">
        <f>SUM(AM68:AP68)</f>
        <v>0</v>
      </c>
      <c r="AR68" s="16">
        <f>SUM(AR15,AR53,AR57)</f>
        <v>0</v>
      </c>
      <c r="AS68" s="16">
        <f>SUM(AS15,AS53,AS57)</f>
        <v>0</v>
      </c>
      <c r="AT68" s="16">
        <f>SUM(AT15,AT53,AT57)</f>
        <v>0</v>
      </c>
      <c r="AU68" s="16">
        <f>SUM(AU15,AU53,AU57)</f>
        <v>0</v>
      </c>
      <c r="AV68" s="16">
        <f>SUM(AR68:AU68)</f>
        <v>0</v>
      </c>
      <c r="AW68" s="16">
        <f>SUM(AW15,AW53,AW57)</f>
        <v>0</v>
      </c>
      <c r="AX68" s="16">
        <f>SUM(AX15,AX53,AX57)</f>
        <v>0</v>
      </c>
      <c r="AY68" s="16">
        <f>SUM(AY15,AY53,AY57)</f>
        <v>0</v>
      </c>
      <c r="AZ68" s="16">
        <f>SUM(AZ15,AZ53,AZ57)</f>
        <v>0</v>
      </c>
      <c r="BA68" s="16">
        <f>SUM(AW68:AZ68)</f>
        <v>0</v>
      </c>
      <c r="BB68" s="16">
        <f>SUM(BB15,BB53,BB57)</f>
        <v>0</v>
      </c>
      <c r="BC68" s="16">
        <f>SUM(BC15,BC53,BC57)</f>
        <v>0</v>
      </c>
      <c r="BD68" s="16">
        <f>SUM(BD15,BD53,BD57)</f>
        <v>0</v>
      </c>
      <c r="BE68" s="16">
        <f>SUM(BE15,BE53,BE57)</f>
        <v>0</v>
      </c>
      <c r="BF68" s="16">
        <f>SUM(BB68:BE68)</f>
        <v>0</v>
      </c>
      <c r="BG68" s="16">
        <f>SUM(BG15,BG53,BG57)</f>
        <v>0</v>
      </c>
      <c r="BH68" s="16">
        <f>SUM(BH15,BH53,BH57)</f>
        <v>0</v>
      </c>
      <c r="BI68" s="16">
        <f>SUM(BI15,BI53,BI57)</f>
        <v>0</v>
      </c>
      <c r="BJ68" s="16">
        <f>SUM(BJ15,BJ53,BJ57)</f>
        <v>0</v>
      </c>
      <c r="BK68" s="16">
        <f>SUM(BG68:BJ68)</f>
        <v>0</v>
      </c>
      <c r="BL68" s="16">
        <f>SUM(BL15,BL53,BL57)</f>
        <v>0</v>
      </c>
      <c r="BM68" s="16">
        <f>SUM(BM15,BM53,BM57)</f>
        <v>0</v>
      </c>
      <c r="BN68" s="16">
        <f>SUM(BN15,BN53,BN57)</f>
        <v>0</v>
      </c>
      <c r="BO68" s="16">
        <f>SUM(BO15,BO53,BO57)</f>
        <v>0</v>
      </c>
      <c r="BP68" s="16">
        <f>SUM(BL68:BO68)</f>
        <v>0</v>
      </c>
      <c r="BQ68" s="16">
        <f>SUM(BQ15,BQ53,BQ57)</f>
        <v>0</v>
      </c>
      <c r="BR68" s="16">
        <f>SUM(BR15,BR53,BR57)</f>
        <v>0</v>
      </c>
      <c r="BS68" s="16">
        <f>SUM(BS15,BS53,BS57)</f>
        <v>0</v>
      </c>
      <c r="BT68" s="16">
        <f>SUM(BT15,BT53,BT57)</f>
        <v>0</v>
      </c>
      <c r="BU68" s="16">
        <f>SUM(BQ68:BT68)</f>
        <v>0</v>
      </c>
      <c r="BV68" s="16">
        <f>SUM(BV15,BV53,BV57)</f>
        <v>0</v>
      </c>
      <c r="BW68" s="16">
        <f>SUM(BW15,BW53,BW57)</f>
        <v>0</v>
      </c>
      <c r="BX68" s="16">
        <f>SUM(BX15,BX53,BX57)</f>
        <v>0</v>
      </c>
      <c r="BY68" s="16">
        <f>SUM(BY15,BY53,BY57)</f>
        <v>0</v>
      </c>
      <c r="BZ68" s="16">
        <f>SUM(BV68:BY68)</f>
        <v>0</v>
      </c>
      <c r="CA68" s="16">
        <f>SUM(CA15,CA53,CA57)</f>
        <v>0</v>
      </c>
      <c r="CB68" s="16">
        <f>SUM(CB15,CB53,CB57)</f>
        <v>0</v>
      </c>
      <c r="CC68" s="16">
        <f>SUM(CC15,CC53,CC57)</f>
        <v>0</v>
      </c>
      <c r="CD68" s="16">
        <f>SUM(CD15,CD53,CD57)</f>
        <v>0</v>
      </c>
      <c r="CE68" s="16">
        <f>SUM(CA68:CD68)</f>
        <v>0</v>
      </c>
      <c r="CF68" s="16">
        <f>SUM(CF15,CF53,CF57)</f>
        <v>0</v>
      </c>
      <c r="CG68" s="16">
        <f>SUM(CG15,CG53,CG57)</f>
        <v>0</v>
      </c>
      <c r="CH68" s="16">
        <f>SUM(CH15,CH53,CH57)</f>
        <v>0</v>
      </c>
      <c r="CI68" s="16">
        <f>SUM(CI15,CI53,CI57)</f>
        <v>0</v>
      </c>
      <c r="CJ68" s="16">
        <f>SUM(CF68:CI68)</f>
        <v>0</v>
      </c>
      <c r="CK68" s="16">
        <f>SUM(CK15,CK53,CK57)</f>
        <v>0</v>
      </c>
      <c r="CL68" s="16">
        <f>SUM(CL15,CL53,CL57)</f>
        <v>0</v>
      </c>
      <c r="CM68" s="16">
        <f>SUM(CM15,CM53,CM57)</f>
        <v>0</v>
      </c>
      <c r="CN68" s="16">
        <f>SUM(CN15,CN53,CN57)</f>
        <v>0</v>
      </c>
      <c r="CO68" s="16">
        <f>SUM(CK68:CN68)</f>
        <v>0</v>
      </c>
      <c r="CP68" s="16">
        <f>SUM(CP15,CP53,CP57)</f>
        <v>0</v>
      </c>
      <c r="CQ68" s="16">
        <f>SUM(CQ15,CQ53,CQ57)</f>
        <v>0</v>
      </c>
      <c r="CR68" s="16">
        <f>SUM(CR15,CR53,CR57)</f>
        <v>0</v>
      </c>
      <c r="CS68" s="16">
        <f>SUM(CS15,CS53,CS57)</f>
        <v>0</v>
      </c>
      <c r="CT68" s="16">
        <f>SUM(CP68:CS68)</f>
        <v>0</v>
      </c>
      <c r="CU68" s="16">
        <f>SUM(CU15,CU53,CU57)</f>
        <v>0</v>
      </c>
      <c r="CV68" s="16">
        <f>SUM(CV15,CV53,CV57)</f>
        <v>0</v>
      </c>
      <c r="CW68" s="16">
        <f>SUM(CW15,CW53,CW57)</f>
        <v>0</v>
      </c>
      <c r="CX68" s="16">
        <f>SUM(CX15,CX53,CX57)</f>
        <v>0</v>
      </c>
      <c r="CY68" s="16">
        <f>SUM(CU68:CX68)</f>
        <v>0</v>
      </c>
    </row>
    <row r="69" ht="13.5" customHeight="1">
      <c r="C69" s="24" t="inlineStr">
        <is>
          <t>D&amp;A</t>
        </is>
      </c>
      <c r="D69" s="25">
        <f>INDEX('Inputs (2)'!$D$7:$AL$7,MATCH(D$7,'Inputs (2)'!$D$2:$AL$2,0))</f>
        <v>-107</v>
      </c>
      <c r="E69" s="25">
        <f>INDEX('Inputs (2)'!$D$7:$AL$7,MATCH(E$7,'Inputs (2)'!$D$2:$AL$2,0))</f>
        <v>-404</v>
      </c>
      <c r="F69" s="25">
        <f>INDEX('Inputs (2)'!$D$7:$AL$7,MATCH(F$7,'Inputs (2)'!$D$2:$AL$2,0))</f>
        <v>-299</v>
      </c>
      <c r="G69" s="25">
        <f>INDEX('Inputs (2)'!$D$7:$AL$7,MATCH(G$7,'Inputs (2)'!$D$2:$AL$2,0))</f>
        <v>-288</v>
      </c>
      <c r="H69" s="3">
        <f>SUM(D69:G69)</f>
        <v>-1098</v>
      </c>
      <c r="I69" s="25">
        <f>INDEX('Inputs (2)'!$D$7:$AL$7,MATCH(I$7,'Inputs (2)'!$D$2:$AL$2,0))</f>
        <v>-281</v>
      </c>
      <c r="J69" s="25">
        <f>INDEX('Inputs (2)'!$D$7:$AL$7,MATCH(J$7,'Inputs (2)'!$D$2:$AL$2,0))</f>
        <v>-286</v>
      </c>
      <c r="K69" s="25">
        <f>INDEX('Inputs (2)'!$D$7:$AL$7,MATCH(K$7,'Inputs (2)'!$D$2:$AL$2,0))</f>
        <v>-298</v>
      </c>
      <c r="L69" s="25">
        <f>INDEX('Inputs (2)'!$D$7:$AL$7,MATCH(L$7,'Inputs (2)'!$D$2:$AL$2,0))</f>
        <v>-309</v>
      </c>
      <c r="M69" s="3">
        <f>SUM(I69:L69)</f>
        <v>-1174</v>
      </c>
      <c r="N69" s="25">
        <f>INDEX('Inputs (2)'!$D$7:$AL$7,MATCH(N$7,'Inputs (2)'!$D$2:$AL$2,0))</f>
        <v>-334</v>
      </c>
      <c r="O69" s="25">
        <f>INDEX('Inputs (2)'!$D$7:$AL$7,MATCH(O$7,'Inputs (2)'!$D$2:$AL$2,0))</f>
        <v>-378</v>
      </c>
      <c r="P69" s="25">
        <f>INDEX('Inputs (2)'!$D$7:$AL$7,MATCH(P$7,'Inputs (2)'!$D$2:$AL$2,0))</f>
        <v>-406</v>
      </c>
      <c r="Q69" s="25">
        <f>INDEX('Inputs (2)'!$D$7:$AL$7,MATCH(Q$7,'Inputs (2)'!$D$2:$AL$2,0))</f>
        <v>-426</v>
      </c>
      <c r="R69" s="3">
        <f>SUM(N69:Q69)</f>
        <v>-1544</v>
      </c>
      <c r="S69" s="25">
        <f>INDEX('Inputs (2)'!$D$7:$AL$7,MATCH(S$7,'Inputs (2)'!$D$2:$AL$2,0))</f>
        <v>-384</v>
      </c>
      <c r="T69" s="25">
        <f>INDEX('Inputs (2)'!$D$7:$AL$7,MATCH(T$7,'Inputs (2)'!$D$2:$AL$2,0))</f>
        <v>-365</v>
      </c>
      <c r="U69" s="25">
        <f>INDEX('Inputs (2)'!$D$7:$AL$7,MATCH(U$7,'Inputs (2)'!$D$2:$AL$2,0))</f>
        <v>-372</v>
      </c>
      <c r="V69" s="25">
        <f>INDEX('Inputs (2)'!$D$7:$AL$7,MATCH(V$7,'Inputs (2)'!$D$2:$AL$2,0))</f>
        <v>-387</v>
      </c>
      <c r="W69" s="3">
        <f>SUM(S69:V69)</f>
        <v>-1508</v>
      </c>
      <c r="X69" s="25">
        <f>INDEX('Inputs (2)'!$D$7:$AL$7,MATCH(X$7,'Inputs (2)'!$D$2:$AL$2,0))</f>
        <v>-410</v>
      </c>
      <c r="Y69" s="25">
        <f>INDEX('Inputs (2)'!$D$7:$AL$7,MATCH(Y$7,'Inputs (2)'!$D$2:$AL$2,0))</f>
        <v>-433</v>
      </c>
      <c r="Z69" s="25">
        <f>INDEX('Inputs (2)'!$D$7:$AL$7,MATCH(Z$7,'Inputs (2)'!$D$2:$AL$2,0))</f>
        <v>-478</v>
      </c>
      <c r="AA69" s="25">
        <f>INDEX('Inputs (2)'!$D$7:$AL$7,MATCH(AA$7,'Inputs (2)'!$D$2:$AL$2,0))</f>
        <v>-543</v>
      </c>
      <c r="AB69" s="3">
        <f>SUM(X69:AA69)</f>
        <v>-1864</v>
      </c>
      <c r="AC69" s="25">
        <f>INDEX('Inputs (2)'!$D$7:$AL$7,MATCH(AC$7,'Inputs (2)'!$D$2:$AL$2,0))</f>
        <v>-611</v>
      </c>
      <c r="AD69" s="25">
        <f>INDEX('Inputs (2)'!$D$7:$AL$7,MATCH(AD$7,'Inputs (2)'!$D$2:$AL$2,0))</f>
        <v>-669</v>
      </c>
      <c r="AE69" s="25">
        <f>INDEX('Inputs (2)'!$D$7:$AL$7,MATCH(AE$7,'Inputs (2)'!$D$2:$AL$2,0))</f>
        <v>-751</v>
      </c>
      <c r="AF69" s="25">
        <f>INDEX('Inputs (2)'!$D$7:$AL$7,MATCH(AF$7,'Inputs (2)'!$D$2:$AL$2,0))</f>
        <v>-812</v>
      </c>
      <c r="AG69" s="3">
        <f>SUM(AC69:AF69)</f>
        <v>-2843</v>
      </c>
      <c r="AH69" s="3">
        <f>INDEX('Inputs (2)'!$D$7:$AL$7,MATCH(AH$7,'Inputs (2)'!$D$2:$AL$2,0))</f>
        <v>-997</v>
      </c>
      <c r="AI69" s="3">
        <f>INDEX('Inputs (2)'!$D$7:$AL$7,MATCH(AI$7,'Inputs (2)'!$D$2:$AL$2,0))</f>
        <v>-1127</v>
      </c>
      <c r="AJ69" s="3">
        <f>-AJ70*AJ15</f>
        <v>0</v>
      </c>
      <c r="AK69" s="3">
        <f>-AK70*AK15</f>
        <v>0</v>
      </c>
      <c r="AL69" s="3">
        <f>SUM(AH69:AK69)</f>
        <v>-2124</v>
      </c>
      <c r="AM69" s="3">
        <f>-AM70*AM15</f>
        <v>0</v>
      </c>
      <c r="AN69" s="3">
        <f>-AN70*AN15</f>
        <v>0</v>
      </c>
      <c r="AO69" s="3">
        <f>-AO70*AO15</f>
        <v>0</v>
      </c>
      <c r="AP69" s="3">
        <f>-AP70*AP15</f>
        <v>0</v>
      </c>
      <c r="AQ69" s="3">
        <f>SUM(AM69:AP69)</f>
        <v>0</v>
      </c>
      <c r="AR69" s="3">
        <f>-AR70*AR15</f>
        <v>0</v>
      </c>
      <c r="AS69" s="3">
        <f>-AS70*AS15</f>
        <v>0</v>
      </c>
      <c r="AT69" s="3">
        <f>-AT70*AT15</f>
        <v>0</v>
      </c>
      <c r="AU69" s="3">
        <f>-AU70*AU15</f>
        <v>0</v>
      </c>
      <c r="AV69" s="3">
        <f>SUM(AR69:AU69)</f>
        <v>0</v>
      </c>
      <c r="AW69" s="3">
        <f>-AW70*AW15</f>
        <v>0</v>
      </c>
      <c r="AX69" s="3">
        <f>-AX70*AX15</f>
        <v>0</v>
      </c>
      <c r="AY69" s="3">
        <f>-AY70*AY15</f>
        <v>0</v>
      </c>
      <c r="AZ69" s="3">
        <f>-AZ70*AZ15</f>
        <v>0</v>
      </c>
      <c r="BA69" s="3">
        <f>SUM(AW69:AZ69)</f>
        <v>0</v>
      </c>
      <c r="BB69" s="3">
        <f>-BB70*BB15</f>
        <v>0</v>
      </c>
      <c r="BC69" s="3">
        <f>-BC70*BC15</f>
        <v>0</v>
      </c>
      <c r="BD69" s="3">
        <f>-BD70*BD15</f>
        <v>0</v>
      </c>
      <c r="BE69" s="3">
        <f>-BE70*BE15</f>
        <v>0</v>
      </c>
      <c r="BF69" s="3">
        <f>SUM(BB69:BE69)</f>
        <v>0</v>
      </c>
      <c r="BG69" s="3">
        <f>-BG70*BG15</f>
        <v>0</v>
      </c>
      <c r="BH69" s="3">
        <f>-BH70*BH15</f>
        <v>0</v>
      </c>
      <c r="BI69" s="3">
        <f>-BI70*BI15</f>
        <v>0</v>
      </c>
      <c r="BJ69" s="3">
        <f>-BJ70*BJ15</f>
        <v>0</v>
      </c>
      <c r="BK69" s="3">
        <f>SUM(BG69:BJ69)</f>
        <v>0</v>
      </c>
      <c r="BL69" s="3">
        <f>-BL70*BL15</f>
        <v>0</v>
      </c>
      <c r="BM69" s="3">
        <f>-BM70*BM15</f>
        <v>0</v>
      </c>
      <c r="BN69" s="3">
        <f>-BN70*BN15</f>
        <v>0</v>
      </c>
      <c r="BO69" s="3">
        <f>-BO70*BO15</f>
        <v>0</v>
      </c>
      <c r="BP69" s="3">
        <f>SUM(BL69:BO69)</f>
        <v>0</v>
      </c>
      <c r="BQ69" s="3">
        <f>-BQ70*BQ15</f>
        <v>0</v>
      </c>
      <c r="BR69" s="3">
        <f>-BR70*BR15</f>
        <v>0</v>
      </c>
      <c r="BS69" s="3">
        <f>-BS70*BS15</f>
        <v>0</v>
      </c>
      <c r="BT69" s="3">
        <f>-BT70*BT15</f>
        <v>0</v>
      </c>
      <c r="BU69" s="3">
        <f>SUM(BQ69:BT69)</f>
        <v>0</v>
      </c>
      <c r="BV69" s="3">
        <f>-BV70*BV15</f>
        <v>0</v>
      </c>
      <c r="BW69" s="3">
        <f>-BW70*BW15</f>
        <v>0</v>
      </c>
      <c r="BX69" s="3">
        <f>-BX70*BX15</f>
        <v>0</v>
      </c>
      <c r="BY69" s="3">
        <f>-BY70*BY15</f>
        <v>0</v>
      </c>
      <c r="BZ69" s="3">
        <f>SUM(BV69:BY69)</f>
        <v>0</v>
      </c>
      <c r="CA69" s="3">
        <f>-CA70*CA15</f>
        <v>0</v>
      </c>
      <c r="CB69" s="3">
        <f>-CB70*CB15</f>
        <v>0</v>
      </c>
      <c r="CC69" s="3">
        <f>-CC70*CC15</f>
        <v>0</v>
      </c>
      <c r="CD69" s="3">
        <f>-CD70*CD15</f>
        <v>0</v>
      </c>
      <c r="CE69" s="3">
        <f>SUM(CA69:CD69)</f>
        <v>0</v>
      </c>
      <c r="CF69" s="3">
        <f>-CF70*CF15</f>
        <v>0</v>
      </c>
      <c r="CG69" s="3">
        <f>-CG70*CG15</f>
        <v>0</v>
      </c>
      <c r="CH69" s="3">
        <f>-CH70*CH15</f>
        <v>0</v>
      </c>
      <c r="CI69" s="3">
        <f>-CI70*CI15</f>
        <v>0</v>
      </c>
      <c r="CJ69" s="3">
        <f>SUM(CF69:CI69)</f>
        <v>0</v>
      </c>
      <c r="CK69" s="3">
        <f>-CK70*CK15</f>
        <v>0</v>
      </c>
      <c r="CL69" s="3">
        <f>-CL70*CL15</f>
        <v>0</v>
      </c>
      <c r="CM69" s="3">
        <f>-CM70*CM15</f>
        <v>0</v>
      </c>
      <c r="CN69" s="3">
        <f>-CN70*CN15</f>
        <v>0</v>
      </c>
      <c r="CO69" s="3">
        <f>SUM(CK69:CN69)</f>
        <v>0</v>
      </c>
      <c r="CP69" s="3">
        <f>-CP70*CP15</f>
        <v>0</v>
      </c>
      <c r="CQ69" s="3">
        <f>-CQ70*CQ15</f>
        <v>0</v>
      </c>
      <c r="CR69" s="3">
        <f>-CR70*CR15</f>
        <v>0</v>
      </c>
      <c r="CS69" s="3">
        <f>-CS70*CS15</f>
        <v>0</v>
      </c>
      <c r="CT69" s="3">
        <f>SUM(CP69:CS69)</f>
        <v>0</v>
      </c>
      <c r="CU69" s="3">
        <f>-CU70*CU15</f>
        <v>0</v>
      </c>
      <c r="CV69" s="3">
        <f>-CV70*CV15</f>
        <v>0</v>
      </c>
      <c r="CW69" s="3">
        <f>-CW70*CW15</f>
        <v>0</v>
      </c>
      <c r="CX69" s="3">
        <f>-CX70*CX15</f>
        <v>0</v>
      </c>
      <c r="CY69" s="3">
        <f>SUM(CU69:CX69)</f>
        <v>0</v>
      </c>
    </row>
    <row r="70" hidden="1" outlineLevel="1" customFormat="1" s="247">
      <c r="A70" s="48" t="n"/>
      <c r="B70" s="48" t="n"/>
      <c r="C70" s="246" t="inlineStr">
        <is>
          <t>% of Revenue</t>
        </is>
      </c>
      <c r="D70" s="48">
        <f>-D69/D15</f>
        <v>0.0347402597402597</v>
      </c>
      <c r="E70" s="48">
        <f>-E69/E15</f>
        <v>0.104500775995861</v>
      </c>
      <c r="F70" s="48">
        <f>-F69/F15</f>
        <v>0.0632670334320779</v>
      </c>
      <c r="G70" s="48">
        <f>-G69/G15</f>
        <v>0.0575654607235659</v>
      </c>
      <c r="H70" s="48" t="n"/>
      <c r="I70" s="48">
        <f>-I69/I15</f>
        <v>0.0496378731672849</v>
      </c>
      <c r="J70" s="48">
        <f>-J69/J15</f>
        <v>0.0439526663593054</v>
      </c>
      <c r="K70" s="48">
        <f>-K69/K15</f>
        <v>0.0419541038997607</v>
      </c>
      <c r="L70" s="48">
        <f>-L69/L15</f>
        <v>0.0404291508569933</v>
      </c>
      <c r="M70" s="48" t="n"/>
      <c r="N70" s="48">
        <f>-N69/N15</f>
        <v>0.0402992277992278</v>
      </c>
      <c r="O70" s="48">
        <f>-O69/O15</f>
        <v>0.0563842482100239</v>
      </c>
      <c r="P70" s="48">
        <f>-P69/P15</f>
        <v>0.0684538863598044</v>
      </c>
      <c r="Q70" s="48">
        <f>-Q69/Q15</f>
        <v>0.0704015865146257</v>
      </c>
      <c r="R70" s="48" t="n"/>
      <c r="S70" s="48">
        <f>-S69/S15</f>
        <v>0.053392658509455</v>
      </c>
      <c r="T70" s="48">
        <f>-T69/T15</f>
        <v>0.0270230250980973</v>
      </c>
      <c r="U70" s="48">
        <f>-U69/U15</f>
        <v>0.0205298013245033</v>
      </c>
      <c r="V70" s="48">
        <f>-V69/V15</f>
        <v>0.0175089354386282</v>
      </c>
      <c r="W70" s="48" t="n"/>
      <c r="X70" s="48">
        <f>-X69/X15</f>
        <v>0.015742589463984</v>
      </c>
      <c r="Y70" s="48">
        <f>-Y69/Y15</f>
        <v>0.0144141145139814</v>
      </c>
      <c r="Z70" s="48">
        <f>-Z69/Z15</f>
        <v>0.0136252209110085</v>
      </c>
      <c r="AA70" s="48">
        <f>-AA69/AA15</f>
        <v>0.0138059037400524</v>
      </c>
      <c r="AB70" s="48" t="n"/>
      <c r="AC70" s="48">
        <f>-AC69/AC15</f>
        <v>0.0138668240206981</v>
      </c>
      <c r="AD70" s="48">
        <f>-AD69/AD15</f>
        <v>0.0143123034465054</v>
      </c>
      <c r="AE70" s="48">
        <f>-AE69/AE15</f>
        <v>0.0131740518541908</v>
      </c>
      <c r="AF70" s="218">
        <f>-AF69/AF15</f>
        <v>0.0119189161419114</v>
      </c>
      <c r="AG70" s="48" t="n"/>
      <c r="AH70" s="218">
        <f>-AH69/AH15</f>
        <v>0.0122158916865772</v>
      </c>
      <c r="AI70" s="218">
        <f>-AI69/AI15</f>
        <v>0.0117126199062575</v>
      </c>
      <c r="AJ70" s="218" t="n"/>
      <c r="AK70" s="218" t="n"/>
      <c r="AL70" s="48" t="n"/>
      <c r="AM70" s="218" t="n"/>
      <c r="AN70" s="218" t="n"/>
      <c r="AO70" s="218" t="n"/>
      <c r="AP70" s="218" t="n"/>
      <c r="AQ70" s="48" t="n"/>
      <c r="AR70" s="218" t="n"/>
      <c r="AS70" s="218" t="n"/>
      <c r="AT70" s="218" t="n"/>
      <c r="AU70" s="218" t="n"/>
      <c r="AV70" s="48" t="n"/>
      <c r="AW70" s="218" t="n"/>
      <c r="AX70" s="218" t="n"/>
      <c r="AY70" s="218" t="n"/>
      <c r="AZ70" s="218" t="n"/>
      <c r="BA70" s="48" t="n"/>
      <c r="BB70" s="218" t="n"/>
      <c r="BC70" s="218" t="n"/>
      <c r="BD70" s="218" t="n"/>
      <c r="BE70" s="218" t="n"/>
      <c r="BF70" s="48" t="n"/>
      <c r="BG70" s="218" t="n"/>
      <c r="BH70" s="218" t="n"/>
      <c r="BI70" s="218" t="n"/>
      <c r="BJ70" s="218" t="n"/>
      <c r="BK70" s="48" t="n"/>
      <c r="BL70" s="218" t="n"/>
      <c r="BM70" s="218" t="n"/>
      <c r="BN70" s="218" t="n"/>
      <c r="BO70" s="218" t="n"/>
      <c r="BP70" s="48" t="n"/>
      <c r="BQ70" s="218" t="n"/>
      <c r="BR70" s="218" t="n"/>
      <c r="BS70" s="218" t="n"/>
      <c r="BT70" s="218" t="n"/>
      <c r="BU70" s="48" t="n"/>
      <c r="BV70" s="218" t="n"/>
      <c r="BW70" s="218" t="n"/>
      <c r="BX70" s="218" t="n"/>
      <c r="BY70" s="218" t="n"/>
      <c r="BZ70" s="48" t="n"/>
      <c r="CA70" s="218" t="n"/>
      <c r="CB70" s="218" t="n"/>
      <c r="CC70" s="218" t="n"/>
      <c r="CD70" s="218" t="n"/>
      <c r="CE70" s="48" t="n"/>
      <c r="CF70" s="218" t="n"/>
      <c r="CG70" s="218" t="n"/>
      <c r="CH70" s="218" t="n"/>
      <c r="CI70" s="218" t="n"/>
      <c r="CJ70" s="48" t="n"/>
      <c r="CK70" s="218" t="n"/>
      <c r="CL70" s="218" t="n"/>
      <c r="CM70" s="218" t="n"/>
      <c r="CN70" s="218" t="n"/>
      <c r="CO70" s="48" t="n"/>
      <c r="CP70" s="218" t="n"/>
      <c r="CQ70" s="218" t="n"/>
      <c r="CR70" s="218" t="n"/>
      <c r="CS70" s="218" t="n"/>
      <c r="CT70" s="48" t="n"/>
      <c r="CU70" s="218" t="n"/>
      <c r="CV70" s="218" t="n"/>
      <c r="CW70" s="218" t="n"/>
      <c r="CX70" s="218" t="n"/>
      <c r="CY70" s="48" t="n"/>
    </row>
    <row r="71" hidden="1" outlineLevel="1">
      <c r="C71" s="32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  <c r="AJ71" s="3" t="n"/>
      <c r="AK71" s="3" t="n"/>
      <c r="AL71" s="3" t="n"/>
      <c r="AM71" s="3" t="n"/>
      <c r="AN71" s="3" t="n"/>
      <c r="AO71" s="3" t="n"/>
      <c r="AP71" s="3" t="n"/>
      <c r="AQ71" s="3" t="n"/>
      <c r="AR71" s="3" t="n"/>
      <c r="AS71" s="3" t="n"/>
      <c r="AT71" s="3" t="n"/>
      <c r="AU71" s="3" t="n"/>
      <c r="AV71" s="3" t="n"/>
      <c r="AW71" s="3" t="n"/>
      <c r="AX71" s="3" t="n"/>
      <c r="AY71" s="3" t="n"/>
      <c r="AZ71" s="3" t="n"/>
      <c r="BA71" s="3" t="n"/>
      <c r="BB71" s="3" t="n"/>
      <c r="BC71" s="3" t="n"/>
      <c r="BD71" s="3" t="n"/>
      <c r="BE71" s="3" t="n"/>
      <c r="BF71" s="3" t="n"/>
      <c r="BG71" s="3" t="n"/>
      <c r="BH71" s="3" t="n"/>
      <c r="BI71" s="3" t="n"/>
      <c r="BJ71" s="3" t="n"/>
      <c r="BK71" s="3" t="n"/>
      <c r="BL71" s="3" t="n"/>
      <c r="BM71" s="3" t="n"/>
      <c r="BN71" s="3" t="n"/>
      <c r="BO71" s="3" t="n"/>
      <c r="BP71" s="3" t="n"/>
      <c r="BQ71" s="3" t="n"/>
      <c r="BR71" s="3" t="n"/>
      <c r="BS71" s="3" t="n"/>
      <c r="BT71" s="3" t="n"/>
      <c r="BU71" s="3" t="n"/>
      <c r="BV71" s="3" t="n"/>
      <c r="BW71" s="3" t="n"/>
      <c r="BX71" s="3" t="n"/>
      <c r="BY71" s="3" t="n"/>
      <c r="BZ71" s="3" t="n"/>
      <c r="CA71" s="3" t="n"/>
      <c r="CB71" s="3" t="n"/>
      <c r="CC71" s="3" t="n"/>
      <c r="CD71" s="3" t="n"/>
      <c r="CE71" s="3" t="n"/>
      <c r="CF71" s="3" t="n"/>
      <c r="CG71" s="3" t="n"/>
      <c r="CH71" s="3" t="n"/>
      <c r="CI71" s="3" t="n"/>
      <c r="CJ71" s="3" t="n"/>
      <c r="CK71" s="3" t="n"/>
      <c r="CL71" s="3" t="n"/>
      <c r="CM71" s="3" t="n"/>
      <c r="CN71" s="3" t="n"/>
      <c r="CO71" s="3" t="n"/>
      <c r="CP71" s="3" t="n"/>
      <c r="CQ71" s="3" t="n"/>
      <c r="CR71" s="3" t="n"/>
      <c r="CS71" s="3" t="n"/>
      <c r="CT71" s="3" t="n"/>
      <c r="CU71" s="3" t="n"/>
      <c r="CV71" s="3" t="n"/>
      <c r="CW71" s="3" t="n"/>
      <c r="CX71" s="3" t="n"/>
      <c r="CY71" s="3" t="n"/>
    </row>
    <row r="72" collapsed="1" customFormat="1" s="17">
      <c r="A72" s="13" t="n"/>
      <c r="B72" s="1" t="n"/>
      <c r="C72" s="14" t="inlineStr">
        <is>
          <t>Operating Profit - EBIT</t>
        </is>
      </c>
      <c r="D72" s="16">
        <f>SUM(D68,D69)</f>
        <v>976</v>
      </c>
      <c r="E72" s="16">
        <f>SUM(E68,E69)</f>
        <v>651</v>
      </c>
      <c r="F72" s="16">
        <f>SUM(F68,F69)</f>
        <v>1398</v>
      </c>
      <c r="G72" s="16">
        <f>SUM(G68,G69)</f>
        <v>1507</v>
      </c>
      <c r="H72" s="16">
        <f>SUM(D72:G72)</f>
        <v>4532</v>
      </c>
      <c r="I72" s="16">
        <f>SUM(I68,I69)</f>
        <v>1956</v>
      </c>
      <c r="J72" s="16">
        <f>SUM(J68,J69)</f>
        <v>2444</v>
      </c>
      <c r="K72" s="16">
        <f>SUM(K68,K69)</f>
        <v>2671</v>
      </c>
      <c r="L72" s="16">
        <f>SUM(L68,L69)</f>
        <v>2970</v>
      </c>
      <c r="M72" s="16">
        <f>SUM(I72:L72)</f>
        <v>10041</v>
      </c>
      <c r="N72" s="16">
        <f>SUM(N68,N69)</f>
        <v>1868</v>
      </c>
      <c r="O72" s="16">
        <f>SUM(O68,O69)</f>
        <v>499</v>
      </c>
      <c r="P72" s="16">
        <f>SUM(P68,P69)</f>
        <v>601</v>
      </c>
      <c r="Q72" s="16">
        <f>SUM(Q68,Q69)</f>
        <v>1256</v>
      </c>
      <c r="R72" s="16">
        <f>SUM(N72:Q72)</f>
        <v>4224</v>
      </c>
      <c r="S72" s="16">
        <f>SUM(S68,S69)</f>
        <v>2140</v>
      </c>
      <c r="T72" s="16">
        <f>SUM(T68,T69)</f>
        <v>6800</v>
      </c>
      <c r="U72" s="16">
        <f>SUM(U68,U69)</f>
        <v>10417</v>
      </c>
      <c r="V72" s="16">
        <f>SUM(V68,V69)</f>
        <v>13614</v>
      </c>
      <c r="W72" s="16">
        <f>SUM(S72:V72)</f>
        <v>32971</v>
      </c>
      <c r="X72" s="16">
        <f>SUM(X68,X69)</f>
        <v>16909</v>
      </c>
      <c r="Y72" s="16">
        <f>SUM(Y68,Y69)</f>
        <v>18642</v>
      </c>
      <c r="Z72" s="16">
        <f>SUM(Z68,Z69)</f>
        <v>21869</v>
      </c>
      <c r="AA72" s="16">
        <f>SUM(AA68,AA69)</f>
        <v>24034</v>
      </c>
      <c r="AB72" s="16">
        <f>SUM(X72:AA72)</f>
        <v>81454</v>
      </c>
      <c r="AC72" s="16">
        <f>SUM(AC68,AC69)</f>
        <v>21638</v>
      </c>
      <c r="AD72" s="16">
        <f>SUM(AD68,AD69)</f>
        <v>28440</v>
      </c>
      <c r="AE72" s="16">
        <f>SUM(AE68,AE69)</f>
        <v>36010</v>
      </c>
      <c r="AF72" s="16">
        <f>SUM(AF68,AF69)</f>
        <v>44299</v>
      </c>
      <c r="AG72" s="16">
        <f>SUM(AC72:AF72)</f>
        <v>130387</v>
      </c>
      <c r="AH72" s="16">
        <f>SUM(AH68,AH69)</f>
        <v>53536</v>
      </c>
      <c r="AI72" s="16">
        <f>SUM(AI68,AI69)</f>
        <v>63734</v>
      </c>
      <c r="AJ72" s="16">
        <f>SUM(AJ68,AJ69)</f>
        <v>0</v>
      </c>
      <c r="AK72" s="16">
        <f>SUM(AK68,AK69)</f>
        <v>0</v>
      </c>
      <c r="AL72" s="16">
        <f>SUM(AL68,AL69)</f>
        <v>117270</v>
      </c>
      <c r="AM72" s="16">
        <f>SUM(AM68,AM69)</f>
        <v>0</v>
      </c>
      <c r="AN72" s="16">
        <f>SUM(AN68,AN69)</f>
        <v>0</v>
      </c>
      <c r="AO72" s="16">
        <f>SUM(AO68,AO69)</f>
        <v>0</v>
      </c>
      <c r="AP72" s="16">
        <f>SUM(AP68,AP69)</f>
        <v>0</v>
      </c>
      <c r="AQ72" s="16">
        <f>SUM(AQ68,AQ69)</f>
        <v>0</v>
      </c>
      <c r="AR72" s="16">
        <f>SUM(AR68,AR69)</f>
        <v>0</v>
      </c>
      <c r="AS72" s="16">
        <f>SUM(AS68,AS69)</f>
        <v>0</v>
      </c>
      <c r="AT72" s="16">
        <f>SUM(AT68,AT69)</f>
        <v>0</v>
      </c>
      <c r="AU72" s="16">
        <f>SUM(AU68,AU69)</f>
        <v>0</v>
      </c>
      <c r="AV72" s="16">
        <f>SUM(AV68,AV69)</f>
        <v>0</v>
      </c>
      <c r="AW72" s="16">
        <f>SUM(AW68,AW69)</f>
        <v>0</v>
      </c>
      <c r="AX72" s="16">
        <f>SUM(AX68,AX69)</f>
        <v>0</v>
      </c>
      <c r="AY72" s="16">
        <f>SUM(AY68,AY69)</f>
        <v>0</v>
      </c>
      <c r="AZ72" s="16">
        <f>SUM(AZ68,AZ69)</f>
        <v>0</v>
      </c>
      <c r="BA72" s="16">
        <f>SUM(BA68,BA69)</f>
        <v>0</v>
      </c>
      <c r="BB72" s="16">
        <f>SUM(BB68,BB69)</f>
        <v>0</v>
      </c>
      <c r="BC72" s="16">
        <f>SUM(BC68,BC69)</f>
        <v>0</v>
      </c>
      <c r="BD72" s="16">
        <f>SUM(BD68,BD69)</f>
        <v>0</v>
      </c>
      <c r="BE72" s="16">
        <f>SUM(BE68,BE69)</f>
        <v>0</v>
      </c>
      <c r="BF72" s="16">
        <f>SUM(BF68,BF69)</f>
        <v>0</v>
      </c>
      <c r="BG72" s="16">
        <f>SUM(BG68,BG69)</f>
        <v>0</v>
      </c>
      <c r="BH72" s="16">
        <f>SUM(BH68,BH69)</f>
        <v>0</v>
      </c>
      <c r="BI72" s="16">
        <f>SUM(BI68,BI69)</f>
        <v>0</v>
      </c>
      <c r="BJ72" s="16">
        <f>SUM(BJ68,BJ69)</f>
        <v>0</v>
      </c>
      <c r="BK72" s="16">
        <f>SUM(BK68,BK69)</f>
        <v>0</v>
      </c>
      <c r="BL72" s="16">
        <f>SUM(BL68,BL69)</f>
        <v>0</v>
      </c>
      <c r="BM72" s="16">
        <f>SUM(BM68,BM69)</f>
        <v>0</v>
      </c>
      <c r="BN72" s="16">
        <f>SUM(BN68,BN69)</f>
        <v>0</v>
      </c>
      <c r="BO72" s="16">
        <f>SUM(BO68,BO69)</f>
        <v>0</v>
      </c>
      <c r="BP72" s="16">
        <f>SUM(BP68,BP69)</f>
        <v>0</v>
      </c>
      <c r="BQ72" s="16">
        <f>SUM(BQ68,BQ69)</f>
        <v>0</v>
      </c>
      <c r="BR72" s="16">
        <f>SUM(BR68,BR69)</f>
        <v>0</v>
      </c>
      <c r="BS72" s="16">
        <f>SUM(BS68,BS69)</f>
        <v>0</v>
      </c>
      <c r="BT72" s="16">
        <f>SUM(BT68,BT69)</f>
        <v>0</v>
      </c>
      <c r="BU72" s="16">
        <f>SUM(BU68,BU69)</f>
        <v>0</v>
      </c>
      <c r="BV72" s="16">
        <f>SUM(BV68,BV69)</f>
        <v>0</v>
      </c>
      <c r="BW72" s="16">
        <f>SUM(BW68,BW69)</f>
        <v>0</v>
      </c>
      <c r="BX72" s="16">
        <f>SUM(BX68,BX69)</f>
        <v>0</v>
      </c>
      <c r="BY72" s="16">
        <f>SUM(BY68,BY69)</f>
        <v>0</v>
      </c>
      <c r="BZ72" s="16">
        <f>SUM(BZ68,BZ69)</f>
        <v>0</v>
      </c>
      <c r="CA72" s="16">
        <f>SUM(CA68,CA69)</f>
        <v>0</v>
      </c>
      <c r="CB72" s="16">
        <f>SUM(CB68,CB69)</f>
        <v>0</v>
      </c>
      <c r="CC72" s="16">
        <f>SUM(CC68,CC69)</f>
        <v>0</v>
      </c>
      <c r="CD72" s="16">
        <f>SUM(CD68,CD69)</f>
        <v>0</v>
      </c>
      <c r="CE72" s="16">
        <f>SUM(CE68,CE69)</f>
        <v>0</v>
      </c>
      <c r="CF72" s="16">
        <f>SUM(CF68,CF69)</f>
        <v>0</v>
      </c>
      <c r="CG72" s="16">
        <f>SUM(CG68,CG69)</f>
        <v>0</v>
      </c>
      <c r="CH72" s="16">
        <f>SUM(CH68,CH69)</f>
        <v>0</v>
      </c>
      <c r="CI72" s="16">
        <f>SUM(CI68,CI69)</f>
        <v>0</v>
      </c>
      <c r="CJ72" s="16">
        <f>SUM(CJ68,CJ69)</f>
        <v>0</v>
      </c>
      <c r="CK72" s="16">
        <f>SUM(CK68,CK69)</f>
        <v>0</v>
      </c>
      <c r="CL72" s="16">
        <f>SUM(CL68,CL69)</f>
        <v>0</v>
      </c>
      <c r="CM72" s="16">
        <f>SUM(CM68,CM69)</f>
        <v>0</v>
      </c>
      <c r="CN72" s="16">
        <f>SUM(CN68,CN69)</f>
        <v>0</v>
      </c>
      <c r="CO72" s="16">
        <f>SUM(CO68,CO69)</f>
        <v>0</v>
      </c>
      <c r="CP72" s="16">
        <f>SUM(CP68,CP69)</f>
        <v>0</v>
      </c>
      <c r="CQ72" s="16">
        <f>SUM(CQ68,CQ69)</f>
        <v>0</v>
      </c>
      <c r="CR72" s="16">
        <f>SUM(CR68,CR69)</f>
        <v>0</v>
      </c>
      <c r="CS72" s="16">
        <f>SUM(CS68,CS69)</f>
        <v>0</v>
      </c>
      <c r="CT72" s="16">
        <f>SUM(CT68,CT69)</f>
        <v>0</v>
      </c>
      <c r="CU72" s="16">
        <f>SUM(CU68,CU69)</f>
        <v>0</v>
      </c>
      <c r="CV72" s="16">
        <f>SUM(CV68,CV69)</f>
        <v>0</v>
      </c>
      <c r="CW72" s="16">
        <f>SUM(CW68,CW69)</f>
        <v>0</v>
      </c>
      <c r="CX72" s="16">
        <f>SUM(CX68,CX69)</f>
        <v>0</v>
      </c>
      <c r="CY72" s="16">
        <f>SUM(CY68,CY69)</f>
        <v>0</v>
      </c>
    </row>
    <row r="73">
      <c r="C73" s="26" t="inlineStr">
        <is>
          <t>Interest Expense</t>
        </is>
      </c>
      <c r="D73" s="25">
        <f>INDEX('Inputs (2)'!$D$8:$AL$8,MATCH(D$7,'Inputs (2)'!$D$2:$AL$2,0))</f>
        <v>-25</v>
      </c>
      <c r="E73" s="25">
        <f>INDEX('Inputs (2)'!$D$8:$AL$8,MATCH(E$7,'Inputs (2)'!$D$2:$AL$2,0))</f>
        <v>-54</v>
      </c>
      <c r="F73" s="25">
        <f>INDEX('Inputs (2)'!$D$8:$AL$8,MATCH(F$7,'Inputs (2)'!$D$2:$AL$2,0))</f>
        <v>-53</v>
      </c>
      <c r="G73" s="25">
        <f>INDEX('Inputs (2)'!$D$8:$AL$8,MATCH(G$7,'Inputs (2)'!$D$2:$AL$2,0))</f>
        <v>-53</v>
      </c>
      <c r="H73" s="3">
        <f>SUM(D73:G73)</f>
        <v>-185</v>
      </c>
      <c r="I73" s="25">
        <f>INDEX('Inputs (2)'!$D$8:$AL$8,MATCH(I$7,'Inputs (2)'!$D$2:$AL$2,0))</f>
        <v>-53</v>
      </c>
      <c r="J73" s="25">
        <f>INDEX('Inputs (2)'!$D$8:$AL$8,MATCH(J$7,'Inputs (2)'!$D$2:$AL$2,0))</f>
        <v>-60</v>
      </c>
      <c r="K73" s="25">
        <f>INDEX('Inputs (2)'!$D$8:$AL$8,MATCH(K$7,'Inputs (2)'!$D$2:$AL$2,0))</f>
        <v>-62</v>
      </c>
      <c r="L73" s="25">
        <f>INDEX('Inputs (2)'!$D$8:$AL$8,MATCH(L$7,'Inputs (2)'!$D$2:$AL$2,0))</f>
        <v>-61</v>
      </c>
      <c r="M73" s="3">
        <f>SUM(I73:L73)</f>
        <v>-236</v>
      </c>
      <c r="N73" s="25">
        <f>INDEX('Inputs (2)'!$D$8:$AL$8,MATCH(N$7,'Inputs (2)'!$D$2:$AL$2,0))</f>
        <v>-68</v>
      </c>
      <c r="O73" s="25">
        <f>INDEX('Inputs (2)'!$D$8:$AL$8,MATCH(O$7,'Inputs (2)'!$D$2:$AL$2,0))</f>
        <v>-65</v>
      </c>
      <c r="P73" s="25">
        <f>INDEX('Inputs (2)'!$D$8:$AL$8,MATCH(P$7,'Inputs (2)'!$D$2:$AL$2,0))</f>
        <v>-65</v>
      </c>
      <c r="Q73" s="25">
        <f>INDEX('Inputs (2)'!$D$8:$AL$8,MATCH(Q$7,'Inputs (2)'!$D$2:$AL$2,0))</f>
        <v>-64</v>
      </c>
      <c r="R73" s="3">
        <f>SUM(N73:Q73)</f>
        <v>-262</v>
      </c>
      <c r="S73" s="25">
        <f>INDEX('Inputs (2)'!$D$8:$AL$8,MATCH(S$7,'Inputs (2)'!$D$2:$AL$2,0))</f>
        <v>-66</v>
      </c>
      <c r="T73" s="25">
        <f>INDEX('Inputs (2)'!$D$8:$AL$8,MATCH(T$7,'Inputs (2)'!$D$2:$AL$2,0))</f>
        <v>-65</v>
      </c>
      <c r="U73" s="25">
        <f>INDEX('Inputs (2)'!$D$8:$AL$8,MATCH(U$7,'Inputs (2)'!$D$2:$AL$2,0))</f>
        <v>-63</v>
      </c>
      <c r="V73" s="25">
        <f>INDEX('Inputs (2)'!$D$8:$AL$8,MATCH(V$7,'Inputs (2)'!$D$2:$AL$2,0))</f>
        <v>-63</v>
      </c>
      <c r="W73" s="3">
        <f>SUM(S73:V73)</f>
        <v>-257</v>
      </c>
      <c r="X73" s="25">
        <f>INDEX('Inputs (2)'!$D$8:$AL$8,MATCH(X$7,'Inputs (2)'!$D$2:$AL$2,0))</f>
        <v>-64</v>
      </c>
      <c r="Y73" s="25">
        <f>INDEX('Inputs (2)'!$D$8:$AL$8,MATCH(Y$7,'Inputs (2)'!$D$2:$AL$2,0))</f>
        <v>-61</v>
      </c>
      <c r="Z73" s="25">
        <f>INDEX('Inputs (2)'!$D$8:$AL$8,MATCH(Z$7,'Inputs (2)'!$D$2:$AL$2,0))</f>
        <v>-61</v>
      </c>
      <c r="AA73" s="25">
        <f>INDEX('Inputs (2)'!$D$8:$AL$8,MATCH(AA$7,'Inputs (2)'!$D$2:$AL$2,0))</f>
        <v>-61</v>
      </c>
      <c r="AB73" s="3">
        <f>SUM(X73:AA73)</f>
        <v>-247</v>
      </c>
      <c r="AC73" s="25">
        <f>INDEX('Inputs (2)'!$D$8:$AL$8,MATCH(AC$7,'Inputs (2)'!$D$2:$AL$2,0))</f>
        <v>-63</v>
      </c>
      <c r="AD73" s="25">
        <f>INDEX('Inputs (2)'!$D$8:$AL$8,MATCH(AD$7,'Inputs (2)'!$D$2:$AL$2,0))</f>
        <v>-62</v>
      </c>
      <c r="AE73" s="25">
        <f>INDEX('Inputs (2)'!$D$8:$AL$8,MATCH(AE$7,'Inputs (2)'!$D$2:$AL$2,0))</f>
        <v>-61</v>
      </c>
      <c r="AF73" s="25">
        <f>INDEX('Inputs (2)'!$D$8:$AL$8,MATCH(AF$7,'Inputs (2)'!$D$2:$AL$2,0))</f>
        <v>-73</v>
      </c>
      <c r="AG73" s="3">
        <f>SUM(AC73:AF73)</f>
        <v>-259</v>
      </c>
      <c r="AH73" s="3">
        <f>INDEX('Inputs (2)'!$D$8:$AL$8,MATCH(AH$7,'Inputs (2)'!$D$2:$AL$2,0))</f>
        <v>-102</v>
      </c>
      <c r="AI73" s="3">
        <f>INDEX('Inputs (2)'!$D$8:$AL$8,MATCH(AI$7,'Inputs (2)'!$D$2:$AL$2,0))</f>
        <v>-227</v>
      </c>
      <c r="AJ73" s="3" t="n"/>
      <c r="AK73" s="3" t="n"/>
      <c r="AL73" s="3">
        <f>SUM(AH73:AK73)</f>
        <v>-329</v>
      </c>
      <c r="AM73" s="3" t="n"/>
      <c r="AN73" s="3" t="n"/>
      <c r="AO73" s="3" t="n"/>
      <c r="AP73" s="3" t="n"/>
      <c r="AQ73" s="3">
        <f>SUM(AM73:AP73)</f>
        <v>0</v>
      </c>
      <c r="AR73" s="3" t="n"/>
      <c r="AS73" s="3" t="n"/>
      <c r="AT73" s="3" t="n"/>
      <c r="AU73" s="3" t="n"/>
      <c r="AV73" s="3">
        <f>SUM(AR73:AU73)</f>
        <v>0</v>
      </c>
      <c r="AW73" s="3" t="n"/>
      <c r="AX73" s="3" t="n"/>
      <c r="AY73" s="3" t="n"/>
      <c r="AZ73" s="3" t="n"/>
      <c r="BA73" s="3">
        <f>SUM(AW73:AZ73)</f>
        <v>0</v>
      </c>
      <c r="BB73" s="3" t="n"/>
      <c r="BC73" s="3" t="n"/>
      <c r="BD73" s="3" t="n"/>
      <c r="BE73" s="3" t="n"/>
      <c r="BF73" s="3">
        <f>SUM(BB73:BE73)</f>
        <v>0</v>
      </c>
      <c r="BG73" s="3" t="n"/>
      <c r="BH73" s="3" t="n"/>
      <c r="BI73" s="3" t="n"/>
      <c r="BJ73" s="3" t="n"/>
      <c r="BK73" s="3">
        <f>SUM(BG73:BJ73)</f>
        <v>0</v>
      </c>
      <c r="BL73" s="3" t="n"/>
      <c r="BM73" s="3" t="n"/>
      <c r="BN73" s="3" t="n"/>
      <c r="BO73" s="3" t="n"/>
      <c r="BP73" s="3">
        <f>SUM(BL73:BO73)</f>
        <v>0</v>
      </c>
      <c r="BQ73" s="3" t="n"/>
      <c r="BR73" s="3" t="n"/>
      <c r="BS73" s="3" t="n"/>
      <c r="BT73" s="3" t="n"/>
      <c r="BU73" s="3">
        <f>SUM(BQ73:BT73)</f>
        <v>0</v>
      </c>
      <c r="BV73" s="3" t="n"/>
      <c r="BW73" s="3" t="n"/>
      <c r="BX73" s="3" t="n"/>
      <c r="BY73" s="3" t="n"/>
      <c r="BZ73" s="3">
        <f>SUM(BV73:BY73)</f>
        <v>0</v>
      </c>
      <c r="CA73" s="3" t="n"/>
      <c r="CB73" s="3" t="n"/>
      <c r="CC73" s="3" t="n"/>
      <c r="CD73" s="3" t="n"/>
      <c r="CE73" s="3">
        <f>SUM(CA73:CD73)</f>
        <v>0</v>
      </c>
      <c r="CF73" s="3" t="n"/>
      <c r="CG73" s="3" t="n"/>
      <c r="CH73" s="3" t="n"/>
      <c r="CI73" s="3" t="n"/>
      <c r="CJ73" s="3">
        <f>SUM(CF73:CI73)</f>
        <v>0</v>
      </c>
      <c r="CK73" s="3" t="n"/>
      <c r="CL73" s="3" t="n"/>
      <c r="CM73" s="3" t="n"/>
      <c r="CN73" s="3" t="n"/>
      <c r="CO73" s="3">
        <f>SUM(CK73:CN73)</f>
        <v>0</v>
      </c>
      <c r="CP73" s="3" t="n"/>
      <c r="CQ73" s="3" t="n"/>
      <c r="CR73" s="3" t="n"/>
      <c r="CS73" s="3" t="n"/>
      <c r="CT73" s="3">
        <f>SUM(CP73:CS73)</f>
        <v>0</v>
      </c>
      <c r="CU73" s="3" t="n"/>
      <c r="CV73" s="3" t="n"/>
      <c r="CW73" s="3" t="n"/>
      <c r="CX73" s="3" t="n"/>
      <c r="CY73" s="3">
        <f>SUM(CU73:CX73)</f>
        <v>0</v>
      </c>
    </row>
    <row r="74" hidden="1" outlineLevel="1">
      <c r="C74" s="32" t="inlineStr">
        <is>
          <t>% of Debt</t>
        </is>
      </c>
      <c r="D74" s="48">
        <f>IFERROR(-D73/SUM(D211+D216),0)</f>
        <v>0.00359247018249749</v>
      </c>
      <c r="E74" s="48">
        <f>IFERROR(-E73/SUM(E211+E216),0)</f>
        <v>0.00775862068965517</v>
      </c>
      <c r="F74" s="48">
        <f>IFERROR(-F73/SUM(F211+F216),0)</f>
        <v>0.00761384858497342</v>
      </c>
      <c r="G74" s="48">
        <f>IFERROR(-G73/SUM(G211+G216),0)</f>
        <v>0.00761166164009766</v>
      </c>
      <c r="H74" s="3" t="n"/>
      <c r="I74" s="48">
        <f>IFERROR(-I73/SUM(I211+I216),0)</f>
        <v>0.00761166164009766</v>
      </c>
      <c r="J74" s="48">
        <f>IFERROR(-J73/SUM(J211+J216),0)</f>
        <v>0.00502386335091686</v>
      </c>
      <c r="K74" s="48">
        <f>IFERROR(-K73/SUM(K211+K216),0)</f>
        <v>0.00566520467836257</v>
      </c>
      <c r="L74" s="48">
        <f>IFERROR(-L73/SUM(L211+L216),0)</f>
        <v>0.00557281198611365</v>
      </c>
      <c r="M74" s="3" t="n"/>
      <c r="N74" s="48">
        <f>IFERROR(-N73/SUM(N211+N216),0)</f>
        <v>0.00621174751073353</v>
      </c>
      <c r="O74" s="48">
        <f>IFERROR(-O73/SUM(O211+O216),0)</f>
        <v>0.00593661521600146</v>
      </c>
      <c r="P74" s="48">
        <f>IFERROR(-P73/SUM(P211+P216),0)</f>
        <v>0.00593607305936073</v>
      </c>
      <c r="Q74" s="48">
        <f>IFERROR(-Q73/SUM(Q211+Q216),0)</f>
        <v>0.00584314799598284</v>
      </c>
      <c r="R74" s="3" t="n"/>
      <c r="S74" s="48">
        <f>IFERROR(-S73/SUM(S211+S216),0)</f>
        <v>0.00602519627533321</v>
      </c>
      <c r="T74" s="48">
        <f>IFERROR(-T73/SUM(T211+T216),0)</f>
        <v>0.00669757856774858</v>
      </c>
      <c r="U74" s="48">
        <f>IFERROR(-U73/SUM(U211+U216),0)</f>
        <v>0.0064908304141768</v>
      </c>
      <c r="V74" s="48">
        <f>IFERROR(-V73/SUM(V211+V216),0)</f>
        <v>0.00648882480173035</v>
      </c>
      <c r="W74" s="3" t="n"/>
      <c r="X74" s="48">
        <f>IFERROR(-X73/SUM(X211+X216),0)</f>
        <v>0.00659114315139032</v>
      </c>
      <c r="Y74" s="48">
        <f>IFERROR(-Y73/SUM(Y211+Y216),0)</f>
        <v>0.00720954969861719</v>
      </c>
      <c r="Z74" s="48">
        <f>IFERROR(-Z73/SUM(Z211+Z216),0)</f>
        <v>0.00720869770739778</v>
      </c>
      <c r="AA74" s="48">
        <f>IFERROR(-AA73/SUM(AA211+AA216),0)</f>
        <v>0.00720784591752334</v>
      </c>
      <c r="AB74" s="3" t="n"/>
      <c r="AC74" s="48">
        <f>IFERROR(-AC73/SUM(AC211+AC216),0)</f>
        <v>0.00744328922495274</v>
      </c>
      <c r="AD74" s="48">
        <f>IFERROR(-AD73/SUM(AD211+AD216),0)</f>
        <v>0.00732341129222773</v>
      </c>
      <c r="AE74" s="48">
        <f>IFERROR(-AE73/SUM(AE211+AE216),0)</f>
        <v>0.00720444077004842</v>
      </c>
      <c r="AF74" s="231">
        <f>IFERROR(-AF73/SUM(AF211+AF216),0)</f>
        <v>0.00862068965517241</v>
      </c>
      <c r="AG74" s="3" t="n"/>
      <c r="AH74" s="6">
        <f>IFERROR(-AH73/SUM(AH211+AH216),0)</f>
        <v>0.0120425029515939</v>
      </c>
      <c r="AI74" s="6">
        <f>IFERROR(-AI73/SUM(AI211+AI216),0)</f>
        <v>0.00680333273392076</v>
      </c>
      <c r="AJ74" s="6" t="n"/>
      <c r="AK74" s="6" t="n"/>
      <c r="AL74" s="3" t="n"/>
      <c r="AM74" s="6" t="n"/>
      <c r="AN74" s="6" t="n"/>
      <c r="AO74" s="6" t="n"/>
      <c r="AP74" s="6" t="n"/>
      <c r="AQ74" s="3" t="n"/>
      <c r="AR74" s="6" t="n"/>
      <c r="AS74" s="6" t="n"/>
      <c r="AT74" s="6" t="n"/>
      <c r="AU74" s="6" t="n"/>
      <c r="AV74" s="3" t="n"/>
      <c r="AW74" s="6" t="n"/>
      <c r="AX74" s="6" t="n"/>
      <c r="AY74" s="6" t="n"/>
      <c r="AZ74" s="6" t="n"/>
      <c r="BA74" s="3" t="n"/>
      <c r="BB74" s="6" t="n"/>
      <c r="BC74" s="6" t="n"/>
      <c r="BD74" s="6" t="n"/>
      <c r="BE74" s="6" t="n"/>
      <c r="BF74" s="3" t="n"/>
      <c r="BG74" s="6" t="n"/>
      <c r="BH74" s="6" t="n"/>
      <c r="BI74" s="6" t="n"/>
      <c r="BJ74" s="6" t="n"/>
      <c r="BK74" s="3" t="n"/>
      <c r="BL74" s="6" t="n"/>
      <c r="BM74" s="6" t="n"/>
      <c r="BN74" s="6" t="n"/>
      <c r="BO74" s="6" t="n"/>
      <c r="BP74" s="3" t="n"/>
      <c r="BQ74" s="6" t="n"/>
      <c r="BR74" s="6" t="n"/>
      <c r="BS74" s="6" t="n"/>
      <c r="BT74" s="6" t="n"/>
      <c r="BU74" s="3" t="n"/>
      <c r="BV74" s="6" t="n"/>
      <c r="BW74" s="6" t="n"/>
      <c r="BX74" s="6" t="n"/>
      <c r="BY74" s="6" t="n"/>
      <c r="BZ74" s="3" t="n"/>
      <c r="CA74" s="6" t="n"/>
      <c r="CB74" s="6" t="n"/>
      <c r="CC74" s="6" t="n"/>
      <c r="CD74" s="6" t="n"/>
      <c r="CE74" s="3" t="n"/>
      <c r="CF74" s="6" t="n"/>
      <c r="CG74" s="6" t="n"/>
      <c r="CH74" s="6" t="n"/>
      <c r="CI74" s="6" t="n"/>
      <c r="CJ74" s="3" t="n"/>
      <c r="CK74" s="6" t="n"/>
      <c r="CL74" s="6" t="n"/>
      <c r="CM74" s="6" t="n"/>
      <c r="CN74" s="6" t="n"/>
      <c r="CO74" s="3" t="n"/>
      <c r="CP74" s="6" t="n"/>
      <c r="CQ74" s="6" t="n"/>
      <c r="CR74" s="6" t="n"/>
      <c r="CS74" s="6" t="n"/>
      <c r="CT74" s="3" t="n"/>
      <c r="CU74" s="6" t="n"/>
      <c r="CV74" s="6" t="n"/>
      <c r="CW74" s="6" t="n"/>
      <c r="CX74" s="6" t="n"/>
      <c r="CY74" s="3" t="n"/>
    </row>
    <row r="75" hidden="1" outlineLevel="1">
      <c r="C75" s="32" t="inlineStr">
        <is>
          <t>%CDI</t>
        </is>
      </c>
      <c r="D75" s="6" t="n"/>
      <c r="E75" s="6" t="n"/>
      <c r="F75" s="6" t="n"/>
      <c r="G75" s="6" t="n"/>
      <c r="H75" s="3" t="n"/>
      <c r="I75" s="6" t="n"/>
      <c r="J75" s="6" t="n"/>
      <c r="K75" s="6" t="n"/>
      <c r="L75" s="6" t="n"/>
      <c r="M75" s="3" t="n"/>
      <c r="N75" s="6" t="n"/>
      <c r="O75" s="6" t="n"/>
      <c r="P75" s="6" t="n"/>
      <c r="Q75" s="6" t="n"/>
      <c r="R75" s="3" t="n"/>
      <c r="S75" s="6" t="n"/>
      <c r="T75" s="6" t="n"/>
      <c r="U75" s="6" t="n"/>
      <c r="V75" s="6" t="n"/>
      <c r="W75" s="3" t="n"/>
      <c r="X75" s="6" t="n"/>
      <c r="Y75" s="6" t="n"/>
      <c r="Z75" s="6" t="n"/>
      <c r="AA75" s="6" t="n"/>
      <c r="AB75" s="3" t="n"/>
      <c r="AC75" s="6" t="n"/>
      <c r="AD75" s="6" t="n"/>
      <c r="AE75" s="6" t="n"/>
      <c r="AF75" s="6" t="n"/>
      <c r="AG75" s="3" t="n"/>
      <c r="AH75" s="6" t="n"/>
      <c r="AI75" s="6" t="n"/>
      <c r="AJ75" s="6" t="n"/>
      <c r="AK75" s="6" t="n"/>
      <c r="AL75" s="3" t="n"/>
      <c r="AM75" s="6" t="n"/>
      <c r="AN75" s="6" t="n"/>
      <c r="AO75" s="6" t="n"/>
      <c r="AP75" s="6" t="n"/>
      <c r="AQ75" s="3" t="n"/>
      <c r="AR75" s="6" t="n"/>
      <c r="AS75" s="6" t="n"/>
      <c r="AT75" s="6" t="n"/>
      <c r="AU75" s="6" t="n"/>
      <c r="AV75" s="3" t="n"/>
      <c r="AW75" s="6" t="n"/>
      <c r="AX75" s="6" t="n"/>
      <c r="AY75" s="6" t="n"/>
      <c r="AZ75" s="6" t="n"/>
      <c r="BA75" s="3" t="n"/>
      <c r="BB75" s="6" t="n"/>
      <c r="BC75" s="6" t="n"/>
      <c r="BD75" s="6" t="n"/>
      <c r="BE75" s="6" t="n"/>
      <c r="BF75" s="3" t="n"/>
      <c r="BG75" s="6" t="n"/>
      <c r="BH75" s="6" t="n"/>
      <c r="BI75" s="6" t="n"/>
      <c r="BJ75" s="6" t="n"/>
      <c r="BK75" s="3" t="n"/>
      <c r="BL75" s="6" t="n"/>
      <c r="BM75" s="6" t="n"/>
      <c r="BN75" s="6" t="n"/>
      <c r="BO75" s="6" t="n"/>
      <c r="BP75" s="3" t="n"/>
      <c r="BQ75" s="6" t="n"/>
      <c r="BR75" s="6" t="n"/>
      <c r="BS75" s="6" t="n"/>
      <c r="BT75" s="6" t="n"/>
      <c r="BU75" s="3" t="n"/>
      <c r="BV75" s="6" t="n"/>
      <c r="BW75" s="6" t="n"/>
      <c r="BX75" s="6" t="n"/>
      <c r="BY75" s="6" t="n"/>
      <c r="BZ75" s="3" t="n"/>
      <c r="CA75" s="6" t="n"/>
      <c r="CB75" s="6" t="n"/>
      <c r="CC75" s="6" t="n"/>
      <c r="CD75" s="6" t="n"/>
      <c r="CE75" s="3" t="n"/>
      <c r="CF75" s="6" t="n"/>
      <c r="CG75" s="6" t="n"/>
      <c r="CH75" s="6" t="n"/>
      <c r="CI75" s="6" t="n"/>
      <c r="CJ75" s="3" t="n"/>
      <c r="CK75" s="6" t="n"/>
      <c r="CL75" s="6" t="n"/>
      <c r="CM75" s="6" t="n"/>
      <c r="CN75" s="6" t="n"/>
      <c r="CO75" s="3" t="n"/>
      <c r="CP75" s="6" t="n"/>
      <c r="CQ75" s="6" t="n"/>
      <c r="CR75" s="6" t="n"/>
      <c r="CS75" s="6" t="n"/>
      <c r="CT75" s="3" t="n"/>
      <c r="CU75" s="6" t="n"/>
      <c r="CV75" s="6" t="n"/>
      <c r="CW75" s="6" t="n"/>
      <c r="CX75" s="6" t="n"/>
      <c r="CY75" s="3" t="n"/>
    </row>
    <row r="76" hidden="1" outlineLevel="1">
      <c r="C76" s="34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  <c r="AG76" s="3" t="n"/>
      <c r="AH76" s="3" t="n"/>
      <c r="AI76" s="3" t="n"/>
      <c r="AJ76" s="3" t="n"/>
      <c r="AK76" s="3" t="n"/>
      <c r="AL76" s="3" t="n"/>
      <c r="AM76" s="3" t="n"/>
      <c r="AN76" s="3" t="n"/>
      <c r="AO76" s="3" t="n"/>
      <c r="AP76" s="3" t="n"/>
      <c r="AQ76" s="3" t="n"/>
      <c r="AR76" s="3" t="n"/>
      <c r="AS76" s="3" t="n"/>
      <c r="AT76" s="3" t="n"/>
      <c r="AU76" s="3" t="n"/>
      <c r="AV76" s="3" t="n"/>
      <c r="AW76" s="3" t="n"/>
      <c r="AX76" s="3" t="n"/>
      <c r="AY76" s="3" t="n"/>
      <c r="AZ76" s="3" t="n"/>
      <c r="BA76" s="3" t="n"/>
      <c r="BB76" s="3" t="n"/>
      <c r="BC76" s="3" t="n"/>
      <c r="BD76" s="3" t="n"/>
      <c r="BE76" s="3" t="n"/>
      <c r="BF76" s="3" t="n"/>
      <c r="BG76" s="3" t="n"/>
      <c r="BH76" s="3" t="n"/>
      <c r="BI76" s="3" t="n"/>
      <c r="BJ76" s="3" t="n"/>
      <c r="BK76" s="3" t="n"/>
      <c r="BL76" s="3" t="n"/>
      <c r="BM76" s="3" t="n"/>
      <c r="BN76" s="3" t="n"/>
      <c r="BO76" s="3" t="n"/>
      <c r="BP76" s="3" t="n"/>
      <c r="BQ76" s="3" t="n"/>
      <c r="BR76" s="3" t="n"/>
      <c r="BS76" s="3" t="n"/>
      <c r="BT76" s="3" t="n"/>
      <c r="BU76" s="3" t="n"/>
      <c r="BV76" s="3" t="n"/>
      <c r="BW76" s="3" t="n"/>
      <c r="BX76" s="3" t="n"/>
      <c r="BY76" s="3" t="n"/>
      <c r="BZ76" s="3" t="n"/>
      <c r="CA76" s="3" t="n"/>
      <c r="CB76" s="3" t="n"/>
      <c r="CC76" s="3" t="n"/>
      <c r="CD76" s="3" t="n"/>
      <c r="CE76" s="3" t="n"/>
      <c r="CF76" s="3" t="n"/>
      <c r="CG76" s="3" t="n"/>
      <c r="CH76" s="3" t="n"/>
      <c r="CI76" s="3" t="n"/>
      <c r="CJ76" s="3" t="n"/>
      <c r="CK76" s="3" t="n"/>
      <c r="CL76" s="3" t="n"/>
      <c r="CM76" s="3" t="n"/>
      <c r="CN76" s="3" t="n"/>
      <c r="CO76" s="3" t="n"/>
      <c r="CP76" s="3" t="n"/>
      <c r="CQ76" s="3" t="n"/>
      <c r="CR76" s="3" t="n"/>
      <c r="CS76" s="3" t="n"/>
      <c r="CT76" s="3" t="n"/>
      <c r="CU76" s="3" t="n"/>
      <c r="CV76" s="3" t="n"/>
      <c r="CW76" s="3" t="n"/>
      <c r="CX76" s="3" t="n"/>
      <c r="CY76" s="3" t="n"/>
    </row>
    <row r="77" hidden="1" outlineLevel="1">
      <c r="C77" s="34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  <c r="AG77" s="3" t="n"/>
      <c r="AH77" s="3" t="n"/>
      <c r="AI77" s="3" t="n"/>
      <c r="AJ77" s="3" t="n"/>
      <c r="AK77" s="3" t="n"/>
      <c r="AL77" s="3" t="n"/>
      <c r="AM77" s="3" t="n"/>
      <c r="AN77" s="3" t="n"/>
      <c r="AO77" s="3" t="n"/>
      <c r="AP77" s="3" t="n"/>
      <c r="AQ77" s="3" t="n"/>
      <c r="AR77" s="3" t="n"/>
      <c r="AS77" s="3" t="n"/>
      <c r="AT77" s="3" t="n"/>
      <c r="AU77" s="3" t="n"/>
      <c r="AV77" s="3" t="n"/>
      <c r="AW77" s="3" t="n"/>
      <c r="AX77" s="3" t="n"/>
      <c r="AY77" s="3" t="n"/>
      <c r="AZ77" s="3" t="n"/>
      <c r="BA77" s="3" t="n"/>
      <c r="BB77" s="3" t="n"/>
      <c r="BC77" s="3" t="n"/>
      <c r="BD77" s="3" t="n"/>
      <c r="BE77" s="3" t="n"/>
      <c r="BF77" s="3" t="n"/>
      <c r="BG77" s="3" t="n"/>
      <c r="BH77" s="3" t="n"/>
      <c r="BI77" s="3" t="n"/>
      <c r="BJ77" s="3" t="n"/>
      <c r="BK77" s="3" t="n"/>
      <c r="BL77" s="3" t="n"/>
      <c r="BM77" s="3" t="n"/>
      <c r="BN77" s="3" t="n"/>
      <c r="BO77" s="3" t="n"/>
      <c r="BP77" s="3" t="n"/>
      <c r="BQ77" s="3" t="n"/>
      <c r="BR77" s="3" t="n"/>
      <c r="BS77" s="3" t="n"/>
      <c r="BT77" s="3" t="n"/>
      <c r="BU77" s="3" t="n"/>
      <c r="BV77" s="3" t="n"/>
      <c r="BW77" s="3" t="n"/>
      <c r="BX77" s="3" t="n"/>
      <c r="BY77" s="3" t="n"/>
      <c r="BZ77" s="3" t="n"/>
      <c r="CA77" s="3" t="n"/>
      <c r="CB77" s="3" t="n"/>
      <c r="CC77" s="3" t="n"/>
      <c r="CD77" s="3" t="n"/>
      <c r="CE77" s="3" t="n"/>
      <c r="CF77" s="3" t="n"/>
      <c r="CG77" s="3" t="n"/>
      <c r="CH77" s="3" t="n"/>
      <c r="CI77" s="3" t="n"/>
      <c r="CJ77" s="3" t="n"/>
      <c r="CK77" s="3" t="n"/>
      <c r="CL77" s="3" t="n"/>
      <c r="CM77" s="3" t="n"/>
      <c r="CN77" s="3" t="n"/>
      <c r="CO77" s="3" t="n"/>
      <c r="CP77" s="3" t="n"/>
      <c r="CQ77" s="3" t="n"/>
      <c r="CR77" s="3" t="n"/>
      <c r="CS77" s="3" t="n"/>
      <c r="CT77" s="3" t="n"/>
      <c r="CU77" s="3" t="n"/>
      <c r="CV77" s="3" t="n"/>
      <c r="CW77" s="3" t="n"/>
      <c r="CX77" s="3" t="n"/>
      <c r="CY77" s="3" t="n"/>
    </row>
    <row r="78" hidden="1" outlineLevel="1">
      <c r="C78" s="34" t="inlineStr">
        <is>
          <t>RECEITA FINANCEIRA</t>
        </is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  <c r="AD78" s="3" t="n"/>
      <c r="AE78" s="3" t="n"/>
      <c r="AF78" s="3" t="n"/>
      <c r="AG78" s="3" t="n"/>
      <c r="AH78" s="3" t="n"/>
      <c r="AI78" s="3" t="n"/>
      <c r="AJ78" s="3" t="n"/>
      <c r="AK78" s="3" t="n"/>
      <c r="AL78" s="3" t="n"/>
      <c r="AM78" s="3" t="n"/>
      <c r="AN78" s="3" t="n"/>
      <c r="AO78" s="3" t="n"/>
      <c r="AP78" s="3" t="n"/>
      <c r="AQ78" s="3" t="n"/>
      <c r="AR78" s="3" t="n"/>
      <c r="AS78" s="3" t="n"/>
      <c r="AT78" s="3" t="n"/>
      <c r="AU78" s="3" t="n"/>
      <c r="AV78" s="3" t="n"/>
      <c r="AW78" s="3" t="n"/>
      <c r="AX78" s="3" t="n"/>
      <c r="AY78" s="3" t="n"/>
      <c r="AZ78" s="3" t="n"/>
      <c r="BA78" s="3" t="n"/>
      <c r="BB78" s="3" t="n"/>
      <c r="BC78" s="3" t="n"/>
      <c r="BD78" s="3" t="n"/>
      <c r="BE78" s="3" t="n"/>
      <c r="BF78" s="3" t="n"/>
      <c r="BG78" s="3" t="n"/>
      <c r="BH78" s="3" t="n"/>
      <c r="BI78" s="3" t="n"/>
      <c r="BJ78" s="3" t="n"/>
      <c r="BK78" s="3" t="n"/>
      <c r="BL78" s="3" t="n"/>
      <c r="BM78" s="3" t="n"/>
      <c r="BN78" s="3" t="n"/>
      <c r="BO78" s="3" t="n"/>
      <c r="BP78" s="3" t="n"/>
      <c r="BQ78" s="3" t="n"/>
      <c r="BR78" s="3" t="n"/>
      <c r="BS78" s="3" t="n"/>
      <c r="BT78" s="3" t="n"/>
      <c r="BU78" s="3" t="n"/>
      <c r="BV78" s="3" t="n"/>
      <c r="BW78" s="3" t="n"/>
      <c r="BX78" s="3" t="n"/>
      <c r="BY78" s="3" t="n"/>
      <c r="BZ78" s="3" t="n"/>
      <c r="CA78" s="3" t="n"/>
      <c r="CB78" s="3" t="n"/>
      <c r="CC78" s="3" t="n"/>
      <c r="CD78" s="3" t="n"/>
      <c r="CE78" s="3" t="n"/>
      <c r="CF78" s="3" t="n"/>
      <c r="CG78" s="3" t="n"/>
      <c r="CH78" s="3" t="n"/>
      <c r="CI78" s="3" t="n"/>
      <c r="CJ78" s="3" t="n"/>
      <c r="CK78" s="3" t="n"/>
      <c r="CL78" s="3" t="n"/>
      <c r="CM78" s="3" t="n"/>
      <c r="CN78" s="3" t="n"/>
      <c r="CO78" s="3" t="n"/>
      <c r="CP78" s="3" t="n"/>
      <c r="CQ78" s="3" t="n"/>
      <c r="CR78" s="3" t="n"/>
      <c r="CS78" s="3" t="n"/>
      <c r="CT78" s="3" t="n"/>
      <c r="CU78" s="3" t="n"/>
      <c r="CV78" s="3" t="n"/>
      <c r="CW78" s="3" t="n"/>
      <c r="CX78" s="3" t="n"/>
      <c r="CY78" s="3" t="n"/>
    </row>
    <row r="79" hidden="1" outlineLevel="1">
      <c r="C79" s="34" t="inlineStr">
        <is>
          <t>DESPESA FINANCEIRA</t>
        </is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  <c r="AF79" s="3" t="n"/>
      <c r="AG79" s="3" t="n"/>
      <c r="AH79" s="3" t="n"/>
      <c r="AI79" s="3" t="n"/>
      <c r="AJ79" s="3" t="n"/>
      <c r="AK79" s="3" t="n"/>
      <c r="AL79" s="3" t="n"/>
      <c r="AM79" s="3" t="n"/>
      <c r="AN79" s="3" t="n"/>
      <c r="AO79" s="3" t="n"/>
      <c r="AP79" s="3" t="n"/>
      <c r="AQ79" s="3" t="n"/>
      <c r="AR79" s="3" t="n"/>
      <c r="AS79" s="3" t="n"/>
      <c r="AT79" s="3" t="n"/>
      <c r="AU79" s="3" t="n"/>
      <c r="AV79" s="3" t="n"/>
      <c r="AW79" s="3" t="n"/>
      <c r="AX79" s="3" t="n"/>
      <c r="AY79" s="3" t="n"/>
      <c r="AZ79" s="3" t="n"/>
      <c r="BA79" s="3" t="n"/>
      <c r="BB79" s="3" t="n"/>
      <c r="BC79" s="3" t="n"/>
      <c r="BD79" s="3" t="n"/>
      <c r="BE79" s="3" t="n"/>
      <c r="BF79" s="3" t="n"/>
      <c r="BG79" s="3" t="n"/>
      <c r="BH79" s="3" t="n"/>
      <c r="BI79" s="3" t="n"/>
      <c r="BJ79" s="3" t="n"/>
      <c r="BK79" s="3" t="n"/>
      <c r="BL79" s="3" t="n"/>
      <c r="BM79" s="3" t="n"/>
      <c r="BN79" s="3" t="n"/>
      <c r="BO79" s="3" t="n"/>
      <c r="BP79" s="3" t="n"/>
      <c r="BQ79" s="3" t="n"/>
      <c r="BR79" s="3" t="n"/>
      <c r="BS79" s="3" t="n"/>
      <c r="BT79" s="3" t="n"/>
      <c r="BU79" s="3" t="n"/>
      <c r="BV79" s="3" t="n"/>
      <c r="BW79" s="3" t="n"/>
      <c r="BX79" s="3" t="n"/>
      <c r="BY79" s="3" t="n"/>
      <c r="BZ79" s="3" t="n"/>
      <c r="CA79" s="3" t="n"/>
      <c r="CB79" s="3" t="n"/>
      <c r="CC79" s="3" t="n"/>
      <c r="CD79" s="3" t="n"/>
      <c r="CE79" s="3" t="n"/>
      <c r="CF79" s="3" t="n"/>
      <c r="CG79" s="3" t="n"/>
      <c r="CH79" s="3" t="n"/>
      <c r="CI79" s="3" t="n"/>
      <c r="CJ79" s="3" t="n"/>
      <c r="CK79" s="3" t="n"/>
      <c r="CL79" s="3" t="n"/>
      <c r="CM79" s="3" t="n"/>
      <c r="CN79" s="3" t="n"/>
      <c r="CO79" s="3" t="n"/>
      <c r="CP79" s="3" t="n"/>
      <c r="CQ79" s="3" t="n"/>
      <c r="CR79" s="3" t="n"/>
      <c r="CS79" s="3" t="n"/>
      <c r="CT79" s="3" t="n"/>
      <c r="CU79" s="3" t="n"/>
      <c r="CV79" s="3" t="n"/>
      <c r="CW79" s="3" t="n"/>
      <c r="CX79" s="3" t="n"/>
      <c r="CY79" s="3" t="n"/>
    </row>
    <row r="80" hidden="1" outlineLevel="1">
      <c r="C80" s="34" t="inlineStr">
        <is>
          <t>OUTROS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n"/>
      <c r="AK80" s="3" t="n"/>
      <c r="AL80" s="3" t="n"/>
      <c r="AM80" s="3" t="n"/>
      <c r="AN80" s="3" t="n"/>
      <c r="AO80" s="3" t="n"/>
      <c r="AP80" s="3" t="n"/>
      <c r="AQ80" s="3" t="n"/>
      <c r="AR80" s="3" t="n"/>
      <c r="AS80" s="3" t="n"/>
      <c r="AT80" s="3" t="n"/>
      <c r="AU80" s="3" t="n"/>
      <c r="AV80" s="3" t="n"/>
      <c r="AW80" s="3" t="n"/>
      <c r="AX80" s="3" t="n"/>
      <c r="AY80" s="3" t="n"/>
      <c r="AZ80" s="3" t="n"/>
      <c r="BA80" s="3" t="n"/>
      <c r="BB80" s="3" t="n"/>
      <c r="BC80" s="3" t="n"/>
      <c r="BD80" s="3" t="n"/>
      <c r="BE80" s="3" t="n"/>
      <c r="BF80" s="3" t="n"/>
      <c r="BG80" s="3" t="n"/>
      <c r="BH80" s="3" t="n"/>
      <c r="BI80" s="3" t="n"/>
      <c r="BJ80" s="3" t="n"/>
      <c r="BK80" s="3" t="n"/>
      <c r="BL80" s="3" t="n"/>
      <c r="BM80" s="3" t="n"/>
      <c r="BN80" s="3" t="n"/>
      <c r="BO80" s="3" t="n"/>
      <c r="BP80" s="3" t="n"/>
      <c r="BQ80" s="3" t="n"/>
      <c r="BR80" s="3" t="n"/>
      <c r="BS80" s="3" t="n"/>
      <c r="BT80" s="3" t="n"/>
      <c r="BU80" s="3" t="n"/>
      <c r="BV80" s="3" t="n"/>
      <c r="BW80" s="3" t="n"/>
      <c r="BX80" s="3" t="n"/>
      <c r="BY80" s="3" t="n"/>
      <c r="BZ80" s="3" t="n"/>
      <c r="CA80" s="3" t="n"/>
      <c r="CB80" s="3" t="n"/>
      <c r="CC80" s="3" t="n"/>
      <c r="CD80" s="3" t="n"/>
      <c r="CE80" s="3" t="n"/>
      <c r="CF80" s="3" t="n"/>
      <c r="CG80" s="3" t="n"/>
      <c r="CH80" s="3" t="n"/>
      <c r="CI80" s="3" t="n"/>
      <c r="CJ80" s="3" t="n"/>
      <c r="CK80" s="3" t="n"/>
      <c r="CL80" s="3" t="n"/>
      <c r="CM80" s="3" t="n"/>
      <c r="CN80" s="3" t="n"/>
      <c r="CO80" s="3" t="n"/>
      <c r="CP80" s="3" t="n"/>
      <c r="CQ80" s="3" t="n"/>
      <c r="CR80" s="3" t="n"/>
      <c r="CS80" s="3" t="n"/>
      <c r="CT80" s="3" t="n"/>
      <c r="CU80" s="3" t="n"/>
      <c r="CV80" s="3" t="n"/>
      <c r="CW80" s="3" t="n"/>
      <c r="CX80" s="3" t="n"/>
      <c r="CY80" s="3" t="n"/>
    </row>
    <row r="81" hidden="1" outlineLevel="1">
      <c r="C81" s="34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n"/>
      <c r="AK81" s="3" t="n"/>
      <c r="AL81" s="3" t="n"/>
      <c r="AM81" s="3" t="n"/>
      <c r="AN81" s="3" t="n"/>
      <c r="AO81" s="3" t="n"/>
      <c r="AP81" s="3" t="n"/>
      <c r="AQ81" s="3" t="n"/>
      <c r="AR81" s="3" t="n"/>
      <c r="AS81" s="3" t="n"/>
      <c r="AT81" s="3" t="n"/>
      <c r="AU81" s="3" t="n"/>
      <c r="AV81" s="3" t="n"/>
      <c r="AW81" s="3" t="n"/>
      <c r="AX81" s="3" t="n"/>
      <c r="AY81" s="3" t="n"/>
      <c r="AZ81" s="3" t="n"/>
      <c r="BA81" s="3" t="n"/>
      <c r="BB81" s="3" t="n"/>
      <c r="BC81" s="3" t="n"/>
      <c r="BD81" s="3" t="n"/>
      <c r="BE81" s="3" t="n"/>
      <c r="BF81" s="3" t="n"/>
      <c r="BG81" s="3" t="n"/>
      <c r="BH81" s="3" t="n"/>
      <c r="BI81" s="3" t="n"/>
      <c r="BJ81" s="3" t="n"/>
      <c r="BK81" s="3" t="n"/>
      <c r="BL81" s="3" t="n"/>
      <c r="BM81" s="3" t="n"/>
      <c r="BN81" s="3" t="n"/>
      <c r="BO81" s="3" t="n"/>
      <c r="BP81" s="3" t="n"/>
      <c r="BQ81" s="3" t="n"/>
      <c r="BR81" s="3" t="n"/>
      <c r="BS81" s="3" t="n"/>
      <c r="BT81" s="3" t="n"/>
      <c r="BU81" s="3" t="n"/>
      <c r="BV81" s="3" t="n"/>
      <c r="BW81" s="3" t="n"/>
      <c r="BX81" s="3" t="n"/>
      <c r="BY81" s="3" t="n"/>
      <c r="BZ81" s="3" t="n"/>
      <c r="CA81" s="3" t="n"/>
      <c r="CB81" s="3" t="n"/>
      <c r="CC81" s="3" t="n"/>
      <c r="CD81" s="3" t="n"/>
      <c r="CE81" s="3" t="n"/>
      <c r="CF81" s="3" t="n"/>
      <c r="CG81" s="3" t="n"/>
      <c r="CH81" s="3" t="n"/>
      <c r="CI81" s="3" t="n"/>
      <c r="CJ81" s="3" t="n"/>
      <c r="CK81" s="3" t="n"/>
      <c r="CL81" s="3" t="n"/>
      <c r="CM81" s="3" t="n"/>
      <c r="CN81" s="3" t="n"/>
      <c r="CO81" s="3" t="n"/>
      <c r="CP81" s="3" t="n"/>
      <c r="CQ81" s="3" t="n"/>
      <c r="CR81" s="3" t="n"/>
      <c r="CS81" s="3" t="n"/>
      <c r="CT81" s="3" t="n"/>
      <c r="CU81" s="3" t="n"/>
      <c r="CV81" s="3" t="n"/>
      <c r="CW81" s="3" t="n"/>
      <c r="CX81" s="3" t="n"/>
      <c r="CY81" s="3" t="n"/>
    </row>
    <row r="82" hidden="1" outlineLevel="1">
      <c r="C82" s="34" t="inlineStr">
        <is>
          <t>Cash and equivalents (inc. investment securities)</t>
        </is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n"/>
      <c r="AK82" s="3" t="n"/>
      <c r="AL82" s="3" t="n"/>
      <c r="AM82" s="3" t="n"/>
      <c r="AN82" s="3" t="n"/>
      <c r="AO82" s="3" t="n"/>
      <c r="AP82" s="3" t="n"/>
      <c r="AQ82" s="3" t="n"/>
      <c r="AR82" s="3" t="n"/>
      <c r="AS82" s="3" t="n"/>
      <c r="AT82" s="3" t="n"/>
      <c r="AU82" s="3" t="n"/>
      <c r="AV82" s="3" t="n"/>
      <c r="AW82" s="3" t="n"/>
      <c r="AX82" s="3" t="n"/>
      <c r="AY82" s="3" t="n"/>
      <c r="AZ82" s="3" t="n"/>
      <c r="BA82" s="3" t="n"/>
      <c r="BB82" s="3" t="n"/>
      <c r="BC82" s="3" t="n"/>
      <c r="BD82" s="3" t="n"/>
      <c r="BE82" s="3" t="n"/>
      <c r="BF82" s="3" t="n"/>
      <c r="BG82" s="3" t="n"/>
      <c r="BH82" s="3" t="n"/>
      <c r="BI82" s="3" t="n"/>
      <c r="BJ82" s="3" t="n"/>
      <c r="BK82" s="3" t="n"/>
      <c r="BL82" s="3" t="n"/>
      <c r="BM82" s="3" t="n"/>
      <c r="BN82" s="3" t="n"/>
      <c r="BO82" s="3" t="n"/>
      <c r="BP82" s="3" t="n"/>
      <c r="BQ82" s="3" t="n"/>
      <c r="BR82" s="3" t="n"/>
      <c r="BS82" s="3" t="n"/>
      <c r="BT82" s="3" t="n"/>
      <c r="BU82" s="3" t="n"/>
      <c r="BV82" s="3" t="n"/>
      <c r="BW82" s="3" t="n"/>
      <c r="BX82" s="3" t="n"/>
      <c r="BY82" s="3" t="n"/>
      <c r="BZ82" s="3" t="n"/>
      <c r="CA82" s="3" t="n"/>
      <c r="CB82" s="3" t="n"/>
      <c r="CC82" s="3" t="n"/>
      <c r="CD82" s="3" t="n"/>
      <c r="CE82" s="3" t="n"/>
      <c r="CF82" s="3" t="n"/>
      <c r="CG82" s="3" t="n"/>
      <c r="CH82" s="3" t="n"/>
      <c r="CI82" s="3" t="n"/>
      <c r="CJ82" s="3" t="n"/>
      <c r="CK82" s="3" t="n"/>
      <c r="CL82" s="3" t="n"/>
      <c r="CM82" s="3" t="n"/>
      <c r="CN82" s="3" t="n"/>
      <c r="CO82" s="3" t="n"/>
      <c r="CP82" s="3" t="n"/>
      <c r="CQ82" s="3" t="n"/>
      <c r="CR82" s="3" t="n"/>
      <c r="CS82" s="3" t="n"/>
      <c r="CT82" s="3" t="n"/>
      <c r="CU82" s="3" t="n"/>
      <c r="CV82" s="3" t="n"/>
      <c r="CW82" s="3" t="n"/>
      <c r="CX82" s="3" t="n"/>
      <c r="CY82" s="3" t="n"/>
    </row>
    <row r="83" hidden="1" outlineLevel="1">
      <c r="C83" s="34" t="inlineStr">
        <is>
          <t>Interest on cash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n"/>
      <c r="AK83" s="3" t="n"/>
      <c r="AL83" s="3" t="n"/>
      <c r="AM83" s="3" t="n"/>
      <c r="AN83" s="3" t="n"/>
      <c r="AO83" s="3" t="n"/>
      <c r="AP83" s="3" t="n"/>
      <c r="AQ83" s="3" t="n"/>
      <c r="AR83" s="3" t="n"/>
      <c r="AS83" s="3" t="n"/>
      <c r="AT83" s="3" t="n"/>
      <c r="AU83" s="3" t="n"/>
      <c r="AV83" s="3" t="n"/>
      <c r="AW83" s="3" t="n"/>
      <c r="AX83" s="3" t="n"/>
      <c r="AY83" s="3" t="n"/>
      <c r="AZ83" s="3" t="n"/>
      <c r="BA83" s="3" t="n"/>
      <c r="BB83" s="3" t="n"/>
      <c r="BC83" s="3" t="n"/>
      <c r="BD83" s="3" t="n"/>
      <c r="BE83" s="3" t="n"/>
      <c r="BF83" s="3" t="n"/>
      <c r="BG83" s="3" t="n"/>
      <c r="BH83" s="3" t="n"/>
      <c r="BI83" s="3" t="n"/>
      <c r="BJ83" s="3" t="n"/>
      <c r="BK83" s="3" t="n"/>
      <c r="BL83" s="3" t="n"/>
      <c r="BM83" s="3" t="n"/>
      <c r="BN83" s="3" t="n"/>
      <c r="BO83" s="3" t="n"/>
      <c r="BP83" s="3" t="n"/>
      <c r="BQ83" s="3" t="n"/>
      <c r="BR83" s="3" t="n"/>
      <c r="BS83" s="3" t="n"/>
      <c r="BT83" s="3" t="n"/>
      <c r="BU83" s="3" t="n"/>
      <c r="BV83" s="3" t="n"/>
      <c r="BW83" s="3" t="n"/>
      <c r="BX83" s="3" t="n"/>
      <c r="BY83" s="3" t="n"/>
      <c r="BZ83" s="3" t="n"/>
      <c r="CA83" s="3" t="n"/>
      <c r="CB83" s="3" t="n"/>
      <c r="CC83" s="3" t="n"/>
      <c r="CD83" s="3" t="n"/>
      <c r="CE83" s="3" t="n"/>
      <c r="CF83" s="3" t="n"/>
      <c r="CG83" s="3" t="n"/>
      <c r="CH83" s="3" t="n"/>
      <c r="CI83" s="3" t="n"/>
      <c r="CJ83" s="3" t="n"/>
      <c r="CK83" s="3" t="n"/>
      <c r="CL83" s="3" t="n"/>
      <c r="CM83" s="3" t="n"/>
      <c r="CN83" s="3" t="n"/>
      <c r="CO83" s="3" t="n"/>
      <c r="CP83" s="3" t="n"/>
      <c r="CQ83" s="3" t="n"/>
      <c r="CR83" s="3" t="n"/>
      <c r="CS83" s="3" t="n"/>
      <c r="CT83" s="3" t="n"/>
      <c r="CU83" s="3" t="n"/>
      <c r="CV83" s="3" t="n"/>
      <c r="CW83" s="3" t="n"/>
      <c r="CX83" s="3" t="n"/>
      <c r="CY83" s="3" t="n"/>
    </row>
    <row r="84" hidden="1" outlineLevel="1">
      <c r="C84" s="34" t="inlineStr">
        <is>
          <t>Average interest rate</t>
        </is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n"/>
      <c r="AK84" s="3" t="n"/>
      <c r="AL84" s="3" t="n"/>
      <c r="AM84" s="3" t="n"/>
      <c r="AN84" s="3" t="n"/>
      <c r="AO84" s="3" t="n"/>
      <c r="AP84" s="3" t="n"/>
      <c r="AQ84" s="3" t="n"/>
      <c r="AR84" s="3" t="n"/>
      <c r="AS84" s="3" t="n"/>
      <c r="AT84" s="3" t="n"/>
      <c r="AU84" s="3" t="n"/>
      <c r="AV84" s="3" t="n"/>
      <c r="AW84" s="3" t="n"/>
      <c r="AX84" s="3" t="n"/>
      <c r="AY84" s="3" t="n"/>
      <c r="AZ84" s="3" t="n"/>
      <c r="BA84" s="3" t="n"/>
      <c r="BB84" s="3" t="n"/>
      <c r="BC84" s="3" t="n"/>
      <c r="BD84" s="3" t="n"/>
      <c r="BE84" s="3" t="n"/>
      <c r="BF84" s="3" t="n"/>
      <c r="BG84" s="3" t="n"/>
      <c r="BH84" s="3" t="n"/>
      <c r="BI84" s="3" t="n"/>
      <c r="BJ84" s="3" t="n"/>
      <c r="BK84" s="3" t="n"/>
      <c r="BL84" s="3" t="n"/>
      <c r="BM84" s="3" t="n"/>
      <c r="BN84" s="3" t="n"/>
      <c r="BO84" s="3" t="n"/>
      <c r="BP84" s="3" t="n"/>
      <c r="BQ84" s="3" t="n"/>
      <c r="BR84" s="3" t="n"/>
      <c r="BS84" s="3" t="n"/>
      <c r="BT84" s="3" t="n"/>
      <c r="BU84" s="3" t="n"/>
      <c r="BV84" s="3" t="n"/>
      <c r="BW84" s="3" t="n"/>
      <c r="BX84" s="3" t="n"/>
      <c r="BY84" s="3" t="n"/>
      <c r="BZ84" s="3" t="n"/>
      <c r="CA84" s="3" t="n"/>
      <c r="CB84" s="3" t="n"/>
      <c r="CC84" s="3" t="n"/>
      <c r="CD84" s="3" t="n"/>
      <c r="CE84" s="3" t="n"/>
      <c r="CF84" s="3" t="n"/>
      <c r="CG84" s="3" t="n"/>
      <c r="CH84" s="3" t="n"/>
      <c r="CI84" s="3" t="n"/>
      <c r="CJ84" s="3" t="n"/>
      <c r="CK84" s="3" t="n"/>
      <c r="CL84" s="3" t="n"/>
      <c r="CM84" s="3" t="n"/>
      <c r="CN84" s="3" t="n"/>
      <c r="CO84" s="3" t="n"/>
      <c r="CP84" s="3" t="n"/>
      <c r="CQ84" s="3" t="n"/>
      <c r="CR84" s="3" t="n"/>
      <c r="CS84" s="3" t="n"/>
      <c r="CT84" s="3" t="n"/>
      <c r="CU84" s="3" t="n"/>
      <c r="CV84" s="3" t="n"/>
      <c r="CW84" s="3" t="n"/>
      <c r="CX84" s="3" t="n"/>
      <c r="CY84" s="3" t="n"/>
    </row>
    <row r="85" hidden="1" outlineLevel="1">
      <c r="C85" s="34" t="inlineStr">
        <is>
          <t>% CDI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  <c r="AG85" s="3" t="n"/>
      <c r="AH85" s="3" t="n"/>
      <c r="AI85" s="3" t="n"/>
      <c r="AJ85" s="3" t="n"/>
      <c r="AK85" s="3" t="n"/>
      <c r="AL85" s="3" t="n"/>
      <c r="AM85" s="3" t="n"/>
      <c r="AN85" s="3" t="n"/>
      <c r="AO85" s="3" t="n"/>
      <c r="AP85" s="3" t="n"/>
      <c r="AQ85" s="3" t="n"/>
      <c r="AR85" s="3" t="n"/>
      <c r="AS85" s="3" t="n"/>
      <c r="AT85" s="3" t="n"/>
      <c r="AU85" s="3" t="n"/>
      <c r="AV85" s="3" t="n"/>
      <c r="AW85" s="3" t="n"/>
      <c r="AX85" s="3" t="n"/>
      <c r="AY85" s="3" t="n"/>
      <c r="AZ85" s="3" t="n"/>
      <c r="BA85" s="3" t="n"/>
      <c r="BB85" s="3" t="n"/>
      <c r="BC85" s="3" t="n"/>
      <c r="BD85" s="3" t="n"/>
      <c r="BE85" s="3" t="n"/>
      <c r="BF85" s="3" t="n"/>
      <c r="BG85" s="3" t="n"/>
      <c r="BH85" s="3" t="n"/>
      <c r="BI85" s="3" t="n"/>
      <c r="BJ85" s="3" t="n"/>
      <c r="BK85" s="3" t="n"/>
      <c r="BL85" s="3" t="n"/>
      <c r="BM85" s="3" t="n"/>
      <c r="BN85" s="3" t="n"/>
      <c r="BO85" s="3" t="n"/>
      <c r="BP85" s="3" t="n"/>
      <c r="BQ85" s="3" t="n"/>
      <c r="BR85" s="3" t="n"/>
      <c r="BS85" s="3" t="n"/>
      <c r="BT85" s="3" t="n"/>
      <c r="BU85" s="3" t="n"/>
      <c r="BV85" s="3" t="n"/>
      <c r="BW85" s="3" t="n"/>
      <c r="BX85" s="3" t="n"/>
      <c r="BY85" s="3" t="n"/>
      <c r="BZ85" s="3" t="n"/>
      <c r="CA85" s="3" t="n"/>
      <c r="CB85" s="3" t="n"/>
      <c r="CC85" s="3" t="n"/>
      <c r="CD85" s="3" t="n"/>
      <c r="CE85" s="3" t="n"/>
      <c r="CF85" s="3" t="n"/>
      <c r="CG85" s="3" t="n"/>
      <c r="CH85" s="3" t="n"/>
      <c r="CI85" s="3" t="n"/>
      <c r="CJ85" s="3" t="n"/>
      <c r="CK85" s="3" t="n"/>
      <c r="CL85" s="3" t="n"/>
      <c r="CM85" s="3" t="n"/>
      <c r="CN85" s="3" t="n"/>
      <c r="CO85" s="3" t="n"/>
      <c r="CP85" s="3" t="n"/>
      <c r="CQ85" s="3" t="n"/>
      <c r="CR85" s="3" t="n"/>
      <c r="CS85" s="3" t="n"/>
      <c r="CT85" s="3" t="n"/>
      <c r="CU85" s="3" t="n"/>
      <c r="CV85" s="3" t="n"/>
      <c r="CW85" s="3" t="n"/>
      <c r="CX85" s="3" t="n"/>
      <c r="CY85" s="3" t="n"/>
    </row>
    <row r="86" hidden="1" outlineLevel="1">
      <c r="C86" s="34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  <c r="AG86" s="3" t="n"/>
      <c r="AH86" s="3" t="n"/>
      <c r="AI86" s="3" t="n"/>
      <c r="AJ86" s="3" t="n"/>
      <c r="AK86" s="3" t="n"/>
      <c r="AL86" s="3" t="n"/>
      <c r="AM86" s="3" t="n"/>
      <c r="AN86" s="3" t="n"/>
      <c r="AO86" s="3" t="n"/>
      <c r="AP86" s="3" t="n"/>
      <c r="AQ86" s="3" t="n"/>
      <c r="AR86" s="3" t="n"/>
      <c r="AS86" s="3" t="n"/>
      <c r="AT86" s="3" t="n"/>
      <c r="AU86" s="3" t="n"/>
      <c r="AV86" s="3" t="n"/>
      <c r="AW86" s="3" t="n"/>
      <c r="AX86" s="3" t="n"/>
      <c r="AY86" s="3" t="n"/>
      <c r="AZ86" s="3" t="n"/>
      <c r="BA86" s="3" t="n"/>
      <c r="BB86" s="3" t="n"/>
      <c r="BC86" s="3" t="n"/>
      <c r="BD86" s="3" t="n"/>
      <c r="BE86" s="3" t="n"/>
      <c r="BF86" s="3" t="n"/>
      <c r="BG86" s="3" t="n"/>
      <c r="BH86" s="3" t="n"/>
      <c r="BI86" s="3" t="n"/>
      <c r="BJ86" s="3" t="n"/>
      <c r="BK86" s="3" t="n"/>
      <c r="BL86" s="3" t="n"/>
      <c r="BM86" s="3" t="n"/>
      <c r="BN86" s="3" t="n"/>
      <c r="BO86" s="3" t="n"/>
      <c r="BP86" s="3" t="n"/>
      <c r="BQ86" s="3" t="n"/>
      <c r="BR86" s="3" t="n"/>
      <c r="BS86" s="3" t="n"/>
      <c r="BT86" s="3" t="n"/>
      <c r="BU86" s="3" t="n"/>
      <c r="BV86" s="3" t="n"/>
      <c r="BW86" s="3" t="n"/>
      <c r="BX86" s="3" t="n"/>
      <c r="BY86" s="3" t="n"/>
      <c r="BZ86" s="3" t="n"/>
      <c r="CA86" s="3" t="n"/>
      <c r="CB86" s="3" t="n"/>
      <c r="CC86" s="3" t="n"/>
      <c r="CD86" s="3" t="n"/>
      <c r="CE86" s="3" t="n"/>
      <c r="CF86" s="3" t="n"/>
      <c r="CG86" s="3" t="n"/>
      <c r="CH86" s="3" t="n"/>
      <c r="CI86" s="3" t="n"/>
      <c r="CJ86" s="3" t="n"/>
      <c r="CK86" s="3" t="n"/>
      <c r="CL86" s="3" t="n"/>
      <c r="CM86" s="3" t="n"/>
      <c r="CN86" s="3" t="n"/>
      <c r="CO86" s="3" t="n"/>
      <c r="CP86" s="3" t="n"/>
      <c r="CQ86" s="3" t="n"/>
      <c r="CR86" s="3" t="n"/>
      <c r="CS86" s="3" t="n"/>
      <c r="CT86" s="3" t="n"/>
      <c r="CU86" s="3" t="n"/>
      <c r="CV86" s="3" t="n"/>
      <c r="CW86" s="3" t="n"/>
      <c r="CX86" s="3" t="n"/>
      <c r="CY86" s="3" t="n"/>
    </row>
    <row r="87" hidden="1" outlineLevel="1">
      <c r="C87" s="34" t="inlineStr">
        <is>
          <t>Current portion of long-term debt</t>
        </is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n"/>
      <c r="AK87" s="3" t="n"/>
      <c r="AL87" s="3" t="n"/>
      <c r="AM87" s="3" t="n"/>
      <c r="AN87" s="3" t="n"/>
      <c r="AO87" s="3" t="n"/>
      <c r="AP87" s="3" t="n"/>
      <c r="AQ87" s="3" t="n"/>
      <c r="AR87" s="3" t="n"/>
      <c r="AS87" s="3" t="n"/>
      <c r="AT87" s="3" t="n"/>
      <c r="AU87" s="3" t="n"/>
      <c r="AV87" s="3" t="n"/>
      <c r="AW87" s="3" t="n"/>
      <c r="AX87" s="3" t="n"/>
      <c r="AY87" s="3" t="n"/>
      <c r="AZ87" s="3" t="n"/>
      <c r="BA87" s="3" t="n"/>
      <c r="BB87" s="3" t="n"/>
      <c r="BC87" s="3" t="n"/>
      <c r="BD87" s="3" t="n"/>
      <c r="BE87" s="3" t="n"/>
      <c r="BF87" s="3" t="n"/>
      <c r="BG87" s="3" t="n"/>
      <c r="BH87" s="3" t="n"/>
      <c r="BI87" s="3" t="n"/>
      <c r="BJ87" s="3" t="n"/>
      <c r="BK87" s="3" t="n"/>
      <c r="BL87" s="3" t="n"/>
      <c r="BM87" s="3" t="n"/>
      <c r="BN87" s="3" t="n"/>
      <c r="BO87" s="3" t="n"/>
      <c r="BP87" s="3" t="n"/>
      <c r="BQ87" s="3" t="n"/>
      <c r="BR87" s="3" t="n"/>
      <c r="BS87" s="3" t="n"/>
      <c r="BT87" s="3" t="n"/>
      <c r="BU87" s="3" t="n"/>
      <c r="BV87" s="3" t="n"/>
      <c r="BW87" s="3" t="n"/>
      <c r="BX87" s="3" t="n"/>
      <c r="BY87" s="3" t="n"/>
      <c r="BZ87" s="3" t="n"/>
      <c r="CA87" s="3" t="n"/>
      <c r="CB87" s="3" t="n"/>
      <c r="CC87" s="3" t="n"/>
      <c r="CD87" s="3" t="n"/>
      <c r="CE87" s="3" t="n"/>
      <c r="CF87" s="3" t="n"/>
      <c r="CG87" s="3" t="n"/>
      <c r="CH87" s="3" t="n"/>
      <c r="CI87" s="3" t="n"/>
      <c r="CJ87" s="3" t="n"/>
      <c r="CK87" s="3" t="n"/>
      <c r="CL87" s="3" t="n"/>
      <c r="CM87" s="3" t="n"/>
      <c r="CN87" s="3" t="n"/>
      <c r="CO87" s="3" t="n"/>
      <c r="CP87" s="3" t="n"/>
      <c r="CQ87" s="3" t="n"/>
      <c r="CR87" s="3" t="n"/>
      <c r="CS87" s="3" t="n"/>
      <c r="CT87" s="3" t="n"/>
      <c r="CU87" s="3" t="n"/>
      <c r="CV87" s="3" t="n"/>
      <c r="CW87" s="3" t="n"/>
      <c r="CX87" s="3" t="n"/>
      <c r="CY87" s="3" t="n"/>
    </row>
    <row r="88" hidden="1" outlineLevel="1">
      <c r="C88" s="34" t="inlineStr">
        <is>
          <t>Short term debt (Revolving credit facility)</t>
        </is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  <c r="AG88" s="3" t="n"/>
      <c r="AH88" s="3" t="n"/>
      <c r="AI88" s="3" t="n"/>
      <c r="AJ88" s="3" t="n"/>
      <c r="AK88" s="3" t="n"/>
      <c r="AL88" s="3" t="n"/>
      <c r="AM88" s="3" t="n"/>
      <c r="AN88" s="3" t="n"/>
      <c r="AO88" s="3" t="n"/>
      <c r="AP88" s="3" t="n"/>
      <c r="AQ88" s="3" t="n"/>
      <c r="AR88" s="3" t="n"/>
      <c r="AS88" s="3" t="n"/>
      <c r="AT88" s="3" t="n"/>
      <c r="AU88" s="3" t="n"/>
      <c r="AV88" s="3" t="n"/>
      <c r="AW88" s="3" t="n"/>
      <c r="AX88" s="3" t="n"/>
      <c r="AY88" s="3" t="n"/>
      <c r="AZ88" s="3" t="n"/>
      <c r="BA88" s="3" t="n"/>
      <c r="BB88" s="3" t="n"/>
      <c r="BC88" s="3" t="n"/>
      <c r="BD88" s="3" t="n"/>
      <c r="BE88" s="3" t="n"/>
      <c r="BF88" s="3" t="n"/>
      <c r="BG88" s="3" t="n"/>
      <c r="BH88" s="3" t="n"/>
      <c r="BI88" s="3" t="n"/>
      <c r="BJ88" s="3" t="n"/>
      <c r="BK88" s="3" t="n"/>
      <c r="BL88" s="3" t="n"/>
      <c r="BM88" s="3" t="n"/>
      <c r="BN88" s="3" t="n"/>
      <c r="BO88" s="3" t="n"/>
      <c r="BP88" s="3" t="n"/>
      <c r="BQ88" s="3" t="n"/>
      <c r="BR88" s="3" t="n"/>
      <c r="BS88" s="3" t="n"/>
      <c r="BT88" s="3" t="n"/>
      <c r="BU88" s="3" t="n"/>
      <c r="BV88" s="3" t="n"/>
      <c r="BW88" s="3" t="n"/>
      <c r="BX88" s="3" t="n"/>
      <c r="BY88" s="3" t="n"/>
      <c r="BZ88" s="3" t="n"/>
      <c r="CA88" s="3" t="n"/>
      <c r="CB88" s="3" t="n"/>
      <c r="CC88" s="3" t="n"/>
      <c r="CD88" s="3" t="n"/>
      <c r="CE88" s="3" t="n"/>
      <c r="CF88" s="3" t="n"/>
      <c r="CG88" s="3" t="n"/>
      <c r="CH88" s="3" t="n"/>
      <c r="CI88" s="3" t="n"/>
      <c r="CJ88" s="3" t="n"/>
      <c r="CK88" s="3" t="n"/>
      <c r="CL88" s="3" t="n"/>
      <c r="CM88" s="3" t="n"/>
      <c r="CN88" s="3" t="n"/>
      <c r="CO88" s="3" t="n"/>
      <c r="CP88" s="3" t="n"/>
      <c r="CQ88" s="3" t="n"/>
      <c r="CR88" s="3" t="n"/>
      <c r="CS88" s="3" t="n"/>
      <c r="CT88" s="3" t="n"/>
      <c r="CU88" s="3" t="n"/>
      <c r="CV88" s="3" t="n"/>
      <c r="CW88" s="3" t="n"/>
      <c r="CX88" s="3" t="n"/>
      <c r="CY88" s="3" t="n"/>
    </row>
    <row r="89" hidden="1" outlineLevel="1">
      <c r="C89" s="34" t="inlineStr">
        <is>
          <t>Long term debt</t>
        </is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  <c r="AG89" s="3" t="n"/>
      <c r="AH89" s="3" t="n"/>
      <c r="AI89" s="3" t="n"/>
      <c r="AJ89" s="3" t="n"/>
      <c r="AK89" s="3" t="n"/>
      <c r="AL89" s="3" t="n"/>
      <c r="AM89" s="3" t="n"/>
      <c r="AN89" s="3" t="n"/>
      <c r="AO89" s="3" t="n"/>
      <c r="AP89" s="3" t="n"/>
      <c r="AQ89" s="3" t="n"/>
      <c r="AR89" s="3" t="n"/>
      <c r="AS89" s="3" t="n"/>
      <c r="AT89" s="3" t="n"/>
      <c r="AU89" s="3" t="n"/>
      <c r="AV89" s="3" t="n"/>
      <c r="AW89" s="3" t="n"/>
      <c r="AX89" s="3" t="n"/>
      <c r="AY89" s="3" t="n"/>
      <c r="AZ89" s="3" t="n"/>
      <c r="BA89" s="3" t="n"/>
      <c r="BB89" s="3" t="n"/>
      <c r="BC89" s="3" t="n"/>
      <c r="BD89" s="3" t="n"/>
      <c r="BE89" s="3" t="n"/>
      <c r="BF89" s="3" t="n"/>
      <c r="BG89" s="3" t="n"/>
      <c r="BH89" s="3" t="n"/>
      <c r="BI89" s="3" t="n"/>
      <c r="BJ89" s="3" t="n"/>
      <c r="BK89" s="3" t="n"/>
      <c r="BL89" s="3" t="n"/>
      <c r="BM89" s="3" t="n"/>
      <c r="BN89" s="3" t="n"/>
      <c r="BO89" s="3" t="n"/>
      <c r="BP89" s="3" t="n"/>
      <c r="BQ89" s="3" t="n"/>
      <c r="BR89" s="3" t="n"/>
      <c r="BS89" s="3" t="n"/>
      <c r="BT89" s="3" t="n"/>
      <c r="BU89" s="3" t="n"/>
      <c r="BV89" s="3" t="n"/>
      <c r="BW89" s="3" t="n"/>
      <c r="BX89" s="3" t="n"/>
      <c r="BY89" s="3" t="n"/>
      <c r="BZ89" s="3" t="n"/>
      <c r="CA89" s="3" t="n"/>
      <c r="CB89" s="3" t="n"/>
      <c r="CC89" s="3" t="n"/>
      <c r="CD89" s="3" t="n"/>
      <c r="CE89" s="3" t="n"/>
      <c r="CF89" s="3" t="n"/>
      <c r="CG89" s="3" t="n"/>
      <c r="CH89" s="3" t="n"/>
      <c r="CI89" s="3" t="n"/>
      <c r="CJ89" s="3" t="n"/>
      <c r="CK89" s="3" t="n"/>
      <c r="CL89" s="3" t="n"/>
      <c r="CM89" s="3" t="n"/>
      <c r="CN89" s="3" t="n"/>
      <c r="CO89" s="3" t="n"/>
      <c r="CP89" s="3" t="n"/>
      <c r="CQ89" s="3" t="n"/>
      <c r="CR89" s="3" t="n"/>
      <c r="CS89" s="3" t="n"/>
      <c r="CT89" s="3" t="n"/>
      <c r="CU89" s="3" t="n"/>
      <c r="CV89" s="3" t="n"/>
      <c r="CW89" s="3" t="n"/>
      <c r="CX89" s="3" t="n"/>
      <c r="CY89" s="3" t="n"/>
    </row>
    <row r="90" hidden="1" outlineLevel="1">
      <c r="C90" s="34" t="inlineStr">
        <is>
          <t>Convertible debt</t>
        </is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n"/>
      <c r="AK90" s="3" t="n"/>
      <c r="AL90" s="3" t="n"/>
      <c r="AM90" s="3" t="n"/>
      <c r="AN90" s="3" t="n"/>
      <c r="AO90" s="3" t="n"/>
      <c r="AP90" s="3" t="n"/>
      <c r="AQ90" s="3" t="n"/>
      <c r="AR90" s="3" t="n"/>
      <c r="AS90" s="3" t="n"/>
      <c r="AT90" s="3" t="n"/>
      <c r="AU90" s="3" t="n"/>
      <c r="AV90" s="3" t="n"/>
      <c r="AW90" s="3" t="n"/>
      <c r="AX90" s="3" t="n"/>
      <c r="AY90" s="3" t="n"/>
      <c r="AZ90" s="3" t="n"/>
      <c r="BA90" s="3" t="n"/>
      <c r="BB90" s="3" t="n"/>
      <c r="BC90" s="3" t="n"/>
      <c r="BD90" s="3" t="n"/>
      <c r="BE90" s="3" t="n"/>
      <c r="BF90" s="3" t="n"/>
      <c r="BG90" s="3" t="n"/>
      <c r="BH90" s="3" t="n"/>
      <c r="BI90" s="3" t="n"/>
      <c r="BJ90" s="3" t="n"/>
      <c r="BK90" s="3" t="n"/>
      <c r="BL90" s="3" t="n"/>
      <c r="BM90" s="3" t="n"/>
      <c r="BN90" s="3" t="n"/>
      <c r="BO90" s="3" t="n"/>
      <c r="BP90" s="3" t="n"/>
      <c r="BQ90" s="3" t="n"/>
      <c r="BR90" s="3" t="n"/>
      <c r="BS90" s="3" t="n"/>
      <c r="BT90" s="3" t="n"/>
      <c r="BU90" s="3" t="n"/>
      <c r="BV90" s="3" t="n"/>
      <c r="BW90" s="3" t="n"/>
      <c r="BX90" s="3" t="n"/>
      <c r="BY90" s="3" t="n"/>
      <c r="BZ90" s="3" t="n"/>
      <c r="CA90" s="3" t="n"/>
      <c r="CB90" s="3" t="n"/>
      <c r="CC90" s="3" t="n"/>
      <c r="CD90" s="3" t="n"/>
      <c r="CE90" s="3" t="n"/>
      <c r="CF90" s="3" t="n"/>
      <c r="CG90" s="3" t="n"/>
      <c r="CH90" s="3" t="n"/>
      <c r="CI90" s="3" t="n"/>
      <c r="CJ90" s="3" t="n"/>
      <c r="CK90" s="3" t="n"/>
      <c r="CL90" s="3" t="n"/>
      <c r="CM90" s="3" t="n"/>
      <c r="CN90" s="3" t="n"/>
      <c r="CO90" s="3" t="n"/>
      <c r="CP90" s="3" t="n"/>
      <c r="CQ90" s="3" t="n"/>
      <c r="CR90" s="3" t="n"/>
      <c r="CS90" s="3" t="n"/>
      <c r="CT90" s="3" t="n"/>
      <c r="CU90" s="3" t="n"/>
      <c r="CV90" s="3" t="n"/>
      <c r="CW90" s="3" t="n"/>
      <c r="CX90" s="3" t="n"/>
      <c r="CY90" s="3" t="n"/>
    </row>
    <row r="91" hidden="1" outlineLevel="1">
      <c r="C91" s="34" t="inlineStr">
        <is>
          <t>Total debt</t>
        </is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n"/>
      <c r="AK91" s="3" t="n"/>
      <c r="AL91" s="3" t="n"/>
      <c r="AM91" s="3" t="n"/>
      <c r="AN91" s="3" t="n"/>
      <c r="AO91" s="3" t="n"/>
      <c r="AP91" s="3" t="n"/>
      <c r="AQ91" s="3" t="n"/>
      <c r="AR91" s="3" t="n"/>
      <c r="AS91" s="3" t="n"/>
      <c r="AT91" s="3" t="n"/>
      <c r="AU91" s="3" t="n"/>
      <c r="AV91" s="3" t="n"/>
      <c r="AW91" s="3" t="n"/>
      <c r="AX91" s="3" t="n"/>
      <c r="AY91" s="3" t="n"/>
      <c r="AZ91" s="3" t="n"/>
      <c r="BA91" s="3" t="n"/>
      <c r="BB91" s="3" t="n"/>
      <c r="BC91" s="3" t="n"/>
      <c r="BD91" s="3" t="n"/>
      <c r="BE91" s="3" t="n"/>
      <c r="BF91" s="3" t="n"/>
      <c r="BG91" s="3" t="n"/>
      <c r="BH91" s="3" t="n"/>
      <c r="BI91" s="3" t="n"/>
      <c r="BJ91" s="3" t="n"/>
      <c r="BK91" s="3" t="n"/>
      <c r="BL91" s="3" t="n"/>
      <c r="BM91" s="3" t="n"/>
      <c r="BN91" s="3" t="n"/>
      <c r="BO91" s="3" t="n"/>
      <c r="BP91" s="3" t="n"/>
      <c r="BQ91" s="3" t="n"/>
      <c r="BR91" s="3" t="n"/>
      <c r="BS91" s="3" t="n"/>
      <c r="BT91" s="3" t="n"/>
      <c r="BU91" s="3" t="n"/>
      <c r="BV91" s="3" t="n"/>
      <c r="BW91" s="3" t="n"/>
      <c r="BX91" s="3" t="n"/>
      <c r="BY91" s="3" t="n"/>
      <c r="BZ91" s="3" t="n"/>
      <c r="CA91" s="3" t="n"/>
      <c r="CB91" s="3" t="n"/>
      <c r="CC91" s="3" t="n"/>
      <c r="CD91" s="3" t="n"/>
      <c r="CE91" s="3" t="n"/>
      <c r="CF91" s="3" t="n"/>
      <c r="CG91" s="3" t="n"/>
      <c r="CH91" s="3" t="n"/>
      <c r="CI91" s="3" t="n"/>
      <c r="CJ91" s="3" t="n"/>
      <c r="CK91" s="3" t="n"/>
      <c r="CL91" s="3" t="n"/>
      <c r="CM91" s="3" t="n"/>
      <c r="CN91" s="3" t="n"/>
      <c r="CO91" s="3" t="n"/>
      <c r="CP91" s="3" t="n"/>
      <c r="CQ91" s="3" t="n"/>
      <c r="CR91" s="3" t="n"/>
      <c r="CS91" s="3" t="n"/>
      <c r="CT91" s="3" t="n"/>
      <c r="CU91" s="3" t="n"/>
      <c r="CV91" s="3" t="n"/>
      <c r="CW91" s="3" t="n"/>
      <c r="CX91" s="3" t="n"/>
      <c r="CY91" s="3" t="n"/>
    </row>
    <row r="92" hidden="1" outlineLevel="1">
      <c r="C92" s="34" t="inlineStr">
        <is>
          <t>Interest expense</t>
        </is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3" t="n"/>
      <c r="AH92" s="3" t="n"/>
      <c r="AI92" s="3" t="n"/>
      <c r="AJ92" s="3" t="n"/>
      <c r="AK92" s="3" t="n"/>
      <c r="AL92" s="3" t="n"/>
      <c r="AM92" s="3" t="n"/>
      <c r="AN92" s="3" t="n"/>
      <c r="AO92" s="3" t="n"/>
      <c r="AP92" s="3" t="n"/>
      <c r="AQ92" s="3" t="n"/>
      <c r="AR92" s="3" t="n"/>
      <c r="AS92" s="3" t="n"/>
      <c r="AT92" s="3" t="n"/>
      <c r="AU92" s="3" t="n"/>
      <c r="AV92" s="3" t="n"/>
      <c r="AW92" s="3" t="n"/>
      <c r="AX92" s="3" t="n"/>
      <c r="AY92" s="3" t="n"/>
      <c r="AZ92" s="3" t="n"/>
      <c r="BA92" s="3" t="n"/>
      <c r="BB92" s="3" t="n"/>
      <c r="BC92" s="3" t="n"/>
      <c r="BD92" s="3" t="n"/>
      <c r="BE92" s="3" t="n"/>
      <c r="BF92" s="3" t="n"/>
      <c r="BG92" s="3" t="n"/>
      <c r="BH92" s="3" t="n"/>
      <c r="BI92" s="3" t="n"/>
      <c r="BJ92" s="3" t="n"/>
      <c r="BK92" s="3" t="n"/>
      <c r="BL92" s="3" t="n"/>
      <c r="BM92" s="3" t="n"/>
      <c r="BN92" s="3" t="n"/>
      <c r="BO92" s="3" t="n"/>
      <c r="BP92" s="3" t="n"/>
      <c r="BQ92" s="3" t="n"/>
      <c r="BR92" s="3" t="n"/>
      <c r="BS92" s="3" t="n"/>
      <c r="BT92" s="3" t="n"/>
      <c r="BU92" s="3" t="n"/>
      <c r="BV92" s="3" t="n"/>
      <c r="BW92" s="3" t="n"/>
      <c r="BX92" s="3" t="n"/>
      <c r="BY92" s="3" t="n"/>
      <c r="BZ92" s="3" t="n"/>
      <c r="CA92" s="3" t="n"/>
      <c r="CB92" s="3" t="n"/>
      <c r="CC92" s="3" t="n"/>
      <c r="CD92" s="3" t="n"/>
      <c r="CE92" s="3" t="n"/>
      <c r="CF92" s="3" t="n"/>
      <c r="CG92" s="3" t="n"/>
      <c r="CH92" s="3" t="n"/>
      <c r="CI92" s="3" t="n"/>
      <c r="CJ92" s="3" t="n"/>
      <c r="CK92" s="3" t="n"/>
      <c r="CL92" s="3" t="n"/>
      <c r="CM92" s="3" t="n"/>
      <c r="CN92" s="3" t="n"/>
      <c r="CO92" s="3" t="n"/>
      <c r="CP92" s="3" t="n"/>
      <c r="CQ92" s="3" t="n"/>
      <c r="CR92" s="3" t="n"/>
      <c r="CS92" s="3" t="n"/>
      <c r="CT92" s="3" t="n"/>
      <c r="CU92" s="3" t="n"/>
      <c r="CV92" s="3" t="n"/>
      <c r="CW92" s="3" t="n"/>
      <c r="CX92" s="3" t="n"/>
      <c r="CY92" s="3" t="n"/>
    </row>
    <row r="93" hidden="1" outlineLevel="1">
      <c r="C93" s="34" t="inlineStr">
        <is>
          <t>Average interest rate</t>
        </is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n"/>
      <c r="AK93" s="3" t="n"/>
      <c r="AL93" s="3" t="n"/>
      <c r="AM93" s="3" t="n"/>
      <c r="AN93" s="3" t="n"/>
      <c r="AO93" s="3" t="n"/>
      <c r="AP93" s="3" t="n"/>
      <c r="AQ93" s="3" t="n"/>
      <c r="AR93" s="3" t="n"/>
      <c r="AS93" s="3" t="n"/>
      <c r="AT93" s="3" t="n"/>
      <c r="AU93" s="3" t="n"/>
      <c r="AV93" s="3" t="n"/>
      <c r="AW93" s="3" t="n"/>
      <c r="AX93" s="3" t="n"/>
      <c r="AY93" s="3" t="n"/>
      <c r="AZ93" s="3" t="n"/>
      <c r="BA93" s="3" t="n"/>
      <c r="BB93" s="3" t="n"/>
      <c r="BC93" s="3" t="n"/>
      <c r="BD93" s="3" t="n"/>
      <c r="BE93" s="3" t="n"/>
      <c r="BF93" s="3" t="n"/>
      <c r="BG93" s="3" t="n"/>
      <c r="BH93" s="3" t="n"/>
      <c r="BI93" s="3" t="n"/>
      <c r="BJ93" s="3" t="n"/>
      <c r="BK93" s="3" t="n"/>
      <c r="BL93" s="3" t="n"/>
      <c r="BM93" s="3" t="n"/>
      <c r="BN93" s="3" t="n"/>
      <c r="BO93" s="3" t="n"/>
      <c r="BP93" s="3" t="n"/>
      <c r="BQ93" s="3" t="n"/>
      <c r="BR93" s="3" t="n"/>
      <c r="BS93" s="3" t="n"/>
      <c r="BT93" s="3" t="n"/>
      <c r="BU93" s="3" t="n"/>
      <c r="BV93" s="3" t="n"/>
      <c r="BW93" s="3" t="n"/>
      <c r="BX93" s="3" t="n"/>
      <c r="BY93" s="3" t="n"/>
      <c r="BZ93" s="3" t="n"/>
      <c r="CA93" s="3" t="n"/>
      <c r="CB93" s="3" t="n"/>
      <c r="CC93" s="3" t="n"/>
      <c r="CD93" s="3" t="n"/>
      <c r="CE93" s="3" t="n"/>
      <c r="CF93" s="3" t="n"/>
      <c r="CG93" s="3" t="n"/>
      <c r="CH93" s="3" t="n"/>
      <c r="CI93" s="3" t="n"/>
      <c r="CJ93" s="3" t="n"/>
      <c r="CK93" s="3" t="n"/>
      <c r="CL93" s="3" t="n"/>
      <c r="CM93" s="3" t="n"/>
      <c r="CN93" s="3" t="n"/>
      <c r="CO93" s="3" t="n"/>
      <c r="CP93" s="3" t="n"/>
      <c r="CQ93" s="3" t="n"/>
      <c r="CR93" s="3" t="n"/>
      <c r="CS93" s="3" t="n"/>
      <c r="CT93" s="3" t="n"/>
      <c r="CU93" s="3" t="n"/>
      <c r="CV93" s="3" t="n"/>
      <c r="CW93" s="3" t="n"/>
      <c r="CX93" s="3" t="n"/>
      <c r="CY93" s="3" t="n"/>
    </row>
    <row r="94" hidden="1" outlineLevel="1">
      <c r="C94" s="34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3" t="n"/>
      <c r="AH94" s="3" t="n"/>
      <c r="AI94" s="3" t="n"/>
      <c r="AJ94" s="3" t="n"/>
      <c r="AK94" s="3" t="n"/>
      <c r="AL94" s="3" t="n"/>
      <c r="AM94" s="3" t="n"/>
      <c r="AN94" s="3" t="n"/>
      <c r="AO94" s="3" t="n"/>
      <c r="AP94" s="3" t="n"/>
      <c r="AQ94" s="3" t="n"/>
      <c r="AR94" s="3" t="n"/>
      <c r="AS94" s="3" t="n"/>
      <c r="AT94" s="3" t="n"/>
      <c r="AU94" s="3" t="n"/>
      <c r="AV94" s="3" t="n"/>
      <c r="AW94" s="3" t="n"/>
      <c r="AX94" s="3" t="n"/>
      <c r="AY94" s="3" t="n"/>
      <c r="AZ94" s="3" t="n"/>
      <c r="BA94" s="3" t="n"/>
      <c r="BB94" s="3" t="n"/>
      <c r="BC94" s="3" t="n"/>
      <c r="BD94" s="3" t="n"/>
      <c r="BE94" s="3" t="n"/>
      <c r="BF94" s="3" t="n"/>
      <c r="BG94" s="3" t="n"/>
      <c r="BH94" s="3" t="n"/>
      <c r="BI94" s="3" t="n"/>
      <c r="BJ94" s="3" t="n"/>
      <c r="BK94" s="3" t="n"/>
      <c r="BL94" s="3" t="n"/>
      <c r="BM94" s="3" t="n"/>
      <c r="BN94" s="3" t="n"/>
      <c r="BO94" s="3" t="n"/>
      <c r="BP94" s="3" t="n"/>
      <c r="BQ94" s="3" t="n"/>
      <c r="BR94" s="3" t="n"/>
      <c r="BS94" s="3" t="n"/>
      <c r="BT94" s="3" t="n"/>
      <c r="BU94" s="3" t="n"/>
      <c r="BV94" s="3" t="n"/>
      <c r="BW94" s="3" t="n"/>
      <c r="BX94" s="3" t="n"/>
      <c r="BY94" s="3" t="n"/>
      <c r="BZ94" s="3" t="n"/>
      <c r="CA94" s="3" t="n"/>
      <c r="CB94" s="3" t="n"/>
      <c r="CC94" s="3" t="n"/>
      <c r="CD94" s="3" t="n"/>
      <c r="CE94" s="3" t="n"/>
      <c r="CF94" s="3" t="n"/>
      <c r="CG94" s="3" t="n"/>
      <c r="CH94" s="3" t="n"/>
      <c r="CI94" s="3" t="n"/>
      <c r="CJ94" s="3" t="n"/>
      <c r="CK94" s="3" t="n"/>
      <c r="CL94" s="3" t="n"/>
      <c r="CM94" s="3" t="n"/>
      <c r="CN94" s="3" t="n"/>
      <c r="CO94" s="3" t="n"/>
      <c r="CP94" s="3" t="n"/>
      <c r="CQ94" s="3" t="n"/>
      <c r="CR94" s="3" t="n"/>
      <c r="CS94" s="3" t="n"/>
      <c r="CT94" s="3" t="n"/>
      <c r="CU94" s="3" t="n"/>
      <c r="CV94" s="3" t="n"/>
      <c r="CW94" s="3" t="n"/>
      <c r="CX94" s="3" t="n"/>
      <c r="CY94" s="3" t="n"/>
    </row>
    <row r="95" hidden="1" outlineLevel="1">
      <c r="C95" s="34" t="inlineStr">
        <is>
          <t>Stake</t>
        </is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/>
      <c r="AK95" s="3" t="n"/>
      <c r="AL95" s="3" t="n"/>
      <c r="AM95" s="3" t="n"/>
      <c r="AN95" s="3" t="n"/>
      <c r="AO95" s="3" t="n"/>
      <c r="AP95" s="3" t="n"/>
      <c r="AQ95" s="3" t="n"/>
      <c r="AR95" s="3" t="n"/>
      <c r="AS95" s="3" t="n"/>
      <c r="AT95" s="3" t="n"/>
      <c r="AU95" s="3" t="n"/>
      <c r="AV95" s="3" t="n"/>
      <c r="AW95" s="3" t="n"/>
      <c r="AX95" s="3" t="n"/>
      <c r="AY95" s="3" t="n"/>
      <c r="AZ95" s="3" t="n"/>
      <c r="BA95" s="3" t="n"/>
      <c r="BB95" s="3" t="n"/>
      <c r="BC95" s="3" t="n"/>
      <c r="BD95" s="3" t="n"/>
      <c r="BE95" s="3" t="n"/>
      <c r="BF95" s="3" t="n"/>
      <c r="BG95" s="3" t="n"/>
      <c r="BH95" s="3" t="n"/>
      <c r="BI95" s="3" t="n"/>
      <c r="BJ95" s="3" t="n"/>
      <c r="BK95" s="3" t="n"/>
      <c r="BL95" s="3" t="n"/>
      <c r="BM95" s="3" t="n"/>
      <c r="BN95" s="3" t="n"/>
      <c r="BO95" s="3" t="n"/>
      <c r="BP95" s="3" t="n"/>
      <c r="BQ95" s="3" t="n"/>
      <c r="BR95" s="3" t="n"/>
      <c r="BS95" s="3" t="n"/>
      <c r="BT95" s="3" t="n"/>
      <c r="BU95" s="3" t="n"/>
      <c r="BV95" s="3" t="n"/>
      <c r="BW95" s="3" t="n"/>
      <c r="BX95" s="3" t="n"/>
      <c r="BY95" s="3" t="n"/>
      <c r="BZ95" s="3" t="n"/>
      <c r="CA95" s="3" t="n"/>
      <c r="CB95" s="3" t="n"/>
      <c r="CC95" s="3" t="n"/>
      <c r="CD95" s="3" t="n"/>
      <c r="CE95" s="3" t="n"/>
      <c r="CF95" s="3" t="n"/>
      <c r="CG95" s="3" t="n"/>
      <c r="CH95" s="3" t="n"/>
      <c r="CI95" s="3" t="n"/>
      <c r="CJ95" s="3" t="n"/>
      <c r="CK95" s="3" t="n"/>
      <c r="CL95" s="3" t="n"/>
      <c r="CM95" s="3" t="n"/>
      <c r="CN95" s="3" t="n"/>
      <c r="CO95" s="3" t="n"/>
      <c r="CP95" s="3" t="n"/>
      <c r="CQ95" s="3" t="n"/>
      <c r="CR95" s="3" t="n"/>
      <c r="CS95" s="3" t="n"/>
      <c r="CT95" s="3" t="n"/>
      <c r="CU95" s="3" t="n"/>
      <c r="CV95" s="3" t="n"/>
      <c r="CW95" s="3" t="n"/>
      <c r="CX95" s="3" t="n"/>
      <c r="CY95" s="3" t="n"/>
    </row>
    <row r="96" hidden="1" outlineLevel="1">
      <c r="C96" s="34" t="inlineStr">
        <is>
          <t>PRE</t>
        </is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n"/>
      <c r="AK96" s="3" t="n"/>
      <c r="AL96" s="3" t="n"/>
      <c r="AM96" s="3" t="n"/>
      <c r="AN96" s="3" t="n"/>
      <c r="AO96" s="3" t="n"/>
      <c r="AP96" s="3" t="n"/>
      <c r="AQ96" s="3" t="n"/>
      <c r="AR96" s="3" t="n"/>
      <c r="AS96" s="3" t="n"/>
      <c r="AT96" s="3" t="n"/>
      <c r="AU96" s="3" t="n"/>
      <c r="AV96" s="3" t="n"/>
      <c r="AW96" s="3" t="n"/>
      <c r="AX96" s="3" t="n"/>
      <c r="AY96" s="3" t="n"/>
      <c r="AZ96" s="3" t="n"/>
      <c r="BA96" s="3" t="n"/>
      <c r="BB96" s="3" t="n"/>
      <c r="BC96" s="3" t="n"/>
      <c r="BD96" s="3" t="n"/>
      <c r="BE96" s="3" t="n"/>
      <c r="BF96" s="3" t="n"/>
      <c r="BG96" s="3" t="n"/>
      <c r="BH96" s="3" t="n"/>
      <c r="BI96" s="3" t="n"/>
      <c r="BJ96" s="3" t="n"/>
      <c r="BK96" s="3" t="n"/>
      <c r="BL96" s="3" t="n"/>
      <c r="BM96" s="3" t="n"/>
      <c r="BN96" s="3" t="n"/>
      <c r="BO96" s="3" t="n"/>
      <c r="BP96" s="3" t="n"/>
      <c r="BQ96" s="3" t="n"/>
      <c r="BR96" s="3" t="n"/>
      <c r="BS96" s="3" t="n"/>
      <c r="BT96" s="3" t="n"/>
      <c r="BU96" s="3" t="n"/>
      <c r="BV96" s="3" t="n"/>
      <c r="BW96" s="3" t="n"/>
      <c r="BX96" s="3" t="n"/>
      <c r="BY96" s="3" t="n"/>
      <c r="BZ96" s="3" t="n"/>
      <c r="CA96" s="3" t="n"/>
      <c r="CB96" s="3" t="n"/>
      <c r="CC96" s="3" t="n"/>
      <c r="CD96" s="3" t="n"/>
      <c r="CE96" s="3" t="n"/>
      <c r="CF96" s="3" t="n"/>
      <c r="CG96" s="3" t="n"/>
      <c r="CH96" s="3" t="n"/>
      <c r="CI96" s="3" t="n"/>
      <c r="CJ96" s="3" t="n"/>
      <c r="CK96" s="3" t="n"/>
      <c r="CL96" s="3" t="n"/>
      <c r="CM96" s="3" t="n"/>
      <c r="CN96" s="3" t="n"/>
      <c r="CO96" s="3" t="n"/>
      <c r="CP96" s="3" t="n"/>
      <c r="CQ96" s="3" t="n"/>
      <c r="CR96" s="3" t="n"/>
      <c r="CS96" s="3" t="n"/>
      <c r="CT96" s="3" t="n"/>
      <c r="CU96" s="3" t="n"/>
      <c r="CV96" s="3" t="n"/>
      <c r="CW96" s="3" t="n"/>
      <c r="CX96" s="3" t="n"/>
      <c r="CY96" s="3" t="n"/>
    </row>
    <row r="97" hidden="1" outlineLevel="1">
      <c r="C97" s="34" t="inlineStr">
        <is>
          <t>CDI+</t>
        </is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n"/>
      <c r="AK97" s="3" t="n"/>
      <c r="AL97" s="3" t="n"/>
      <c r="AM97" s="3" t="n"/>
      <c r="AN97" s="3" t="n"/>
      <c r="AO97" s="3" t="n"/>
      <c r="AP97" s="3" t="n"/>
      <c r="AQ97" s="3" t="n"/>
      <c r="AR97" s="3" t="n"/>
      <c r="AS97" s="3" t="n"/>
      <c r="AT97" s="3" t="n"/>
      <c r="AU97" s="3" t="n"/>
      <c r="AV97" s="3" t="n"/>
      <c r="AW97" s="3" t="n"/>
      <c r="AX97" s="3" t="n"/>
      <c r="AY97" s="3" t="n"/>
      <c r="AZ97" s="3" t="n"/>
      <c r="BA97" s="3" t="n"/>
      <c r="BB97" s="3" t="n"/>
      <c r="BC97" s="3" t="n"/>
      <c r="BD97" s="3" t="n"/>
      <c r="BE97" s="3" t="n"/>
      <c r="BF97" s="3" t="n"/>
      <c r="BG97" s="3" t="n"/>
      <c r="BH97" s="3" t="n"/>
      <c r="BI97" s="3" t="n"/>
      <c r="BJ97" s="3" t="n"/>
      <c r="BK97" s="3" t="n"/>
      <c r="BL97" s="3" t="n"/>
      <c r="BM97" s="3" t="n"/>
      <c r="BN97" s="3" t="n"/>
      <c r="BO97" s="3" t="n"/>
      <c r="BP97" s="3" t="n"/>
      <c r="BQ97" s="3" t="n"/>
      <c r="BR97" s="3" t="n"/>
      <c r="BS97" s="3" t="n"/>
      <c r="BT97" s="3" t="n"/>
      <c r="BU97" s="3" t="n"/>
      <c r="BV97" s="3" t="n"/>
      <c r="BW97" s="3" t="n"/>
      <c r="BX97" s="3" t="n"/>
      <c r="BY97" s="3" t="n"/>
      <c r="BZ97" s="3" t="n"/>
      <c r="CA97" s="3" t="n"/>
      <c r="CB97" s="3" t="n"/>
      <c r="CC97" s="3" t="n"/>
      <c r="CD97" s="3" t="n"/>
      <c r="CE97" s="3" t="n"/>
      <c r="CF97" s="3" t="n"/>
      <c r="CG97" s="3" t="n"/>
      <c r="CH97" s="3" t="n"/>
      <c r="CI97" s="3" t="n"/>
      <c r="CJ97" s="3" t="n"/>
      <c r="CK97" s="3" t="n"/>
      <c r="CL97" s="3" t="n"/>
      <c r="CM97" s="3" t="n"/>
      <c r="CN97" s="3" t="n"/>
      <c r="CO97" s="3" t="n"/>
      <c r="CP97" s="3" t="n"/>
      <c r="CQ97" s="3" t="n"/>
      <c r="CR97" s="3" t="n"/>
      <c r="CS97" s="3" t="n"/>
      <c r="CT97" s="3" t="n"/>
      <c r="CU97" s="3" t="n"/>
      <c r="CV97" s="3" t="n"/>
      <c r="CW97" s="3" t="n"/>
      <c r="CX97" s="3" t="n"/>
      <c r="CY97" s="3" t="n"/>
    </row>
    <row r="98" hidden="1" outlineLevel="1">
      <c r="C98" s="34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n"/>
      <c r="AK98" s="3" t="n"/>
      <c r="AL98" s="3" t="n"/>
      <c r="AM98" s="3" t="n"/>
      <c r="AN98" s="3" t="n"/>
      <c r="AO98" s="3" t="n"/>
      <c r="AP98" s="3" t="n"/>
      <c r="AQ98" s="3" t="n"/>
      <c r="AR98" s="3" t="n"/>
      <c r="AS98" s="3" t="n"/>
      <c r="AT98" s="3" t="n"/>
      <c r="AU98" s="3" t="n"/>
      <c r="AV98" s="3" t="n"/>
      <c r="AW98" s="3" t="n"/>
      <c r="AX98" s="3" t="n"/>
      <c r="AY98" s="3" t="n"/>
      <c r="AZ98" s="3" t="n"/>
      <c r="BA98" s="3" t="n"/>
      <c r="BB98" s="3" t="n"/>
      <c r="BC98" s="3" t="n"/>
      <c r="BD98" s="3" t="n"/>
      <c r="BE98" s="3" t="n"/>
      <c r="BF98" s="3" t="n"/>
      <c r="BG98" s="3" t="n"/>
      <c r="BH98" s="3" t="n"/>
      <c r="BI98" s="3" t="n"/>
      <c r="BJ98" s="3" t="n"/>
      <c r="BK98" s="3" t="n"/>
      <c r="BL98" s="3" t="n"/>
      <c r="BM98" s="3" t="n"/>
      <c r="BN98" s="3" t="n"/>
      <c r="BO98" s="3" t="n"/>
      <c r="BP98" s="3" t="n"/>
      <c r="BQ98" s="3" t="n"/>
      <c r="BR98" s="3" t="n"/>
      <c r="BS98" s="3" t="n"/>
      <c r="BT98" s="3" t="n"/>
      <c r="BU98" s="3" t="n"/>
      <c r="BV98" s="3" t="n"/>
      <c r="BW98" s="3" t="n"/>
      <c r="BX98" s="3" t="n"/>
      <c r="BY98" s="3" t="n"/>
      <c r="BZ98" s="3" t="n"/>
      <c r="CA98" s="3" t="n"/>
      <c r="CB98" s="3" t="n"/>
      <c r="CC98" s="3" t="n"/>
      <c r="CD98" s="3" t="n"/>
      <c r="CE98" s="3" t="n"/>
      <c r="CF98" s="3" t="n"/>
      <c r="CG98" s="3" t="n"/>
      <c r="CH98" s="3" t="n"/>
      <c r="CI98" s="3" t="n"/>
      <c r="CJ98" s="3" t="n"/>
      <c r="CK98" s="3" t="n"/>
      <c r="CL98" s="3" t="n"/>
      <c r="CM98" s="3" t="n"/>
      <c r="CN98" s="3" t="n"/>
      <c r="CO98" s="3" t="n"/>
      <c r="CP98" s="3" t="n"/>
      <c r="CQ98" s="3" t="n"/>
      <c r="CR98" s="3" t="n"/>
      <c r="CS98" s="3" t="n"/>
      <c r="CT98" s="3" t="n"/>
      <c r="CU98" s="3" t="n"/>
      <c r="CV98" s="3" t="n"/>
      <c r="CW98" s="3" t="n"/>
      <c r="CX98" s="3" t="n"/>
      <c r="CY98" s="3" t="n"/>
    </row>
    <row r="99" hidden="1" outlineLevel="1">
      <c r="C99" s="34" t="inlineStr">
        <is>
          <t>Spread</t>
        </is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3" t="n"/>
      <c r="AL99" s="3" t="n"/>
      <c r="AM99" s="3" t="n"/>
      <c r="AN99" s="3" t="n"/>
      <c r="AO99" s="3" t="n"/>
      <c r="AP99" s="3" t="n"/>
      <c r="AQ99" s="3" t="n"/>
      <c r="AR99" s="3" t="n"/>
      <c r="AS99" s="3" t="n"/>
      <c r="AT99" s="3" t="n"/>
      <c r="AU99" s="3" t="n"/>
      <c r="AV99" s="3" t="n"/>
      <c r="AW99" s="3" t="n"/>
      <c r="AX99" s="3" t="n"/>
      <c r="AY99" s="3" t="n"/>
      <c r="AZ99" s="3" t="n"/>
      <c r="BA99" s="3" t="n"/>
      <c r="BB99" s="3" t="n"/>
      <c r="BC99" s="3" t="n"/>
      <c r="BD99" s="3" t="n"/>
      <c r="BE99" s="3" t="n"/>
      <c r="BF99" s="3" t="n"/>
      <c r="BG99" s="3" t="n"/>
      <c r="BH99" s="3" t="n"/>
      <c r="BI99" s="3" t="n"/>
      <c r="BJ99" s="3" t="n"/>
      <c r="BK99" s="3" t="n"/>
      <c r="BL99" s="3" t="n"/>
      <c r="BM99" s="3" t="n"/>
      <c r="BN99" s="3" t="n"/>
      <c r="BO99" s="3" t="n"/>
      <c r="BP99" s="3" t="n"/>
      <c r="BQ99" s="3" t="n"/>
      <c r="BR99" s="3" t="n"/>
      <c r="BS99" s="3" t="n"/>
      <c r="BT99" s="3" t="n"/>
      <c r="BU99" s="3" t="n"/>
      <c r="BV99" s="3" t="n"/>
      <c r="BW99" s="3" t="n"/>
      <c r="BX99" s="3" t="n"/>
      <c r="BY99" s="3" t="n"/>
      <c r="BZ99" s="3" t="n"/>
      <c r="CA99" s="3" t="n"/>
      <c r="CB99" s="3" t="n"/>
      <c r="CC99" s="3" t="n"/>
      <c r="CD99" s="3" t="n"/>
      <c r="CE99" s="3" t="n"/>
      <c r="CF99" s="3" t="n"/>
      <c r="CG99" s="3" t="n"/>
      <c r="CH99" s="3" t="n"/>
      <c r="CI99" s="3" t="n"/>
      <c r="CJ99" s="3" t="n"/>
      <c r="CK99" s="3" t="n"/>
      <c r="CL99" s="3" t="n"/>
      <c r="CM99" s="3" t="n"/>
      <c r="CN99" s="3" t="n"/>
      <c r="CO99" s="3" t="n"/>
      <c r="CP99" s="3" t="n"/>
      <c r="CQ99" s="3" t="n"/>
      <c r="CR99" s="3" t="n"/>
      <c r="CS99" s="3" t="n"/>
      <c r="CT99" s="3" t="n"/>
      <c r="CU99" s="3" t="n"/>
      <c r="CV99" s="3" t="n"/>
      <c r="CW99" s="3" t="n"/>
      <c r="CX99" s="3" t="n"/>
      <c r="CY99" s="3" t="n"/>
    </row>
    <row r="100" hidden="1" outlineLevel="1">
      <c r="C100" s="34" t="inlineStr">
        <is>
          <t>PRE</t>
        </is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n"/>
      <c r="AK100" s="3" t="n"/>
      <c r="AL100" s="3" t="n"/>
      <c r="AM100" s="3" t="n"/>
      <c r="AN100" s="3" t="n"/>
      <c r="AO100" s="3" t="n"/>
      <c r="AP100" s="3" t="n"/>
      <c r="AQ100" s="3" t="n"/>
      <c r="AR100" s="3" t="n"/>
      <c r="AS100" s="3" t="n"/>
      <c r="AT100" s="3" t="n"/>
      <c r="AU100" s="3" t="n"/>
      <c r="AV100" s="3" t="n"/>
      <c r="AW100" s="3" t="n"/>
      <c r="AX100" s="3" t="n"/>
      <c r="AY100" s="3" t="n"/>
      <c r="AZ100" s="3" t="n"/>
      <c r="BA100" s="3" t="n"/>
      <c r="BB100" s="3" t="n"/>
      <c r="BC100" s="3" t="n"/>
      <c r="BD100" s="3" t="n"/>
      <c r="BE100" s="3" t="n"/>
      <c r="BF100" s="3" t="n"/>
      <c r="BG100" s="3" t="n"/>
      <c r="BH100" s="3" t="n"/>
      <c r="BI100" s="3" t="n"/>
      <c r="BJ100" s="3" t="n"/>
      <c r="BK100" s="3" t="n"/>
      <c r="BL100" s="3" t="n"/>
      <c r="BM100" s="3" t="n"/>
      <c r="BN100" s="3" t="n"/>
      <c r="BO100" s="3" t="n"/>
      <c r="BP100" s="3" t="n"/>
      <c r="BQ100" s="3" t="n"/>
      <c r="BR100" s="3" t="n"/>
      <c r="BS100" s="3" t="n"/>
      <c r="BT100" s="3" t="n"/>
      <c r="BU100" s="3" t="n"/>
      <c r="BV100" s="3" t="n"/>
      <c r="BW100" s="3" t="n"/>
      <c r="BX100" s="3" t="n"/>
      <c r="BY100" s="3" t="n"/>
      <c r="BZ100" s="3" t="n"/>
      <c r="CA100" s="3" t="n"/>
      <c r="CB100" s="3" t="n"/>
      <c r="CC100" s="3" t="n"/>
      <c r="CD100" s="3" t="n"/>
      <c r="CE100" s="3" t="n"/>
      <c r="CF100" s="3" t="n"/>
      <c r="CG100" s="3" t="n"/>
      <c r="CH100" s="3" t="n"/>
      <c r="CI100" s="3" t="n"/>
      <c r="CJ100" s="3" t="n"/>
      <c r="CK100" s="3" t="n"/>
      <c r="CL100" s="3" t="n"/>
      <c r="CM100" s="3" t="n"/>
      <c r="CN100" s="3" t="n"/>
      <c r="CO100" s="3" t="n"/>
      <c r="CP100" s="3" t="n"/>
      <c r="CQ100" s="3" t="n"/>
      <c r="CR100" s="3" t="n"/>
      <c r="CS100" s="3" t="n"/>
      <c r="CT100" s="3" t="n"/>
      <c r="CU100" s="3" t="n"/>
      <c r="CV100" s="3" t="n"/>
      <c r="CW100" s="3" t="n"/>
      <c r="CX100" s="3" t="n"/>
      <c r="CY100" s="3" t="n"/>
    </row>
    <row r="101" hidden="1" outlineLevel="1">
      <c r="C101" s="34" t="inlineStr">
        <is>
          <t>CDI+</t>
        </is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n"/>
      <c r="AK101" s="3" t="n"/>
      <c r="AL101" s="3" t="n"/>
      <c r="AM101" s="3" t="n"/>
      <c r="AN101" s="3" t="n"/>
      <c r="AO101" s="3" t="n"/>
      <c r="AP101" s="3" t="n"/>
      <c r="AQ101" s="3" t="n"/>
      <c r="AR101" s="3" t="n"/>
      <c r="AS101" s="3" t="n"/>
      <c r="AT101" s="3" t="n"/>
      <c r="AU101" s="3" t="n"/>
      <c r="AV101" s="3" t="n"/>
      <c r="AW101" s="3" t="n"/>
      <c r="AX101" s="3" t="n"/>
      <c r="AY101" s="3" t="n"/>
      <c r="AZ101" s="3" t="n"/>
      <c r="BA101" s="3" t="n"/>
      <c r="BB101" s="3" t="n"/>
      <c r="BC101" s="3" t="n"/>
      <c r="BD101" s="3" t="n"/>
      <c r="BE101" s="3" t="n"/>
      <c r="BF101" s="3" t="n"/>
      <c r="BG101" s="3" t="n"/>
      <c r="BH101" s="3" t="n"/>
      <c r="BI101" s="3" t="n"/>
      <c r="BJ101" s="3" t="n"/>
      <c r="BK101" s="3" t="n"/>
      <c r="BL101" s="3" t="n"/>
      <c r="BM101" s="3" t="n"/>
      <c r="BN101" s="3" t="n"/>
      <c r="BO101" s="3" t="n"/>
      <c r="BP101" s="3" t="n"/>
      <c r="BQ101" s="3" t="n"/>
      <c r="BR101" s="3" t="n"/>
      <c r="BS101" s="3" t="n"/>
      <c r="BT101" s="3" t="n"/>
      <c r="BU101" s="3" t="n"/>
      <c r="BV101" s="3" t="n"/>
      <c r="BW101" s="3" t="n"/>
      <c r="BX101" s="3" t="n"/>
      <c r="BY101" s="3" t="n"/>
      <c r="BZ101" s="3" t="n"/>
      <c r="CA101" s="3" t="n"/>
      <c r="CB101" s="3" t="n"/>
      <c r="CC101" s="3" t="n"/>
      <c r="CD101" s="3" t="n"/>
      <c r="CE101" s="3" t="n"/>
      <c r="CF101" s="3" t="n"/>
      <c r="CG101" s="3" t="n"/>
      <c r="CH101" s="3" t="n"/>
      <c r="CI101" s="3" t="n"/>
      <c r="CJ101" s="3" t="n"/>
      <c r="CK101" s="3" t="n"/>
      <c r="CL101" s="3" t="n"/>
      <c r="CM101" s="3" t="n"/>
      <c r="CN101" s="3" t="n"/>
      <c r="CO101" s="3" t="n"/>
      <c r="CP101" s="3" t="n"/>
      <c r="CQ101" s="3" t="n"/>
      <c r="CR101" s="3" t="n"/>
      <c r="CS101" s="3" t="n"/>
      <c r="CT101" s="3" t="n"/>
      <c r="CU101" s="3" t="n"/>
      <c r="CV101" s="3" t="n"/>
      <c r="CW101" s="3" t="n"/>
      <c r="CX101" s="3" t="n"/>
      <c r="CY101" s="3" t="n"/>
    </row>
    <row r="102" hidden="1" outlineLevel="1">
      <c r="C102" s="34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  <c r="AG102" s="3" t="n"/>
      <c r="AH102" s="3" t="n"/>
      <c r="AI102" s="3" t="n"/>
      <c r="AJ102" s="3" t="n"/>
      <c r="AK102" s="3" t="n"/>
      <c r="AL102" s="3" t="n"/>
      <c r="AM102" s="3" t="n"/>
      <c r="AN102" s="3" t="n"/>
      <c r="AO102" s="3" t="n"/>
      <c r="AP102" s="3" t="n"/>
      <c r="AQ102" s="3" t="n"/>
      <c r="AR102" s="3" t="n"/>
      <c r="AS102" s="3" t="n"/>
      <c r="AT102" s="3" t="n"/>
      <c r="AU102" s="3" t="n"/>
      <c r="AV102" s="3" t="n"/>
      <c r="AW102" s="3" t="n"/>
      <c r="AX102" s="3" t="n"/>
      <c r="AY102" s="3" t="n"/>
      <c r="AZ102" s="3" t="n"/>
      <c r="BA102" s="3" t="n"/>
      <c r="BB102" s="3" t="n"/>
      <c r="BC102" s="3" t="n"/>
      <c r="BD102" s="3" t="n"/>
      <c r="BE102" s="3" t="n"/>
      <c r="BF102" s="3" t="n"/>
      <c r="BG102" s="3" t="n"/>
      <c r="BH102" s="3" t="n"/>
      <c r="BI102" s="3" t="n"/>
      <c r="BJ102" s="3" t="n"/>
      <c r="BK102" s="3" t="n"/>
      <c r="BL102" s="3" t="n"/>
      <c r="BM102" s="3" t="n"/>
      <c r="BN102" s="3" t="n"/>
      <c r="BO102" s="3" t="n"/>
      <c r="BP102" s="3" t="n"/>
      <c r="BQ102" s="3" t="n"/>
      <c r="BR102" s="3" t="n"/>
      <c r="BS102" s="3" t="n"/>
      <c r="BT102" s="3" t="n"/>
      <c r="BU102" s="3" t="n"/>
      <c r="BV102" s="3" t="n"/>
      <c r="BW102" s="3" t="n"/>
      <c r="BX102" s="3" t="n"/>
      <c r="BY102" s="3" t="n"/>
      <c r="BZ102" s="3" t="n"/>
      <c r="CA102" s="3" t="n"/>
      <c r="CB102" s="3" t="n"/>
      <c r="CC102" s="3" t="n"/>
      <c r="CD102" s="3" t="n"/>
      <c r="CE102" s="3" t="n"/>
      <c r="CF102" s="3" t="n"/>
      <c r="CG102" s="3" t="n"/>
      <c r="CH102" s="3" t="n"/>
      <c r="CI102" s="3" t="n"/>
      <c r="CJ102" s="3" t="n"/>
      <c r="CK102" s="3" t="n"/>
      <c r="CL102" s="3" t="n"/>
      <c r="CM102" s="3" t="n"/>
      <c r="CN102" s="3" t="n"/>
      <c r="CO102" s="3" t="n"/>
      <c r="CP102" s="3" t="n"/>
      <c r="CQ102" s="3" t="n"/>
      <c r="CR102" s="3" t="n"/>
      <c r="CS102" s="3" t="n"/>
      <c r="CT102" s="3" t="n"/>
      <c r="CU102" s="3" t="n"/>
      <c r="CV102" s="3" t="n"/>
      <c r="CW102" s="3" t="n"/>
      <c r="CX102" s="3" t="n"/>
      <c r="CY102" s="3" t="n"/>
    </row>
    <row r="103" hidden="1" outlineLevel="1">
      <c r="C103" s="34" t="inlineStr">
        <is>
          <t>RECEITAS FINANCEIRAS - Rendimentos de aplicações financeiras</t>
        </is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n"/>
      <c r="AK103" s="3" t="n"/>
      <c r="AL103" s="3" t="n"/>
      <c r="AM103" s="3" t="n"/>
      <c r="AN103" s="3" t="n"/>
      <c r="AO103" s="3" t="n"/>
      <c r="AP103" s="3" t="n"/>
      <c r="AQ103" s="3" t="n"/>
      <c r="AR103" s="3" t="n"/>
      <c r="AS103" s="3" t="n"/>
      <c r="AT103" s="3" t="n"/>
      <c r="AU103" s="3" t="n"/>
      <c r="AV103" s="3" t="n"/>
      <c r="AW103" s="3" t="n"/>
      <c r="AX103" s="3" t="n"/>
      <c r="AY103" s="3" t="n"/>
      <c r="AZ103" s="3" t="n"/>
      <c r="BA103" s="3" t="n"/>
      <c r="BB103" s="3" t="n"/>
      <c r="BC103" s="3" t="n"/>
      <c r="BD103" s="3" t="n"/>
      <c r="BE103" s="3" t="n"/>
      <c r="BF103" s="3" t="n"/>
      <c r="BG103" s="3" t="n"/>
      <c r="BH103" s="3" t="n"/>
      <c r="BI103" s="3" t="n"/>
      <c r="BJ103" s="3" t="n"/>
      <c r="BK103" s="3" t="n"/>
      <c r="BL103" s="3" t="n"/>
      <c r="BM103" s="3" t="n"/>
      <c r="BN103" s="3" t="n"/>
      <c r="BO103" s="3" t="n"/>
      <c r="BP103" s="3" t="n"/>
      <c r="BQ103" s="3" t="n"/>
      <c r="BR103" s="3" t="n"/>
      <c r="BS103" s="3" t="n"/>
      <c r="BT103" s="3" t="n"/>
      <c r="BU103" s="3" t="n"/>
      <c r="BV103" s="3" t="n"/>
      <c r="BW103" s="3" t="n"/>
      <c r="BX103" s="3" t="n"/>
      <c r="BY103" s="3" t="n"/>
      <c r="BZ103" s="3" t="n"/>
      <c r="CA103" s="3" t="n"/>
      <c r="CB103" s="3" t="n"/>
      <c r="CC103" s="3" t="n"/>
      <c r="CD103" s="3" t="n"/>
      <c r="CE103" s="3" t="n"/>
      <c r="CF103" s="3" t="n"/>
      <c r="CG103" s="3" t="n"/>
      <c r="CH103" s="3" t="n"/>
      <c r="CI103" s="3" t="n"/>
      <c r="CJ103" s="3" t="n"/>
      <c r="CK103" s="3" t="n"/>
      <c r="CL103" s="3" t="n"/>
      <c r="CM103" s="3" t="n"/>
      <c r="CN103" s="3" t="n"/>
      <c r="CO103" s="3" t="n"/>
      <c r="CP103" s="3" t="n"/>
      <c r="CQ103" s="3" t="n"/>
      <c r="CR103" s="3" t="n"/>
      <c r="CS103" s="3" t="n"/>
      <c r="CT103" s="3" t="n"/>
      <c r="CU103" s="3" t="n"/>
      <c r="CV103" s="3" t="n"/>
      <c r="CW103" s="3" t="n"/>
      <c r="CX103" s="3" t="n"/>
      <c r="CY103" s="3" t="n"/>
    </row>
    <row r="104" hidden="1" outlineLevel="1">
      <c r="C104" s="34" t="inlineStr">
        <is>
          <t>RECEITAS FINANCEIRAS - Variação cambial ativa</t>
        </is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  <c r="AC104" s="3" t="n"/>
      <c r="AD104" s="3" t="n"/>
      <c r="AE104" s="3" t="n"/>
      <c r="AF104" s="3" t="n"/>
      <c r="AG104" s="3" t="n"/>
      <c r="AH104" s="3" t="n"/>
      <c r="AI104" s="3" t="n"/>
      <c r="AJ104" s="3" t="n"/>
      <c r="AK104" s="3" t="n"/>
      <c r="AL104" s="3" t="n"/>
      <c r="AM104" s="3" t="n"/>
      <c r="AN104" s="3" t="n"/>
      <c r="AO104" s="3" t="n"/>
      <c r="AP104" s="3" t="n"/>
      <c r="AQ104" s="3" t="n"/>
      <c r="AR104" s="3" t="n"/>
      <c r="AS104" s="3" t="n"/>
      <c r="AT104" s="3" t="n"/>
      <c r="AU104" s="3" t="n"/>
      <c r="AV104" s="3" t="n"/>
      <c r="AW104" s="3" t="n"/>
      <c r="AX104" s="3" t="n"/>
      <c r="AY104" s="3" t="n"/>
      <c r="AZ104" s="3" t="n"/>
      <c r="BA104" s="3" t="n"/>
      <c r="BB104" s="3" t="n"/>
      <c r="BC104" s="3" t="n"/>
      <c r="BD104" s="3" t="n"/>
      <c r="BE104" s="3" t="n"/>
      <c r="BF104" s="3" t="n"/>
      <c r="BG104" s="3" t="n"/>
      <c r="BH104" s="3" t="n"/>
      <c r="BI104" s="3" t="n"/>
      <c r="BJ104" s="3" t="n"/>
      <c r="BK104" s="3" t="n"/>
      <c r="BL104" s="3" t="n"/>
      <c r="BM104" s="3" t="n"/>
      <c r="BN104" s="3" t="n"/>
      <c r="BO104" s="3" t="n"/>
      <c r="BP104" s="3" t="n"/>
      <c r="BQ104" s="3" t="n"/>
      <c r="BR104" s="3" t="n"/>
      <c r="BS104" s="3" t="n"/>
      <c r="BT104" s="3" t="n"/>
      <c r="BU104" s="3" t="n"/>
      <c r="BV104" s="3" t="n"/>
      <c r="BW104" s="3" t="n"/>
      <c r="BX104" s="3" t="n"/>
      <c r="BY104" s="3" t="n"/>
      <c r="BZ104" s="3" t="n"/>
      <c r="CA104" s="3" t="n"/>
      <c r="CB104" s="3" t="n"/>
      <c r="CC104" s="3" t="n"/>
      <c r="CD104" s="3" t="n"/>
      <c r="CE104" s="3" t="n"/>
      <c r="CF104" s="3" t="n"/>
      <c r="CG104" s="3" t="n"/>
      <c r="CH104" s="3" t="n"/>
      <c r="CI104" s="3" t="n"/>
      <c r="CJ104" s="3" t="n"/>
      <c r="CK104" s="3" t="n"/>
      <c r="CL104" s="3" t="n"/>
      <c r="CM104" s="3" t="n"/>
      <c r="CN104" s="3" t="n"/>
      <c r="CO104" s="3" t="n"/>
      <c r="CP104" s="3" t="n"/>
      <c r="CQ104" s="3" t="n"/>
      <c r="CR104" s="3" t="n"/>
      <c r="CS104" s="3" t="n"/>
      <c r="CT104" s="3" t="n"/>
      <c r="CU104" s="3" t="n"/>
      <c r="CV104" s="3" t="n"/>
      <c r="CW104" s="3" t="n"/>
      <c r="CX104" s="3" t="n"/>
      <c r="CY104" s="3" t="n"/>
    </row>
    <row r="105" hidden="1" outlineLevel="1">
      <c r="C105" s="34" t="inlineStr">
        <is>
          <t>RECEITAS FINANCEIRAS - Atualização de contas a pagar por aquisição de empresas</t>
        </is>
      </c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  <c r="AD105" s="3" t="n"/>
      <c r="AE105" s="3" t="n"/>
      <c r="AF105" s="3" t="n"/>
      <c r="AG105" s="3" t="n"/>
      <c r="AH105" s="3" t="n"/>
      <c r="AI105" s="3" t="n"/>
      <c r="AJ105" s="3" t="n"/>
      <c r="AK105" s="3" t="n"/>
      <c r="AL105" s="3" t="n"/>
      <c r="AM105" s="3" t="n"/>
      <c r="AN105" s="3" t="n"/>
      <c r="AO105" s="3" t="n"/>
      <c r="AP105" s="3" t="n"/>
      <c r="AQ105" s="3" t="n"/>
      <c r="AR105" s="3" t="n"/>
      <c r="AS105" s="3" t="n"/>
      <c r="AT105" s="3" t="n"/>
      <c r="AU105" s="3" t="n"/>
      <c r="AV105" s="3" t="n"/>
      <c r="AW105" s="3" t="n"/>
      <c r="AX105" s="3" t="n"/>
      <c r="AY105" s="3" t="n"/>
      <c r="AZ105" s="3" t="n"/>
      <c r="BA105" s="3" t="n"/>
      <c r="BB105" s="3" t="n"/>
      <c r="BC105" s="3" t="n"/>
      <c r="BD105" s="3" t="n"/>
      <c r="BE105" s="3" t="n"/>
      <c r="BF105" s="3" t="n"/>
      <c r="BG105" s="3" t="n"/>
      <c r="BH105" s="3" t="n"/>
      <c r="BI105" s="3" t="n"/>
      <c r="BJ105" s="3" t="n"/>
      <c r="BK105" s="3" t="n"/>
      <c r="BL105" s="3" t="n"/>
      <c r="BM105" s="3" t="n"/>
      <c r="BN105" s="3" t="n"/>
      <c r="BO105" s="3" t="n"/>
      <c r="BP105" s="3" t="n"/>
      <c r="BQ105" s="3" t="n"/>
      <c r="BR105" s="3" t="n"/>
      <c r="BS105" s="3" t="n"/>
      <c r="BT105" s="3" t="n"/>
      <c r="BU105" s="3" t="n"/>
      <c r="BV105" s="3" t="n"/>
      <c r="BW105" s="3" t="n"/>
      <c r="BX105" s="3" t="n"/>
      <c r="BY105" s="3" t="n"/>
      <c r="BZ105" s="3" t="n"/>
      <c r="CA105" s="3" t="n"/>
      <c r="CB105" s="3" t="n"/>
      <c r="CC105" s="3" t="n"/>
      <c r="CD105" s="3" t="n"/>
      <c r="CE105" s="3" t="n"/>
      <c r="CF105" s="3" t="n"/>
      <c r="CG105" s="3" t="n"/>
      <c r="CH105" s="3" t="n"/>
      <c r="CI105" s="3" t="n"/>
      <c r="CJ105" s="3" t="n"/>
      <c r="CK105" s="3" t="n"/>
      <c r="CL105" s="3" t="n"/>
      <c r="CM105" s="3" t="n"/>
      <c r="CN105" s="3" t="n"/>
      <c r="CO105" s="3" t="n"/>
      <c r="CP105" s="3" t="n"/>
      <c r="CQ105" s="3" t="n"/>
      <c r="CR105" s="3" t="n"/>
      <c r="CS105" s="3" t="n"/>
      <c r="CT105" s="3" t="n"/>
      <c r="CU105" s="3" t="n"/>
      <c r="CV105" s="3" t="n"/>
      <c r="CW105" s="3" t="n"/>
      <c r="CX105" s="3" t="n"/>
      <c r="CY105" s="3" t="n"/>
    </row>
    <row r="106" hidden="1" outlineLevel="1">
      <c r="C106" s="34" t="inlineStr">
        <is>
          <t>RECEITAS FINANCEIRAS - Resultado positivo com instrumentos derivativos</t>
        </is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  <c r="AF106" s="3" t="n"/>
      <c r="AG106" s="3" t="n"/>
      <c r="AH106" s="3" t="n"/>
      <c r="AI106" s="3" t="n"/>
      <c r="AJ106" s="3" t="n"/>
      <c r="AK106" s="3" t="n"/>
      <c r="AL106" s="3" t="n"/>
      <c r="AM106" s="3" t="n"/>
      <c r="AN106" s="3" t="n"/>
      <c r="AO106" s="3" t="n"/>
      <c r="AP106" s="3" t="n"/>
      <c r="AQ106" s="3" t="n"/>
      <c r="AR106" s="3" t="n"/>
      <c r="AS106" s="3" t="n"/>
      <c r="AT106" s="3" t="n"/>
      <c r="AU106" s="3" t="n"/>
      <c r="AV106" s="3" t="n"/>
      <c r="AW106" s="3" t="n"/>
      <c r="AX106" s="3" t="n"/>
      <c r="AY106" s="3" t="n"/>
      <c r="AZ106" s="3" t="n"/>
      <c r="BA106" s="3" t="n"/>
      <c r="BB106" s="3" t="n"/>
      <c r="BC106" s="3" t="n"/>
      <c r="BD106" s="3" t="n"/>
      <c r="BE106" s="3" t="n"/>
      <c r="BF106" s="3" t="n"/>
      <c r="BG106" s="3" t="n"/>
      <c r="BH106" s="3" t="n"/>
      <c r="BI106" s="3" t="n"/>
      <c r="BJ106" s="3" t="n"/>
      <c r="BK106" s="3" t="n"/>
      <c r="BL106" s="3" t="n"/>
      <c r="BM106" s="3" t="n"/>
      <c r="BN106" s="3" t="n"/>
      <c r="BO106" s="3" t="n"/>
      <c r="BP106" s="3" t="n"/>
      <c r="BQ106" s="3" t="n"/>
      <c r="BR106" s="3" t="n"/>
      <c r="BS106" s="3" t="n"/>
      <c r="BT106" s="3" t="n"/>
      <c r="BU106" s="3" t="n"/>
      <c r="BV106" s="3" t="n"/>
      <c r="BW106" s="3" t="n"/>
      <c r="BX106" s="3" t="n"/>
      <c r="BY106" s="3" t="n"/>
      <c r="BZ106" s="3" t="n"/>
      <c r="CA106" s="3" t="n"/>
      <c r="CB106" s="3" t="n"/>
      <c r="CC106" s="3" t="n"/>
      <c r="CD106" s="3" t="n"/>
      <c r="CE106" s="3" t="n"/>
      <c r="CF106" s="3" t="n"/>
      <c r="CG106" s="3" t="n"/>
      <c r="CH106" s="3" t="n"/>
      <c r="CI106" s="3" t="n"/>
      <c r="CJ106" s="3" t="n"/>
      <c r="CK106" s="3" t="n"/>
      <c r="CL106" s="3" t="n"/>
      <c r="CM106" s="3" t="n"/>
      <c r="CN106" s="3" t="n"/>
      <c r="CO106" s="3" t="n"/>
      <c r="CP106" s="3" t="n"/>
      <c r="CQ106" s="3" t="n"/>
      <c r="CR106" s="3" t="n"/>
      <c r="CS106" s="3" t="n"/>
      <c r="CT106" s="3" t="n"/>
      <c r="CU106" s="3" t="n"/>
      <c r="CV106" s="3" t="n"/>
      <c r="CW106" s="3" t="n"/>
      <c r="CX106" s="3" t="n"/>
      <c r="CY106" s="3" t="n"/>
    </row>
    <row r="107" hidden="1" outlineLevel="1">
      <c r="C107" s="34" t="inlineStr">
        <is>
          <t>RECEITAS FINANCEIRAS - Descontos obtidos de fornecedores por antecipação</t>
        </is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  <c r="AF107" s="3" t="n"/>
      <c r="AG107" s="3" t="n"/>
      <c r="AH107" s="3" t="n"/>
      <c r="AI107" s="3" t="n"/>
      <c r="AJ107" s="3" t="n"/>
      <c r="AK107" s="3" t="n"/>
      <c r="AL107" s="3" t="n"/>
      <c r="AM107" s="3" t="n"/>
      <c r="AN107" s="3" t="n"/>
      <c r="AO107" s="3" t="n"/>
      <c r="AP107" s="3" t="n"/>
      <c r="AQ107" s="3" t="n"/>
      <c r="AR107" s="3" t="n"/>
      <c r="AS107" s="3" t="n"/>
      <c r="AT107" s="3" t="n"/>
      <c r="AU107" s="3" t="n"/>
      <c r="AV107" s="3" t="n"/>
      <c r="AW107" s="3" t="n"/>
      <c r="AX107" s="3" t="n"/>
      <c r="AY107" s="3" t="n"/>
      <c r="AZ107" s="3" t="n"/>
      <c r="BA107" s="3" t="n"/>
      <c r="BB107" s="3" t="n"/>
      <c r="BC107" s="3" t="n"/>
      <c r="BD107" s="3" t="n"/>
      <c r="BE107" s="3" t="n"/>
      <c r="BF107" s="3" t="n"/>
      <c r="BG107" s="3" t="n"/>
      <c r="BH107" s="3" t="n"/>
      <c r="BI107" s="3" t="n"/>
      <c r="BJ107" s="3" t="n"/>
      <c r="BK107" s="3" t="n"/>
      <c r="BL107" s="3" t="n"/>
      <c r="BM107" s="3" t="n"/>
      <c r="BN107" s="3" t="n"/>
      <c r="BO107" s="3" t="n"/>
      <c r="BP107" s="3" t="n"/>
      <c r="BQ107" s="3" t="n"/>
      <c r="BR107" s="3" t="n"/>
      <c r="BS107" s="3" t="n"/>
      <c r="BT107" s="3" t="n"/>
      <c r="BU107" s="3" t="n"/>
      <c r="BV107" s="3" t="n"/>
      <c r="BW107" s="3" t="n"/>
      <c r="BX107" s="3" t="n"/>
      <c r="BY107" s="3" t="n"/>
      <c r="BZ107" s="3" t="n"/>
      <c r="CA107" s="3" t="n"/>
      <c r="CB107" s="3" t="n"/>
      <c r="CC107" s="3" t="n"/>
      <c r="CD107" s="3" t="n"/>
      <c r="CE107" s="3" t="n"/>
      <c r="CF107" s="3" t="n"/>
      <c r="CG107" s="3" t="n"/>
      <c r="CH107" s="3" t="n"/>
      <c r="CI107" s="3" t="n"/>
      <c r="CJ107" s="3" t="n"/>
      <c r="CK107" s="3" t="n"/>
      <c r="CL107" s="3" t="n"/>
      <c r="CM107" s="3" t="n"/>
      <c r="CN107" s="3" t="n"/>
      <c r="CO107" s="3" t="n"/>
      <c r="CP107" s="3" t="n"/>
      <c r="CQ107" s="3" t="n"/>
      <c r="CR107" s="3" t="n"/>
      <c r="CS107" s="3" t="n"/>
      <c r="CT107" s="3" t="n"/>
      <c r="CU107" s="3" t="n"/>
      <c r="CV107" s="3" t="n"/>
      <c r="CW107" s="3" t="n"/>
      <c r="CX107" s="3" t="n"/>
      <c r="CY107" s="3" t="n"/>
    </row>
    <row r="108" hidden="1" outlineLevel="1">
      <c r="C108" s="34" t="inlineStr">
        <is>
          <t>RECEITAS FINANCEIRAS - Atualização monetária sobre Exclusão ICMS da base de PIS/COFINS (nota explicativa nº 7)</t>
        </is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n"/>
      <c r="AG108" s="3" t="n"/>
      <c r="AH108" s="3" t="n"/>
      <c r="AI108" s="3" t="n"/>
      <c r="AJ108" s="3" t="n"/>
      <c r="AK108" s="3" t="n"/>
      <c r="AL108" s="3" t="n"/>
      <c r="AM108" s="3" t="n"/>
      <c r="AN108" s="3" t="n"/>
      <c r="AO108" s="3" t="n"/>
      <c r="AP108" s="3" t="n"/>
      <c r="AQ108" s="3" t="n"/>
      <c r="AR108" s="3" t="n"/>
      <c r="AS108" s="3" t="n"/>
      <c r="AT108" s="3" t="n"/>
      <c r="AU108" s="3" t="n"/>
      <c r="AV108" s="3" t="n"/>
      <c r="AW108" s="3" t="n"/>
      <c r="AX108" s="3" t="n"/>
      <c r="AY108" s="3" t="n"/>
      <c r="AZ108" s="3" t="n"/>
      <c r="BA108" s="3" t="n"/>
      <c r="BB108" s="3" t="n"/>
      <c r="BC108" s="3" t="n"/>
      <c r="BD108" s="3" t="n"/>
      <c r="BE108" s="3" t="n"/>
      <c r="BF108" s="3" t="n"/>
      <c r="BG108" s="3" t="n"/>
      <c r="BH108" s="3" t="n"/>
      <c r="BI108" s="3" t="n"/>
      <c r="BJ108" s="3" t="n"/>
      <c r="BK108" s="3" t="n"/>
      <c r="BL108" s="3" t="n"/>
      <c r="BM108" s="3" t="n"/>
      <c r="BN108" s="3" t="n"/>
      <c r="BO108" s="3" t="n"/>
      <c r="BP108" s="3" t="n"/>
      <c r="BQ108" s="3" t="n"/>
      <c r="BR108" s="3" t="n"/>
      <c r="BS108" s="3" t="n"/>
      <c r="BT108" s="3" t="n"/>
      <c r="BU108" s="3" t="n"/>
      <c r="BV108" s="3" t="n"/>
      <c r="BW108" s="3" t="n"/>
      <c r="BX108" s="3" t="n"/>
      <c r="BY108" s="3" t="n"/>
      <c r="BZ108" s="3" t="n"/>
      <c r="CA108" s="3" t="n"/>
      <c r="CB108" s="3" t="n"/>
      <c r="CC108" s="3" t="n"/>
      <c r="CD108" s="3" t="n"/>
      <c r="CE108" s="3" t="n"/>
      <c r="CF108" s="3" t="n"/>
      <c r="CG108" s="3" t="n"/>
      <c r="CH108" s="3" t="n"/>
      <c r="CI108" s="3" t="n"/>
      <c r="CJ108" s="3" t="n"/>
      <c r="CK108" s="3" t="n"/>
      <c r="CL108" s="3" t="n"/>
      <c r="CM108" s="3" t="n"/>
      <c r="CN108" s="3" t="n"/>
      <c r="CO108" s="3" t="n"/>
      <c r="CP108" s="3" t="n"/>
      <c r="CQ108" s="3" t="n"/>
      <c r="CR108" s="3" t="n"/>
      <c r="CS108" s="3" t="n"/>
      <c r="CT108" s="3" t="n"/>
      <c r="CU108" s="3" t="n"/>
      <c r="CV108" s="3" t="n"/>
      <c r="CW108" s="3" t="n"/>
      <c r="CX108" s="3" t="n"/>
      <c r="CY108" s="3" t="n"/>
    </row>
    <row r="109" hidden="1" outlineLevel="1">
      <c r="C109" s="34" t="inlineStr">
        <is>
          <t>RECEITAS FINANCEIRAS - Outras</t>
        </is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  <c r="AF109" s="3" t="n"/>
      <c r="AG109" s="3" t="n"/>
      <c r="AH109" s="3" t="n"/>
      <c r="AI109" s="3" t="n"/>
      <c r="AJ109" s="3" t="n"/>
      <c r="AK109" s="3" t="n"/>
      <c r="AL109" s="3" t="n"/>
      <c r="AM109" s="3" t="n"/>
      <c r="AN109" s="3" t="n"/>
      <c r="AO109" s="3" t="n"/>
      <c r="AP109" s="3" t="n"/>
      <c r="AQ109" s="3" t="n"/>
      <c r="AR109" s="3" t="n"/>
      <c r="AS109" s="3" t="n"/>
      <c r="AT109" s="3" t="n"/>
      <c r="AU109" s="3" t="n"/>
      <c r="AV109" s="3" t="n"/>
      <c r="AW109" s="3" t="n"/>
      <c r="AX109" s="3" t="n"/>
      <c r="AY109" s="3" t="n"/>
      <c r="AZ109" s="3" t="n"/>
      <c r="BA109" s="3" t="n"/>
      <c r="BB109" s="3" t="n"/>
      <c r="BC109" s="3" t="n"/>
      <c r="BD109" s="3" t="n"/>
      <c r="BE109" s="3" t="n"/>
      <c r="BF109" s="3" t="n"/>
      <c r="BG109" s="3" t="n"/>
      <c r="BH109" s="3" t="n"/>
      <c r="BI109" s="3" t="n"/>
      <c r="BJ109" s="3" t="n"/>
      <c r="BK109" s="3" t="n"/>
      <c r="BL109" s="3" t="n"/>
      <c r="BM109" s="3" t="n"/>
      <c r="BN109" s="3" t="n"/>
      <c r="BO109" s="3" t="n"/>
      <c r="BP109" s="3" t="n"/>
      <c r="BQ109" s="3" t="n"/>
      <c r="BR109" s="3" t="n"/>
      <c r="BS109" s="3" t="n"/>
      <c r="BT109" s="3" t="n"/>
      <c r="BU109" s="3" t="n"/>
      <c r="BV109" s="3" t="n"/>
      <c r="BW109" s="3" t="n"/>
      <c r="BX109" s="3" t="n"/>
      <c r="BY109" s="3" t="n"/>
      <c r="BZ109" s="3" t="n"/>
      <c r="CA109" s="3" t="n"/>
      <c r="CB109" s="3" t="n"/>
      <c r="CC109" s="3" t="n"/>
      <c r="CD109" s="3" t="n"/>
      <c r="CE109" s="3" t="n"/>
      <c r="CF109" s="3" t="n"/>
      <c r="CG109" s="3" t="n"/>
      <c r="CH109" s="3" t="n"/>
      <c r="CI109" s="3" t="n"/>
      <c r="CJ109" s="3" t="n"/>
      <c r="CK109" s="3" t="n"/>
      <c r="CL109" s="3" t="n"/>
      <c r="CM109" s="3" t="n"/>
      <c r="CN109" s="3" t="n"/>
      <c r="CO109" s="3" t="n"/>
      <c r="CP109" s="3" t="n"/>
      <c r="CQ109" s="3" t="n"/>
      <c r="CR109" s="3" t="n"/>
      <c r="CS109" s="3" t="n"/>
      <c r="CT109" s="3" t="n"/>
      <c r="CU109" s="3" t="n"/>
      <c r="CV109" s="3" t="n"/>
      <c r="CW109" s="3" t="n"/>
      <c r="CX109" s="3" t="n"/>
      <c r="CY109" s="3" t="n"/>
    </row>
    <row r="110" hidden="1" outlineLevel="1">
      <c r="C110" s="34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3" t="n"/>
      <c r="AG110" s="3" t="n"/>
      <c r="AH110" s="3" t="n"/>
      <c r="AI110" s="3" t="n"/>
      <c r="AJ110" s="3" t="n"/>
      <c r="AK110" s="3" t="n"/>
      <c r="AL110" s="3" t="n"/>
      <c r="AM110" s="3" t="n"/>
      <c r="AN110" s="3" t="n"/>
      <c r="AO110" s="3" t="n"/>
      <c r="AP110" s="3" t="n"/>
      <c r="AQ110" s="3" t="n"/>
      <c r="AR110" s="3" t="n"/>
      <c r="AS110" s="3" t="n"/>
      <c r="AT110" s="3" t="n"/>
      <c r="AU110" s="3" t="n"/>
      <c r="AV110" s="3" t="n"/>
      <c r="AW110" s="3" t="n"/>
      <c r="AX110" s="3" t="n"/>
      <c r="AY110" s="3" t="n"/>
      <c r="AZ110" s="3" t="n"/>
      <c r="BA110" s="3" t="n"/>
      <c r="BB110" s="3" t="n"/>
      <c r="BC110" s="3" t="n"/>
      <c r="BD110" s="3" t="n"/>
      <c r="BE110" s="3" t="n"/>
      <c r="BF110" s="3" t="n"/>
      <c r="BG110" s="3" t="n"/>
      <c r="BH110" s="3" t="n"/>
      <c r="BI110" s="3" t="n"/>
      <c r="BJ110" s="3" t="n"/>
      <c r="BK110" s="3" t="n"/>
      <c r="BL110" s="3" t="n"/>
      <c r="BM110" s="3" t="n"/>
      <c r="BN110" s="3" t="n"/>
      <c r="BO110" s="3" t="n"/>
      <c r="BP110" s="3" t="n"/>
      <c r="BQ110" s="3" t="n"/>
      <c r="BR110" s="3" t="n"/>
      <c r="BS110" s="3" t="n"/>
      <c r="BT110" s="3" t="n"/>
      <c r="BU110" s="3" t="n"/>
      <c r="BV110" s="3" t="n"/>
      <c r="BW110" s="3" t="n"/>
      <c r="BX110" s="3" t="n"/>
      <c r="BY110" s="3" t="n"/>
      <c r="BZ110" s="3" t="n"/>
      <c r="CA110" s="3" t="n"/>
      <c r="CB110" s="3" t="n"/>
      <c r="CC110" s="3" t="n"/>
      <c r="CD110" s="3" t="n"/>
      <c r="CE110" s="3" t="n"/>
      <c r="CF110" s="3" t="n"/>
      <c r="CG110" s="3" t="n"/>
      <c r="CH110" s="3" t="n"/>
      <c r="CI110" s="3" t="n"/>
      <c r="CJ110" s="3" t="n"/>
      <c r="CK110" s="3" t="n"/>
      <c r="CL110" s="3" t="n"/>
      <c r="CM110" s="3" t="n"/>
      <c r="CN110" s="3" t="n"/>
      <c r="CO110" s="3" t="n"/>
      <c r="CP110" s="3" t="n"/>
      <c r="CQ110" s="3" t="n"/>
      <c r="CR110" s="3" t="n"/>
      <c r="CS110" s="3" t="n"/>
      <c r="CT110" s="3" t="n"/>
      <c r="CU110" s="3" t="n"/>
      <c r="CV110" s="3" t="n"/>
      <c r="CW110" s="3" t="n"/>
      <c r="CX110" s="3" t="n"/>
      <c r="CY110" s="3" t="n"/>
    </row>
    <row r="111" hidden="1" outlineLevel="1">
      <c r="C111" s="34" t="inlineStr">
        <is>
          <t>DESPESAS FINANCEIRAS - Encargos sobre empréstimos, financiamentos e debêntures</t>
        </is>
      </c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3" t="n"/>
      <c r="AG111" s="3" t="n"/>
      <c r="AH111" s="3" t="n"/>
      <c r="AI111" s="3" t="n"/>
      <c r="AJ111" s="3" t="n"/>
      <c r="AK111" s="3" t="n"/>
      <c r="AL111" s="3" t="n"/>
      <c r="AM111" s="3" t="n"/>
      <c r="AN111" s="3" t="n"/>
      <c r="AO111" s="3" t="n"/>
      <c r="AP111" s="3" t="n"/>
      <c r="AQ111" s="3" t="n"/>
      <c r="AR111" s="3" t="n"/>
      <c r="AS111" s="3" t="n"/>
      <c r="AT111" s="3" t="n"/>
      <c r="AU111" s="3" t="n"/>
      <c r="AV111" s="3" t="n"/>
      <c r="AW111" s="3" t="n"/>
      <c r="AX111" s="3" t="n"/>
      <c r="AY111" s="3" t="n"/>
      <c r="AZ111" s="3" t="n"/>
      <c r="BA111" s="3" t="n"/>
      <c r="BB111" s="3" t="n"/>
      <c r="BC111" s="3" t="n"/>
      <c r="BD111" s="3" t="n"/>
      <c r="BE111" s="3" t="n"/>
      <c r="BF111" s="3" t="n"/>
      <c r="BG111" s="3" t="n"/>
      <c r="BH111" s="3" t="n"/>
      <c r="BI111" s="3" t="n"/>
      <c r="BJ111" s="3" t="n"/>
      <c r="BK111" s="3" t="n"/>
      <c r="BL111" s="3" t="n"/>
      <c r="BM111" s="3" t="n"/>
      <c r="BN111" s="3" t="n"/>
      <c r="BO111" s="3" t="n"/>
      <c r="BP111" s="3" t="n"/>
      <c r="BQ111" s="3" t="n"/>
      <c r="BR111" s="3" t="n"/>
      <c r="BS111" s="3" t="n"/>
      <c r="BT111" s="3" t="n"/>
      <c r="BU111" s="3" t="n"/>
      <c r="BV111" s="3" t="n"/>
      <c r="BW111" s="3" t="n"/>
      <c r="BX111" s="3" t="n"/>
      <c r="BY111" s="3" t="n"/>
      <c r="BZ111" s="3" t="n"/>
      <c r="CA111" s="3" t="n"/>
      <c r="CB111" s="3" t="n"/>
      <c r="CC111" s="3" t="n"/>
      <c r="CD111" s="3" t="n"/>
      <c r="CE111" s="3" t="n"/>
      <c r="CF111" s="3" t="n"/>
      <c r="CG111" s="3" t="n"/>
      <c r="CH111" s="3" t="n"/>
      <c r="CI111" s="3" t="n"/>
      <c r="CJ111" s="3" t="n"/>
      <c r="CK111" s="3" t="n"/>
      <c r="CL111" s="3" t="n"/>
      <c r="CM111" s="3" t="n"/>
      <c r="CN111" s="3" t="n"/>
      <c r="CO111" s="3" t="n"/>
      <c r="CP111" s="3" t="n"/>
      <c r="CQ111" s="3" t="n"/>
      <c r="CR111" s="3" t="n"/>
      <c r="CS111" s="3" t="n"/>
      <c r="CT111" s="3" t="n"/>
      <c r="CU111" s="3" t="n"/>
      <c r="CV111" s="3" t="n"/>
      <c r="CW111" s="3" t="n"/>
      <c r="CX111" s="3" t="n"/>
      <c r="CY111" s="3" t="n"/>
    </row>
    <row r="112" hidden="1" outlineLevel="1">
      <c r="C112" s="34" t="inlineStr">
        <is>
          <t>DESPESAS FINANCEIRAS - Variação cambial passiva</t>
        </is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  <c r="AF112" s="3" t="n"/>
      <c r="AG112" s="3" t="n"/>
      <c r="AH112" s="3" t="n"/>
      <c r="AI112" s="3" t="n"/>
      <c r="AJ112" s="3" t="n"/>
      <c r="AK112" s="3" t="n"/>
      <c r="AL112" s="3" t="n"/>
      <c r="AM112" s="3" t="n"/>
      <c r="AN112" s="3" t="n"/>
      <c r="AO112" s="3" t="n"/>
      <c r="AP112" s="3" t="n"/>
      <c r="AQ112" s="3" t="n"/>
      <c r="AR112" s="3" t="n"/>
      <c r="AS112" s="3" t="n"/>
      <c r="AT112" s="3" t="n"/>
      <c r="AU112" s="3" t="n"/>
      <c r="AV112" s="3" t="n"/>
      <c r="AW112" s="3" t="n"/>
      <c r="AX112" s="3" t="n"/>
      <c r="AY112" s="3" t="n"/>
      <c r="AZ112" s="3" t="n"/>
      <c r="BA112" s="3" t="n"/>
      <c r="BB112" s="3" t="n"/>
      <c r="BC112" s="3" t="n"/>
      <c r="BD112" s="3" t="n"/>
      <c r="BE112" s="3" t="n"/>
      <c r="BF112" s="3" t="n"/>
      <c r="BG112" s="3" t="n"/>
      <c r="BH112" s="3" t="n"/>
      <c r="BI112" s="3" t="n"/>
      <c r="BJ112" s="3" t="n"/>
      <c r="BK112" s="3" t="n"/>
      <c r="BL112" s="3" t="n"/>
      <c r="BM112" s="3" t="n"/>
      <c r="BN112" s="3" t="n"/>
      <c r="BO112" s="3" t="n"/>
      <c r="BP112" s="3" t="n"/>
      <c r="BQ112" s="3" t="n"/>
      <c r="BR112" s="3" t="n"/>
      <c r="BS112" s="3" t="n"/>
      <c r="BT112" s="3" t="n"/>
      <c r="BU112" s="3" t="n"/>
      <c r="BV112" s="3" t="n"/>
      <c r="BW112" s="3" t="n"/>
      <c r="BX112" s="3" t="n"/>
      <c r="BY112" s="3" t="n"/>
      <c r="BZ112" s="3" t="n"/>
      <c r="CA112" s="3" t="n"/>
      <c r="CB112" s="3" t="n"/>
      <c r="CC112" s="3" t="n"/>
      <c r="CD112" s="3" t="n"/>
      <c r="CE112" s="3" t="n"/>
      <c r="CF112" s="3" t="n"/>
      <c r="CG112" s="3" t="n"/>
      <c r="CH112" s="3" t="n"/>
      <c r="CI112" s="3" t="n"/>
      <c r="CJ112" s="3" t="n"/>
      <c r="CK112" s="3" t="n"/>
      <c r="CL112" s="3" t="n"/>
      <c r="CM112" s="3" t="n"/>
      <c r="CN112" s="3" t="n"/>
      <c r="CO112" s="3" t="n"/>
      <c r="CP112" s="3" t="n"/>
      <c r="CQ112" s="3" t="n"/>
      <c r="CR112" s="3" t="n"/>
      <c r="CS112" s="3" t="n"/>
      <c r="CT112" s="3" t="n"/>
      <c r="CU112" s="3" t="n"/>
      <c r="CV112" s="3" t="n"/>
      <c r="CW112" s="3" t="n"/>
      <c r="CX112" s="3" t="n"/>
      <c r="CY112" s="3" t="n"/>
    </row>
    <row r="113" hidden="1" outlineLevel="1">
      <c r="C113" s="34" t="inlineStr">
        <is>
          <t>DESPESAS FINANCEIRAS - Resultado negativo com instrumentos derivativos</t>
        </is>
      </c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n"/>
      <c r="AK113" s="3" t="n"/>
      <c r="AL113" s="3" t="n"/>
      <c r="AM113" s="3" t="n"/>
      <c r="AN113" s="3" t="n"/>
      <c r="AO113" s="3" t="n"/>
      <c r="AP113" s="3" t="n"/>
      <c r="AQ113" s="3" t="n"/>
      <c r="AR113" s="3" t="n"/>
      <c r="AS113" s="3" t="n"/>
      <c r="AT113" s="3" t="n"/>
      <c r="AU113" s="3" t="n"/>
      <c r="AV113" s="3" t="n"/>
      <c r="AW113" s="3" t="n"/>
      <c r="AX113" s="3" t="n"/>
      <c r="AY113" s="3" t="n"/>
      <c r="AZ113" s="3" t="n"/>
      <c r="BA113" s="3" t="n"/>
      <c r="BB113" s="3" t="n"/>
      <c r="BC113" s="3" t="n"/>
      <c r="BD113" s="3" t="n"/>
      <c r="BE113" s="3" t="n"/>
      <c r="BF113" s="3" t="n"/>
      <c r="BG113" s="3" t="n"/>
      <c r="BH113" s="3" t="n"/>
      <c r="BI113" s="3" t="n"/>
      <c r="BJ113" s="3" t="n"/>
      <c r="BK113" s="3" t="n"/>
      <c r="BL113" s="3" t="n"/>
      <c r="BM113" s="3" t="n"/>
      <c r="BN113" s="3" t="n"/>
      <c r="BO113" s="3" t="n"/>
      <c r="BP113" s="3" t="n"/>
      <c r="BQ113" s="3" t="n"/>
      <c r="BR113" s="3" t="n"/>
      <c r="BS113" s="3" t="n"/>
      <c r="BT113" s="3" t="n"/>
      <c r="BU113" s="3" t="n"/>
      <c r="BV113" s="3" t="n"/>
      <c r="BW113" s="3" t="n"/>
      <c r="BX113" s="3" t="n"/>
      <c r="BY113" s="3" t="n"/>
      <c r="BZ113" s="3" t="n"/>
      <c r="CA113" s="3" t="n"/>
      <c r="CB113" s="3" t="n"/>
      <c r="CC113" s="3" t="n"/>
      <c r="CD113" s="3" t="n"/>
      <c r="CE113" s="3" t="n"/>
      <c r="CF113" s="3" t="n"/>
      <c r="CG113" s="3" t="n"/>
      <c r="CH113" s="3" t="n"/>
      <c r="CI113" s="3" t="n"/>
      <c r="CJ113" s="3" t="n"/>
      <c r="CK113" s="3" t="n"/>
      <c r="CL113" s="3" t="n"/>
      <c r="CM113" s="3" t="n"/>
      <c r="CN113" s="3" t="n"/>
      <c r="CO113" s="3" t="n"/>
      <c r="CP113" s="3" t="n"/>
      <c r="CQ113" s="3" t="n"/>
      <c r="CR113" s="3" t="n"/>
      <c r="CS113" s="3" t="n"/>
      <c r="CT113" s="3" t="n"/>
      <c r="CU113" s="3" t="n"/>
      <c r="CV113" s="3" t="n"/>
      <c r="CW113" s="3" t="n"/>
      <c r="CX113" s="3" t="n"/>
      <c r="CY113" s="3" t="n"/>
    </row>
    <row r="114" hidden="1" outlineLevel="1">
      <c r="C114" s="34" t="inlineStr">
        <is>
          <t>DESPESAS FINANCEIRAS - Juros sobre arrendamento - IFRS16</t>
        </is>
      </c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/>
      <c r="AG114" s="3" t="n"/>
      <c r="AH114" s="3" t="n"/>
      <c r="AI114" s="3" t="n"/>
      <c r="AJ114" s="3" t="n"/>
      <c r="AK114" s="3" t="n"/>
      <c r="AL114" s="3" t="n"/>
      <c r="AM114" s="3" t="n"/>
      <c r="AN114" s="3" t="n"/>
      <c r="AO114" s="3" t="n"/>
      <c r="AP114" s="3" t="n"/>
      <c r="AQ114" s="3" t="n"/>
      <c r="AR114" s="3" t="n"/>
      <c r="AS114" s="3" t="n"/>
      <c r="AT114" s="3" t="n"/>
      <c r="AU114" s="3" t="n"/>
      <c r="AV114" s="3" t="n"/>
      <c r="AW114" s="3" t="n"/>
      <c r="AX114" s="3" t="n"/>
      <c r="AY114" s="3" t="n"/>
      <c r="AZ114" s="3" t="n"/>
      <c r="BA114" s="3" t="n"/>
      <c r="BB114" s="3" t="n"/>
      <c r="BC114" s="3" t="n"/>
      <c r="BD114" s="3" t="n"/>
      <c r="BE114" s="3" t="n"/>
      <c r="BF114" s="3" t="n"/>
      <c r="BG114" s="3" t="n"/>
      <c r="BH114" s="3" t="n"/>
      <c r="BI114" s="3" t="n"/>
      <c r="BJ114" s="3" t="n"/>
      <c r="BK114" s="3" t="n"/>
      <c r="BL114" s="3" t="n"/>
      <c r="BM114" s="3" t="n"/>
      <c r="BN114" s="3" t="n"/>
      <c r="BO114" s="3" t="n"/>
      <c r="BP114" s="3" t="n"/>
      <c r="BQ114" s="3" t="n"/>
      <c r="BR114" s="3" t="n"/>
      <c r="BS114" s="3" t="n"/>
      <c r="BT114" s="3" t="n"/>
      <c r="BU114" s="3" t="n"/>
      <c r="BV114" s="3" t="n"/>
      <c r="BW114" s="3" t="n"/>
      <c r="BX114" s="3" t="n"/>
      <c r="BY114" s="3" t="n"/>
      <c r="BZ114" s="3" t="n"/>
      <c r="CA114" s="3" t="n"/>
      <c r="CB114" s="3" t="n"/>
      <c r="CC114" s="3" t="n"/>
      <c r="CD114" s="3" t="n"/>
      <c r="CE114" s="3" t="n"/>
      <c r="CF114" s="3" t="n"/>
      <c r="CG114" s="3" t="n"/>
      <c r="CH114" s="3" t="n"/>
      <c r="CI114" s="3" t="n"/>
      <c r="CJ114" s="3" t="n"/>
      <c r="CK114" s="3" t="n"/>
      <c r="CL114" s="3" t="n"/>
      <c r="CM114" s="3" t="n"/>
      <c r="CN114" s="3" t="n"/>
      <c r="CO114" s="3" t="n"/>
      <c r="CP114" s="3" t="n"/>
      <c r="CQ114" s="3" t="n"/>
      <c r="CR114" s="3" t="n"/>
      <c r="CS114" s="3" t="n"/>
      <c r="CT114" s="3" t="n"/>
      <c r="CU114" s="3" t="n"/>
      <c r="CV114" s="3" t="n"/>
      <c r="CW114" s="3" t="n"/>
      <c r="CX114" s="3" t="n"/>
      <c r="CY114" s="3" t="n"/>
    </row>
    <row r="115" hidden="1" outlineLevel="1">
      <c r="C115" s="34" t="inlineStr">
        <is>
          <t>DESPESAS FINANCEIRAS - Despesas bancárias</t>
        </is>
      </c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n"/>
      <c r="AG115" s="3" t="n"/>
      <c r="AH115" s="3" t="n"/>
      <c r="AI115" s="3" t="n"/>
      <c r="AJ115" s="3" t="n"/>
      <c r="AK115" s="3" t="n"/>
      <c r="AL115" s="3" t="n"/>
      <c r="AM115" s="3" t="n"/>
      <c r="AN115" s="3" t="n"/>
      <c r="AO115" s="3" t="n"/>
      <c r="AP115" s="3" t="n"/>
      <c r="AQ115" s="3" t="n"/>
      <c r="AR115" s="3" t="n"/>
      <c r="AS115" s="3" t="n"/>
      <c r="AT115" s="3" t="n"/>
      <c r="AU115" s="3" t="n"/>
      <c r="AV115" s="3" t="n"/>
      <c r="AW115" s="3" t="n"/>
      <c r="AX115" s="3" t="n"/>
      <c r="AY115" s="3" t="n"/>
      <c r="AZ115" s="3" t="n"/>
      <c r="BA115" s="3" t="n"/>
      <c r="BB115" s="3" t="n"/>
      <c r="BC115" s="3" t="n"/>
      <c r="BD115" s="3" t="n"/>
      <c r="BE115" s="3" t="n"/>
      <c r="BF115" s="3" t="n"/>
      <c r="BG115" s="3" t="n"/>
      <c r="BH115" s="3" t="n"/>
      <c r="BI115" s="3" t="n"/>
      <c r="BJ115" s="3" t="n"/>
      <c r="BK115" s="3" t="n"/>
      <c r="BL115" s="3" t="n"/>
      <c r="BM115" s="3" t="n"/>
      <c r="BN115" s="3" t="n"/>
      <c r="BO115" s="3" t="n"/>
      <c r="BP115" s="3" t="n"/>
      <c r="BQ115" s="3" t="n"/>
      <c r="BR115" s="3" t="n"/>
      <c r="BS115" s="3" t="n"/>
      <c r="BT115" s="3" t="n"/>
      <c r="BU115" s="3" t="n"/>
      <c r="BV115" s="3" t="n"/>
      <c r="BW115" s="3" t="n"/>
      <c r="BX115" s="3" t="n"/>
      <c r="BY115" s="3" t="n"/>
      <c r="BZ115" s="3" t="n"/>
      <c r="CA115" s="3" t="n"/>
      <c r="CB115" s="3" t="n"/>
      <c r="CC115" s="3" t="n"/>
      <c r="CD115" s="3" t="n"/>
      <c r="CE115" s="3" t="n"/>
      <c r="CF115" s="3" t="n"/>
      <c r="CG115" s="3" t="n"/>
      <c r="CH115" s="3" t="n"/>
      <c r="CI115" s="3" t="n"/>
      <c r="CJ115" s="3" t="n"/>
      <c r="CK115" s="3" t="n"/>
      <c r="CL115" s="3" t="n"/>
      <c r="CM115" s="3" t="n"/>
      <c r="CN115" s="3" t="n"/>
      <c r="CO115" s="3" t="n"/>
      <c r="CP115" s="3" t="n"/>
      <c r="CQ115" s="3" t="n"/>
      <c r="CR115" s="3" t="n"/>
      <c r="CS115" s="3" t="n"/>
      <c r="CT115" s="3" t="n"/>
      <c r="CU115" s="3" t="n"/>
      <c r="CV115" s="3" t="n"/>
      <c r="CW115" s="3" t="n"/>
      <c r="CX115" s="3" t="n"/>
      <c r="CY115" s="3" t="n"/>
    </row>
    <row r="116" hidden="1" outlineLevel="1">
      <c r="C116" s="34" t="inlineStr">
        <is>
          <t>DESPESAS FINANCEIRAS - Despesas com obtenção de empréstimos e financiamentos</t>
        </is>
      </c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n"/>
      <c r="AK116" s="3" t="n"/>
      <c r="AL116" s="3" t="n"/>
      <c r="AM116" s="3" t="n"/>
      <c r="AN116" s="3" t="n"/>
      <c r="AO116" s="3" t="n"/>
      <c r="AP116" s="3" t="n"/>
      <c r="AQ116" s="3" t="n"/>
      <c r="AR116" s="3" t="n"/>
      <c r="AS116" s="3" t="n"/>
      <c r="AT116" s="3" t="n"/>
      <c r="AU116" s="3" t="n"/>
      <c r="AV116" s="3" t="n"/>
      <c r="AW116" s="3" t="n"/>
      <c r="AX116" s="3" t="n"/>
      <c r="AY116" s="3" t="n"/>
      <c r="AZ116" s="3" t="n"/>
      <c r="BA116" s="3" t="n"/>
      <c r="BB116" s="3" t="n"/>
      <c r="BC116" s="3" t="n"/>
      <c r="BD116" s="3" t="n"/>
      <c r="BE116" s="3" t="n"/>
      <c r="BF116" s="3" t="n"/>
      <c r="BG116" s="3" t="n"/>
      <c r="BH116" s="3" t="n"/>
      <c r="BI116" s="3" t="n"/>
      <c r="BJ116" s="3" t="n"/>
      <c r="BK116" s="3" t="n"/>
      <c r="BL116" s="3" t="n"/>
      <c r="BM116" s="3" t="n"/>
      <c r="BN116" s="3" t="n"/>
      <c r="BO116" s="3" t="n"/>
      <c r="BP116" s="3" t="n"/>
      <c r="BQ116" s="3" t="n"/>
      <c r="BR116" s="3" t="n"/>
      <c r="BS116" s="3" t="n"/>
      <c r="BT116" s="3" t="n"/>
      <c r="BU116" s="3" t="n"/>
      <c r="BV116" s="3" t="n"/>
      <c r="BW116" s="3" t="n"/>
      <c r="BX116" s="3" t="n"/>
      <c r="BY116" s="3" t="n"/>
      <c r="BZ116" s="3" t="n"/>
      <c r="CA116" s="3" t="n"/>
      <c r="CB116" s="3" t="n"/>
      <c r="CC116" s="3" t="n"/>
      <c r="CD116" s="3" t="n"/>
      <c r="CE116" s="3" t="n"/>
      <c r="CF116" s="3" t="n"/>
      <c r="CG116" s="3" t="n"/>
      <c r="CH116" s="3" t="n"/>
      <c r="CI116" s="3" t="n"/>
      <c r="CJ116" s="3" t="n"/>
      <c r="CK116" s="3" t="n"/>
      <c r="CL116" s="3" t="n"/>
      <c r="CM116" s="3" t="n"/>
      <c r="CN116" s="3" t="n"/>
      <c r="CO116" s="3" t="n"/>
      <c r="CP116" s="3" t="n"/>
      <c r="CQ116" s="3" t="n"/>
      <c r="CR116" s="3" t="n"/>
      <c r="CS116" s="3" t="n"/>
      <c r="CT116" s="3" t="n"/>
      <c r="CU116" s="3" t="n"/>
      <c r="CV116" s="3" t="n"/>
      <c r="CW116" s="3" t="n"/>
      <c r="CX116" s="3" t="n"/>
      <c r="CY116" s="3" t="n"/>
    </row>
    <row r="117" hidden="1" outlineLevel="1">
      <c r="C117" s="34" t="inlineStr">
        <is>
          <t>DESPESAS FINANCEIRAS - Atualização de contas a pagar por aquisição de empresas</t>
        </is>
      </c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/>
      <c r="AK117" s="3" t="n"/>
      <c r="AL117" s="3" t="n"/>
      <c r="AM117" s="3" t="n"/>
      <c r="AN117" s="3" t="n"/>
      <c r="AO117" s="3" t="n"/>
      <c r="AP117" s="3" t="n"/>
      <c r="AQ117" s="3" t="n"/>
      <c r="AR117" s="3" t="n"/>
      <c r="AS117" s="3" t="n"/>
      <c r="AT117" s="3" t="n"/>
      <c r="AU117" s="3" t="n"/>
      <c r="AV117" s="3" t="n"/>
      <c r="AW117" s="3" t="n"/>
      <c r="AX117" s="3" t="n"/>
      <c r="AY117" s="3" t="n"/>
      <c r="AZ117" s="3" t="n"/>
      <c r="BA117" s="3" t="n"/>
      <c r="BB117" s="3" t="n"/>
      <c r="BC117" s="3" t="n"/>
      <c r="BD117" s="3" t="n"/>
      <c r="BE117" s="3" t="n"/>
      <c r="BF117" s="3" t="n"/>
      <c r="BG117" s="3" t="n"/>
      <c r="BH117" s="3" t="n"/>
      <c r="BI117" s="3" t="n"/>
      <c r="BJ117" s="3" t="n"/>
      <c r="BK117" s="3" t="n"/>
      <c r="BL117" s="3" t="n"/>
      <c r="BM117" s="3" t="n"/>
      <c r="BN117" s="3" t="n"/>
      <c r="BO117" s="3" t="n"/>
      <c r="BP117" s="3" t="n"/>
      <c r="BQ117" s="3" t="n"/>
      <c r="BR117" s="3" t="n"/>
      <c r="BS117" s="3" t="n"/>
      <c r="BT117" s="3" t="n"/>
      <c r="BU117" s="3" t="n"/>
      <c r="BV117" s="3" t="n"/>
      <c r="BW117" s="3" t="n"/>
      <c r="BX117" s="3" t="n"/>
      <c r="BY117" s="3" t="n"/>
      <c r="BZ117" s="3" t="n"/>
      <c r="CA117" s="3" t="n"/>
      <c r="CB117" s="3" t="n"/>
      <c r="CC117" s="3" t="n"/>
      <c r="CD117" s="3" t="n"/>
      <c r="CE117" s="3" t="n"/>
      <c r="CF117" s="3" t="n"/>
      <c r="CG117" s="3" t="n"/>
      <c r="CH117" s="3" t="n"/>
      <c r="CI117" s="3" t="n"/>
      <c r="CJ117" s="3" t="n"/>
      <c r="CK117" s="3" t="n"/>
      <c r="CL117" s="3" t="n"/>
      <c r="CM117" s="3" t="n"/>
      <c r="CN117" s="3" t="n"/>
      <c r="CO117" s="3" t="n"/>
      <c r="CP117" s="3" t="n"/>
      <c r="CQ117" s="3" t="n"/>
      <c r="CR117" s="3" t="n"/>
      <c r="CS117" s="3" t="n"/>
      <c r="CT117" s="3" t="n"/>
      <c r="CU117" s="3" t="n"/>
      <c r="CV117" s="3" t="n"/>
      <c r="CW117" s="3" t="n"/>
      <c r="CX117" s="3" t="n"/>
      <c r="CY117" s="3" t="n"/>
    </row>
    <row r="118" hidden="1" outlineLevel="1">
      <c r="C118" s="34" t="inlineStr">
        <is>
          <t>DESPESAS FINANCEIRAS - Outras</t>
        </is>
      </c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  <c r="AG118" s="3" t="n"/>
      <c r="AH118" s="3" t="n"/>
      <c r="AI118" s="3" t="n"/>
      <c r="AJ118" s="3" t="n"/>
      <c r="AK118" s="3" t="n"/>
      <c r="AL118" s="3" t="n"/>
      <c r="AM118" s="3" t="n"/>
      <c r="AN118" s="3" t="n"/>
      <c r="AO118" s="3" t="n"/>
      <c r="AP118" s="3" t="n"/>
      <c r="AQ118" s="3" t="n"/>
      <c r="AR118" s="3" t="n"/>
      <c r="AS118" s="3" t="n"/>
      <c r="AT118" s="3" t="n"/>
      <c r="AU118" s="3" t="n"/>
      <c r="AV118" s="3" t="n"/>
      <c r="AW118" s="3" t="n"/>
      <c r="AX118" s="3" t="n"/>
      <c r="AY118" s="3" t="n"/>
      <c r="AZ118" s="3" t="n"/>
      <c r="BA118" s="3" t="n"/>
      <c r="BB118" s="3" t="n"/>
      <c r="BC118" s="3" t="n"/>
      <c r="BD118" s="3" t="n"/>
      <c r="BE118" s="3" t="n"/>
      <c r="BF118" s="3" t="n"/>
      <c r="BG118" s="3" t="n"/>
      <c r="BH118" s="3" t="n"/>
      <c r="BI118" s="3" t="n"/>
      <c r="BJ118" s="3" t="n"/>
      <c r="BK118" s="3" t="n"/>
      <c r="BL118" s="3" t="n"/>
      <c r="BM118" s="3" t="n"/>
      <c r="BN118" s="3" t="n"/>
      <c r="BO118" s="3" t="n"/>
      <c r="BP118" s="3" t="n"/>
      <c r="BQ118" s="3" t="n"/>
      <c r="BR118" s="3" t="n"/>
      <c r="BS118" s="3" t="n"/>
      <c r="BT118" s="3" t="n"/>
      <c r="BU118" s="3" t="n"/>
      <c r="BV118" s="3" t="n"/>
      <c r="BW118" s="3" t="n"/>
      <c r="BX118" s="3" t="n"/>
      <c r="BY118" s="3" t="n"/>
      <c r="BZ118" s="3" t="n"/>
      <c r="CA118" s="3" t="n"/>
      <c r="CB118" s="3" t="n"/>
      <c r="CC118" s="3" t="n"/>
      <c r="CD118" s="3" t="n"/>
      <c r="CE118" s="3" t="n"/>
      <c r="CF118" s="3" t="n"/>
      <c r="CG118" s="3" t="n"/>
      <c r="CH118" s="3" t="n"/>
      <c r="CI118" s="3" t="n"/>
      <c r="CJ118" s="3" t="n"/>
      <c r="CK118" s="3" t="n"/>
      <c r="CL118" s="3" t="n"/>
      <c r="CM118" s="3" t="n"/>
      <c r="CN118" s="3" t="n"/>
      <c r="CO118" s="3" t="n"/>
      <c r="CP118" s="3" t="n"/>
      <c r="CQ118" s="3" t="n"/>
      <c r="CR118" s="3" t="n"/>
      <c r="CS118" s="3" t="n"/>
      <c r="CT118" s="3" t="n"/>
      <c r="CU118" s="3" t="n"/>
      <c r="CV118" s="3" t="n"/>
      <c r="CW118" s="3" t="n"/>
      <c r="CX118" s="3" t="n"/>
      <c r="CY118" s="3" t="n"/>
    </row>
    <row r="119" hidden="1" outlineLevel="1">
      <c r="C119" s="34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3" t="n"/>
      <c r="AK119" s="3" t="n"/>
      <c r="AL119" s="3" t="n"/>
      <c r="AM119" s="3" t="n"/>
      <c r="AN119" s="3" t="n"/>
      <c r="AO119" s="3" t="n"/>
      <c r="AP119" s="3" t="n"/>
      <c r="AQ119" s="3" t="n"/>
      <c r="AR119" s="3" t="n"/>
      <c r="AS119" s="3" t="n"/>
      <c r="AT119" s="3" t="n"/>
      <c r="AU119" s="3" t="n"/>
      <c r="AV119" s="3" t="n"/>
      <c r="AW119" s="3" t="n"/>
      <c r="AX119" s="3" t="n"/>
      <c r="AY119" s="3" t="n"/>
      <c r="AZ119" s="3" t="n"/>
      <c r="BA119" s="3" t="n"/>
      <c r="BB119" s="3" t="n"/>
      <c r="BC119" s="3" t="n"/>
      <c r="BD119" s="3" t="n"/>
      <c r="BE119" s="3" t="n"/>
      <c r="BF119" s="3" t="n"/>
      <c r="BG119" s="3" t="n"/>
      <c r="BH119" s="3" t="n"/>
      <c r="BI119" s="3" t="n"/>
      <c r="BJ119" s="3" t="n"/>
      <c r="BK119" s="3" t="n"/>
      <c r="BL119" s="3" t="n"/>
      <c r="BM119" s="3" t="n"/>
      <c r="BN119" s="3" t="n"/>
      <c r="BO119" s="3" t="n"/>
      <c r="BP119" s="3" t="n"/>
      <c r="BQ119" s="3" t="n"/>
      <c r="BR119" s="3" t="n"/>
      <c r="BS119" s="3" t="n"/>
      <c r="BT119" s="3" t="n"/>
      <c r="BU119" s="3" t="n"/>
      <c r="BV119" s="3" t="n"/>
      <c r="BW119" s="3" t="n"/>
      <c r="BX119" s="3" t="n"/>
      <c r="BY119" s="3" t="n"/>
      <c r="BZ119" s="3" t="n"/>
      <c r="CA119" s="3" t="n"/>
      <c r="CB119" s="3" t="n"/>
      <c r="CC119" s="3" t="n"/>
      <c r="CD119" s="3" t="n"/>
      <c r="CE119" s="3" t="n"/>
      <c r="CF119" s="3" t="n"/>
      <c r="CG119" s="3" t="n"/>
      <c r="CH119" s="3" t="n"/>
      <c r="CI119" s="3" t="n"/>
      <c r="CJ119" s="3" t="n"/>
      <c r="CK119" s="3" t="n"/>
      <c r="CL119" s="3" t="n"/>
      <c r="CM119" s="3" t="n"/>
      <c r="CN119" s="3" t="n"/>
      <c r="CO119" s="3" t="n"/>
      <c r="CP119" s="3" t="n"/>
      <c r="CQ119" s="3" t="n"/>
      <c r="CR119" s="3" t="n"/>
      <c r="CS119" s="3" t="n"/>
      <c r="CT119" s="3" t="n"/>
      <c r="CU119" s="3" t="n"/>
      <c r="CV119" s="3" t="n"/>
      <c r="CW119" s="3" t="n"/>
      <c r="CX119" s="3" t="n"/>
      <c r="CY119" s="3" t="n"/>
    </row>
    <row r="120" hidden="1" outlineLevel="1">
      <c r="C120" s="34" t="inlineStr">
        <is>
          <t>CHECK [EX IFRS-16]</t>
        </is>
      </c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  <c r="AG120" s="3" t="n"/>
      <c r="AH120" s="3" t="n"/>
      <c r="AI120" s="3" t="n"/>
      <c r="AJ120" s="3" t="n"/>
      <c r="AK120" s="3" t="n"/>
      <c r="AL120" s="3" t="n"/>
      <c r="AM120" s="3" t="n"/>
      <c r="AN120" s="3" t="n"/>
      <c r="AO120" s="3" t="n"/>
      <c r="AP120" s="3" t="n"/>
      <c r="AQ120" s="3" t="n"/>
      <c r="AR120" s="3" t="n"/>
      <c r="AS120" s="3" t="n"/>
      <c r="AT120" s="3" t="n"/>
      <c r="AU120" s="3" t="n"/>
      <c r="AV120" s="3" t="n"/>
      <c r="AW120" s="3" t="n"/>
      <c r="AX120" s="3" t="n"/>
      <c r="AY120" s="3" t="n"/>
      <c r="AZ120" s="3" t="n"/>
      <c r="BA120" s="3" t="n"/>
      <c r="BB120" s="3" t="n"/>
      <c r="BC120" s="3" t="n"/>
      <c r="BD120" s="3" t="n"/>
      <c r="BE120" s="3" t="n"/>
      <c r="BF120" s="3" t="n"/>
      <c r="BG120" s="3" t="n"/>
      <c r="BH120" s="3" t="n"/>
      <c r="BI120" s="3" t="n"/>
      <c r="BJ120" s="3" t="n"/>
      <c r="BK120" s="3" t="n"/>
      <c r="BL120" s="3" t="n"/>
      <c r="BM120" s="3" t="n"/>
      <c r="BN120" s="3" t="n"/>
      <c r="BO120" s="3" t="n"/>
      <c r="BP120" s="3" t="n"/>
      <c r="BQ120" s="3" t="n"/>
      <c r="BR120" s="3" t="n"/>
      <c r="BS120" s="3" t="n"/>
      <c r="BT120" s="3" t="n"/>
      <c r="BU120" s="3" t="n"/>
      <c r="BV120" s="3" t="n"/>
      <c r="BW120" s="3" t="n"/>
      <c r="BX120" s="3" t="n"/>
      <c r="BY120" s="3" t="n"/>
      <c r="BZ120" s="3" t="n"/>
      <c r="CA120" s="3" t="n"/>
      <c r="CB120" s="3" t="n"/>
      <c r="CC120" s="3" t="n"/>
      <c r="CD120" s="3" t="n"/>
      <c r="CE120" s="3" t="n"/>
      <c r="CF120" s="3" t="n"/>
      <c r="CG120" s="3" t="n"/>
      <c r="CH120" s="3" t="n"/>
      <c r="CI120" s="3" t="n"/>
      <c r="CJ120" s="3" t="n"/>
      <c r="CK120" s="3" t="n"/>
      <c r="CL120" s="3" t="n"/>
      <c r="CM120" s="3" t="n"/>
      <c r="CN120" s="3" t="n"/>
      <c r="CO120" s="3" t="n"/>
      <c r="CP120" s="3" t="n"/>
      <c r="CQ120" s="3" t="n"/>
      <c r="CR120" s="3" t="n"/>
      <c r="CS120" s="3" t="n"/>
      <c r="CT120" s="3" t="n"/>
      <c r="CU120" s="3" t="n"/>
      <c r="CV120" s="3" t="n"/>
      <c r="CW120" s="3" t="n"/>
      <c r="CX120" s="3" t="n"/>
      <c r="CY120" s="3" t="n"/>
    </row>
    <row r="121" hidden="1" outlineLevel="1">
      <c r="C121" s="34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n"/>
      <c r="AK121" s="3" t="n"/>
      <c r="AL121" s="3" t="n"/>
      <c r="AM121" s="3" t="n"/>
      <c r="AN121" s="3" t="n"/>
      <c r="AO121" s="3" t="n"/>
      <c r="AP121" s="3" t="n"/>
      <c r="AQ121" s="3" t="n"/>
      <c r="AR121" s="3" t="n"/>
      <c r="AS121" s="3" t="n"/>
      <c r="AT121" s="3" t="n"/>
      <c r="AU121" s="3" t="n"/>
      <c r="AV121" s="3" t="n"/>
      <c r="AW121" s="3" t="n"/>
      <c r="AX121" s="3" t="n"/>
      <c r="AY121" s="3" t="n"/>
      <c r="AZ121" s="3" t="n"/>
      <c r="BA121" s="3" t="n"/>
      <c r="BB121" s="3" t="n"/>
      <c r="BC121" s="3" t="n"/>
      <c r="BD121" s="3" t="n"/>
      <c r="BE121" s="3" t="n"/>
      <c r="BF121" s="3" t="n"/>
      <c r="BG121" s="3" t="n"/>
      <c r="BH121" s="3" t="n"/>
      <c r="BI121" s="3" t="n"/>
      <c r="BJ121" s="3" t="n"/>
      <c r="BK121" s="3" t="n"/>
      <c r="BL121" s="3" t="n"/>
      <c r="BM121" s="3" t="n"/>
      <c r="BN121" s="3" t="n"/>
      <c r="BO121" s="3" t="n"/>
      <c r="BP121" s="3" t="n"/>
      <c r="BQ121" s="3" t="n"/>
      <c r="BR121" s="3" t="n"/>
      <c r="BS121" s="3" t="n"/>
      <c r="BT121" s="3" t="n"/>
      <c r="BU121" s="3" t="n"/>
      <c r="BV121" s="3" t="n"/>
      <c r="BW121" s="3" t="n"/>
      <c r="BX121" s="3" t="n"/>
      <c r="BY121" s="3" t="n"/>
      <c r="BZ121" s="3" t="n"/>
      <c r="CA121" s="3" t="n"/>
      <c r="CB121" s="3" t="n"/>
      <c r="CC121" s="3" t="n"/>
      <c r="CD121" s="3" t="n"/>
      <c r="CE121" s="3" t="n"/>
      <c r="CF121" s="3" t="n"/>
      <c r="CG121" s="3" t="n"/>
      <c r="CH121" s="3" t="n"/>
      <c r="CI121" s="3" t="n"/>
      <c r="CJ121" s="3" t="n"/>
      <c r="CK121" s="3" t="n"/>
      <c r="CL121" s="3" t="n"/>
      <c r="CM121" s="3" t="n"/>
      <c r="CN121" s="3" t="n"/>
      <c r="CO121" s="3" t="n"/>
      <c r="CP121" s="3" t="n"/>
      <c r="CQ121" s="3" t="n"/>
      <c r="CR121" s="3" t="n"/>
      <c r="CS121" s="3" t="n"/>
      <c r="CT121" s="3" t="n"/>
      <c r="CU121" s="3" t="n"/>
      <c r="CV121" s="3" t="n"/>
      <c r="CW121" s="3" t="n"/>
      <c r="CX121" s="3" t="n"/>
      <c r="CY121" s="3" t="n"/>
    </row>
    <row r="122" collapsed="1">
      <c r="C122" s="26" t="inlineStr">
        <is>
          <t>Nonoperating Income / (Loss)</t>
        </is>
      </c>
      <c r="D122" s="25">
        <f>INDEX('Inputs (2)'!$D$9:$AL$9,MATCH(D$7,'Inputs (2)'!$D$2:$AL$2,0))</f>
        <v>30</v>
      </c>
      <c r="E122" s="25">
        <f>INDEX('Inputs (2)'!$D$9:$AL$9,MATCH(E$7,'Inputs (2)'!$D$2:$AL$2,0))</f>
        <v>12</v>
      </c>
      <c r="F122" s="25">
        <f>INDEX('Inputs (2)'!$D$9:$AL$9,MATCH(F$7,'Inputs (2)'!$D$2:$AL$2,0))</f>
        <v>3</v>
      </c>
      <c r="G122" s="25">
        <f>INDEX('Inputs (2)'!$D$9:$AL$9,MATCH(G$7,'Inputs (2)'!$D$2:$AL$2,0))</f>
        <v>16</v>
      </c>
      <c r="H122" s="3">
        <f>SUM(D122:G122)</f>
        <v>61</v>
      </c>
      <c r="I122" s="25">
        <f>INDEX('Inputs (2)'!$D$9:$AL$9,MATCH(I$7,'Inputs (2)'!$D$2:$AL$2,0))</f>
        <v>141</v>
      </c>
      <c r="J122" s="25">
        <f>INDEX('Inputs (2)'!$D$9:$AL$9,MATCH(J$7,'Inputs (2)'!$D$2:$AL$2,0))</f>
        <v>10</v>
      </c>
      <c r="K122" s="25">
        <f>INDEX('Inputs (2)'!$D$9:$AL$9,MATCH(K$7,'Inputs (2)'!$D$2:$AL$2,0))</f>
        <v>29</v>
      </c>
      <c r="L122" s="25">
        <f>INDEX('Inputs (2)'!$D$9:$AL$9,MATCH(L$7,'Inputs (2)'!$D$2:$AL$2,0))</f>
        <v>-44</v>
      </c>
      <c r="M122" s="3">
        <f>SUM(I122:L122)</f>
        <v>136</v>
      </c>
      <c r="N122" s="25">
        <f>INDEX('Inputs (2)'!$D$9:$AL$9,MATCH(N$7,'Inputs (2)'!$D$2:$AL$2,0))</f>
        <v>5</v>
      </c>
      <c r="O122" s="25">
        <f>INDEX('Inputs (2)'!$D$9:$AL$9,MATCH(O$7,'Inputs (2)'!$D$2:$AL$2,0))</f>
        <v>41</v>
      </c>
      <c r="P122" s="25">
        <f>INDEX('Inputs (2)'!$D$9:$AL$9,MATCH(P$7,'Inputs (2)'!$D$2:$AL$2,0))</f>
        <v>77</v>
      </c>
      <c r="Q122" s="25">
        <f>INDEX('Inputs (2)'!$D$9:$AL$9,MATCH(Q$7,'Inputs (2)'!$D$2:$AL$2,0))</f>
        <v>96</v>
      </c>
      <c r="R122" s="3">
        <f>SUM(N122:Q122)</f>
        <v>219</v>
      </c>
      <c r="S122" s="25">
        <f>INDEX('Inputs (2)'!$D$9:$AL$9,MATCH(S$7,'Inputs (2)'!$D$2:$AL$2,0))</f>
        <v>135</v>
      </c>
      <c r="T122" s="25">
        <f>INDEX('Inputs (2)'!$D$9:$AL$9,MATCH(T$7,'Inputs (2)'!$D$2:$AL$2,0))</f>
        <v>246</v>
      </c>
      <c r="U122" s="25">
        <f>INDEX('Inputs (2)'!$D$9:$AL$9,MATCH(U$7,'Inputs (2)'!$D$2:$AL$2,0))</f>
        <v>168</v>
      </c>
      <c r="V122" s="25">
        <f>INDEX('Inputs (2)'!$D$9:$AL$9,MATCH(V$7,'Inputs (2)'!$D$2:$AL$2,0))</f>
        <v>555</v>
      </c>
      <c r="W122" s="3">
        <f>SUM(S122:V122)</f>
        <v>1104</v>
      </c>
      <c r="X122" s="25">
        <f>INDEX('Inputs (2)'!$D$9:$AL$9,MATCH(X$7,'Inputs (2)'!$D$2:$AL$2,0))</f>
        <v>434</v>
      </c>
      <c r="Y122" s="25">
        <f>INDEX('Inputs (2)'!$D$9:$AL$9,MATCH(Y$7,'Inputs (2)'!$D$2:$AL$2,0))</f>
        <v>633</v>
      </c>
      <c r="Z122" s="25">
        <f>INDEX('Inputs (2)'!$D$9:$AL$9,MATCH(Z$7,'Inputs (2)'!$D$2:$AL$2,0))</f>
        <v>508</v>
      </c>
      <c r="AA122" s="25">
        <f>INDEX('Inputs (2)'!$D$9:$AL$9,MATCH(AA$7,'Inputs (2)'!$D$2:$AL$2,0))</f>
        <v>1244</v>
      </c>
      <c r="AB122" s="3">
        <f>SUM(X122:AA122)</f>
        <v>2819</v>
      </c>
      <c r="AC122" s="25">
        <f>INDEX('Inputs (2)'!$D$9:$AL$9,MATCH(AC$7,'Inputs (2)'!$D$2:$AL$2,0))</f>
        <v>335</v>
      </c>
      <c r="AD122" s="25">
        <f>INDEX('Inputs (2)'!$D$9:$AL$9,MATCH(AD$7,'Inputs (2)'!$D$2:$AL$2,0))</f>
        <v>2828</v>
      </c>
      <c r="AE122" s="25">
        <f>INDEX('Inputs (2)'!$D$9:$AL$9,MATCH(AE$7,'Inputs (2)'!$D$2:$AL$2,0))</f>
        <v>1987</v>
      </c>
      <c r="AF122" s="25">
        <f>INDEX('Inputs (2)'!$D$9:$AL$9,MATCH(AF$7,'Inputs (2)'!$D$2:$AL$2,0))</f>
        <v>6172</v>
      </c>
      <c r="AG122" s="3">
        <f>SUM(AC122:AF122)</f>
        <v>11322</v>
      </c>
      <c r="AH122" s="3">
        <f>INDEX('Inputs (2)'!$D$9:$AL$9,MATCH(AH$7,'Inputs (2)'!$D$2:$AL$2,0))</f>
        <v>16469</v>
      </c>
      <c r="AI122" s="3">
        <f>INDEX('Inputs (2)'!$D$9:$AL$9,MATCH(AI$7,'Inputs (2)'!$D$2:$AL$2,0))</f>
        <v>8000</v>
      </c>
      <c r="AJ122" s="3">
        <f>AH122</f>
        <v>16469</v>
      </c>
      <c r="AK122" s="3">
        <f>AI122</f>
        <v>8000</v>
      </c>
      <c r="AL122" s="3">
        <f>SUM(AH122:AK122)</f>
        <v>48938</v>
      </c>
      <c r="AM122" s="3">
        <f>AK122</f>
        <v>8000</v>
      </c>
      <c r="AN122" s="3">
        <f>AL122</f>
        <v>48938</v>
      </c>
      <c r="AO122" s="3">
        <f>AM122</f>
        <v>8000</v>
      </c>
      <c r="AP122" s="3">
        <f>AN122</f>
        <v>48938</v>
      </c>
      <c r="AQ122" s="3">
        <f>SUM(AM122:AP122)</f>
        <v>113876</v>
      </c>
      <c r="AR122" s="3">
        <f>AP122</f>
        <v>48938</v>
      </c>
      <c r="AS122" s="3">
        <f>AQ122</f>
        <v>113876</v>
      </c>
      <c r="AT122" s="3">
        <f>AR122</f>
        <v>48938</v>
      </c>
      <c r="AU122" s="3">
        <f>AS122</f>
        <v>113876</v>
      </c>
      <c r="AV122" s="3">
        <f>SUM(AR122:AU122)</f>
        <v>325628</v>
      </c>
      <c r="AW122" s="3">
        <f>AU122</f>
        <v>113876</v>
      </c>
      <c r="AX122" s="3">
        <f>AV122</f>
        <v>325628</v>
      </c>
      <c r="AY122" s="3">
        <f>AW122</f>
        <v>113876</v>
      </c>
      <c r="AZ122" s="3">
        <f>AX122</f>
        <v>325628</v>
      </c>
      <c r="BA122" s="3">
        <f>SUM(AW122:AZ122)</f>
        <v>879008</v>
      </c>
      <c r="BB122" s="3">
        <f>AZ122</f>
        <v>325628</v>
      </c>
      <c r="BC122" s="3">
        <f>BA122</f>
        <v>879008</v>
      </c>
      <c r="BD122" s="3">
        <f>BB122</f>
        <v>325628</v>
      </c>
      <c r="BE122" s="3">
        <f>BC122</f>
        <v>879008</v>
      </c>
      <c r="BF122" s="3">
        <f>SUM(BB122:BE122)</f>
        <v>2409272</v>
      </c>
      <c r="BG122" s="3">
        <f>BE122</f>
        <v>879008</v>
      </c>
      <c r="BH122" s="3">
        <f>BF122</f>
        <v>2409272</v>
      </c>
      <c r="BI122" s="3">
        <f>BG122</f>
        <v>879008</v>
      </c>
      <c r="BJ122" s="3">
        <f>BH122</f>
        <v>2409272</v>
      </c>
      <c r="BK122" s="3">
        <f>SUM(BG122:BJ122)</f>
        <v>6576560</v>
      </c>
      <c r="BL122" s="3">
        <f>BJ122</f>
        <v>2409272</v>
      </c>
      <c r="BM122" s="3">
        <f>BK122</f>
        <v>6576560</v>
      </c>
      <c r="BN122" s="3">
        <f>BL122</f>
        <v>2409272</v>
      </c>
      <c r="BO122" s="3">
        <f>BM122</f>
        <v>6576560</v>
      </c>
      <c r="BP122" s="3">
        <f>SUM(BL122:BO122)</f>
        <v>17971664</v>
      </c>
      <c r="BQ122" s="3">
        <f>BO122</f>
        <v>6576560</v>
      </c>
      <c r="BR122" s="3">
        <f>BP122</f>
        <v>17971664</v>
      </c>
      <c r="BS122" s="3">
        <f>BQ122</f>
        <v>6576560</v>
      </c>
      <c r="BT122" s="3">
        <f>BR122</f>
        <v>17971664</v>
      </c>
      <c r="BU122" s="3">
        <f>SUM(BQ122:BT122)</f>
        <v>49096448</v>
      </c>
      <c r="BV122" s="3">
        <f>BT122</f>
        <v>17971664</v>
      </c>
      <c r="BW122" s="3">
        <f>BU122</f>
        <v>49096448</v>
      </c>
      <c r="BX122" s="3">
        <f>BV122</f>
        <v>17971664</v>
      </c>
      <c r="BY122" s="3">
        <f>BW122</f>
        <v>49096448</v>
      </c>
      <c r="BZ122" s="3">
        <f>SUM(BV122:BY122)</f>
        <v>134136224</v>
      </c>
      <c r="CA122" s="3">
        <f>BY122</f>
        <v>49096448</v>
      </c>
      <c r="CB122" s="3">
        <f>BZ122</f>
        <v>134136224</v>
      </c>
      <c r="CC122" s="3">
        <f>CA122</f>
        <v>49096448</v>
      </c>
      <c r="CD122" s="3">
        <f>CB122</f>
        <v>134136224</v>
      </c>
      <c r="CE122" s="3">
        <f>SUM(CA122:CD122)</f>
        <v>366465344</v>
      </c>
      <c r="CF122" s="3">
        <f>CD122</f>
        <v>134136224</v>
      </c>
      <c r="CG122" s="3">
        <f>CE122</f>
        <v>366465344</v>
      </c>
      <c r="CH122" s="3">
        <f>CF122</f>
        <v>134136224</v>
      </c>
      <c r="CI122" s="3">
        <f>CG122</f>
        <v>366465344</v>
      </c>
      <c r="CJ122" s="3">
        <f>SUM(CF122:CI122)</f>
        <v>1001203136</v>
      </c>
      <c r="CK122" s="3">
        <f>CI122</f>
        <v>366465344</v>
      </c>
      <c r="CL122" s="3">
        <f>CJ122</f>
        <v>1001203136</v>
      </c>
      <c r="CM122" s="3">
        <f>CK122</f>
        <v>366465344</v>
      </c>
      <c r="CN122" s="3">
        <f>CL122</f>
        <v>1001203136</v>
      </c>
      <c r="CO122" s="3">
        <f>SUM(CK122:CN122)</f>
        <v>2735336960</v>
      </c>
      <c r="CP122" s="3">
        <f>CN122</f>
        <v>1001203136</v>
      </c>
      <c r="CQ122" s="3">
        <f>CO122</f>
        <v>2735336960</v>
      </c>
      <c r="CR122" s="3">
        <f>CP122</f>
        <v>1001203136</v>
      </c>
      <c r="CS122" s="3">
        <f>CQ122</f>
        <v>2735336960</v>
      </c>
      <c r="CT122" s="3">
        <f>SUM(CP122:CS122)</f>
        <v>7473080192</v>
      </c>
      <c r="CU122" s="3">
        <f>CS122</f>
        <v>2735336960</v>
      </c>
      <c r="CV122" s="3">
        <f>CT122</f>
        <v>7473080192</v>
      </c>
      <c r="CW122" s="3">
        <f>CU122</f>
        <v>2735336960</v>
      </c>
      <c r="CX122" s="3">
        <f>CV122</f>
        <v>7473080192</v>
      </c>
      <c r="CY122" s="3">
        <f>SUM(CU122:CX122)</f>
        <v>20416834304</v>
      </c>
    </row>
    <row r="123" hidden="1" outlineLevel="1">
      <c r="C123" s="34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n"/>
      <c r="AK123" s="3" t="n"/>
      <c r="AL123" s="3" t="n"/>
      <c r="AM123" s="3" t="n"/>
      <c r="AN123" s="3" t="n"/>
      <c r="AO123" s="3" t="n"/>
      <c r="AP123" s="3" t="n"/>
      <c r="AQ123" s="3" t="n"/>
      <c r="AR123" s="3" t="n"/>
      <c r="AS123" s="3" t="n"/>
      <c r="AT123" s="3" t="n"/>
      <c r="AU123" s="3" t="n"/>
      <c r="AV123" s="3" t="n"/>
      <c r="AW123" s="3" t="n"/>
      <c r="AX123" s="3" t="n"/>
      <c r="AY123" s="3" t="n"/>
      <c r="AZ123" s="3" t="n"/>
      <c r="BA123" s="3" t="n"/>
      <c r="BB123" s="3" t="n"/>
      <c r="BC123" s="3" t="n"/>
      <c r="BD123" s="3" t="n"/>
      <c r="BE123" s="3" t="n"/>
      <c r="BF123" s="3" t="n"/>
      <c r="BG123" s="3" t="n"/>
      <c r="BH123" s="3" t="n"/>
      <c r="BI123" s="3" t="n"/>
      <c r="BJ123" s="3" t="n"/>
      <c r="BK123" s="3" t="n"/>
      <c r="BL123" s="3" t="n"/>
      <c r="BM123" s="3" t="n"/>
      <c r="BN123" s="3" t="n"/>
      <c r="BO123" s="3" t="n"/>
      <c r="BP123" s="3" t="n"/>
      <c r="BQ123" s="3" t="n"/>
      <c r="BR123" s="3" t="n"/>
      <c r="BS123" s="3" t="n"/>
      <c r="BT123" s="3" t="n"/>
      <c r="BU123" s="3" t="n"/>
      <c r="BV123" s="3" t="n"/>
      <c r="BW123" s="3" t="n"/>
      <c r="BX123" s="3" t="n"/>
      <c r="BY123" s="3" t="n"/>
      <c r="BZ123" s="3" t="n"/>
      <c r="CA123" s="3" t="n"/>
      <c r="CB123" s="3" t="n"/>
      <c r="CC123" s="3" t="n"/>
      <c r="CD123" s="3" t="n"/>
      <c r="CE123" s="3" t="n"/>
      <c r="CF123" s="3" t="n"/>
      <c r="CG123" s="3" t="n"/>
      <c r="CH123" s="3" t="n"/>
      <c r="CI123" s="3" t="n"/>
      <c r="CJ123" s="3" t="n"/>
      <c r="CK123" s="3" t="n"/>
      <c r="CL123" s="3" t="n"/>
      <c r="CM123" s="3" t="n"/>
      <c r="CN123" s="3" t="n"/>
      <c r="CO123" s="3" t="n"/>
      <c r="CP123" s="3" t="n"/>
      <c r="CQ123" s="3" t="n"/>
      <c r="CR123" s="3" t="n"/>
      <c r="CS123" s="3" t="n"/>
      <c r="CT123" s="3" t="n"/>
      <c r="CU123" s="3" t="n"/>
      <c r="CV123" s="3" t="n"/>
      <c r="CW123" s="3" t="n"/>
      <c r="CX123" s="3" t="n"/>
      <c r="CY123" s="3" t="n"/>
    </row>
    <row r="124" hidden="1" outlineLevel="1">
      <c r="C124" s="32" t="inlineStr">
        <is>
          <t>Resultado Não Recorrente</t>
        </is>
      </c>
      <c r="D124" s="6" t="n"/>
      <c r="E124" s="6" t="n"/>
      <c r="F124" s="6" t="n"/>
      <c r="G124" s="6" t="n"/>
      <c r="H124" s="3" t="n"/>
      <c r="I124" s="6" t="n"/>
      <c r="J124" s="6" t="n"/>
      <c r="K124" s="6" t="n"/>
      <c r="L124" s="6" t="n"/>
      <c r="M124" s="3" t="n"/>
      <c r="N124" s="6" t="n"/>
      <c r="O124" s="6" t="n"/>
      <c r="P124" s="6" t="n"/>
      <c r="Q124" s="6" t="n"/>
      <c r="R124" s="3" t="n"/>
      <c r="S124" s="6" t="n"/>
      <c r="T124" s="6" t="n"/>
      <c r="U124" s="6" t="n"/>
      <c r="V124" s="6" t="n"/>
      <c r="W124" s="3" t="n"/>
      <c r="X124" s="6" t="n"/>
      <c r="Y124" s="6" t="n"/>
      <c r="Z124" s="6" t="n"/>
      <c r="AA124" s="6" t="n"/>
      <c r="AB124" s="3" t="n"/>
      <c r="AC124" s="6" t="n"/>
      <c r="AD124" s="6" t="n"/>
      <c r="AE124" s="6" t="n"/>
      <c r="AF124" s="6" t="n"/>
      <c r="AG124" s="3" t="n"/>
      <c r="AH124" s="3" t="n"/>
      <c r="AI124" s="3" t="n"/>
      <c r="AJ124" s="3" t="n"/>
      <c r="AK124" s="3" t="n"/>
      <c r="AL124" s="3" t="n"/>
      <c r="AM124" s="3" t="n"/>
      <c r="AN124" s="3" t="n"/>
      <c r="AO124" s="3" t="n"/>
      <c r="AP124" s="3" t="n"/>
      <c r="AQ124" s="3" t="n"/>
      <c r="AR124" s="3" t="n"/>
      <c r="AS124" s="3" t="n"/>
      <c r="AT124" s="3" t="n"/>
      <c r="AU124" s="3" t="n"/>
      <c r="AV124" s="3" t="n"/>
      <c r="AW124" s="3" t="n"/>
      <c r="AX124" s="3" t="n"/>
      <c r="AY124" s="3" t="n"/>
      <c r="AZ124" s="3" t="n"/>
      <c r="BA124" s="3" t="n"/>
      <c r="BB124" s="3" t="n"/>
      <c r="BC124" s="3" t="n"/>
      <c r="BD124" s="3" t="n"/>
      <c r="BE124" s="3" t="n"/>
      <c r="BF124" s="3" t="n"/>
      <c r="BG124" s="3" t="n"/>
      <c r="BH124" s="3" t="n"/>
      <c r="BI124" s="3" t="n"/>
      <c r="BJ124" s="3" t="n"/>
      <c r="BK124" s="3" t="n"/>
      <c r="BL124" s="3" t="n"/>
      <c r="BM124" s="3" t="n"/>
      <c r="BN124" s="3" t="n"/>
      <c r="BO124" s="3" t="n"/>
      <c r="BP124" s="3" t="n"/>
      <c r="BQ124" s="3" t="n"/>
      <c r="BR124" s="3" t="n"/>
      <c r="BS124" s="3" t="n"/>
      <c r="BT124" s="3" t="n"/>
      <c r="BU124" s="3" t="n"/>
      <c r="BV124" s="3" t="n"/>
      <c r="BW124" s="3" t="n"/>
      <c r="BX124" s="3" t="n"/>
      <c r="BY124" s="3" t="n"/>
      <c r="BZ124" s="3" t="n"/>
      <c r="CA124" s="3" t="n"/>
      <c r="CB124" s="3" t="n"/>
      <c r="CC124" s="3" t="n"/>
      <c r="CD124" s="3" t="n"/>
      <c r="CE124" s="3" t="n"/>
      <c r="CF124" s="3" t="n"/>
      <c r="CG124" s="3" t="n"/>
      <c r="CH124" s="3" t="n"/>
      <c r="CI124" s="3" t="n"/>
      <c r="CJ124" s="3" t="n"/>
      <c r="CK124" s="3" t="n"/>
      <c r="CL124" s="3" t="n"/>
      <c r="CM124" s="3" t="n"/>
      <c r="CN124" s="3" t="n"/>
      <c r="CO124" s="3" t="n"/>
      <c r="CP124" s="3" t="n"/>
      <c r="CQ124" s="3" t="n"/>
      <c r="CR124" s="3" t="n"/>
      <c r="CS124" s="3" t="n"/>
      <c r="CT124" s="3" t="n"/>
      <c r="CU124" s="3" t="n"/>
      <c r="CV124" s="3" t="n"/>
      <c r="CW124" s="3" t="n"/>
      <c r="CX124" s="3" t="n"/>
      <c r="CY124" s="3" t="n"/>
    </row>
    <row r="125" hidden="1" outlineLevel="1">
      <c r="C125" s="32" t="inlineStr">
        <is>
          <t>Plano de Opção de Compra de Ações</t>
        </is>
      </c>
      <c r="D125" s="6" t="n"/>
      <c r="E125" s="6" t="n"/>
      <c r="F125" s="6" t="n"/>
      <c r="G125" s="6" t="n"/>
      <c r="H125" s="3" t="n"/>
      <c r="I125" s="6" t="n"/>
      <c r="J125" s="6" t="n"/>
      <c r="K125" s="6" t="n"/>
      <c r="L125" s="6" t="n"/>
      <c r="M125" s="3" t="n"/>
      <c r="N125" s="6" t="n"/>
      <c r="O125" s="6" t="n"/>
      <c r="P125" s="6" t="n"/>
      <c r="Q125" s="6" t="n"/>
      <c r="R125" s="3" t="n"/>
      <c r="S125" s="6" t="n"/>
      <c r="T125" s="6" t="n"/>
      <c r="U125" s="6" t="n"/>
      <c r="V125" s="6" t="n"/>
      <c r="W125" s="3" t="n"/>
      <c r="X125" s="6" t="n"/>
      <c r="Y125" s="6" t="n"/>
      <c r="Z125" s="6" t="n"/>
      <c r="AA125" s="6" t="n"/>
      <c r="AB125" s="3" t="n"/>
      <c r="AC125" s="6" t="n"/>
      <c r="AD125" s="6" t="n"/>
      <c r="AE125" s="6" t="n"/>
      <c r="AF125" s="6" t="n"/>
      <c r="AG125" s="3" t="n"/>
      <c r="AH125" s="3" t="n"/>
      <c r="AI125" s="3" t="n"/>
      <c r="AJ125" s="3" t="n"/>
      <c r="AK125" s="3" t="n"/>
      <c r="AL125" s="3" t="n"/>
      <c r="AM125" s="3" t="n"/>
      <c r="AN125" s="3" t="n"/>
      <c r="AO125" s="3" t="n"/>
      <c r="AP125" s="3" t="n"/>
      <c r="AQ125" s="3" t="n"/>
      <c r="AR125" s="3" t="n"/>
      <c r="AS125" s="3" t="n"/>
      <c r="AT125" s="3" t="n"/>
      <c r="AU125" s="3" t="n"/>
      <c r="AV125" s="3" t="n"/>
      <c r="AW125" s="3" t="n"/>
      <c r="AX125" s="3" t="n"/>
      <c r="AY125" s="3" t="n"/>
      <c r="AZ125" s="3" t="n"/>
      <c r="BA125" s="3" t="n"/>
      <c r="BB125" s="3" t="n"/>
      <c r="BC125" s="3" t="n"/>
      <c r="BD125" s="3" t="n"/>
      <c r="BE125" s="3" t="n"/>
      <c r="BF125" s="3" t="n"/>
      <c r="BG125" s="3" t="n"/>
      <c r="BH125" s="3" t="n"/>
      <c r="BI125" s="3" t="n"/>
      <c r="BJ125" s="3" t="n"/>
      <c r="BK125" s="3" t="n"/>
      <c r="BL125" s="3" t="n"/>
      <c r="BM125" s="3" t="n"/>
      <c r="BN125" s="3" t="n"/>
      <c r="BO125" s="3" t="n"/>
      <c r="BP125" s="3" t="n"/>
      <c r="BQ125" s="3" t="n"/>
      <c r="BR125" s="3" t="n"/>
      <c r="BS125" s="3" t="n"/>
      <c r="BT125" s="3" t="n"/>
      <c r="BU125" s="3" t="n"/>
      <c r="BV125" s="3" t="n"/>
      <c r="BW125" s="3" t="n"/>
      <c r="BX125" s="3" t="n"/>
      <c r="BY125" s="3" t="n"/>
      <c r="BZ125" s="3" t="n"/>
      <c r="CA125" s="3" t="n"/>
      <c r="CB125" s="3" t="n"/>
      <c r="CC125" s="3" t="n"/>
      <c r="CD125" s="3" t="n"/>
      <c r="CE125" s="3" t="n"/>
      <c r="CF125" s="3" t="n"/>
      <c r="CG125" s="3" t="n"/>
      <c r="CH125" s="3" t="n"/>
      <c r="CI125" s="3" t="n"/>
      <c r="CJ125" s="3" t="n"/>
      <c r="CK125" s="3" t="n"/>
      <c r="CL125" s="3" t="n"/>
      <c r="CM125" s="3" t="n"/>
      <c r="CN125" s="3" t="n"/>
      <c r="CO125" s="3" t="n"/>
      <c r="CP125" s="3" t="n"/>
      <c r="CQ125" s="3" t="n"/>
      <c r="CR125" s="3" t="n"/>
      <c r="CS125" s="3" t="n"/>
      <c r="CT125" s="3" t="n"/>
      <c r="CU125" s="3" t="n"/>
      <c r="CV125" s="3" t="n"/>
      <c r="CW125" s="3" t="n"/>
      <c r="CX125" s="3" t="n"/>
      <c r="CY125" s="3" t="n"/>
    </row>
    <row r="126" hidden="1" outlineLevel="1">
      <c r="C126" s="32" t="inlineStr">
        <is>
          <t>Baixa Imobilizado</t>
        </is>
      </c>
      <c r="D126" s="6" t="n"/>
      <c r="E126" s="6" t="n"/>
      <c r="F126" s="6" t="n"/>
      <c r="G126" s="6" t="n"/>
      <c r="H126" s="3" t="n"/>
      <c r="I126" s="6" t="n"/>
      <c r="J126" s="6" t="n"/>
      <c r="K126" s="6" t="n"/>
      <c r="L126" s="6" t="n"/>
      <c r="M126" s="3" t="n"/>
      <c r="N126" s="6" t="n"/>
      <c r="O126" s="6" t="n"/>
      <c r="P126" s="6" t="n"/>
      <c r="Q126" s="6" t="n"/>
      <c r="R126" s="3" t="n"/>
      <c r="S126" s="6" t="n"/>
      <c r="T126" s="6" t="n"/>
      <c r="U126" s="6" t="n"/>
      <c r="V126" s="6" t="n"/>
      <c r="W126" s="3" t="n"/>
      <c r="X126" s="6" t="n"/>
      <c r="Y126" s="6" t="n"/>
      <c r="Z126" s="6" t="n"/>
      <c r="AA126" s="6" t="n"/>
      <c r="AB126" s="3" t="n"/>
      <c r="AC126" s="6" t="n"/>
      <c r="AD126" s="6" t="n"/>
      <c r="AE126" s="6" t="n"/>
      <c r="AF126" s="6" t="n"/>
      <c r="AG126" s="3" t="n"/>
      <c r="AH126" s="3" t="n"/>
      <c r="AI126" s="3" t="n"/>
      <c r="AJ126" s="3" t="n"/>
      <c r="AK126" s="3" t="n"/>
      <c r="AL126" s="3" t="n"/>
      <c r="AM126" s="3" t="n"/>
      <c r="AN126" s="3" t="n"/>
      <c r="AO126" s="3" t="n"/>
      <c r="AP126" s="3" t="n"/>
      <c r="AQ126" s="3" t="n"/>
      <c r="AR126" s="3" t="n"/>
      <c r="AS126" s="3" t="n"/>
      <c r="AT126" s="3" t="n"/>
      <c r="AU126" s="3" t="n"/>
      <c r="AV126" s="3" t="n"/>
      <c r="AW126" s="3" t="n"/>
      <c r="AX126" s="3" t="n"/>
      <c r="AY126" s="3" t="n"/>
      <c r="AZ126" s="3" t="n"/>
      <c r="BA126" s="3" t="n"/>
      <c r="BB126" s="3" t="n"/>
      <c r="BC126" s="3" t="n"/>
      <c r="BD126" s="3" t="n"/>
      <c r="BE126" s="3" t="n"/>
      <c r="BF126" s="3" t="n"/>
      <c r="BG126" s="3" t="n"/>
      <c r="BH126" s="3" t="n"/>
      <c r="BI126" s="3" t="n"/>
      <c r="BJ126" s="3" t="n"/>
      <c r="BK126" s="3" t="n"/>
      <c r="BL126" s="3" t="n"/>
      <c r="BM126" s="3" t="n"/>
      <c r="BN126" s="3" t="n"/>
      <c r="BO126" s="3" t="n"/>
      <c r="BP126" s="3" t="n"/>
      <c r="BQ126" s="3" t="n"/>
      <c r="BR126" s="3" t="n"/>
      <c r="BS126" s="3" t="n"/>
      <c r="BT126" s="3" t="n"/>
      <c r="BU126" s="3" t="n"/>
      <c r="BV126" s="3" t="n"/>
      <c r="BW126" s="3" t="n"/>
      <c r="BX126" s="3" t="n"/>
      <c r="BY126" s="3" t="n"/>
      <c r="BZ126" s="3" t="n"/>
      <c r="CA126" s="3" t="n"/>
      <c r="CB126" s="3" t="n"/>
      <c r="CC126" s="3" t="n"/>
      <c r="CD126" s="3" t="n"/>
      <c r="CE126" s="3" t="n"/>
      <c r="CF126" s="3" t="n"/>
      <c r="CG126" s="3" t="n"/>
      <c r="CH126" s="3" t="n"/>
      <c r="CI126" s="3" t="n"/>
      <c r="CJ126" s="3" t="n"/>
      <c r="CK126" s="3" t="n"/>
      <c r="CL126" s="3" t="n"/>
      <c r="CM126" s="3" t="n"/>
      <c r="CN126" s="3" t="n"/>
      <c r="CO126" s="3" t="n"/>
      <c r="CP126" s="3" t="n"/>
      <c r="CQ126" s="3" t="n"/>
      <c r="CR126" s="3" t="n"/>
      <c r="CS126" s="3" t="n"/>
      <c r="CT126" s="3" t="n"/>
      <c r="CU126" s="3" t="n"/>
      <c r="CV126" s="3" t="n"/>
      <c r="CW126" s="3" t="n"/>
      <c r="CX126" s="3" t="n"/>
      <c r="CY126" s="3" t="n"/>
    </row>
    <row r="127" hidden="1" outlineLevel="1">
      <c r="C127" s="34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3" t="n"/>
      <c r="AK127" s="3" t="n"/>
      <c r="AL127" s="3" t="n"/>
      <c r="AM127" s="3" t="n"/>
      <c r="AN127" s="3" t="n"/>
      <c r="AO127" s="3" t="n"/>
      <c r="AP127" s="3" t="n"/>
      <c r="AQ127" s="3" t="n"/>
      <c r="AR127" s="3" t="n"/>
      <c r="AS127" s="3" t="n"/>
      <c r="AT127" s="3" t="n"/>
      <c r="AU127" s="3" t="n"/>
      <c r="AV127" s="3" t="n"/>
      <c r="AW127" s="3" t="n"/>
      <c r="AX127" s="3" t="n"/>
      <c r="AY127" s="3" t="n"/>
      <c r="AZ127" s="3" t="n"/>
      <c r="BA127" s="3" t="n"/>
      <c r="BB127" s="3" t="n"/>
      <c r="BC127" s="3" t="n"/>
      <c r="BD127" s="3" t="n"/>
      <c r="BE127" s="3" t="n"/>
      <c r="BF127" s="3" t="n"/>
      <c r="BG127" s="3" t="n"/>
      <c r="BH127" s="3" t="n"/>
      <c r="BI127" s="3" t="n"/>
      <c r="BJ127" s="3" t="n"/>
      <c r="BK127" s="3" t="n"/>
      <c r="BL127" s="3" t="n"/>
      <c r="BM127" s="3" t="n"/>
      <c r="BN127" s="3" t="n"/>
      <c r="BO127" s="3" t="n"/>
      <c r="BP127" s="3" t="n"/>
      <c r="BQ127" s="3" t="n"/>
      <c r="BR127" s="3" t="n"/>
      <c r="BS127" s="3" t="n"/>
      <c r="BT127" s="3" t="n"/>
      <c r="BU127" s="3" t="n"/>
      <c r="BV127" s="3" t="n"/>
      <c r="BW127" s="3" t="n"/>
      <c r="BX127" s="3" t="n"/>
      <c r="BY127" s="3" t="n"/>
      <c r="BZ127" s="3" t="n"/>
      <c r="CA127" s="3" t="n"/>
      <c r="CB127" s="3" t="n"/>
      <c r="CC127" s="3" t="n"/>
      <c r="CD127" s="3" t="n"/>
      <c r="CE127" s="3" t="n"/>
      <c r="CF127" s="3" t="n"/>
      <c r="CG127" s="3" t="n"/>
      <c r="CH127" s="3" t="n"/>
      <c r="CI127" s="3" t="n"/>
      <c r="CJ127" s="3" t="n"/>
      <c r="CK127" s="3" t="n"/>
      <c r="CL127" s="3" t="n"/>
      <c r="CM127" s="3" t="n"/>
      <c r="CN127" s="3" t="n"/>
      <c r="CO127" s="3" t="n"/>
      <c r="CP127" s="3" t="n"/>
      <c r="CQ127" s="3" t="n"/>
      <c r="CR127" s="3" t="n"/>
      <c r="CS127" s="3" t="n"/>
      <c r="CT127" s="3" t="n"/>
      <c r="CU127" s="3" t="n"/>
      <c r="CV127" s="3" t="n"/>
      <c r="CW127" s="3" t="n"/>
      <c r="CX127" s="3" t="n"/>
      <c r="CY127" s="3" t="n"/>
    </row>
    <row r="128" hidden="1" outlineLevel="1">
      <c r="C128" s="34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n"/>
      <c r="AK128" s="3" t="n"/>
      <c r="AL128" s="3" t="n"/>
      <c r="AM128" s="3" t="n"/>
      <c r="AN128" s="3" t="n"/>
      <c r="AO128" s="3" t="n"/>
      <c r="AP128" s="3" t="n"/>
      <c r="AQ128" s="3" t="n"/>
      <c r="AR128" s="3" t="n"/>
      <c r="AS128" s="3" t="n"/>
      <c r="AT128" s="3" t="n"/>
      <c r="AU128" s="3" t="n"/>
      <c r="AV128" s="3" t="n"/>
      <c r="AW128" s="3" t="n"/>
      <c r="AX128" s="3" t="n"/>
      <c r="AY128" s="3" t="n"/>
      <c r="AZ128" s="3" t="n"/>
      <c r="BA128" s="3" t="n"/>
      <c r="BB128" s="3" t="n"/>
      <c r="BC128" s="3" t="n"/>
      <c r="BD128" s="3" t="n"/>
      <c r="BE128" s="3" t="n"/>
      <c r="BF128" s="3" t="n"/>
      <c r="BG128" s="3" t="n"/>
      <c r="BH128" s="3" t="n"/>
      <c r="BI128" s="3" t="n"/>
      <c r="BJ128" s="3" t="n"/>
      <c r="BK128" s="3" t="n"/>
      <c r="BL128" s="3" t="n"/>
      <c r="BM128" s="3" t="n"/>
      <c r="BN128" s="3" t="n"/>
      <c r="BO128" s="3" t="n"/>
      <c r="BP128" s="3" t="n"/>
      <c r="BQ128" s="3" t="n"/>
      <c r="BR128" s="3" t="n"/>
      <c r="BS128" s="3" t="n"/>
      <c r="BT128" s="3" t="n"/>
      <c r="BU128" s="3" t="n"/>
      <c r="BV128" s="3" t="n"/>
      <c r="BW128" s="3" t="n"/>
      <c r="BX128" s="3" t="n"/>
      <c r="BY128" s="3" t="n"/>
      <c r="BZ128" s="3" t="n"/>
      <c r="CA128" s="3" t="n"/>
      <c r="CB128" s="3" t="n"/>
      <c r="CC128" s="3" t="n"/>
      <c r="CD128" s="3" t="n"/>
      <c r="CE128" s="3" t="n"/>
      <c r="CF128" s="3" t="n"/>
      <c r="CG128" s="3" t="n"/>
      <c r="CH128" s="3" t="n"/>
      <c r="CI128" s="3" t="n"/>
      <c r="CJ128" s="3" t="n"/>
      <c r="CK128" s="3" t="n"/>
      <c r="CL128" s="3" t="n"/>
      <c r="CM128" s="3" t="n"/>
      <c r="CN128" s="3" t="n"/>
      <c r="CO128" s="3" t="n"/>
      <c r="CP128" s="3" t="n"/>
      <c r="CQ128" s="3" t="n"/>
      <c r="CR128" s="3" t="n"/>
      <c r="CS128" s="3" t="n"/>
      <c r="CT128" s="3" t="n"/>
      <c r="CU128" s="3" t="n"/>
      <c r="CV128" s="3" t="n"/>
      <c r="CW128" s="3" t="n"/>
      <c r="CX128" s="3" t="n"/>
      <c r="CY128" s="3" t="n"/>
    </row>
    <row r="129" collapsed="1" customFormat="1" s="17">
      <c r="A129" s="13" t="n"/>
      <c r="B129" s="1" t="n"/>
      <c r="C129" s="14" t="inlineStr">
        <is>
          <t>Pretax Income - EBT</t>
        </is>
      </c>
      <c r="D129" s="16">
        <f>SUM(D72,D73,D122)</f>
        <v>981</v>
      </c>
      <c r="E129" s="16">
        <f>SUM(E72,E73,E122)</f>
        <v>609</v>
      </c>
      <c r="F129" s="16">
        <f>SUM(F72,F73,F122)</f>
        <v>1348</v>
      </c>
      <c r="G129" s="16">
        <f>SUM(G72,G73,G122)</f>
        <v>1470</v>
      </c>
      <c r="H129" s="16">
        <f>SUM(D129:G129)</f>
        <v>4408</v>
      </c>
      <c r="I129" s="16">
        <f>SUM(I72,I73,I122)</f>
        <v>2044</v>
      </c>
      <c r="J129" s="16">
        <f>SUM(J72,J73,J122)</f>
        <v>2394</v>
      </c>
      <c r="K129" s="16">
        <f>SUM(K72,K73,K122)</f>
        <v>2638</v>
      </c>
      <c r="L129" s="16">
        <f>SUM(L72,L73,L122)</f>
        <v>2865</v>
      </c>
      <c r="M129" s="16">
        <f>SUM(I129:L129)</f>
        <v>9941</v>
      </c>
      <c r="N129" s="16">
        <f>SUM(N72,N73,N122)</f>
        <v>1805</v>
      </c>
      <c r="O129" s="16">
        <f>SUM(O72,O73,O122)</f>
        <v>475</v>
      </c>
      <c r="P129" s="16">
        <f>SUM(P72,P73,P122)</f>
        <v>613</v>
      </c>
      <c r="Q129" s="16">
        <f>SUM(Q72,Q73,Q122)</f>
        <v>1288</v>
      </c>
      <c r="R129" s="16">
        <f>SUM(N129:Q129)</f>
        <v>4181</v>
      </c>
      <c r="S129" s="16">
        <f>SUM(S72,S73,S122)</f>
        <v>2209</v>
      </c>
      <c r="T129" s="16">
        <f>SUM(T72,T73,T122)</f>
        <v>6981</v>
      </c>
      <c r="U129" s="16">
        <f>SUM(U72,U73,U122)</f>
        <v>10522</v>
      </c>
      <c r="V129" s="16">
        <f>SUM(V72,V73,V122)</f>
        <v>14106</v>
      </c>
      <c r="W129" s="16">
        <f>SUM(S129:V129)</f>
        <v>33818</v>
      </c>
      <c r="X129" s="16">
        <f>SUM(X72,X73,X122)</f>
        <v>17279</v>
      </c>
      <c r="Y129" s="16">
        <f>SUM(Y72,Y73,Y122)</f>
        <v>19214</v>
      </c>
      <c r="Z129" s="16">
        <f>SUM(Z72,Z73,Z122)</f>
        <v>22316</v>
      </c>
      <c r="AA129" s="16">
        <f>SUM(AA72,AA73,AA122)</f>
        <v>25217</v>
      </c>
      <c r="AB129" s="16">
        <f>SUM(X129:AA129)</f>
        <v>84026</v>
      </c>
      <c r="AC129" s="16">
        <f>SUM(AC72,AC73,AC122)</f>
        <v>21910</v>
      </c>
      <c r="AD129" s="16">
        <f>SUM(AD72,AD73,AD122)</f>
        <v>31206</v>
      </c>
      <c r="AE129" s="16">
        <f>SUM(AE72,AE73,AE122)</f>
        <v>37936</v>
      </c>
      <c r="AF129" s="16">
        <f>SUM(AF72,AF73,AF122)</f>
        <v>50398</v>
      </c>
      <c r="AG129" s="16">
        <f>SUM(AC129:AF129)</f>
        <v>141450</v>
      </c>
      <c r="AH129" s="16">
        <f>SUM(AH72,AH73,AH122)</f>
        <v>69903</v>
      </c>
      <c r="AI129" s="16">
        <f>SUM(AI72,AI73,AI122)</f>
        <v>71507</v>
      </c>
      <c r="AJ129" s="16">
        <f>SUM(AJ72,AJ73,AJ122)</f>
        <v>16469</v>
      </c>
      <c r="AK129" s="16">
        <f>SUM(AK72,AK73,AK122)</f>
        <v>8000</v>
      </c>
      <c r="AL129" s="16">
        <f>SUM(AH129:AK129)</f>
        <v>165879</v>
      </c>
      <c r="AM129" s="16">
        <f>SUM(AM72,AM73,AM122)</f>
        <v>8000</v>
      </c>
      <c r="AN129" s="16">
        <f>SUM(AN72,AN73,AN122)</f>
        <v>48938</v>
      </c>
      <c r="AO129" s="16">
        <f>SUM(AO72,AO73,AO122)</f>
        <v>8000</v>
      </c>
      <c r="AP129" s="16">
        <f>SUM(AP72,AP73,AP122)</f>
        <v>48938</v>
      </c>
      <c r="AQ129" s="16">
        <f>SUM(AM129:AP129)</f>
        <v>113876</v>
      </c>
      <c r="AR129" s="16">
        <f>SUM(AR72,AR73,AR122)</f>
        <v>48938</v>
      </c>
      <c r="AS129" s="16">
        <f>SUM(AS72,AS73,AS122)</f>
        <v>113876</v>
      </c>
      <c r="AT129" s="16">
        <f>SUM(AT72,AT73,AT122)</f>
        <v>48938</v>
      </c>
      <c r="AU129" s="16">
        <f>SUM(AU72,AU73,AU122)</f>
        <v>113876</v>
      </c>
      <c r="AV129" s="16">
        <f>SUM(AR129:AU129)</f>
        <v>325628</v>
      </c>
      <c r="AW129" s="16">
        <f>SUM(AW72,AW73,AW122)</f>
        <v>113876</v>
      </c>
      <c r="AX129" s="16">
        <f>SUM(AX72,AX73,AX122)</f>
        <v>325628</v>
      </c>
      <c r="AY129" s="16">
        <f>SUM(AY72,AY73,AY122)</f>
        <v>113876</v>
      </c>
      <c r="AZ129" s="16">
        <f>SUM(AZ72,AZ73,AZ122)</f>
        <v>325628</v>
      </c>
      <c r="BA129" s="16">
        <f>SUM(AW129:AZ129)</f>
        <v>879008</v>
      </c>
      <c r="BB129" s="16">
        <f>SUM(BB72,BB73,BB122)</f>
        <v>325628</v>
      </c>
      <c r="BC129" s="16">
        <f>SUM(BC72,BC73,BC122)</f>
        <v>879008</v>
      </c>
      <c r="BD129" s="16">
        <f>SUM(BD72,BD73,BD122)</f>
        <v>325628</v>
      </c>
      <c r="BE129" s="16">
        <f>SUM(BE72,BE73,BE122)</f>
        <v>879008</v>
      </c>
      <c r="BF129" s="16">
        <f>SUM(BB129:BE129)</f>
        <v>2409272</v>
      </c>
      <c r="BG129" s="16">
        <f>SUM(BG72,BG73,BG122)</f>
        <v>879008</v>
      </c>
      <c r="BH129" s="16">
        <f>SUM(BH72,BH73,BH122)</f>
        <v>2409272</v>
      </c>
      <c r="BI129" s="16">
        <f>SUM(BI72,BI73,BI122)</f>
        <v>879008</v>
      </c>
      <c r="BJ129" s="16">
        <f>SUM(BJ72,BJ73,BJ122)</f>
        <v>2409272</v>
      </c>
      <c r="BK129" s="16">
        <f>SUM(BG129:BJ129)</f>
        <v>6576560</v>
      </c>
      <c r="BL129" s="16">
        <f>SUM(BL72,BL73,BL122)</f>
        <v>2409272</v>
      </c>
      <c r="BM129" s="16">
        <f>SUM(BM72,BM73,BM122)</f>
        <v>6576560</v>
      </c>
      <c r="BN129" s="16">
        <f>SUM(BN72,BN73,BN122)</f>
        <v>2409272</v>
      </c>
      <c r="BO129" s="16">
        <f>SUM(BO72,BO73,BO122)</f>
        <v>6576560</v>
      </c>
      <c r="BP129" s="16">
        <f>SUM(BL129:BO129)</f>
        <v>17971664</v>
      </c>
      <c r="BQ129" s="16">
        <f>SUM(BQ72,BQ73,BQ122)</f>
        <v>6576560</v>
      </c>
      <c r="BR129" s="16">
        <f>SUM(BR72,BR73,BR122)</f>
        <v>17971664</v>
      </c>
      <c r="BS129" s="16">
        <f>SUM(BS72,BS73,BS122)</f>
        <v>6576560</v>
      </c>
      <c r="BT129" s="16">
        <f>SUM(BT72,BT73,BT122)</f>
        <v>17971664</v>
      </c>
      <c r="BU129" s="16">
        <f>SUM(BQ129:BT129)</f>
        <v>49096448</v>
      </c>
      <c r="BV129" s="16">
        <f>SUM(BV72,BV73,BV122)</f>
        <v>17971664</v>
      </c>
      <c r="BW129" s="16">
        <f>SUM(BW72,BW73,BW122)</f>
        <v>49096448</v>
      </c>
      <c r="BX129" s="16">
        <f>SUM(BX72,BX73,BX122)</f>
        <v>17971664</v>
      </c>
      <c r="BY129" s="16">
        <f>SUM(BY72,BY73,BY122)</f>
        <v>49096448</v>
      </c>
      <c r="BZ129" s="16">
        <f>SUM(BV129:BY129)</f>
        <v>134136224</v>
      </c>
      <c r="CA129" s="16">
        <f>SUM(CA72,CA73,CA122)</f>
        <v>49096448</v>
      </c>
      <c r="CB129" s="16">
        <f>SUM(CB72,CB73,CB122)</f>
        <v>134136224</v>
      </c>
      <c r="CC129" s="16">
        <f>SUM(CC72,CC73,CC122)</f>
        <v>49096448</v>
      </c>
      <c r="CD129" s="16">
        <f>SUM(CD72,CD73,CD122)</f>
        <v>134136224</v>
      </c>
      <c r="CE129" s="16">
        <f>SUM(CA129:CD129)</f>
        <v>366465344</v>
      </c>
      <c r="CF129" s="16">
        <f>SUM(CF72,CF73,CF122)</f>
        <v>134136224</v>
      </c>
      <c r="CG129" s="16">
        <f>SUM(CG72,CG73,CG122)</f>
        <v>366465344</v>
      </c>
      <c r="CH129" s="16">
        <f>SUM(CH72,CH73,CH122)</f>
        <v>134136224</v>
      </c>
      <c r="CI129" s="16">
        <f>SUM(CI72,CI73,CI122)</f>
        <v>366465344</v>
      </c>
      <c r="CJ129" s="16">
        <f>SUM(CF129:CI129)</f>
        <v>1001203136</v>
      </c>
      <c r="CK129" s="16">
        <f>SUM(CK72,CK73,CK122)</f>
        <v>366465344</v>
      </c>
      <c r="CL129" s="16">
        <f>SUM(CL72,CL73,CL122)</f>
        <v>1001203136</v>
      </c>
      <c r="CM129" s="16">
        <f>SUM(CM72,CM73,CM122)</f>
        <v>366465344</v>
      </c>
      <c r="CN129" s="16">
        <f>SUM(CN72,CN73,CN122)</f>
        <v>1001203136</v>
      </c>
      <c r="CO129" s="16">
        <f>SUM(CK129:CN129)</f>
        <v>2735336960</v>
      </c>
      <c r="CP129" s="16">
        <f>SUM(CP72,CP73,CP122)</f>
        <v>1001203136</v>
      </c>
      <c r="CQ129" s="16">
        <f>SUM(CQ72,CQ73,CQ122)</f>
        <v>2735336960</v>
      </c>
      <c r="CR129" s="16">
        <f>SUM(CR72,CR73,CR122)</f>
        <v>1001203136</v>
      </c>
      <c r="CS129" s="16">
        <f>SUM(CS72,CS73,CS122)</f>
        <v>2735336960</v>
      </c>
      <c r="CT129" s="16">
        <f>SUM(CP129:CS129)</f>
        <v>7473080192</v>
      </c>
      <c r="CU129" s="16">
        <f>SUM(CU72,CU73,CU122)</f>
        <v>2735336960</v>
      </c>
      <c r="CV129" s="16">
        <f>SUM(CV72,CV73,CV122)</f>
        <v>7473080192</v>
      </c>
      <c r="CW129" s="16">
        <f>SUM(CW72,CW73,CW122)</f>
        <v>2735336960</v>
      </c>
      <c r="CX129" s="16">
        <f>SUM(CX72,CX73,CX122)</f>
        <v>7473080192</v>
      </c>
      <c r="CY129" s="16">
        <f>SUM(CU129:CX129)</f>
        <v>20416834304</v>
      </c>
    </row>
    <row r="130">
      <c r="C130" s="26" t="inlineStr">
        <is>
          <t>Taxes</t>
        </is>
      </c>
      <c r="D130" s="25">
        <f>INDEX('Inputs (2)'!$D$10:$AL$10,MATCH(D$7,'Inputs (2)'!$D$2:$AL$2,0))</f>
        <v>-64</v>
      </c>
      <c r="E130" s="25">
        <f>INDEX('Inputs (2)'!$D$10:$AL$10,MATCH(E$7,'Inputs (2)'!$D$2:$AL$2,0))</f>
        <v>13</v>
      </c>
      <c r="F130" s="25">
        <f>INDEX('Inputs (2)'!$D$10:$AL$10,MATCH(F$7,'Inputs (2)'!$D$2:$AL$2,0))</f>
        <v>-12</v>
      </c>
      <c r="G130" s="25">
        <f>INDEX('Inputs (2)'!$D$10:$AL$10,MATCH(G$7,'Inputs (2)'!$D$2:$AL$2,0))</f>
        <v>-13</v>
      </c>
      <c r="H130" s="3">
        <f>SUM(D130:G130)</f>
        <v>-76</v>
      </c>
      <c r="I130" s="25">
        <f>INDEX('Inputs (2)'!$D$10:$AL$10,MATCH(I$7,'Inputs (2)'!$D$2:$AL$2,0))</f>
        <v>-132</v>
      </c>
      <c r="J130" s="25">
        <f>INDEX('Inputs (2)'!$D$10:$AL$10,MATCH(J$7,'Inputs (2)'!$D$2:$AL$2,0))</f>
        <v>-20</v>
      </c>
      <c r="K130" s="25">
        <f>INDEX('Inputs (2)'!$D$10:$AL$10,MATCH(K$7,'Inputs (2)'!$D$2:$AL$2,0))</f>
        <v>-174</v>
      </c>
      <c r="L130" s="25">
        <f>INDEX('Inputs (2)'!$D$10:$AL$10,MATCH(L$7,'Inputs (2)'!$D$2:$AL$2,0))</f>
        <v>138</v>
      </c>
      <c r="M130" s="3">
        <f>SUM(I130:L130)</f>
        <v>-188</v>
      </c>
      <c r="N130" s="25">
        <f>INDEX('Inputs (2)'!$D$10:$AL$10,MATCH(N$7,'Inputs (2)'!$D$2:$AL$2,0))</f>
        <v>-187</v>
      </c>
      <c r="O130" s="25">
        <f>INDEX('Inputs (2)'!$D$10:$AL$10,MATCH(O$7,'Inputs (2)'!$D$2:$AL$2,0))</f>
        <v>181</v>
      </c>
      <c r="P130" s="25">
        <f>INDEX('Inputs (2)'!$D$10:$AL$10,MATCH(P$7,'Inputs (2)'!$D$2:$AL$2,0))</f>
        <v>67</v>
      </c>
      <c r="Q130" s="25">
        <f>INDEX('Inputs (2)'!$D$10:$AL$10,MATCH(Q$7,'Inputs (2)'!$D$2:$AL$2,0))</f>
        <v>126</v>
      </c>
      <c r="R130" s="3">
        <f>SUM(N130:Q130)</f>
        <v>187</v>
      </c>
      <c r="S130" s="25">
        <f>INDEX('Inputs (2)'!$D$10:$AL$10,MATCH(S$7,'Inputs (2)'!$D$2:$AL$2,0))</f>
        <v>-166</v>
      </c>
      <c r="T130" s="25">
        <f>INDEX('Inputs (2)'!$D$10:$AL$10,MATCH(T$7,'Inputs (2)'!$D$2:$AL$2,0))</f>
        <v>-793</v>
      </c>
      <c r="U130" s="25">
        <f>INDEX('Inputs (2)'!$D$10:$AL$10,MATCH(U$7,'Inputs (2)'!$D$2:$AL$2,0))</f>
        <v>-1279</v>
      </c>
      <c r="V130" s="25">
        <f>INDEX('Inputs (2)'!$D$10:$AL$10,MATCH(V$7,'Inputs (2)'!$D$2:$AL$2,0))</f>
        <v>-1821</v>
      </c>
      <c r="W130" s="3">
        <f>SUM(S130:V130)</f>
        <v>-4059</v>
      </c>
      <c r="X130" s="25">
        <f>INDEX('Inputs (2)'!$D$10:$AL$10,MATCH(X$7,'Inputs (2)'!$D$2:$AL$2,0))</f>
        <v>-2398</v>
      </c>
      <c r="Y130" s="25">
        <f>INDEX('Inputs (2)'!$D$10:$AL$10,MATCH(Y$7,'Inputs (2)'!$D$2:$AL$2,0))</f>
        <v>-2615</v>
      </c>
      <c r="Z130" s="25">
        <f>INDEX('Inputs (2)'!$D$10:$AL$10,MATCH(Z$7,'Inputs (2)'!$D$2:$AL$2,0))</f>
        <v>-3007</v>
      </c>
      <c r="AA130" s="25">
        <f>INDEX('Inputs (2)'!$D$10:$AL$10,MATCH(AA$7,'Inputs (2)'!$D$2:$AL$2,0))</f>
        <v>-3126</v>
      </c>
      <c r="AB130" s="3">
        <f>SUM(X130:AA130)</f>
        <v>-11146</v>
      </c>
      <c r="AC130" s="25">
        <f>INDEX('Inputs (2)'!$D$10:$AL$10,MATCH(AC$7,'Inputs (2)'!$D$2:$AL$2,0))</f>
        <v>-3135</v>
      </c>
      <c r="AD130" s="25">
        <f>INDEX('Inputs (2)'!$D$10:$AL$10,MATCH(AD$7,'Inputs (2)'!$D$2:$AL$2,0))</f>
        <v>-4784</v>
      </c>
      <c r="AE130" s="25">
        <f>INDEX('Inputs (2)'!$D$10:$AL$10,MATCH(AE$7,'Inputs (2)'!$D$2:$AL$2,0))</f>
        <v>-6026</v>
      </c>
      <c r="AF130" s="25">
        <f>INDEX('Inputs (2)'!$D$10:$AL$10,MATCH(AF$7,'Inputs (2)'!$D$2:$AL$2,0))</f>
        <v>-7438</v>
      </c>
      <c r="AG130" s="3">
        <f>SUM(AC130:AF130)</f>
        <v>-21383</v>
      </c>
      <c r="AH130" s="3">
        <f>INDEX('Inputs (2)'!$D$10:$AL$10,MATCH(AH$7,'Inputs (2)'!$D$2:$AL$2,0))</f>
        <v>-11582</v>
      </c>
      <c r="AI130" s="3">
        <f>INDEX('Inputs (2)'!$D$10:$AL$10,MATCH(AI$7,'Inputs (2)'!$D$2:$AL$2,0))</f>
        <v>-11819</v>
      </c>
      <c r="AJ130" s="3">
        <f>AJ131*-AJ129</f>
        <v>0</v>
      </c>
      <c r="AK130" s="3">
        <f>AK131*-AK129</f>
        <v>0</v>
      </c>
      <c r="AL130" s="3">
        <f>SUM(AH130:AK130)</f>
        <v>-23401</v>
      </c>
      <c r="AM130" s="3">
        <f>AM131*-AM129</f>
        <v>0</v>
      </c>
      <c r="AN130" s="3">
        <f>AN131*-AN129</f>
        <v>0</v>
      </c>
      <c r="AO130" s="3">
        <f>AO131*-AO129</f>
        <v>0</v>
      </c>
      <c r="AP130" s="3">
        <f>AP131*-AP129</f>
        <v>0</v>
      </c>
      <c r="AQ130" s="3">
        <f>SUM(AM130:AP130)</f>
        <v>0</v>
      </c>
      <c r="AR130" s="3">
        <f>AR131*-AR129</f>
        <v>0</v>
      </c>
      <c r="AS130" s="3">
        <f>AS131*-AS129</f>
        <v>0</v>
      </c>
      <c r="AT130" s="3">
        <f>AT131*-AT129</f>
        <v>0</v>
      </c>
      <c r="AU130" s="3">
        <f>AU131*-AU129</f>
        <v>0</v>
      </c>
      <c r="AV130" s="3">
        <f>SUM(AR130:AU130)</f>
        <v>0</v>
      </c>
      <c r="AW130" s="3">
        <f>AW131*-AW129</f>
        <v>0</v>
      </c>
      <c r="AX130" s="3">
        <f>AX131*-AX129</f>
        <v>0</v>
      </c>
      <c r="AY130" s="3">
        <f>AY131*-AY129</f>
        <v>0</v>
      </c>
      <c r="AZ130" s="3">
        <f>AZ131*-AZ129</f>
        <v>0</v>
      </c>
      <c r="BA130" s="3">
        <f>SUM(AW130:AZ130)</f>
        <v>0</v>
      </c>
      <c r="BB130" s="3">
        <f>BB131*-BB129</f>
        <v>0</v>
      </c>
      <c r="BC130" s="3">
        <f>BC131*-BC129</f>
        <v>0</v>
      </c>
      <c r="BD130" s="3">
        <f>BD131*-BD129</f>
        <v>0</v>
      </c>
      <c r="BE130" s="3">
        <f>BE131*-BE129</f>
        <v>0</v>
      </c>
      <c r="BF130" s="3">
        <f>SUM(BB130:BE130)</f>
        <v>0</v>
      </c>
      <c r="BG130" s="3">
        <f>BG131*-BG129</f>
        <v>0</v>
      </c>
      <c r="BH130" s="3">
        <f>BH131*-BH129</f>
        <v>0</v>
      </c>
      <c r="BI130" s="3">
        <f>BI131*-BI129</f>
        <v>0</v>
      </c>
      <c r="BJ130" s="3">
        <f>BJ131*-BJ129</f>
        <v>0</v>
      </c>
      <c r="BK130" s="3">
        <f>SUM(BG130:BJ130)</f>
        <v>0</v>
      </c>
      <c r="BL130" s="3">
        <f>BL131*-BL129</f>
        <v>0</v>
      </c>
      <c r="BM130" s="3">
        <f>BM131*-BM129</f>
        <v>0</v>
      </c>
      <c r="BN130" s="3">
        <f>BN131*-BN129</f>
        <v>0</v>
      </c>
      <c r="BO130" s="3">
        <f>BO131*-BO129</f>
        <v>0</v>
      </c>
      <c r="BP130" s="3">
        <f>SUM(BL130:BO130)</f>
        <v>0</v>
      </c>
      <c r="BQ130" s="3">
        <f>BQ131*-BQ129</f>
        <v>0</v>
      </c>
      <c r="BR130" s="3">
        <f>BR131*-BR129</f>
        <v>0</v>
      </c>
      <c r="BS130" s="3">
        <f>BS131*-BS129</f>
        <v>0</v>
      </c>
      <c r="BT130" s="3">
        <f>BT131*-BT129</f>
        <v>0</v>
      </c>
      <c r="BU130" s="3">
        <f>SUM(BQ130:BT130)</f>
        <v>0</v>
      </c>
      <c r="BV130" s="3">
        <f>BV131*-BV129</f>
        <v>0</v>
      </c>
      <c r="BW130" s="3">
        <f>BW131*-BW129</f>
        <v>0</v>
      </c>
      <c r="BX130" s="3">
        <f>BX131*-BX129</f>
        <v>0</v>
      </c>
      <c r="BY130" s="3">
        <f>BY131*-BY129</f>
        <v>0</v>
      </c>
      <c r="BZ130" s="3">
        <f>SUM(BV130:BY130)</f>
        <v>0</v>
      </c>
      <c r="CA130" s="3">
        <f>CA131*-CA129</f>
        <v>0</v>
      </c>
      <c r="CB130" s="3">
        <f>CB131*-CB129</f>
        <v>0</v>
      </c>
      <c r="CC130" s="3">
        <f>CC131*-CC129</f>
        <v>0</v>
      </c>
      <c r="CD130" s="3">
        <f>CD131*-CD129</f>
        <v>0</v>
      </c>
      <c r="CE130" s="3">
        <f>SUM(CA130:CD130)</f>
        <v>0</v>
      </c>
      <c r="CF130" s="3">
        <f>CF131*-CF129</f>
        <v>0</v>
      </c>
      <c r="CG130" s="3">
        <f>CG131*-CG129</f>
        <v>0</v>
      </c>
      <c r="CH130" s="3">
        <f>CH131*-CH129</f>
        <v>0</v>
      </c>
      <c r="CI130" s="3">
        <f>CI131*-CI129</f>
        <v>0</v>
      </c>
      <c r="CJ130" s="3">
        <f>SUM(CF130:CI130)</f>
        <v>0</v>
      </c>
      <c r="CK130" s="3">
        <f>CK131*-CK129</f>
        <v>0</v>
      </c>
      <c r="CL130" s="3">
        <f>CL131*-CL129</f>
        <v>0</v>
      </c>
      <c r="CM130" s="3">
        <f>CM131*-CM129</f>
        <v>0</v>
      </c>
      <c r="CN130" s="3">
        <f>CN131*-CN129</f>
        <v>0</v>
      </c>
      <c r="CO130" s="3">
        <f>SUM(CK130:CN130)</f>
        <v>0</v>
      </c>
      <c r="CP130" s="3">
        <f>CP131*-CP129</f>
        <v>0</v>
      </c>
      <c r="CQ130" s="3">
        <f>CQ131*-CQ129</f>
        <v>0</v>
      </c>
      <c r="CR130" s="3">
        <f>CR131*-CR129</f>
        <v>0</v>
      </c>
      <c r="CS130" s="3">
        <f>CS131*-CS129</f>
        <v>0</v>
      </c>
      <c r="CT130" s="3">
        <f>SUM(CP130:CS130)</f>
        <v>0</v>
      </c>
      <c r="CU130" s="3">
        <f>CU131*-CU129</f>
        <v>0</v>
      </c>
      <c r="CV130" s="3">
        <f>CV131*-CV129</f>
        <v>0</v>
      </c>
      <c r="CW130" s="3">
        <f>CW131*-CW129</f>
        <v>0</v>
      </c>
      <c r="CX130" s="3">
        <f>CX131*-CX129</f>
        <v>0</v>
      </c>
      <c r="CY130" s="3">
        <f>SUM(CU130:CX130)</f>
        <v>0</v>
      </c>
    </row>
    <row r="131" hidden="1" outlineLevel="1">
      <c r="C131" s="34" t="inlineStr">
        <is>
          <t>% ETR</t>
        </is>
      </c>
      <c r="D131" s="48">
        <f>-D130/D129</f>
        <v>0.0652395514780836</v>
      </c>
      <c r="E131" s="48">
        <f>-E130/E129</f>
        <v>-0.0213464696223317</v>
      </c>
      <c r="F131" s="48">
        <f>-F130/F129</f>
        <v>0.00890207715133531</v>
      </c>
      <c r="G131" s="48">
        <f>-G130/G129</f>
        <v>0.00884353741496599</v>
      </c>
      <c r="H131" s="48">
        <f>-H130/H129</f>
        <v>0.0172413793103448</v>
      </c>
      <c r="I131" s="48">
        <f>-I130/I129</f>
        <v>0.0645792563600783</v>
      </c>
      <c r="J131" s="48">
        <f>-J130/J129</f>
        <v>0.00835421888053467</v>
      </c>
      <c r="K131" s="48">
        <f>-K130/K129</f>
        <v>0.065959059893859</v>
      </c>
      <c r="L131" s="48">
        <f>-L130/L129</f>
        <v>-0.0481675392670157</v>
      </c>
      <c r="M131" s="48">
        <f>-M130/M129</f>
        <v>0.018911578312041</v>
      </c>
      <c r="N131" s="48">
        <f>-N130/N129</f>
        <v>0.103601108033241</v>
      </c>
      <c r="O131" s="48">
        <f>-O130/O129</f>
        <v>-0.381052631578947</v>
      </c>
      <c r="P131" s="48">
        <f>-P130/P129</f>
        <v>-0.109298531810767</v>
      </c>
      <c r="Q131" s="48">
        <f>-Q130/Q129</f>
        <v>-0.0978260869565217</v>
      </c>
      <c r="R131" s="48">
        <f>-R130/R129</f>
        <v>-0.0447261420712748</v>
      </c>
      <c r="S131" s="48">
        <f>-S130/S129</f>
        <v>0.0751471253961068</v>
      </c>
      <c r="T131" s="48">
        <f>-T130/T129</f>
        <v>0.113594040968343</v>
      </c>
      <c r="U131" s="48">
        <f>-U130/U129</f>
        <v>0.121554837483368</v>
      </c>
      <c r="V131" s="48">
        <f>-V130/V129</f>
        <v>0.129094002552105</v>
      </c>
      <c r="W131" s="48">
        <f>-W130/W129</f>
        <v>0.12002483884322</v>
      </c>
      <c r="X131" s="48">
        <f>-X130/X129</f>
        <v>0.138781179466404</v>
      </c>
      <c r="Y131" s="48">
        <f>-Y130/Y129</f>
        <v>0.136098678047257</v>
      </c>
      <c r="Z131" s="48">
        <f>-Z130/Z129</f>
        <v>0.134746370317261</v>
      </c>
      <c r="AA131" s="48">
        <f>-AA130/AA129</f>
        <v>0.123963992544712</v>
      </c>
      <c r="AB131" s="48">
        <f>-AB130/AB129</f>
        <v>0.132649418037274</v>
      </c>
      <c r="AC131" s="48">
        <f>-AC130/AC129</f>
        <v>0.143085349155637</v>
      </c>
      <c r="AD131" s="48">
        <f>-AD130/AD129</f>
        <v>0.153303851823367</v>
      </c>
      <c r="AE131" s="48">
        <f>-AE130/AE129</f>
        <v>0.158846478279207</v>
      </c>
      <c r="AF131" s="44">
        <f>-AF130/AF129</f>
        <v>0.147585221635779</v>
      </c>
      <c r="AG131" s="48">
        <f>-AG130/AG129</f>
        <v>0.151170024743726</v>
      </c>
      <c r="AH131" s="44">
        <f>-AH130/AH129</f>
        <v>0.165686737336023</v>
      </c>
      <c r="AI131" s="44">
        <f>-AI130/AI129</f>
        <v>0.165284517599676</v>
      </c>
      <c r="AJ131" s="44" t="n"/>
      <c r="AK131" s="44" t="n"/>
      <c r="AL131" s="48">
        <f>-AL130/AL129</f>
        <v>0.141072709625691</v>
      </c>
      <c r="AM131" s="44" t="n"/>
      <c r="AN131" s="44" t="n"/>
      <c r="AO131" s="44" t="n"/>
      <c r="AP131" s="44" t="n"/>
      <c r="AQ131" s="48">
        <f>-AQ130/AQ129</f>
        <v>0</v>
      </c>
      <c r="AR131" s="44" t="n"/>
      <c r="AS131" s="44" t="n"/>
      <c r="AT131" s="44" t="n"/>
      <c r="AU131" s="44" t="n"/>
      <c r="AV131" s="48">
        <f>-AV130/AV129</f>
        <v>0</v>
      </c>
      <c r="AW131" s="44" t="n"/>
      <c r="AX131" s="44" t="n"/>
      <c r="AY131" s="44" t="n"/>
      <c r="AZ131" s="44" t="n"/>
      <c r="BA131" s="48">
        <f>-BA130/BA129</f>
        <v>0</v>
      </c>
      <c r="BB131" s="44" t="n"/>
      <c r="BC131" s="44" t="n"/>
      <c r="BD131" s="44" t="n"/>
      <c r="BE131" s="44" t="n"/>
      <c r="BF131" s="48">
        <f>-BF130/BF129</f>
        <v>0</v>
      </c>
      <c r="BG131" s="44" t="n"/>
      <c r="BH131" s="44" t="n"/>
      <c r="BI131" s="44" t="n"/>
      <c r="BJ131" s="44" t="n"/>
      <c r="BK131" s="48">
        <f>-BK130/BK129</f>
        <v>0</v>
      </c>
      <c r="BL131" s="44" t="n"/>
      <c r="BM131" s="44" t="n"/>
      <c r="BN131" s="44" t="n"/>
      <c r="BO131" s="44" t="n"/>
      <c r="BP131" s="48">
        <f>-BP130/BP129</f>
        <v>0</v>
      </c>
      <c r="BQ131" s="44" t="n"/>
      <c r="BR131" s="44" t="n"/>
      <c r="BS131" s="44" t="n"/>
      <c r="BT131" s="44" t="n"/>
      <c r="BU131" s="48">
        <f>-BU130/BU129</f>
        <v>0</v>
      </c>
      <c r="BV131" s="44" t="n"/>
      <c r="BW131" s="44" t="n"/>
      <c r="BX131" s="44" t="n"/>
      <c r="BY131" s="44" t="n"/>
      <c r="BZ131" s="48">
        <f>-BZ130/BZ129</f>
        <v>0</v>
      </c>
      <c r="CA131" s="44" t="n"/>
      <c r="CB131" s="44" t="n"/>
      <c r="CC131" s="44" t="n"/>
      <c r="CD131" s="44" t="n"/>
      <c r="CE131" s="48">
        <f>-CE130/CE129</f>
        <v>0</v>
      </c>
      <c r="CF131" s="44" t="n"/>
      <c r="CG131" s="44" t="n"/>
      <c r="CH131" s="44" t="n"/>
      <c r="CI131" s="44" t="n"/>
      <c r="CJ131" s="48">
        <f>-CJ130/CJ129</f>
        <v>0</v>
      </c>
      <c r="CK131" s="44" t="n"/>
      <c r="CL131" s="44" t="n"/>
      <c r="CM131" s="44" t="n"/>
      <c r="CN131" s="44" t="n"/>
      <c r="CO131" s="48">
        <f>-CO130/CO129</f>
        <v>0</v>
      </c>
      <c r="CP131" s="44" t="n"/>
      <c r="CQ131" s="44" t="n"/>
      <c r="CR131" s="44" t="n"/>
      <c r="CS131" s="44" t="n"/>
      <c r="CT131" s="48">
        <f>-CT130/CT129</f>
        <v>0</v>
      </c>
      <c r="CU131" s="44" t="n"/>
      <c r="CV131" s="44" t="n"/>
      <c r="CW131" s="44" t="n"/>
      <c r="CX131" s="44" t="n"/>
      <c r="CY131" s="48">
        <f>-CY130/CY129</f>
        <v>0</v>
      </c>
    </row>
    <row r="132" hidden="1" outlineLevel="1">
      <c r="C132" s="34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  <c r="AD132" s="3" t="n"/>
      <c r="AE132" s="3" t="n"/>
      <c r="AF132" s="3" t="n"/>
      <c r="AG132" s="3" t="n"/>
      <c r="AH132" s="3" t="n"/>
      <c r="AI132" s="3" t="n"/>
      <c r="AJ132" s="3" t="n"/>
      <c r="AK132" s="3" t="n"/>
      <c r="AL132" s="3" t="n"/>
      <c r="AM132" s="3" t="n"/>
      <c r="AN132" s="3" t="n"/>
      <c r="AO132" s="3" t="n"/>
      <c r="AP132" s="3" t="n"/>
      <c r="AQ132" s="3" t="n"/>
      <c r="AR132" s="3" t="n"/>
      <c r="AS132" s="3" t="n"/>
      <c r="AT132" s="3" t="n"/>
      <c r="AU132" s="3" t="n"/>
      <c r="AV132" s="3" t="n"/>
      <c r="AW132" s="3" t="n"/>
      <c r="AX132" s="3" t="n"/>
      <c r="AY132" s="3" t="n"/>
      <c r="AZ132" s="3" t="n"/>
      <c r="BA132" s="3" t="n"/>
      <c r="BB132" s="3" t="n"/>
      <c r="BC132" s="3" t="n"/>
      <c r="BD132" s="3" t="n"/>
      <c r="BE132" s="3" t="n"/>
      <c r="BF132" s="3" t="n"/>
      <c r="BG132" s="3" t="n"/>
      <c r="BH132" s="3" t="n"/>
      <c r="BI132" s="3" t="n"/>
      <c r="BJ132" s="3" t="n"/>
      <c r="BK132" s="3" t="n"/>
      <c r="BL132" s="3" t="n"/>
      <c r="BM132" s="3" t="n"/>
      <c r="BN132" s="3" t="n"/>
      <c r="BO132" s="3" t="n"/>
      <c r="BP132" s="3" t="n"/>
      <c r="BQ132" s="3" t="n"/>
      <c r="BR132" s="3" t="n"/>
      <c r="BS132" s="3" t="n"/>
      <c r="BT132" s="3" t="n"/>
      <c r="BU132" s="3" t="n"/>
      <c r="BV132" s="3" t="n"/>
      <c r="BW132" s="3" t="n"/>
      <c r="BX132" s="3" t="n"/>
      <c r="BY132" s="3" t="n"/>
      <c r="BZ132" s="3" t="n"/>
      <c r="CA132" s="3" t="n"/>
      <c r="CB132" s="3" t="n"/>
      <c r="CC132" s="3" t="n"/>
      <c r="CD132" s="3" t="n"/>
      <c r="CE132" s="3" t="n"/>
      <c r="CF132" s="3" t="n"/>
      <c r="CG132" s="3" t="n"/>
      <c r="CH132" s="3" t="n"/>
      <c r="CI132" s="3" t="n"/>
      <c r="CJ132" s="3" t="n"/>
      <c r="CK132" s="3" t="n"/>
      <c r="CL132" s="3" t="n"/>
      <c r="CM132" s="3" t="n"/>
      <c r="CN132" s="3" t="n"/>
      <c r="CO132" s="3" t="n"/>
      <c r="CP132" s="3" t="n"/>
      <c r="CQ132" s="3" t="n"/>
      <c r="CR132" s="3" t="n"/>
      <c r="CS132" s="3" t="n"/>
      <c r="CT132" s="3" t="n"/>
      <c r="CU132" s="3" t="n"/>
      <c r="CV132" s="3" t="n"/>
      <c r="CW132" s="3" t="n"/>
      <c r="CX132" s="3" t="n"/>
      <c r="CY132" s="3" t="n"/>
    </row>
    <row r="133" hidden="1" outlineLevel="1">
      <c r="C133" s="34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  <c r="AC133" s="3" t="n"/>
      <c r="AD133" s="3" t="n"/>
      <c r="AE133" s="3" t="n"/>
      <c r="AF133" s="3" t="n"/>
      <c r="AG133" s="3" t="n"/>
      <c r="AH133" s="3" t="n"/>
      <c r="AI133" s="3" t="n"/>
      <c r="AJ133" s="3" t="n"/>
      <c r="AK133" s="3" t="n"/>
      <c r="AL133" s="3" t="n"/>
      <c r="AM133" s="3" t="n"/>
      <c r="AN133" s="3" t="n"/>
      <c r="AO133" s="3" t="n"/>
      <c r="AP133" s="3" t="n"/>
      <c r="AQ133" s="3" t="n"/>
      <c r="AR133" s="3" t="n"/>
      <c r="AS133" s="3" t="n"/>
      <c r="AT133" s="3" t="n"/>
      <c r="AU133" s="3" t="n"/>
      <c r="AV133" s="3" t="n"/>
      <c r="AW133" s="3" t="n"/>
      <c r="AX133" s="3" t="n"/>
      <c r="AY133" s="3" t="n"/>
      <c r="AZ133" s="3" t="n"/>
      <c r="BA133" s="3" t="n"/>
      <c r="BB133" s="3" t="n"/>
      <c r="BC133" s="3" t="n"/>
      <c r="BD133" s="3" t="n"/>
      <c r="BE133" s="3" t="n"/>
      <c r="BF133" s="3" t="n"/>
      <c r="BG133" s="3" t="n"/>
      <c r="BH133" s="3" t="n"/>
      <c r="BI133" s="3" t="n"/>
      <c r="BJ133" s="3" t="n"/>
      <c r="BK133" s="3" t="n"/>
      <c r="BL133" s="3" t="n"/>
      <c r="BM133" s="3" t="n"/>
      <c r="BN133" s="3" t="n"/>
      <c r="BO133" s="3" t="n"/>
      <c r="BP133" s="3" t="n"/>
      <c r="BQ133" s="3" t="n"/>
      <c r="BR133" s="3" t="n"/>
      <c r="BS133" s="3" t="n"/>
      <c r="BT133" s="3" t="n"/>
      <c r="BU133" s="3" t="n"/>
      <c r="BV133" s="3" t="n"/>
      <c r="BW133" s="3" t="n"/>
      <c r="BX133" s="3" t="n"/>
      <c r="BY133" s="3" t="n"/>
      <c r="BZ133" s="3" t="n"/>
      <c r="CA133" s="3" t="n"/>
      <c r="CB133" s="3" t="n"/>
      <c r="CC133" s="3" t="n"/>
      <c r="CD133" s="3" t="n"/>
      <c r="CE133" s="3" t="n"/>
      <c r="CF133" s="3" t="n"/>
      <c r="CG133" s="3" t="n"/>
      <c r="CH133" s="3" t="n"/>
      <c r="CI133" s="3" t="n"/>
      <c r="CJ133" s="3" t="n"/>
      <c r="CK133" s="3" t="n"/>
      <c r="CL133" s="3" t="n"/>
      <c r="CM133" s="3" t="n"/>
      <c r="CN133" s="3" t="n"/>
      <c r="CO133" s="3" t="n"/>
      <c r="CP133" s="3" t="n"/>
      <c r="CQ133" s="3" t="n"/>
      <c r="CR133" s="3" t="n"/>
      <c r="CS133" s="3" t="n"/>
      <c r="CT133" s="3" t="n"/>
      <c r="CU133" s="3" t="n"/>
      <c r="CV133" s="3" t="n"/>
      <c r="CW133" s="3" t="n"/>
      <c r="CX133" s="3" t="n"/>
      <c r="CY133" s="3" t="n"/>
    </row>
    <row r="134" collapsed="1">
      <c r="C134" s="26" t="inlineStr">
        <is>
          <t>Equity in Income of Affiliates, after tax (enter as +)</t>
        </is>
      </c>
      <c r="D134" s="25" t="n"/>
      <c r="E134" s="25" t="n"/>
      <c r="F134" s="25" t="n"/>
      <c r="G134" s="25" t="n"/>
      <c r="H134" s="3">
        <f>SUM(D134:G134)</f>
        <v>0</v>
      </c>
      <c r="I134" s="25" t="n"/>
      <c r="J134" s="25" t="n"/>
      <c r="K134" s="25" t="n"/>
      <c r="L134" s="25" t="n"/>
      <c r="M134" s="3">
        <f>SUM(I134:L134)</f>
        <v>0</v>
      </c>
      <c r="N134" s="25" t="n"/>
      <c r="O134" s="25" t="n"/>
      <c r="P134" s="25" t="n"/>
      <c r="Q134" s="25" t="n"/>
      <c r="R134" s="3">
        <f>SUM(N134:Q134)</f>
        <v>0</v>
      </c>
      <c r="S134" s="25" t="n"/>
      <c r="T134" s="25" t="n"/>
      <c r="U134" s="25" t="n"/>
      <c r="V134" s="25" t="n"/>
      <c r="W134" s="3">
        <f>SUM(S134:V134)</f>
        <v>0</v>
      </c>
      <c r="X134" s="25" t="n"/>
      <c r="Y134" s="25" t="n"/>
      <c r="Z134" s="25" t="n"/>
      <c r="AA134" s="25" t="n"/>
      <c r="AB134" s="3">
        <f>SUM(X134:AA134)</f>
        <v>0</v>
      </c>
      <c r="AC134" s="25" t="n"/>
      <c r="AD134" s="25" t="n"/>
      <c r="AE134" s="25" t="n"/>
      <c r="AF134" s="25" t="n"/>
      <c r="AG134" s="3">
        <f>SUM(AC134:AF134)</f>
        <v>0</v>
      </c>
      <c r="AH134" s="3">
        <f>AC134*(1+AH162)</f>
        <v>0</v>
      </c>
      <c r="AI134" s="3">
        <f>AD134*(1+AI162)</f>
        <v>0</v>
      </c>
      <c r="AJ134" s="3">
        <f>AE134*(1+AJ162)</f>
        <v>0</v>
      </c>
      <c r="AK134" s="3">
        <f>AF134*(1+AK162)</f>
        <v>0</v>
      </c>
      <c r="AL134" s="3">
        <f>SUM(AH134:AK134)</f>
        <v>0</v>
      </c>
      <c r="AM134" s="3">
        <f>AH134*(1+AM162)</f>
        <v>0</v>
      </c>
      <c r="AN134" s="3">
        <f>AI134*(1+AN162)</f>
        <v>0</v>
      </c>
      <c r="AO134" s="3">
        <f>AJ134*(1+AO162)</f>
        <v>0</v>
      </c>
      <c r="AP134" s="3">
        <f>AK134*(1+AP162)</f>
        <v>0</v>
      </c>
      <c r="AQ134" s="3">
        <f>SUM(AM134:AP134)</f>
        <v>0</v>
      </c>
      <c r="AR134" s="3">
        <f>AM134*(1+AR162)</f>
        <v>0</v>
      </c>
      <c r="AS134" s="3">
        <f>AN134*(1+AS162)</f>
        <v>0</v>
      </c>
      <c r="AT134" s="3">
        <f>AO134*(1+AT162)</f>
        <v>0</v>
      </c>
      <c r="AU134" s="3">
        <f>AP134*(1+AU162)</f>
        <v>0</v>
      </c>
      <c r="AV134" s="3">
        <f>SUM(AR134:AU134)</f>
        <v>0</v>
      </c>
      <c r="AW134" s="3">
        <f>AR134*(1+AW162)</f>
        <v>0</v>
      </c>
      <c r="AX134" s="3">
        <f>AS134*(1+AX162)</f>
        <v>0</v>
      </c>
      <c r="AY134" s="3">
        <f>AT134*(1+AY162)</f>
        <v>0</v>
      </c>
      <c r="AZ134" s="3">
        <f>AU134*(1+AZ162)</f>
        <v>0</v>
      </c>
      <c r="BA134" s="3">
        <f>SUM(AW134:AZ134)</f>
        <v>0</v>
      </c>
      <c r="BB134" s="3">
        <f>AW134*(1+BB162)</f>
        <v>0</v>
      </c>
      <c r="BC134" s="3">
        <f>AX134*(1+BC162)</f>
        <v>0</v>
      </c>
      <c r="BD134" s="3">
        <f>AY134*(1+BD162)</f>
        <v>0</v>
      </c>
      <c r="BE134" s="3">
        <f>AZ134*(1+BE162)</f>
        <v>0</v>
      </c>
      <c r="BF134" s="3">
        <f>SUM(BB134:BE134)</f>
        <v>0</v>
      </c>
      <c r="BG134" s="3">
        <f>BB134*(1+BG162)</f>
        <v>0</v>
      </c>
      <c r="BH134" s="3">
        <f>BC134*(1+BH162)</f>
        <v>0</v>
      </c>
      <c r="BI134" s="3">
        <f>BD134*(1+BI162)</f>
        <v>0</v>
      </c>
      <c r="BJ134" s="3">
        <f>BE134*(1+BJ162)</f>
        <v>0</v>
      </c>
      <c r="BK134" s="3">
        <f>SUM(BG134:BJ134)</f>
        <v>0</v>
      </c>
      <c r="BL134" s="3">
        <f>BG134*(1+BL162)</f>
        <v>0</v>
      </c>
      <c r="BM134" s="3">
        <f>BH134*(1+BM162)</f>
        <v>0</v>
      </c>
      <c r="BN134" s="3">
        <f>BI134*(1+BN162)</f>
        <v>0</v>
      </c>
      <c r="BO134" s="3">
        <f>BJ134*(1+BO162)</f>
        <v>0</v>
      </c>
      <c r="BP134" s="3">
        <f>SUM(BL134:BO134)</f>
        <v>0</v>
      </c>
      <c r="BQ134" s="3">
        <f>BL134*(1+BQ162)</f>
        <v>0</v>
      </c>
      <c r="BR134" s="3">
        <f>BM134*(1+BR162)</f>
        <v>0</v>
      </c>
      <c r="BS134" s="3">
        <f>BN134*(1+BS162)</f>
        <v>0</v>
      </c>
      <c r="BT134" s="3">
        <f>BO134*(1+BT162)</f>
        <v>0</v>
      </c>
      <c r="BU134" s="3">
        <f>SUM(BQ134:BT134)</f>
        <v>0</v>
      </c>
      <c r="BV134" s="3">
        <f>BQ134*(1+BV162)</f>
        <v>0</v>
      </c>
      <c r="BW134" s="3">
        <f>BR134*(1+BW162)</f>
        <v>0</v>
      </c>
      <c r="BX134" s="3">
        <f>BS134*(1+BX162)</f>
        <v>0</v>
      </c>
      <c r="BY134" s="3">
        <f>BT134*(1+BY162)</f>
        <v>0</v>
      </c>
      <c r="BZ134" s="3">
        <f>SUM(BV134:BY134)</f>
        <v>0</v>
      </c>
      <c r="CA134" s="3">
        <f>BV134*(1+CA162)</f>
        <v>0</v>
      </c>
      <c r="CB134" s="3">
        <f>BW134*(1+CB162)</f>
        <v>0</v>
      </c>
      <c r="CC134" s="3">
        <f>BX134*(1+CC162)</f>
        <v>0</v>
      </c>
      <c r="CD134" s="3">
        <f>BY134*(1+CD162)</f>
        <v>0</v>
      </c>
      <c r="CE134" s="3">
        <f>SUM(CA134:CD134)</f>
        <v>0</v>
      </c>
      <c r="CF134" s="3">
        <f>CA134*(1+CF162)</f>
        <v>0</v>
      </c>
      <c r="CG134" s="3">
        <f>CB134*(1+CG162)</f>
        <v>0</v>
      </c>
      <c r="CH134" s="3">
        <f>CC134*(1+CH162)</f>
        <v>0</v>
      </c>
      <c r="CI134" s="3">
        <f>CD134*(1+CI162)</f>
        <v>0</v>
      </c>
      <c r="CJ134" s="3">
        <f>SUM(CF134:CI134)</f>
        <v>0</v>
      </c>
      <c r="CK134" s="3">
        <f>CF134*(1+CK162)</f>
        <v>0</v>
      </c>
      <c r="CL134" s="3">
        <f>CG134*(1+CL162)</f>
        <v>0</v>
      </c>
      <c r="CM134" s="3">
        <f>CH134*(1+CM162)</f>
        <v>0</v>
      </c>
      <c r="CN134" s="3">
        <f>CI134*(1+CN162)</f>
        <v>0</v>
      </c>
      <c r="CO134" s="3">
        <f>SUM(CK134:CN134)</f>
        <v>0</v>
      </c>
      <c r="CP134" s="3">
        <f>CK134*(1+CP162)</f>
        <v>0</v>
      </c>
      <c r="CQ134" s="3">
        <f>CL134*(1+CQ162)</f>
        <v>0</v>
      </c>
      <c r="CR134" s="3">
        <f>CM134*(1+CR162)</f>
        <v>0</v>
      </c>
      <c r="CS134" s="3">
        <f>CN134*(1+CS162)</f>
        <v>0</v>
      </c>
      <c r="CT134" s="3">
        <f>SUM(CP134:CS134)</f>
        <v>0</v>
      </c>
      <c r="CU134" s="3">
        <f>CP134*(1+CU162)</f>
        <v>0</v>
      </c>
      <c r="CV134" s="3">
        <f>CQ134*(1+CV162)</f>
        <v>0</v>
      </c>
      <c r="CW134" s="3">
        <f>CR134*(1+CW162)</f>
        <v>0</v>
      </c>
      <c r="CX134" s="3">
        <f>CS134*(1+CX162)</f>
        <v>0</v>
      </c>
      <c r="CY134" s="3">
        <f>SUM(CU134:CX134)</f>
        <v>0</v>
      </c>
    </row>
    <row r="135">
      <c r="C135" s="26" t="inlineStr">
        <is>
          <t>Minority Interest Expense, after tax (enter as - )</t>
        </is>
      </c>
      <c r="D135" s="25" t="n"/>
      <c r="E135" s="25" t="n"/>
      <c r="F135" s="25" t="n"/>
      <c r="G135" s="25" t="n"/>
      <c r="H135" s="3">
        <f>SUM(D135:G135)</f>
        <v>0</v>
      </c>
      <c r="I135" s="25" t="n"/>
      <c r="J135" s="25" t="n"/>
      <c r="K135" s="25" t="n"/>
      <c r="L135" s="25" t="n"/>
      <c r="M135" s="3">
        <f>SUM(I135:L135)</f>
        <v>0</v>
      </c>
      <c r="N135" s="25" t="n"/>
      <c r="O135" s="25" t="n"/>
      <c r="P135" s="25" t="n"/>
      <c r="Q135" s="25" t="n"/>
      <c r="R135" s="3">
        <f>SUM(N135:Q135)</f>
        <v>0</v>
      </c>
      <c r="S135" s="25" t="n"/>
      <c r="T135" s="25" t="n"/>
      <c r="U135" s="25" t="n"/>
      <c r="V135" s="25" t="n"/>
      <c r="W135" s="3">
        <f>SUM(S135:V135)</f>
        <v>0</v>
      </c>
      <c r="X135" s="25" t="n"/>
      <c r="Y135" s="25" t="n"/>
      <c r="Z135" s="25" t="n"/>
      <c r="AA135" s="25" t="n"/>
      <c r="AB135" s="3">
        <f>SUM(X135:AA135)</f>
        <v>0</v>
      </c>
      <c r="AC135" s="25" t="n"/>
      <c r="AD135" s="25" t="n"/>
      <c r="AE135" s="25" t="n"/>
      <c r="AF135" s="25" t="n"/>
      <c r="AG135" s="3">
        <f>SUM(AC135:AF135)</f>
        <v>0</v>
      </c>
      <c r="AH135" s="3">
        <f>AC135*(1+AH249)</f>
        <v>0</v>
      </c>
      <c r="AI135" s="3">
        <f>AD135*(1+AI249)</f>
        <v>0</v>
      </c>
      <c r="AJ135" s="3">
        <f>AE135*(1+AJ249)</f>
        <v>0</v>
      </c>
      <c r="AK135" s="3">
        <f>AF135*(1+AK249)</f>
        <v>0</v>
      </c>
      <c r="AL135" s="3">
        <f>SUM(AH135:AK135)</f>
        <v>0</v>
      </c>
      <c r="AM135" s="3">
        <f>AH135*(1+AM249)</f>
        <v>0</v>
      </c>
      <c r="AN135" s="3">
        <f>AI135*(1+AN249)</f>
        <v>0</v>
      </c>
      <c r="AO135" s="3">
        <f>AJ135*(1+AO249)</f>
        <v>0</v>
      </c>
      <c r="AP135" s="3">
        <f>AK135*(1+AP249)</f>
        <v>0</v>
      </c>
      <c r="AQ135" s="3">
        <f>SUM(AM135:AP135)</f>
        <v>0</v>
      </c>
      <c r="AR135" s="3">
        <f>AM135*(1+AR249)</f>
        <v>0</v>
      </c>
      <c r="AS135" s="3">
        <f>AN135*(1+AS249)</f>
        <v>0</v>
      </c>
      <c r="AT135" s="3">
        <f>AO135*(1+AT249)</f>
        <v>0</v>
      </c>
      <c r="AU135" s="3">
        <f>AP135*(1+AU249)</f>
        <v>0</v>
      </c>
      <c r="AV135" s="3">
        <f>SUM(AR135:AU135)</f>
        <v>0</v>
      </c>
      <c r="AW135" s="3">
        <f>AR135*(1+AW249)</f>
        <v>0</v>
      </c>
      <c r="AX135" s="3">
        <f>AS135*(1+AX249)</f>
        <v>0</v>
      </c>
      <c r="AY135" s="3">
        <f>AT135*(1+AY249)</f>
        <v>0</v>
      </c>
      <c r="AZ135" s="3">
        <f>AU135*(1+AZ249)</f>
        <v>0</v>
      </c>
      <c r="BA135" s="3">
        <f>SUM(AW135:AZ135)</f>
        <v>0</v>
      </c>
      <c r="BB135" s="3">
        <f>AW135*(1+BB249)</f>
        <v>0</v>
      </c>
      <c r="BC135" s="3">
        <f>AX135*(1+BC249)</f>
        <v>0</v>
      </c>
      <c r="BD135" s="3">
        <f>AY135*(1+BD249)</f>
        <v>0</v>
      </c>
      <c r="BE135" s="3">
        <f>AZ135*(1+BE249)</f>
        <v>0</v>
      </c>
      <c r="BF135" s="3">
        <f>SUM(BB135:BE135)</f>
        <v>0</v>
      </c>
      <c r="BG135" s="3">
        <f>BB135*(1+BG249)</f>
        <v>0</v>
      </c>
      <c r="BH135" s="3">
        <f>BC135*(1+BH249)</f>
        <v>0</v>
      </c>
      <c r="BI135" s="3">
        <f>BD135*(1+BI249)</f>
        <v>0</v>
      </c>
      <c r="BJ135" s="3">
        <f>BE135*(1+BJ249)</f>
        <v>0</v>
      </c>
      <c r="BK135" s="3">
        <f>SUM(BG135:BJ135)</f>
        <v>0</v>
      </c>
      <c r="BL135" s="3">
        <f>BG135*(1+BL249)</f>
        <v>0</v>
      </c>
      <c r="BM135" s="3">
        <f>BH135*(1+BM249)</f>
        <v>0</v>
      </c>
      <c r="BN135" s="3">
        <f>BI135*(1+BN249)</f>
        <v>0</v>
      </c>
      <c r="BO135" s="3">
        <f>BJ135*(1+BO249)</f>
        <v>0</v>
      </c>
      <c r="BP135" s="3">
        <f>SUM(BL135:BO135)</f>
        <v>0</v>
      </c>
      <c r="BQ135" s="3">
        <f>BL135*(1+BQ249)</f>
        <v>0</v>
      </c>
      <c r="BR135" s="3">
        <f>BM135*(1+BR249)</f>
        <v>0</v>
      </c>
      <c r="BS135" s="3">
        <f>BN135*(1+BS249)</f>
        <v>0</v>
      </c>
      <c r="BT135" s="3">
        <f>BO135*(1+BT249)</f>
        <v>0</v>
      </c>
      <c r="BU135" s="3">
        <f>SUM(BQ135:BT135)</f>
        <v>0</v>
      </c>
      <c r="BV135" s="3">
        <f>BQ135*(1+BV249)</f>
        <v>0</v>
      </c>
      <c r="BW135" s="3">
        <f>BR135*(1+BW249)</f>
        <v>0</v>
      </c>
      <c r="BX135" s="3">
        <f>BS135*(1+BX249)</f>
        <v>0</v>
      </c>
      <c r="BY135" s="3">
        <f>BT135*(1+BY249)</f>
        <v>0</v>
      </c>
      <c r="BZ135" s="3">
        <f>SUM(BV135:BY135)</f>
        <v>0</v>
      </c>
      <c r="CA135" s="3">
        <f>BV135*(1+CA249)</f>
        <v>0</v>
      </c>
      <c r="CB135" s="3">
        <f>BW135*(1+CB249)</f>
        <v>0</v>
      </c>
      <c r="CC135" s="3">
        <f>BX135*(1+CC249)</f>
        <v>0</v>
      </c>
      <c r="CD135" s="3">
        <f>BY135*(1+CD249)</f>
        <v>0</v>
      </c>
      <c r="CE135" s="3">
        <f>SUM(CA135:CD135)</f>
        <v>0</v>
      </c>
      <c r="CF135" s="3">
        <f>CA135*(1+CF249)</f>
        <v>0</v>
      </c>
      <c r="CG135" s="3">
        <f>CB135*(1+CG249)</f>
        <v>0</v>
      </c>
      <c r="CH135" s="3">
        <f>CC135*(1+CH249)</f>
        <v>0</v>
      </c>
      <c r="CI135" s="3">
        <f>CD135*(1+CI249)</f>
        <v>0</v>
      </c>
      <c r="CJ135" s="3">
        <f>SUM(CF135:CI135)</f>
        <v>0</v>
      </c>
      <c r="CK135" s="3">
        <f>CF135*(1+CK249)</f>
        <v>0</v>
      </c>
      <c r="CL135" s="3">
        <f>CG135*(1+CL249)</f>
        <v>0</v>
      </c>
      <c r="CM135" s="3">
        <f>CH135*(1+CM249)</f>
        <v>0</v>
      </c>
      <c r="CN135" s="3">
        <f>CI135*(1+CN249)</f>
        <v>0</v>
      </c>
      <c r="CO135" s="3">
        <f>SUM(CK135:CN135)</f>
        <v>0</v>
      </c>
      <c r="CP135" s="3">
        <f>CK135*(1+CP249)</f>
        <v>0</v>
      </c>
      <c r="CQ135" s="3">
        <f>CL135*(1+CQ249)</f>
        <v>0</v>
      </c>
      <c r="CR135" s="3">
        <f>CM135*(1+CR249)</f>
        <v>0</v>
      </c>
      <c r="CS135" s="3">
        <f>CN135*(1+CS249)</f>
        <v>0</v>
      </c>
      <c r="CT135" s="3">
        <f>SUM(CP135:CS135)</f>
        <v>0</v>
      </c>
      <c r="CU135" s="3">
        <f>CP135*(1+CU249)</f>
        <v>0</v>
      </c>
      <c r="CV135" s="3">
        <f>CQ135*(1+CV249)</f>
        <v>0</v>
      </c>
      <c r="CW135" s="3">
        <f>CR135*(1+CW249)</f>
        <v>0</v>
      </c>
      <c r="CX135" s="3">
        <f>CS135*(1+CX249)</f>
        <v>0</v>
      </c>
      <c r="CY135" s="3">
        <f>SUM(CU135:CX135)</f>
        <v>0</v>
      </c>
    </row>
    <row r="136" customFormat="1" s="17">
      <c r="A136" s="13" t="n"/>
      <c r="B136" s="1" t="n"/>
      <c r="C136" s="14" t="inlineStr">
        <is>
          <t>Net Income</t>
        </is>
      </c>
      <c r="D136" s="16">
        <f>SUM(D129,D130,D134,D135)</f>
        <v>917</v>
      </c>
      <c r="E136" s="16">
        <f>SUM(E129,E130,E134,E135)</f>
        <v>622</v>
      </c>
      <c r="F136" s="16">
        <f>SUM(F129,F130,F134,F135)</f>
        <v>1336</v>
      </c>
      <c r="G136" s="16">
        <f>SUM(G129,G130,G134,G135)</f>
        <v>1457</v>
      </c>
      <c r="H136" s="16">
        <f>SUM(D136:G136)</f>
        <v>4332</v>
      </c>
      <c r="I136" s="16">
        <f>SUM(I129,I130,I134,I135)</f>
        <v>1912</v>
      </c>
      <c r="J136" s="16">
        <f>SUM(J129,J130,J134,J135)</f>
        <v>2374</v>
      </c>
      <c r="K136" s="16">
        <f>SUM(K129,K130,K134,K135)</f>
        <v>2464</v>
      </c>
      <c r="L136" s="16">
        <f>SUM(L129,L130,L134,L135)</f>
        <v>3003</v>
      </c>
      <c r="M136" s="16">
        <f>SUM(I136:L136)</f>
        <v>9753</v>
      </c>
      <c r="N136" s="16">
        <f>SUM(N129,N130,N134,N135)</f>
        <v>1618</v>
      </c>
      <c r="O136" s="16">
        <f>SUM(O129,O130,O134,O135)</f>
        <v>656</v>
      </c>
      <c r="P136" s="16">
        <f>SUM(P129,P130,P134,P135)</f>
        <v>680</v>
      </c>
      <c r="Q136" s="16">
        <f>SUM(Q129,Q130,Q134,Q135)</f>
        <v>1414</v>
      </c>
      <c r="R136" s="16">
        <f>SUM(N136:Q136)</f>
        <v>4368</v>
      </c>
      <c r="S136" s="16">
        <f>SUM(S129,S130,S134,S135)</f>
        <v>2043</v>
      </c>
      <c r="T136" s="16">
        <f>SUM(T129,T130,T134,T135)</f>
        <v>6188</v>
      </c>
      <c r="U136" s="16">
        <f>SUM(U129,U130,U134,U135)</f>
        <v>9243</v>
      </c>
      <c r="V136" s="16">
        <f>SUM(V129,V130,V134,V135)</f>
        <v>12285</v>
      </c>
      <c r="W136" s="16">
        <f>SUM(S136:V136)</f>
        <v>29759</v>
      </c>
      <c r="X136" s="16">
        <f>SUM(X129,X130,X134,X135)</f>
        <v>14881</v>
      </c>
      <c r="Y136" s="16">
        <f>SUM(Y129,Y130,Y134,Y135)</f>
        <v>16599</v>
      </c>
      <c r="Z136" s="16">
        <f>SUM(Z129,Z130,Z134,Z135)</f>
        <v>19309</v>
      </c>
      <c r="AA136" s="16">
        <f>SUM(AA129,AA130,AA134,AA135)</f>
        <v>22091</v>
      </c>
      <c r="AB136" s="16">
        <f>SUM(X136:AA136)</f>
        <v>72880</v>
      </c>
      <c r="AC136" s="16">
        <f>SUM(AC129,AC130,AC134,AC135)</f>
        <v>18775</v>
      </c>
      <c r="AD136" s="16">
        <f>SUM(AD129,AD130,AD134,AD135)</f>
        <v>26422</v>
      </c>
      <c r="AE136" s="16">
        <f>SUM(AE129,AE130,AE134,AE135)</f>
        <v>31910</v>
      </c>
      <c r="AF136" s="16">
        <f>SUM(AF129,AF130,AF134,AF135)</f>
        <v>42960</v>
      </c>
      <c r="AG136" s="16">
        <f>SUM(AC136:AF136)</f>
        <v>120067</v>
      </c>
      <c r="AH136" s="16">
        <f>SUM(AH129,AH130,AH134,AH135)</f>
        <v>58321</v>
      </c>
      <c r="AI136" s="16">
        <f>SUM(AI129,AI130,AI134,AI135)</f>
        <v>59688</v>
      </c>
      <c r="AJ136" s="16">
        <f>SUM(AJ129,AJ130,AJ134,AJ135)</f>
        <v>16469</v>
      </c>
      <c r="AK136" s="16">
        <f>SUM(AK129,AK130,AK134,AK135)</f>
        <v>8000</v>
      </c>
      <c r="AL136" s="16">
        <f>SUM(AH136:AK136)</f>
        <v>142478</v>
      </c>
      <c r="AM136" s="16">
        <f>SUM(AM129,AM130,AM134,AM135)</f>
        <v>8000</v>
      </c>
      <c r="AN136" s="16">
        <f>SUM(AN129,AN130,AN134,AN135)</f>
        <v>48938</v>
      </c>
      <c r="AO136" s="16">
        <f>SUM(AO129,AO130,AO134,AO135)</f>
        <v>8000</v>
      </c>
      <c r="AP136" s="16">
        <f>SUM(AP129,AP130,AP134,AP135)</f>
        <v>48938</v>
      </c>
      <c r="AQ136" s="16">
        <f>SUM(AM136:AP136)</f>
        <v>113876</v>
      </c>
      <c r="AR136" s="16">
        <f>SUM(AR129,AR130,AR134,AR135)</f>
        <v>48938</v>
      </c>
      <c r="AS136" s="16">
        <f>SUM(AS129,AS130,AS134,AS135)</f>
        <v>113876</v>
      </c>
      <c r="AT136" s="16">
        <f>SUM(AT129,AT130,AT134,AT135)</f>
        <v>48938</v>
      </c>
      <c r="AU136" s="16">
        <f>SUM(AU129,AU130,AU134,AU135)</f>
        <v>113876</v>
      </c>
      <c r="AV136" s="16">
        <f>SUM(AR136:AU136)</f>
        <v>325628</v>
      </c>
      <c r="AW136" s="16">
        <f>SUM(AW129,AW130,AW134,AW135)</f>
        <v>113876</v>
      </c>
      <c r="AX136" s="16">
        <f>SUM(AX129,AX130,AX134,AX135)</f>
        <v>325628</v>
      </c>
      <c r="AY136" s="16">
        <f>SUM(AY129,AY130,AY134,AY135)</f>
        <v>113876</v>
      </c>
      <c r="AZ136" s="16">
        <f>SUM(AZ129,AZ130,AZ134,AZ135)</f>
        <v>325628</v>
      </c>
      <c r="BA136" s="16">
        <f>SUM(AW136:AZ136)</f>
        <v>879008</v>
      </c>
      <c r="BB136" s="16">
        <f>SUM(BB129,BB130,BB134,BB135)</f>
        <v>325628</v>
      </c>
      <c r="BC136" s="16">
        <f>SUM(BC129,BC130,BC134,BC135)</f>
        <v>879008</v>
      </c>
      <c r="BD136" s="16">
        <f>SUM(BD129,BD130,BD134,BD135)</f>
        <v>325628</v>
      </c>
      <c r="BE136" s="16">
        <f>SUM(BE129,BE130,BE134,BE135)</f>
        <v>879008</v>
      </c>
      <c r="BF136" s="16">
        <f>SUM(BB136:BE136)</f>
        <v>2409272</v>
      </c>
      <c r="BG136" s="16">
        <f>SUM(BG129,BG130,BG134,BG135)</f>
        <v>879008</v>
      </c>
      <c r="BH136" s="16">
        <f>SUM(BH129,BH130,BH134,BH135)</f>
        <v>2409272</v>
      </c>
      <c r="BI136" s="16">
        <f>SUM(BI129,BI130,BI134,BI135)</f>
        <v>879008</v>
      </c>
      <c r="BJ136" s="16">
        <f>SUM(BJ129,BJ130,BJ134,BJ135)</f>
        <v>2409272</v>
      </c>
      <c r="BK136" s="16">
        <f>SUM(BG136:BJ136)</f>
        <v>6576560</v>
      </c>
      <c r="BL136" s="16">
        <f>SUM(BL129,BL130,BL134,BL135)</f>
        <v>2409272</v>
      </c>
      <c r="BM136" s="16">
        <f>SUM(BM129,BM130,BM134,BM135)</f>
        <v>6576560</v>
      </c>
      <c r="BN136" s="16">
        <f>SUM(BN129,BN130,BN134,BN135)</f>
        <v>2409272</v>
      </c>
      <c r="BO136" s="16">
        <f>SUM(BO129,BO130,BO134,BO135)</f>
        <v>6576560</v>
      </c>
      <c r="BP136" s="16">
        <f>SUM(BL136:BO136)</f>
        <v>17971664</v>
      </c>
      <c r="BQ136" s="16">
        <f>SUM(BQ129,BQ130,BQ134,BQ135)</f>
        <v>6576560</v>
      </c>
      <c r="BR136" s="16">
        <f>SUM(BR129,BR130,BR134,BR135)</f>
        <v>17971664</v>
      </c>
      <c r="BS136" s="16">
        <f>SUM(BS129,BS130,BS134,BS135)</f>
        <v>6576560</v>
      </c>
      <c r="BT136" s="16">
        <f>SUM(BT129,BT130,BT134,BT135)</f>
        <v>17971664</v>
      </c>
      <c r="BU136" s="16">
        <f>SUM(BQ136:BT136)</f>
        <v>49096448</v>
      </c>
      <c r="BV136" s="16">
        <f>SUM(BV129,BV130,BV134,BV135)</f>
        <v>17971664</v>
      </c>
      <c r="BW136" s="16">
        <f>SUM(BW129,BW130,BW134,BW135)</f>
        <v>49096448</v>
      </c>
      <c r="BX136" s="16">
        <f>SUM(BX129,BX130,BX134,BX135)</f>
        <v>17971664</v>
      </c>
      <c r="BY136" s="16">
        <f>SUM(BY129,BY130,BY134,BY135)</f>
        <v>49096448</v>
      </c>
      <c r="BZ136" s="16">
        <f>SUM(BV136:BY136)</f>
        <v>134136224</v>
      </c>
      <c r="CA136" s="16">
        <f>SUM(CA129,CA130,CA134,CA135)</f>
        <v>49096448</v>
      </c>
      <c r="CB136" s="16">
        <f>SUM(CB129,CB130,CB134,CB135)</f>
        <v>134136224</v>
      </c>
      <c r="CC136" s="16">
        <f>SUM(CC129,CC130,CC134,CC135)</f>
        <v>49096448</v>
      </c>
      <c r="CD136" s="16">
        <f>SUM(CD129,CD130,CD134,CD135)</f>
        <v>134136224</v>
      </c>
      <c r="CE136" s="16">
        <f>SUM(CA136:CD136)</f>
        <v>366465344</v>
      </c>
      <c r="CF136" s="16">
        <f>SUM(CF129,CF130,CF134,CF135)</f>
        <v>134136224</v>
      </c>
      <c r="CG136" s="16">
        <f>SUM(CG129,CG130,CG134,CG135)</f>
        <v>366465344</v>
      </c>
      <c r="CH136" s="16">
        <f>SUM(CH129,CH130,CH134,CH135)</f>
        <v>134136224</v>
      </c>
      <c r="CI136" s="16">
        <f>SUM(CI129,CI130,CI134,CI135)</f>
        <v>366465344</v>
      </c>
      <c r="CJ136" s="16">
        <f>SUM(CF136:CI136)</f>
        <v>1001203136</v>
      </c>
      <c r="CK136" s="16">
        <f>SUM(CK129,CK130,CK134,CK135)</f>
        <v>366465344</v>
      </c>
      <c r="CL136" s="16">
        <f>SUM(CL129,CL130,CL134,CL135)</f>
        <v>1001203136</v>
      </c>
      <c r="CM136" s="16">
        <f>SUM(CM129,CM130,CM134,CM135)</f>
        <v>366465344</v>
      </c>
      <c r="CN136" s="16">
        <f>SUM(CN129,CN130,CN134,CN135)</f>
        <v>1001203136</v>
      </c>
      <c r="CO136" s="16">
        <f>SUM(CK136:CN136)</f>
        <v>2735336960</v>
      </c>
      <c r="CP136" s="16">
        <f>SUM(CP129,CP130,CP134,CP135)</f>
        <v>1001203136</v>
      </c>
      <c r="CQ136" s="16">
        <f>SUM(CQ129,CQ130,CQ134,CQ135)</f>
        <v>2735336960</v>
      </c>
      <c r="CR136" s="16">
        <f>SUM(CR129,CR130,CR134,CR135)</f>
        <v>1001203136</v>
      </c>
      <c r="CS136" s="16">
        <f>SUM(CS129,CS130,CS134,CS135)</f>
        <v>2735336960</v>
      </c>
      <c r="CT136" s="16">
        <f>SUM(CP136:CS136)</f>
        <v>7473080192</v>
      </c>
      <c r="CU136" s="16">
        <f>SUM(CU129,CU130,CU134,CU135)</f>
        <v>2735336960</v>
      </c>
      <c r="CV136" s="16">
        <f>SUM(CV129,CV130,CV134,CV135)</f>
        <v>7473080192</v>
      </c>
      <c r="CW136" s="16">
        <f>SUM(CW129,CW130,CW134,CW135)</f>
        <v>2735336960</v>
      </c>
      <c r="CX136" s="16">
        <f>SUM(CX129,CX130,CX134,CX135)</f>
        <v>7473080192</v>
      </c>
      <c r="CY136" s="16">
        <f>SUM(CU136:CX136)</f>
        <v>20416834304</v>
      </c>
    </row>
    <row r="137">
      <c r="C137" s="24" t="inlineStr">
        <is>
          <t>Common Dividends</t>
        </is>
      </c>
      <c r="D137" s="25">
        <f>INDEX('Inputs (2)'!$D$13:$AL$13,MATCH(D$7,'Inputs (2)'!$D$2:$AL$2,0))</f>
        <v>-98</v>
      </c>
      <c r="E137" s="25">
        <f>INDEX('Inputs (2)'!$D$13:$AL$13,MATCH(E$7,'Inputs (2)'!$D$2:$AL$2,0))</f>
        <v>-99</v>
      </c>
      <c r="F137" s="25">
        <f>INDEX('Inputs (2)'!$D$13:$AL$13,MATCH(F$7,'Inputs (2)'!$D$2:$AL$2,0))</f>
        <v>-99</v>
      </c>
      <c r="G137" s="25">
        <f>INDEX('Inputs (2)'!$D$13:$AL$13,MATCH(G$7,'Inputs (2)'!$D$2:$AL$2,0))</f>
        <v>-99</v>
      </c>
      <c r="H137" s="3">
        <f>SUM(D137:G137)</f>
        <v>-395</v>
      </c>
      <c r="I137" s="25">
        <f>INDEX('Inputs (2)'!$D$13:$AL$13,MATCH(I$7,'Inputs (2)'!$D$2:$AL$2,0))</f>
        <v>-99</v>
      </c>
      <c r="J137" s="25">
        <f>INDEX('Inputs (2)'!$D$13:$AL$13,MATCH(J$7,'Inputs (2)'!$D$2:$AL$2,0))</f>
        <v>-99</v>
      </c>
      <c r="K137" s="25">
        <f>INDEX('Inputs (2)'!$D$13:$AL$13,MATCH(K$7,'Inputs (2)'!$D$2:$AL$2,0))</f>
        <v>-100</v>
      </c>
      <c r="L137" s="25">
        <f>INDEX('Inputs (2)'!$D$13:$AL$13,MATCH(L$7,'Inputs (2)'!$D$2:$AL$2,0))</f>
        <v>-101</v>
      </c>
      <c r="M137" s="3">
        <f>SUM(I137:L137)</f>
        <v>-399</v>
      </c>
      <c r="N137" s="25">
        <f>INDEX('Inputs (2)'!$D$13:$AL$13,MATCH(N$7,'Inputs (2)'!$D$2:$AL$2,0))</f>
        <v>-100</v>
      </c>
      <c r="O137" s="25">
        <f>INDEX('Inputs (2)'!$D$13:$AL$13,MATCH(O$7,'Inputs (2)'!$D$2:$AL$2,0))</f>
        <v>-100</v>
      </c>
      <c r="P137" s="25">
        <f>INDEX('Inputs (2)'!$D$13:$AL$13,MATCH(P$7,'Inputs (2)'!$D$2:$AL$2,0))</f>
        <v>-100</v>
      </c>
      <c r="Q137" s="25">
        <f>INDEX('Inputs (2)'!$D$13:$AL$13,MATCH(Q$7,'Inputs (2)'!$D$2:$AL$2,0))</f>
        <v>-98</v>
      </c>
      <c r="R137" s="3">
        <f>SUM(N137:Q137)</f>
        <v>-398</v>
      </c>
      <c r="S137" s="25">
        <f>INDEX('Inputs (2)'!$D$13:$AL$13,MATCH(S$7,'Inputs (2)'!$D$2:$AL$2,0))</f>
        <v>-99</v>
      </c>
      <c r="T137" s="25">
        <f>INDEX('Inputs (2)'!$D$13:$AL$13,MATCH(T$7,'Inputs (2)'!$D$2:$AL$2,0))</f>
        <v>-100</v>
      </c>
      <c r="U137" s="25">
        <f>INDEX('Inputs (2)'!$D$13:$AL$13,MATCH(U$7,'Inputs (2)'!$D$2:$AL$2,0))</f>
        <v>-97</v>
      </c>
      <c r="V137" s="25">
        <f>INDEX('Inputs (2)'!$D$13:$AL$13,MATCH(V$7,'Inputs (2)'!$D$2:$AL$2,0))</f>
        <v>-99</v>
      </c>
      <c r="W137" s="3">
        <f>SUM(S137:V137)</f>
        <v>-395</v>
      </c>
      <c r="X137" s="25">
        <f>INDEX('Inputs (2)'!$D$13:$AL$13,MATCH(X$7,'Inputs (2)'!$D$2:$AL$2,0))</f>
        <v>-98</v>
      </c>
      <c r="Y137" s="25">
        <f>INDEX('Inputs (2)'!$D$13:$AL$13,MATCH(Y$7,'Inputs (2)'!$D$2:$AL$2,0))</f>
        <v>-246</v>
      </c>
      <c r="Z137" s="25">
        <f>INDEX('Inputs (2)'!$D$13:$AL$13,MATCH(Z$7,'Inputs (2)'!$D$2:$AL$2,0))</f>
        <v>-245</v>
      </c>
      <c r="AA137" s="25">
        <f>INDEX('Inputs (2)'!$D$13:$AL$13,MATCH(AA$7,'Inputs (2)'!$D$2:$AL$2,0))</f>
        <v>-245</v>
      </c>
      <c r="AB137" s="3">
        <f>SUM(X137:AA137)</f>
        <v>-834</v>
      </c>
      <c r="AC137" s="25">
        <f>INDEX('Inputs (2)'!$D$13:$AL$13,MATCH(AC$7,'Inputs (2)'!$D$2:$AL$2,0))</f>
        <v>-244</v>
      </c>
      <c r="AD137" s="25">
        <f>INDEX('Inputs (2)'!$D$13:$AL$13,MATCH(AD$7,'Inputs (2)'!$D$2:$AL$2,0))</f>
        <v>-244</v>
      </c>
      <c r="AE137" s="25">
        <f>INDEX('Inputs (2)'!$D$13:$AL$13,MATCH(AE$7,'Inputs (2)'!$D$2:$AL$2,0))</f>
        <v>-244</v>
      </c>
      <c r="AF137" s="25">
        <f>INDEX('Inputs (2)'!$D$13:$AL$13,MATCH(AF$7,'Inputs (2)'!$D$2:$AL$2,0))</f>
        <v>-242</v>
      </c>
      <c r="AG137" s="3">
        <f>SUM(AC137:AF137)</f>
        <v>-974</v>
      </c>
      <c r="AH137" s="3">
        <f>INDEX('Inputs (2)'!$D$13:$AL$13,MATCH(AH$7,'Inputs (2)'!$D$2:$AL$2,0))</f>
        <v>-243</v>
      </c>
      <c r="AI137" s="3">
        <f>INDEX('Inputs (2)'!$D$13:$AL$13,MATCH(AI$7,'Inputs (2)'!$D$2:$AL$2,0))</f>
        <v>-6047</v>
      </c>
      <c r="AJ137" s="3" t="n"/>
      <c r="AK137" s="3" t="n"/>
      <c r="AL137" s="3">
        <f>SUM(AH137:AK137)</f>
        <v>-6290</v>
      </c>
      <c r="AM137" s="3" t="n"/>
      <c r="AN137" s="3" t="n"/>
      <c r="AO137" s="3" t="n"/>
      <c r="AP137" s="3" t="n"/>
      <c r="AQ137" s="3">
        <f>SUM(AM137:AP137)</f>
        <v>0</v>
      </c>
      <c r="AR137" s="3" t="n"/>
      <c r="AS137" s="3" t="n"/>
      <c r="AT137" s="3" t="n"/>
      <c r="AU137" s="3" t="n"/>
      <c r="AV137" s="3">
        <f>SUM(AR137:AU137)</f>
        <v>0</v>
      </c>
      <c r="AW137" s="3" t="n"/>
      <c r="AX137" s="3" t="n"/>
      <c r="AY137" s="3" t="n"/>
      <c r="AZ137" s="3" t="n"/>
      <c r="BA137" s="3">
        <f>SUM(AW137:AZ137)</f>
        <v>0</v>
      </c>
      <c r="BB137" s="3" t="n"/>
      <c r="BC137" s="3" t="n"/>
      <c r="BD137" s="3" t="n"/>
      <c r="BE137" s="3" t="n"/>
      <c r="BF137" s="3">
        <f>SUM(BB137:BE137)</f>
        <v>0</v>
      </c>
      <c r="BG137" s="3" t="n"/>
      <c r="BH137" s="3" t="n"/>
      <c r="BI137" s="3" t="n"/>
      <c r="BJ137" s="3" t="n"/>
      <c r="BK137" s="3">
        <f>SUM(BG137:BJ137)</f>
        <v>0</v>
      </c>
      <c r="BL137" s="3" t="n"/>
      <c r="BM137" s="3" t="n"/>
      <c r="BN137" s="3" t="n"/>
      <c r="BO137" s="3" t="n"/>
      <c r="BP137" s="3">
        <f>SUM(BL137:BO137)</f>
        <v>0</v>
      </c>
      <c r="BQ137" s="3" t="n"/>
      <c r="BR137" s="3" t="n"/>
      <c r="BS137" s="3" t="n"/>
      <c r="BT137" s="3" t="n"/>
      <c r="BU137" s="3">
        <f>SUM(BQ137:BT137)</f>
        <v>0</v>
      </c>
      <c r="BV137" s="3" t="n"/>
      <c r="BW137" s="3" t="n"/>
      <c r="BX137" s="3" t="n"/>
      <c r="BY137" s="3" t="n"/>
      <c r="BZ137" s="3">
        <f>SUM(BV137:BY137)</f>
        <v>0</v>
      </c>
      <c r="CA137" s="3" t="n"/>
      <c r="CB137" s="3" t="n"/>
      <c r="CC137" s="3" t="n"/>
      <c r="CD137" s="3" t="n"/>
      <c r="CE137" s="3">
        <f>SUM(CA137:CD137)</f>
        <v>0</v>
      </c>
      <c r="CF137" s="3" t="n"/>
      <c r="CG137" s="3" t="n"/>
      <c r="CH137" s="3" t="n"/>
      <c r="CI137" s="3" t="n"/>
      <c r="CJ137" s="3">
        <f>SUM(CF137:CI137)</f>
        <v>0</v>
      </c>
      <c r="CK137" s="3" t="n"/>
      <c r="CL137" s="3" t="n"/>
      <c r="CM137" s="3" t="n"/>
      <c r="CN137" s="3" t="n"/>
      <c r="CO137" s="3">
        <f>SUM(CK137:CN137)</f>
        <v>0</v>
      </c>
      <c r="CP137" s="3" t="n"/>
      <c r="CQ137" s="3" t="n"/>
      <c r="CR137" s="3" t="n"/>
      <c r="CS137" s="3" t="n"/>
      <c r="CT137" s="3">
        <f>SUM(CP137:CS137)</f>
        <v>0</v>
      </c>
      <c r="CU137" s="3" t="n"/>
      <c r="CV137" s="3" t="n"/>
      <c r="CW137" s="3" t="n"/>
      <c r="CX137" s="3" t="n"/>
      <c r="CY137" s="3">
        <f>SUM(CU137:CX137)</f>
        <v>0</v>
      </c>
    </row>
    <row r="138" hidden="1" outlineLevel="1">
      <c r="C138" s="32" t="inlineStr">
        <is>
          <t>% DVD Payout</t>
        </is>
      </c>
      <c r="D138" s="40">
        <f>-D137/D136</f>
        <v>0.106870229007634</v>
      </c>
      <c r="E138" s="40">
        <f>-E137/E136</f>
        <v>0.159163987138264</v>
      </c>
      <c r="F138" s="40">
        <f>-F137/F136</f>
        <v>0.0741017964071856</v>
      </c>
      <c r="G138" s="40">
        <f>-G137/G136</f>
        <v>0.0679478380233356</v>
      </c>
      <c r="H138" s="40">
        <f>-H137/H136</f>
        <v>0.0911819021237304</v>
      </c>
      <c r="I138" s="40">
        <f>-I137/I136</f>
        <v>0.0517782426778243</v>
      </c>
      <c r="J138" s="40">
        <f>-J137/J136</f>
        <v>0.0417017691659646</v>
      </c>
      <c r="K138" s="40">
        <f>-K137/K136</f>
        <v>0.0405844155844156</v>
      </c>
      <c r="L138" s="40">
        <f>-L137/L136</f>
        <v>0.0336330336330336</v>
      </c>
      <c r="M138" s="40">
        <f>-M137/M136</f>
        <v>0.040910489080283</v>
      </c>
      <c r="N138" s="40">
        <f>-N137/N136</f>
        <v>0.0618046971569839</v>
      </c>
      <c r="O138" s="40">
        <f>-O137/O136</f>
        <v>0.152439024390244</v>
      </c>
      <c r="P138" s="40">
        <f>-P137/P136</f>
        <v>0.147058823529412</v>
      </c>
      <c r="Q138" s="40">
        <f>-Q137/Q136</f>
        <v>0.0693069306930693</v>
      </c>
      <c r="R138" s="40">
        <f>-R137/R136</f>
        <v>0.0911172161172161</v>
      </c>
      <c r="S138" s="40">
        <f>-S137/S136</f>
        <v>0.0484581497797357</v>
      </c>
      <c r="T138" s="40">
        <f>-T137/T136</f>
        <v>0.0161603102779573</v>
      </c>
      <c r="U138" s="40">
        <f>-U137/U136</f>
        <v>0.0104944282159472</v>
      </c>
      <c r="V138" s="40">
        <f>-V137/V136</f>
        <v>0.00805860805860806</v>
      </c>
      <c r="W138" s="40">
        <f>-W137/W136</f>
        <v>0.0132732954736382</v>
      </c>
      <c r="X138" s="40">
        <f>-X137/X136</f>
        <v>0.00658557892614744</v>
      </c>
      <c r="Y138" s="40">
        <f>-Y137/Y136</f>
        <v>0.0148201698897524</v>
      </c>
      <c r="Z138" s="40">
        <f>-Z137/Z136</f>
        <v>0.0126883836552903</v>
      </c>
      <c r="AA138" s="40">
        <f>-AA137/AA136</f>
        <v>0.01109048933955</v>
      </c>
      <c r="AB138" s="40">
        <f>-AB137/AB136</f>
        <v>0.011443468715697</v>
      </c>
      <c r="AC138" s="40">
        <f>-AC137/AC136</f>
        <v>0.0129960053262317</v>
      </c>
      <c r="AD138" s="40">
        <f>-AD137/AD136</f>
        <v>0.00923472863522822</v>
      </c>
      <c r="AE138" s="40">
        <f>-AE137/AE136</f>
        <v>0.00764650579755563</v>
      </c>
      <c r="AF138" s="44">
        <f>-AF137/AF136</f>
        <v>0.00563314711359404</v>
      </c>
      <c r="AG138" s="3" t="n"/>
      <c r="AH138" s="44">
        <f>-AH137/AH136</f>
        <v>0.00416659522299</v>
      </c>
      <c r="AI138" s="44">
        <f>-AI137/AI136</f>
        <v>0.101310146093017</v>
      </c>
      <c r="AJ138" s="44" t="n"/>
      <c r="AK138" s="44" t="n"/>
      <c r="AL138" s="3">
        <f>-AL137/AL136</f>
        <v>0.0441471665801036</v>
      </c>
      <c r="AM138" s="44" t="n"/>
      <c r="AN138" s="44" t="n"/>
      <c r="AO138" s="44" t="n"/>
      <c r="AP138" s="44" t="n"/>
      <c r="AQ138" s="3">
        <f>-AQ137/AQ136</f>
        <v>0</v>
      </c>
      <c r="AR138" s="44" t="n"/>
      <c r="AS138" s="44" t="n"/>
      <c r="AT138" s="44" t="n"/>
      <c r="AU138" s="44" t="n"/>
      <c r="AV138" s="3">
        <f>-AV137/AV136</f>
        <v>0</v>
      </c>
      <c r="AW138" s="44" t="n"/>
      <c r="AX138" s="44" t="n"/>
      <c r="AY138" s="44" t="n"/>
      <c r="AZ138" s="44" t="n"/>
      <c r="BA138" s="3">
        <f>-BA137/BA136</f>
        <v>0</v>
      </c>
      <c r="BB138" s="44" t="n"/>
      <c r="BC138" s="44" t="n"/>
      <c r="BD138" s="44" t="n"/>
      <c r="BE138" s="44" t="n"/>
      <c r="BF138" s="3">
        <f>-BF137/BF136</f>
        <v>0</v>
      </c>
      <c r="BG138" s="44" t="n"/>
      <c r="BH138" s="44" t="n"/>
      <c r="BI138" s="44" t="n"/>
      <c r="BJ138" s="44" t="n"/>
      <c r="BK138" s="3">
        <f>-BK137/BK136</f>
        <v>0</v>
      </c>
      <c r="BL138" s="44" t="n"/>
      <c r="BM138" s="44" t="n"/>
      <c r="BN138" s="44" t="n"/>
      <c r="BO138" s="44" t="n"/>
      <c r="BP138" s="3">
        <f>-BP137/BP136</f>
        <v>0</v>
      </c>
      <c r="BQ138" s="44" t="n"/>
      <c r="BR138" s="44" t="n"/>
      <c r="BS138" s="44" t="n"/>
      <c r="BT138" s="44" t="n"/>
      <c r="BU138" s="3">
        <f>-BU137/BU136</f>
        <v>0</v>
      </c>
      <c r="BV138" s="44" t="n"/>
      <c r="BW138" s="44" t="n"/>
      <c r="BX138" s="44" t="n"/>
      <c r="BY138" s="44" t="n"/>
      <c r="BZ138" s="3">
        <f>-BZ137/BZ136</f>
        <v>0</v>
      </c>
      <c r="CA138" s="44" t="n"/>
      <c r="CB138" s="44" t="n"/>
      <c r="CC138" s="44" t="n"/>
      <c r="CD138" s="44" t="n"/>
      <c r="CE138" s="3">
        <f>-CE137/CE136</f>
        <v>0</v>
      </c>
      <c r="CF138" s="44" t="n"/>
      <c r="CG138" s="44" t="n"/>
      <c r="CH138" s="44" t="n"/>
      <c r="CI138" s="44" t="n"/>
      <c r="CJ138" s="3">
        <f>-CJ137/CJ136</f>
        <v>0</v>
      </c>
      <c r="CK138" s="44" t="n"/>
      <c r="CL138" s="44" t="n"/>
      <c r="CM138" s="44" t="n"/>
      <c r="CN138" s="44" t="n"/>
      <c r="CO138" s="3">
        <f>-CO137/CO136</f>
        <v>0</v>
      </c>
      <c r="CP138" s="44" t="n"/>
      <c r="CQ138" s="44" t="n"/>
      <c r="CR138" s="44" t="n"/>
      <c r="CS138" s="44" t="n"/>
      <c r="CT138" s="3">
        <f>-CT137/CT136</f>
        <v>0</v>
      </c>
      <c r="CU138" s="44" t="n"/>
      <c r="CV138" s="44" t="n"/>
      <c r="CW138" s="44" t="n"/>
      <c r="CX138" s="44" t="n"/>
      <c r="CY138" s="3">
        <f>-CY137/CY136</f>
        <v>0</v>
      </c>
    </row>
    <row r="139" hidden="1" outlineLevel="1">
      <c r="C139" s="5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  <c r="AG139" s="1" t="n"/>
      <c r="AH139" s="1" t="n"/>
      <c r="AI139" s="1" t="n"/>
      <c r="AJ139" s="1" t="n"/>
      <c r="AK139" s="1" t="n"/>
      <c r="AL139" s="1" t="n"/>
      <c r="AM139" s="1" t="n"/>
      <c r="AN139" s="1" t="n"/>
      <c r="AO139" s="1" t="n"/>
      <c r="AP139" s="1" t="n"/>
      <c r="AQ139" s="1" t="n"/>
      <c r="AR139" s="1" t="n"/>
      <c r="AS139" s="1" t="n"/>
      <c r="AT139" s="1" t="n"/>
      <c r="AU139" s="1" t="n"/>
      <c r="AV139" s="1" t="n"/>
      <c r="AW139" s="1" t="n"/>
      <c r="AX139" s="1" t="n"/>
      <c r="AY139" s="1" t="n"/>
      <c r="AZ139" s="1" t="n"/>
      <c r="BA139" s="1" t="n"/>
      <c r="BB139" s="1" t="n"/>
      <c r="BC139" s="1" t="n"/>
      <c r="BD139" s="1" t="n"/>
      <c r="BE139" s="1" t="n"/>
      <c r="BF139" s="1" t="n"/>
      <c r="BG139" s="1" t="n"/>
      <c r="BH139" s="1" t="n"/>
      <c r="BI139" s="1" t="n"/>
      <c r="BJ139" s="1" t="n"/>
      <c r="BK139" s="1" t="n"/>
      <c r="BL139" s="1" t="n"/>
      <c r="BM139" s="1" t="n"/>
      <c r="BN139" s="1" t="n"/>
      <c r="BO139" s="1" t="n"/>
      <c r="BP139" s="1" t="n"/>
      <c r="BQ139" s="1" t="n"/>
      <c r="BR139" s="1" t="n"/>
      <c r="BS139" s="1" t="n"/>
      <c r="BT139" s="1" t="n"/>
      <c r="BU139" s="1" t="n"/>
      <c r="BV139" s="1" t="n"/>
      <c r="BW139" s="1" t="n"/>
      <c r="BX139" s="1" t="n"/>
      <c r="BY139" s="1" t="n"/>
      <c r="BZ139" s="1" t="n"/>
      <c r="CA139" s="1" t="n"/>
      <c r="CB139" s="1" t="n"/>
      <c r="CC139" s="1" t="n"/>
      <c r="CD139" s="1" t="n"/>
      <c r="CE139" s="1" t="n"/>
      <c r="CF139" s="1" t="n"/>
      <c r="CG139" s="1" t="n"/>
      <c r="CH139" s="1" t="n"/>
      <c r="CI139" s="1" t="n"/>
      <c r="CJ139" s="1" t="n"/>
      <c r="CK139" s="1" t="n"/>
      <c r="CL139" s="1" t="n"/>
      <c r="CM139" s="1" t="n"/>
      <c r="CN139" s="1" t="n"/>
      <c r="CO139" s="1" t="n"/>
      <c r="CP139" s="1" t="n"/>
      <c r="CQ139" s="1" t="n"/>
      <c r="CR139" s="1" t="n"/>
      <c r="CS139" s="1" t="n"/>
      <c r="CT139" s="1" t="n"/>
      <c r="CU139" s="1" t="n"/>
      <c r="CV139" s="1" t="n"/>
      <c r="CW139" s="1" t="n"/>
      <c r="CX139" s="1" t="n"/>
      <c r="CY139" s="1" t="n"/>
    </row>
    <row r="140" hidden="1" outlineLevel="1">
      <c r="C140" s="5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  <c r="AG140" s="1" t="n"/>
      <c r="AH140" s="1" t="n"/>
      <c r="AI140" s="1" t="n"/>
      <c r="AJ140" s="1" t="n"/>
      <c r="AK140" s="1" t="n"/>
      <c r="AL140" s="1" t="n"/>
      <c r="AM140" s="1" t="n"/>
      <c r="AN140" s="1" t="n"/>
      <c r="AO140" s="1" t="n"/>
      <c r="AP140" s="1" t="n"/>
      <c r="AQ140" s="1" t="n"/>
      <c r="AR140" s="1" t="n"/>
      <c r="AS140" s="1" t="n"/>
      <c r="AT140" s="1" t="n"/>
      <c r="AU140" s="1" t="n"/>
      <c r="AV140" s="1" t="n"/>
      <c r="AW140" s="1" t="n"/>
      <c r="AX140" s="1" t="n"/>
      <c r="AY140" s="1" t="n"/>
      <c r="AZ140" s="1" t="n"/>
      <c r="BA140" s="1" t="n"/>
      <c r="BB140" s="1" t="n"/>
      <c r="BC140" s="1" t="n"/>
      <c r="BD140" s="1" t="n"/>
      <c r="BE140" s="1" t="n"/>
      <c r="BF140" s="1" t="n"/>
      <c r="BG140" s="1" t="n"/>
      <c r="BH140" s="1" t="n"/>
      <c r="BI140" s="1" t="n"/>
      <c r="BJ140" s="1" t="n"/>
      <c r="BK140" s="1" t="n"/>
      <c r="BL140" s="1" t="n"/>
      <c r="BM140" s="1" t="n"/>
      <c r="BN140" s="1" t="n"/>
      <c r="BO140" s="1" t="n"/>
      <c r="BP140" s="1" t="n"/>
      <c r="BQ140" s="1" t="n"/>
      <c r="BR140" s="1" t="n"/>
      <c r="BS140" s="1" t="n"/>
      <c r="BT140" s="1" t="n"/>
      <c r="BU140" s="1" t="n"/>
      <c r="BV140" s="1" t="n"/>
      <c r="BW140" s="1" t="n"/>
      <c r="BX140" s="1" t="n"/>
      <c r="BY140" s="1" t="n"/>
      <c r="BZ140" s="1" t="n"/>
      <c r="CA140" s="1" t="n"/>
      <c r="CB140" s="1" t="n"/>
      <c r="CC140" s="1" t="n"/>
      <c r="CD140" s="1" t="n"/>
      <c r="CE140" s="1" t="n"/>
      <c r="CF140" s="1" t="n"/>
      <c r="CG140" s="1" t="n"/>
      <c r="CH140" s="1" t="n"/>
      <c r="CI140" s="1" t="n"/>
      <c r="CJ140" s="1" t="n"/>
      <c r="CK140" s="1" t="n"/>
      <c r="CL140" s="1" t="n"/>
      <c r="CM140" s="1" t="n"/>
      <c r="CN140" s="1" t="n"/>
      <c r="CO140" s="1" t="n"/>
      <c r="CP140" s="1" t="n"/>
      <c r="CQ140" s="1" t="n"/>
      <c r="CR140" s="1" t="n"/>
      <c r="CS140" s="1" t="n"/>
      <c r="CT140" s="1" t="n"/>
      <c r="CU140" s="1" t="n"/>
      <c r="CV140" s="1" t="n"/>
      <c r="CW140" s="1" t="n"/>
      <c r="CX140" s="1" t="n"/>
      <c r="CY140" s="1" t="n"/>
    </row>
    <row r="141" collapsed="1" ht="11.25" customHeight="1">
      <c r="C141" s="12" t="inlineStr">
        <is>
          <t>Balance Sheet</t>
        </is>
      </c>
      <c r="D141" s="12" t="str">
        <f>D13</f>
        <v>1Q20</v>
      </c>
      <c r="E141" s="12" t="str">
        <f>E13</f>
        <v>2Q20</v>
      </c>
      <c r="F141" s="12" t="str">
        <f>F13</f>
        <v>3Q20</v>
      </c>
      <c r="G141" s="12" t="str">
        <f>G13</f>
        <v>4Q20</v>
      </c>
      <c r="H141" s="12">
        <f>H13</f>
        <v>2020</v>
      </c>
      <c r="I141" s="12" t="str">
        <f>I13</f>
        <v>1Q21</v>
      </c>
      <c r="J141" s="12" t="str">
        <f>J13</f>
        <v>2Q21</v>
      </c>
      <c r="K141" s="12" t="str">
        <f>K13</f>
        <v>3Q21</v>
      </c>
      <c r="L141" s="12" t="str">
        <f>L13</f>
        <v>4Q21</v>
      </c>
      <c r="M141" s="12">
        <f>M13</f>
        <v>2021</v>
      </c>
      <c r="N141" s="12" t="str">
        <f>N13</f>
        <v>1Q22</v>
      </c>
      <c r="O141" s="12" t="str">
        <f>O13</f>
        <v>2Q22</v>
      </c>
      <c r="P141" s="12" t="str">
        <f>P13</f>
        <v>3Q22</v>
      </c>
      <c r="Q141" s="12" t="str">
        <f>Q13</f>
        <v>4Q22</v>
      </c>
      <c r="R141" s="12">
        <f>R13</f>
        <v>2022</v>
      </c>
      <c r="S141" s="12" t="str">
        <f>S13</f>
        <v>1Q23</v>
      </c>
      <c r="T141" s="12" t="str">
        <f>T13</f>
        <v>2Q23</v>
      </c>
      <c r="U141" s="12" t="str">
        <f>U13</f>
        <v>3Q23</v>
      </c>
      <c r="V141" s="12" t="str">
        <f>V13</f>
        <v>4Q23</v>
      </c>
      <c r="W141" s="12">
        <f>W13</f>
        <v>2023</v>
      </c>
      <c r="X141" s="12" t="str">
        <f>X13</f>
        <v>1Q24</v>
      </c>
      <c r="Y141" s="12" t="str">
        <f>Y13</f>
        <v>2Q24</v>
      </c>
      <c r="Z141" s="12" t="str">
        <f>Z13</f>
        <v>3Q24</v>
      </c>
      <c r="AA141" s="12" t="str">
        <f>AA13</f>
        <v>4Q24</v>
      </c>
      <c r="AB141" s="12">
        <f>AB13</f>
        <v>2024</v>
      </c>
      <c r="AC141" s="12" t="str">
        <f>AC13</f>
        <v>1Q25</v>
      </c>
      <c r="AD141" s="12" t="str">
        <f>AD13</f>
        <v>2Q25</v>
      </c>
      <c r="AE141" s="12" t="str">
        <f>AE13</f>
        <v>3Q25</v>
      </c>
      <c r="AF141" s="12" t="str">
        <f>AF13</f>
        <v>4Q25</v>
      </c>
      <c r="AG141" s="12">
        <f>AG13</f>
        <v>2025</v>
      </c>
      <c r="AH141" s="12" t="str">
        <f>AH13</f>
        <v>1Q26</v>
      </c>
      <c r="AI141" s="12" t="str">
        <f>AI13</f>
        <v>2Q26</v>
      </c>
      <c r="AJ141" s="12" t="str">
        <f>AJ13</f>
        <v>3Q26</v>
      </c>
      <c r="AK141" s="12" t="str">
        <f>AK13</f>
        <v>4Q26</v>
      </c>
      <c r="AL141" s="12">
        <f>AL13</f>
        <v>2026</v>
      </c>
      <c r="AM141" s="12" t="str">
        <f>AM13</f>
        <v>1Q27</v>
      </c>
      <c r="AN141" s="12" t="str">
        <f>AN13</f>
        <v>2Q27</v>
      </c>
      <c r="AO141" s="12" t="str">
        <f>AO13</f>
        <v>3Q27</v>
      </c>
      <c r="AP141" s="12" t="str">
        <f>AP13</f>
        <v>4Q27</v>
      </c>
      <c r="AQ141" s="12">
        <f>AQ13</f>
        <v>2027</v>
      </c>
      <c r="AR141" s="12" t="str">
        <f>AR13</f>
        <v>1Q28</v>
      </c>
      <c r="AS141" s="12" t="str">
        <f>AS13</f>
        <v>2Q28</v>
      </c>
      <c r="AT141" s="12" t="str">
        <f>AT13</f>
        <v>3Q28</v>
      </c>
      <c r="AU141" s="12" t="str">
        <f>AU13</f>
        <v>4Q28</v>
      </c>
      <c r="AV141" s="12">
        <f>AV13</f>
        <v>2028</v>
      </c>
      <c r="AW141" s="12" t="str">
        <f>AW13</f>
        <v>1Q29</v>
      </c>
      <c r="AX141" s="12" t="str">
        <f>AX13</f>
        <v>2Q29</v>
      </c>
      <c r="AY141" s="12" t="str">
        <f>AY13</f>
        <v>3Q29</v>
      </c>
      <c r="AZ141" s="12" t="str">
        <f>AZ13</f>
        <v>4Q29</v>
      </c>
      <c r="BA141" s="12">
        <f>BA13</f>
        <v>2029</v>
      </c>
      <c r="BB141" s="12" t="str">
        <f>BB13</f>
        <v>1Q30</v>
      </c>
      <c r="BC141" s="12" t="str">
        <f>BC13</f>
        <v>2Q30</v>
      </c>
      <c r="BD141" s="12" t="str">
        <f>BD13</f>
        <v>3Q30</v>
      </c>
      <c r="BE141" s="12" t="str">
        <f>BE13</f>
        <v>4Q30</v>
      </c>
      <c r="BF141" s="12">
        <f>BF13</f>
        <v>2030</v>
      </c>
      <c r="BG141" s="12" t="str">
        <f>BG13</f>
        <v>1Q31</v>
      </c>
      <c r="BH141" s="12" t="str">
        <f>BH13</f>
        <v>2Q31</v>
      </c>
      <c r="BI141" s="12" t="str">
        <f>BI13</f>
        <v>3Q31</v>
      </c>
      <c r="BJ141" s="12" t="str">
        <f>BJ13</f>
        <v>4Q31</v>
      </c>
      <c r="BK141" s="12">
        <f>BK13</f>
        <v>2031</v>
      </c>
      <c r="BL141" s="12" t="str">
        <f>BL13</f>
        <v>1Q32</v>
      </c>
      <c r="BM141" s="12" t="str">
        <f>BM13</f>
        <v>2Q32</v>
      </c>
      <c r="BN141" s="12" t="str">
        <f>BN13</f>
        <v>3Q32</v>
      </c>
      <c r="BO141" s="12" t="str">
        <f>BO13</f>
        <v>4Q32</v>
      </c>
      <c r="BP141" s="12">
        <f>BP13</f>
        <v>2032</v>
      </c>
      <c r="BQ141" s="12" t="str">
        <f>BQ13</f>
        <v>1Q33</v>
      </c>
      <c r="BR141" s="12" t="str">
        <f>BR13</f>
        <v>2Q33</v>
      </c>
      <c r="BS141" s="12" t="str">
        <f>BS13</f>
        <v>3Q33</v>
      </c>
      <c r="BT141" s="12" t="str">
        <f>BT13</f>
        <v>4Q33</v>
      </c>
      <c r="BU141" s="12">
        <f>BU13</f>
        <v>2033</v>
      </c>
      <c r="BV141" s="12" t="str">
        <f>BV13</f>
        <v>1Q34</v>
      </c>
      <c r="BW141" s="12" t="str">
        <f>BW13</f>
        <v>2Q34</v>
      </c>
      <c r="BX141" s="12" t="str">
        <f>BX13</f>
        <v>3Q34</v>
      </c>
      <c r="BY141" s="12" t="str">
        <f>BY13</f>
        <v>4Q34</v>
      </c>
      <c r="BZ141" s="12">
        <f>BZ13</f>
        <v>2034</v>
      </c>
      <c r="CA141" s="12" t="str">
        <f>CA13</f>
        <v>1Q35</v>
      </c>
      <c r="CB141" s="12" t="str">
        <f>CB13</f>
        <v>2Q35</v>
      </c>
      <c r="CC141" s="12" t="str">
        <f>CC13</f>
        <v>3Q35</v>
      </c>
      <c r="CD141" s="12" t="str">
        <f>CD13</f>
        <v>4Q35</v>
      </c>
      <c r="CE141" s="12">
        <f>CE13</f>
        <v>2035</v>
      </c>
      <c r="CF141" s="12" t="str">
        <f>CF13</f>
        <v>1Q36</v>
      </c>
      <c r="CG141" s="12" t="str">
        <f>CG13</f>
        <v>2Q36</v>
      </c>
      <c r="CH141" s="12" t="str">
        <f>CH13</f>
        <v>3Q36</v>
      </c>
      <c r="CI141" s="12" t="str">
        <f>CI13</f>
        <v>4Q36</v>
      </c>
      <c r="CJ141" s="12">
        <f>CJ13</f>
        <v>2036</v>
      </c>
      <c r="CK141" s="12" t="str">
        <f>CK13</f>
        <v>1Q37</v>
      </c>
      <c r="CL141" s="12" t="str">
        <f>CL13</f>
        <v>2Q37</v>
      </c>
      <c r="CM141" s="12" t="str">
        <f>CM13</f>
        <v>3Q37</v>
      </c>
      <c r="CN141" s="12" t="str">
        <f>CN13</f>
        <v>4Q37</v>
      </c>
      <c r="CO141" s="12">
        <f>CO13</f>
        <v>2037</v>
      </c>
      <c r="CP141" s="12" t="str">
        <f>CP13</f>
        <v>1Q38</v>
      </c>
      <c r="CQ141" s="12" t="str">
        <f>CQ13</f>
        <v>2Q38</v>
      </c>
      <c r="CR141" s="12" t="str">
        <f>CR13</f>
        <v>3Q38</v>
      </c>
      <c r="CS141" s="12" t="str">
        <f>CS13</f>
        <v>4Q38</v>
      </c>
      <c r="CT141" s="12">
        <f>CT13</f>
        <v>2038</v>
      </c>
      <c r="CU141" s="12" t="str">
        <f>CU13</f>
        <v>1Q39</v>
      </c>
      <c r="CV141" s="12" t="str">
        <f>CV13</f>
        <v>2Q39</v>
      </c>
      <c r="CW141" s="12" t="str">
        <f>CW13</f>
        <v>3Q39</v>
      </c>
      <c r="CX141" s="12" t="str">
        <f>CX13</f>
        <v>4Q39</v>
      </c>
      <c r="CY141" s="12">
        <f>CY13</f>
        <v>2039</v>
      </c>
    </row>
    <row r="142">
      <c r="C142" s="5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  <c r="AG142" s="1" t="n"/>
      <c r="AH142" s="1" t="n"/>
      <c r="AI142" s="1" t="n"/>
      <c r="AJ142" s="1" t="n"/>
      <c r="AK142" s="1" t="n"/>
      <c r="AL142" s="1" t="n"/>
      <c r="AM142" s="1" t="n"/>
      <c r="AN142" s="1" t="n"/>
      <c r="AO142" s="1" t="n"/>
      <c r="AP142" s="1" t="n"/>
      <c r="AQ142" s="1" t="n"/>
      <c r="AR142" s="1" t="n"/>
      <c r="AS142" s="1" t="n"/>
      <c r="AT142" s="1" t="n"/>
      <c r="AU142" s="1" t="n"/>
      <c r="AV142" s="1" t="n"/>
      <c r="AW142" s="1" t="n"/>
      <c r="AX142" s="1" t="n"/>
      <c r="AY142" s="1" t="n"/>
      <c r="AZ142" s="1" t="n"/>
      <c r="BA142" s="1" t="n"/>
      <c r="BB142" s="1" t="n"/>
      <c r="BC142" s="1" t="n"/>
      <c r="BD142" s="1" t="n"/>
      <c r="BE142" s="1" t="n"/>
      <c r="BF142" s="1" t="n"/>
      <c r="BG142" s="1" t="n"/>
      <c r="BH142" s="1" t="n"/>
      <c r="BI142" s="1" t="n"/>
      <c r="BJ142" s="1" t="n"/>
      <c r="BK142" s="1" t="n"/>
      <c r="BL142" s="1" t="n"/>
      <c r="BM142" s="1" t="n"/>
      <c r="BN142" s="1" t="n"/>
      <c r="BO142" s="1" t="n"/>
      <c r="BP142" s="1" t="n"/>
      <c r="BQ142" s="1" t="n"/>
      <c r="BR142" s="1" t="n"/>
      <c r="BS142" s="1" t="n"/>
      <c r="BT142" s="1" t="n"/>
      <c r="BU142" s="1" t="n"/>
      <c r="BV142" s="1" t="n"/>
      <c r="BW142" s="1" t="n"/>
      <c r="BX142" s="1" t="n"/>
      <c r="BY142" s="1" t="n"/>
      <c r="BZ142" s="1" t="n"/>
      <c r="CA142" s="1" t="n"/>
      <c r="CB142" s="1" t="n"/>
      <c r="CC142" s="1" t="n"/>
      <c r="CD142" s="1" t="n"/>
      <c r="CE142" s="1" t="n"/>
      <c r="CF142" s="1" t="n"/>
      <c r="CG142" s="1" t="n"/>
      <c r="CH142" s="1" t="n"/>
      <c r="CI142" s="1" t="n"/>
      <c r="CJ142" s="1" t="n"/>
      <c r="CK142" s="1" t="n"/>
      <c r="CL142" s="1" t="n"/>
      <c r="CM142" s="1" t="n"/>
      <c r="CN142" s="1" t="n"/>
      <c r="CO142" s="1" t="n"/>
      <c r="CP142" s="1" t="n"/>
      <c r="CQ142" s="1" t="n"/>
      <c r="CR142" s="1" t="n"/>
      <c r="CS142" s="1" t="n"/>
      <c r="CT142" s="1" t="n"/>
      <c r="CU142" s="1" t="n"/>
      <c r="CV142" s="1" t="n"/>
      <c r="CW142" s="1" t="n"/>
      <c r="CX142" s="1" t="n"/>
      <c r="CY142" s="1" t="n"/>
    </row>
    <row r="143">
      <c r="C143" s="24" t="inlineStr">
        <is>
          <t>Cash and equivalents (inc. investment securities)</t>
        </is>
      </c>
      <c r="D143" s="25">
        <f>INDEX('Inputs (2)'!$D$15:$AL$15,MATCH(D$7,'Inputs (2)'!$D$2:$AL$2,0))</f>
        <v>16354</v>
      </c>
      <c r="E143" s="25">
        <f>INDEX('Inputs (2)'!$D$15:$AL$15,MATCH(E$7,'Inputs (2)'!$D$2:$AL$2,0))</f>
        <v>10981</v>
      </c>
      <c r="F143" s="25">
        <f>INDEX('Inputs (2)'!$D$15:$AL$15,MATCH(F$7,'Inputs (2)'!$D$2:$AL$2,0))</f>
        <v>10139</v>
      </c>
      <c r="G143" s="25">
        <f>INDEX('Inputs (2)'!$D$15:$AL$15,MATCH(G$7,'Inputs (2)'!$D$2:$AL$2,0))</f>
        <v>11561</v>
      </c>
      <c r="H143" s="3">
        <f>G143</f>
        <v>11561</v>
      </c>
      <c r="I143" s="25">
        <f>INDEX('Inputs (2)'!$D$15:$AL$15,MATCH(I$7,'Inputs (2)'!$D$2:$AL$2,0))</f>
        <v>12667</v>
      </c>
      <c r="J143" s="25">
        <f>INDEX('Inputs (2)'!$D$15:$AL$15,MATCH(J$7,'Inputs (2)'!$D$2:$AL$2,0))</f>
        <v>19654</v>
      </c>
      <c r="K143" s="25">
        <f>INDEX('Inputs (2)'!$D$15:$AL$15,MATCH(K$7,'Inputs (2)'!$D$2:$AL$2,0))</f>
        <v>19298</v>
      </c>
      <c r="L143" s="25">
        <f>INDEX('Inputs (2)'!$D$15:$AL$15,MATCH(L$7,'Inputs (2)'!$D$2:$AL$2,0))</f>
        <v>21208</v>
      </c>
      <c r="M143" s="3">
        <f>L143</f>
        <v>21208</v>
      </c>
      <c r="N143" s="25">
        <f>INDEX('Inputs (2)'!$D$15:$AL$15,MATCH(N$7,'Inputs (2)'!$D$2:$AL$2,0))</f>
        <v>20338</v>
      </c>
      <c r="O143" s="25">
        <f>INDEX('Inputs (2)'!$D$15:$AL$15,MATCH(O$7,'Inputs (2)'!$D$2:$AL$2,0))</f>
        <v>17037</v>
      </c>
      <c r="P143" s="25">
        <f>INDEX('Inputs (2)'!$D$15:$AL$15,MATCH(P$7,'Inputs (2)'!$D$2:$AL$2,0))</f>
        <v>13143</v>
      </c>
      <c r="Q143" s="25">
        <f>INDEX('Inputs (2)'!$D$15:$AL$15,MATCH(Q$7,'Inputs (2)'!$D$2:$AL$2,0))</f>
        <v>13296</v>
      </c>
      <c r="R143" s="3">
        <f>Q143</f>
        <v>13296</v>
      </c>
      <c r="S143" s="25">
        <f>INDEX('Inputs (2)'!$D$15:$AL$15,MATCH(S$7,'Inputs (2)'!$D$2:$AL$2,0))</f>
        <v>15320</v>
      </c>
      <c r="T143" s="25">
        <f>INDEX('Inputs (2)'!$D$15:$AL$15,MATCH(T$7,'Inputs (2)'!$D$2:$AL$2,0))</f>
        <v>16023</v>
      </c>
      <c r="U143" s="25">
        <f>INDEX('Inputs (2)'!$D$15:$AL$15,MATCH(U$7,'Inputs (2)'!$D$2:$AL$2,0))</f>
        <v>18281</v>
      </c>
      <c r="V143" s="25">
        <f>INDEX('Inputs (2)'!$D$15:$AL$15,MATCH(V$7,'Inputs (2)'!$D$2:$AL$2,0))</f>
        <v>25984</v>
      </c>
      <c r="W143" s="3">
        <f>V143</f>
        <v>25984</v>
      </c>
      <c r="X143" s="25">
        <f>INDEX('Inputs (2)'!$D$15:$AL$15,MATCH(X$7,'Inputs (2)'!$D$2:$AL$2,0))</f>
        <v>31438</v>
      </c>
      <c r="Y143" s="25">
        <f>INDEX('Inputs (2)'!$D$15:$AL$15,MATCH(Y$7,'Inputs (2)'!$D$2:$AL$2,0))</f>
        <v>34800</v>
      </c>
      <c r="Z143" s="25">
        <f>INDEX('Inputs (2)'!$D$15:$AL$15,MATCH(Z$7,'Inputs (2)'!$D$2:$AL$2,0))</f>
        <v>38487</v>
      </c>
      <c r="AA143" s="25">
        <f>INDEX('Inputs (2)'!$D$15:$AL$15,MATCH(AA$7,'Inputs (2)'!$D$2:$AL$2,0))</f>
        <v>43210</v>
      </c>
      <c r="AB143" s="3">
        <f>AA143</f>
        <v>43210</v>
      </c>
      <c r="AC143" s="25">
        <f>INDEX('Inputs (2)'!$D$15:$AL$15,MATCH(AC$7,'Inputs (2)'!$D$2:$AL$2,0))</f>
        <v>53691</v>
      </c>
      <c r="AD143" s="25">
        <f>INDEX('Inputs (2)'!$D$15:$AL$15,MATCH(AD$7,'Inputs (2)'!$D$2:$AL$2,0))</f>
        <v>56791</v>
      </c>
      <c r="AE143" s="25">
        <f>INDEX('Inputs (2)'!$D$15:$AL$15,MATCH(AE$7,'Inputs (2)'!$D$2:$AL$2,0))</f>
        <v>60608</v>
      </c>
      <c r="AF143" s="25">
        <f>INDEX('Inputs (2)'!$D$15:$AL$15,MATCH(AF$7,'Inputs (2)'!$D$2:$AL$2,0))</f>
        <v>49670</v>
      </c>
      <c r="AG143" s="3">
        <f>AF143</f>
        <v>49670</v>
      </c>
      <c r="AH143" s="3">
        <f>INDEX('Inputs (2)'!$D$15:$AL$15,MATCH(AH$7,'Inputs (2)'!$D$2:$AL$2,0))</f>
        <v>50335</v>
      </c>
      <c r="AI143" s="3">
        <f>INDEX('Inputs (2)'!$D$15:$AL$15,MATCH(AI$7,'Inputs (2)'!$D$2:$AL$2,0))</f>
        <v>56586</v>
      </c>
      <c r="AJ143" s="3">
        <f>AI143+AJ313</f>
        <v>128668</v>
      </c>
      <c r="AK143" s="3">
        <f>AJ143+AK313</f>
        <v>136668</v>
      </c>
      <c r="AL143" s="3">
        <f>AK143</f>
        <v>136668</v>
      </c>
      <c r="AM143" s="3" t="e">
        <f>AL143+AM313</f>
        <v>#DIV/0!</v>
      </c>
      <c r="AN143" s="3" t="e">
        <f>AM143+AN313</f>
        <v>#DIV/0!</v>
      </c>
      <c r="AO143" s="3" t="e">
        <f>AN143+AO313</f>
        <v>#DIV/0!</v>
      </c>
      <c r="AP143" s="3" t="e">
        <f>AO143+AP313</f>
        <v>#DIV/0!</v>
      </c>
      <c r="AQ143" s="3" t="e">
        <f>AP143</f>
        <v>#DIV/0!</v>
      </c>
      <c r="AR143" s="3" t="e">
        <f>AQ143+AR313</f>
        <v>#DIV/0!</v>
      </c>
      <c r="AS143" s="3" t="e">
        <f>AR143+AS313</f>
        <v>#DIV/0!</v>
      </c>
      <c r="AT143" s="3" t="e">
        <f>AS143+AT313</f>
        <v>#DIV/0!</v>
      </c>
      <c r="AU143" s="3" t="e">
        <f>AT143+AU313</f>
        <v>#DIV/0!</v>
      </c>
      <c r="AV143" s="3" t="e">
        <f>AU143</f>
        <v>#DIV/0!</v>
      </c>
      <c r="AW143" s="3" t="e">
        <f>AV143+AW313</f>
        <v>#DIV/0!</v>
      </c>
      <c r="AX143" s="3" t="e">
        <f>AW143+AX313</f>
        <v>#DIV/0!</v>
      </c>
      <c r="AY143" s="3" t="e">
        <f>AX143+AY313</f>
        <v>#DIV/0!</v>
      </c>
      <c r="AZ143" s="3" t="e">
        <f>AY143+AZ313</f>
        <v>#DIV/0!</v>
      </c>
      <c r="BA143" s="3" t="e">
        <f>AZ143</f>
        <v>#DIV/0!</v>
      </c>
      <c r="BB143" s="3" t="e">
        <f>BA143+BB313</f>
        <v>#DIV/0!</v>
      </c>
      <c r="BC143" s="3" t="e">
        <f>BB143+BC313</f>
        <v>#DIV/0!</v>
      </c>
      <c r="BD143" s="3" t="e">
        <f>BC143+BD313</f>
        <v>#DIV/0!</v>
      </c>
      <c r="BE143" s="3" t="e">
        <f>BD143+BE313</f>
        <v>#DIV/0!</v>
      </c>
      <c r="BF143" s="3" t="e">
        <f>BE143</f>
        <v>#DIV/0!</v>
      </c>
      <c r="BG143" s="3" t="e">
        <f>BF143+BG313</f>
        <v>#DIV/0!</v>
      </c>
      <c r="BH143" s="3" t="e">
        <f>BG143+BH313</f>
        <v>#DIV/0!</v>
      </c>
      <c r="BI143" s="3" t="e">
        <f>BH143+BI313</f>
        <v>#DIV/0!</v>
      </c>
      <c r="BJ143" s="3" t="e">
        <f>BI143+BJ313</f>
        <v>#DIV/0!</v>
      </c>
      <c r="BK143" s="3" t="e">
        <f>BJ143</f>
        <v>#DIV/0!</v>
      </c>
      <c r="BL143" s="3" t="e">
        <f>BK143+BL313</f>
        <v>#DIV/0!</v>
      </c>
      <c r="BM143" s="3" t="e">
        <f>BL143+BM313</f>
        <v>#DIV/0!</v>
      </c>
      <c r="BN143" s="3" t="e">
        <f>BM143+BN313</f>
        <v>#DIV/0!</v>
      </c>
      <c r="BO143" s="3" t="e">
        <f>BN143+BO313</f>
        <v>#DIV/0!</v>
      </c>
      <c r="BP143" s="3" t="e">
        <f>BO143</f>
        <v>#DIV/0!</v>
      </c>
      <c r="BQ143" s="3" t="e">
        <f>BP143+BQ313</f>
        <v>#DIV/0!</v>
      </c>
      <c r="BR143" s="3" t="e">
        <f>BQ143+BR313</f>
        <v>#DIV/0!</v>
      </c>
      <c r="BS143" s="3" t="e">
        <f>BR143+BS313</f>
        <v>#DIV/0!</v>
      </c>
      <c r="BT143" s="3" t="e">
        <f>BS143+BT313</f>
        <v>#DIV/0!</v>
      </c>
      <c r="BU143" s="3" t="e">
        <f>BT143</f>
        <v>#DIV/0!</v>
      </c>
      <c r="BV143" s="3" t="e">
        <f>BU143+BV313</f>
        <v>#DIV/0!</v>
      </c>
      <c r="BW143" s="3" t="e">
        <f>BV143+BW313</f>
        <v>#DIV/0!</v>
      </c>
      <c r="BX143" s="3" t="e">
        <f>BW143+BX313</f>
        <v>#DIV/0!</v>
      </c>
      <c r="BY143" s="3" t="e">
        <f>BX143+BY313</f>
        <v>#DIV/0!</v>
      </c>
      <c r="BZ143" s="3" t="e">
        <f>BY143</f>
        <v>#DIV/0!</v>
      </c>
      <c r="CA143" s="3" t="e">
        <f>BZ143+CA313</f>
        <v>#DIV/0!</v>
      </c>
      <c r="CB143" s="3" t="e">
        <f>CA143+CB313</f>
        <v>#DIV/0!</v>
      </c>
      <c r="CC143" s="3" t="e">
        <f>CB143+CC313</f>
        <v>#DIV/0!</v>
      </c>
      <c r="CD143" s="3" t="e">
        <f>CC143+CD313</f>
        <v>#DIV/0!</v>
      </c>
      <c r="CE143" s="3" t="e">
        <f>CD143</f>
        <v>#DIV/0!</v>
      </c>
      <c r="CF143" s="3" t="e">
        <f>CE143+CF313</f>
        <v>#DIV/0!</v>
      </c>
      <c r="CG143" s="3" t="e">
        <f>CF143+CG313</f>
        <v>#DIV/0!</v>
      </c>
      <c r="CH143" s="3" t="e">
        <f>CG143+CH313</f>
        <v>#DIV/0!</v>
      </c>
      <c r="CI143" s="3" t="e">
        <f>CH143+CI313</f>
        <v>#DIV/0!</v>
      </c>
      <c r="CJ143" s="3" t="e">
        <f>CI143</f>
        <v>#DIV/0!</v>
      </c>
      <c r="CK143" s="3" t="e">
        <f>CJ143+CK313</f>
        <v>#DIV/0!</v>
      </c>
      <c r="CL143" s="3" t="e">
        <f>CK143+CL313</f>
        <v>#DIV/0!</v>
      </c>
      <c r="CM143" s="3" t="e">
        <f>CL143+CM313</f>
        <v>#DIV/0!</v>
      </c>
      <c r="CN143" s="3" t="e">
        <f>CM143+CN313</f>
        <v>#DIV/0!</v>
      </c>
      <c r="CO143" s="3" t="e">
        <f>CN143</f>
        <v>#DIV/0!</v>
      </c>
      <c r="CP143" s="3" t="e">
        <f>CO143+CP313</f>
        <v>#DIV/0!</v>
      </c>
      <c r="CQ143" s="3" t="e">
        <f>CP143+CQ313</f>
        <v>#DIV/0!</v>
      </c>
      <c r="CR143" s="3" t="e">
        <f>CQ143+CR313</f>
        <v>#DIV/0!</v>
      </c>
      <c r="CS143" s="3" t="e">
        <f>CR143+CS313</f>
        <v>#DIV/0!</v>
      </c>
      <c r="CT143" s="3" t="e">
        <f>CS143</f>
        <v>#DIV/0!</v>
      </c>
      <c r="CU143" s="3" t="e">
        <f>CT143+CU313</f>
        <v>#DIV/0!</v>
      </c>
      <c r="CV143" s="3" t="e">
        <f>CU143+CV313</f>
        <v>#DIV/0!</v>
      </c>
      <c r="CW143" s="3" t="e">
        <f>CV143+CW313</f>
        <v>#DIV/0!</v>
      </c>
      <c r="CX143" s="3" t="e">
        <f>CW143+CX313</f>
        <v>#DIV/0!</v>
      </c>
      <c r="CY143" s="3" t="e">
        <f>CX143</f>
        <v>#DIV/0!</v>
      </c>
    </row>
    <row r="144">
      <c r="C144" s="26" t="inlineStr">
        <is>
          <t>Accounts receivable</t>
        </is>
      </c>
      <c r="D144" s="25">
        <f>INDEX('Inputs (2)'!$D$16:$AL$16,MATCH(D$7,'Inputs (2)'!$D$2:$AL$2,0))</f>
        <v>1907</v>
      </c>
      <c r="E144" s="25">
        <f>INDEX('Inputs (2)'!$D$16:$AL$16,MATCH(E$7,'Inputs (2)'!$D$2:$AL$2,0))</f>
        <v>2084</v>
      </c>
      <c r="F144" s="25">
        <f>INDEX('Inputs (2)'!$D$16:$AL$16,MATCH(F$7,'Inputs (2)'!$D$2:$AL$2,0))</f>
        <v>2546</v>
      </c>
      <c r="G144" s="25">
        <f>INDEX('Inputs (2)'!$D$16:$AL$16,MATCH(G$7,'Inputs (2)'!$D$2:$AL$2,0))</f>
        <v>2429</v>
      </c>
      <c r="H144" s="3">
        <f>G144</f>
        <v>2429</v>
      </c>
      <c r="I144" s="25">
        <f>INDEX('Inputs (2)'!$D$16:$AL$16,MATCH(I$7,'Inputs (2)'!$D$2:$AL$2,0))</f>
        <v>3024</v>
      </c>
      <c r="J144" s="25">
        <f>INDEX('Inputs (2)'!$D$16:$AL$16,MATCH(J$7,'Inputs (2)'!$D$2:$AL$2,0))</f>
        <v>3586</v>
      </c>
      <c r="K144" s="25">
        <f>INDEX('Inputs (2)'!$D$16:$AL$16,MATCH(K$7,'Inputs (2)'!$D$2:$AL$2,0))</f>
        <v>3954</v>
      </c>
      <c r="L144" s="25">
        <f>INDEX('Inputs (2)'!$D$16:$AL$16,MATCH(L$7,'Inputs (2)'!$D$2:$AL$2,0))</f>
        <v>4650</v>
      </c>
      <c r="M144" s="3">
        <f>L144</f>
        <v>4650</v>
      </c>
      <c r="N144" s="25">
        <f>INDEX('Inputs (2)'!$D$16:$AL$16,MATCH(N$7,'Inputs (2)'!$D$2:$AL$2,0))</f>
        <v>5438</v>
      </c>
      <c r="O144" s="25">
        <f>INDEX('Inputs (2)'!$D$16:$AL$16,MATCH(O$7,'Inputs (2)'!$D$2:$AL$2,0))</f>
        <v>5317</v>
      </c>
      <c r="P144" s="25">
        <f>INDEX('Inputs (2)'!$D$16:$AL$16,MATCH(P$7,'Inputs (2)'!$D$2:$AL$2,0))</f>
        <v>4908</v>
      </c>
      <c r="Q144" s="25">
        <f>INDEX('Inputs (2)'!$D$16:$AL$16,MATCH(Q$7,'Inputs (2)'!$D$2:$AL$2,0))</f>
        <v>3827</v>
      </c>
      <c r="R144" s="3">
        <f>Q144</f>
        <v>3827</v>
      </c>
      <c r="S144" s="25">
        <f>INDEX('Inputs (2)'!$D$16:$AL$16,MATCH(S$7,'Inputs (2)'!$D$2:$AL$2,0))</f>
        <v>4080</v>
      </c>
      <c r="T144" s="25">
        <f>INDEX('Inputs (2)'!$D$16:$AL$16,MATCH(T$7,'Inputs (2)'!$D$2:$AL$2,0))</f>
        <v>7066</v>
      </c>
      <c r="U144" s="25">
        <f>INDEX('Inputs (2)'!$D$16:$AL$16,MATCH(U$7,'Inputs (2)'!$D$2:$AL$2,0))</f>
        <v>8309</v>
      </c>
      <c r="V144" s="25">
        <f>INDEX('Inputs (2)'!$D$16:$AL$16,MATCH(V$7,'Inputs (2)'!$D$2:$AL$2,0))</f>
        <v>9999</v>
      </c>
      <c r="W144" s="3">
        <f>V144</f>
        <v>9999</v>
      </c>
      <c r="X144" s="25">
        <f>INDEX('Inputs (2)'!$D$16:$AL$16,MATCH(X$7,'Inputs (2)'!$D$2:$AL$2,0))</f>
        <v>12365</v>
      </c>
      <c r="Y144" s="25">
        <f>INDEX('Inputs (2)'!$D$16:$AL$16,MATCH(Y$7,'Inputs (2)'!$D$2:$AL$2,0))</f>
        <v>14132</v>
      </c>
      <c r="Z144" s="25">
        <f>INDEX('Inputs (2)'!$D$16:$AL$16,MATCH(Z$7,'Inputs (2)'!$D$2:$AL$2,0))</f>
        <v>17693</v>
      </c>
      <c r="AA144" s="25">
        <f>INDEX('Inputs (2)'!$D$16:$AL$16,MATCH(AA$7,'Inputs (2)'!$D$2:$AL$2,0))</f>
        <v>23065</v>
      </c>
      <c r="AB144" s="3">
        <f>AA144</f>
        <v>23065</v>
      </c>
      <c r="AC144" s="25">
        <f>INDEX('Inputs (2)'!$D$16:$AL$16,MATCH(AC$7,'Inputs (2)'!$D$2:$AL$2,0))</f>
        <v>22132</v>
      </c>
      <c r="AD144" s="25">
        <f>INDEX('Inputs (2)'!$D$16:$AL$16,MATCH(AD$7,'Inputs (2)'!$D$2:$AL$2,0))</f>
        <v>27808</v>
      </c>
      <c r="AE144" s="25">
        <f>INDEX('Inputs (2)'!$D$16:$AL$16,MATCH(AE$7,'Inputs (2)'!$D$2:$AL$2,0))</f>
        <v>33391</v>
      </c>
      <c r="AF144" s="25">
        <f>INDEX('Inputs (2)'!$D$16:$AL$16,MATCH(AF$7,'Inputs (2)'!$D$2:$AL$2,0))</f>
        <v>38466</v>
      </c>
      <c r="AG144" s="3">
        <f>AF144</f>
        <v>38466</v>
      </c>
      <c r="AH144" s="3">
        <f>INDEX('Inputs (2)'!$D$16:$AL$16,MATCH(AH$7,'Inputs (2)'!$D$2:$AL$2,0))</f>
        <v>40710</v>
      </c>
      <c r="AI144" s="3">
        <f>INDEX('Inputs (2)'!$D$16:$AL$16,MATCH(AI$7,'Inputs (2)'!$D$2:$AL$2,0))</f>
        <v>63059</v>
      </c>
      <c r="AJ144" s="3">
        <f>(AJ145/(AJ$5-AI$5))*AJ$15</f>
        <v>0</v>
      </c>
      <c r="AK144" s="3">
        <f>(AK145/(AK$5-AJ$5))*AK$15</f>
        <v>0</v>
      </c>
      <c r="AL144" s="3">
        <f>AK144</f>
        <v>0</v>
      </c>
      <c r="AM144" s="3">
        <f>(AM145/(AM$5-AL$5))*AM$15</f>
        <v>0</v>
      </c>
      <c r="AN144" s="3">
        <f>(AN145/(AN$5-AM$5))*AN$15</f>
        <v>0</v>
      </c>
      <c r="AO144" s="3">
        <f>(AO145/(AO$5-AN$5))*AO$15</f>
        <v>0</v>
      </c>
      <c r="AP144" s="3">
        <f>(AP145/(AP$5-AO$5))*AP$15</f>
        <v>0</v>
      </c>
      <c r="AQ144" s="3">
        <f>AP144</f>
        <v>0</v>
      </c>
      <c r="AR144" s="3">
        <f>(AR145/(AR$5-AQ$5))*AR$15</f>
        <v>0</v>
      </c>
      <c r="AS144" s="3">
        <f>(AS145/(AS$5-AR$5))*AS$15</f>
        <v>0</v>
      </c>
      <c r="AT144" s="3">
        <f>(AT145/(AT$5-AS$5))*AT$15</f>
        <v>0</v>
      </c>
      <c r="AU144" s="3">
        <f>(AU145/(AU$5-AT$5))*AU$15</f>
        <v>0</v>
      </c>
      <c r="AV144" s="3">
        <f>AU144</f>
        <v>0</v>
      </c>
      <c r="AW144" s="3">
        <f>(AW145/(AW$5-AV$5))*AW$15</f>
        <v>0</v>
      </c>
      <c r="AX144" s="3">
        <f>(AX145/(AX$5-AW$5))*AX$15</f>
        <v>0</v>
      </c>
      <c r="AY144" s="3">
        <f>(AY145/(AY$5-AX$5))*AY$15</f>
        <v>0</v>
      </c>
      <c r="AZ144" s="3">
        <f>(AZ145/(AZ$5-AY$5))*AZ$15</f>
        <v>0</v>
      </c>
      <c r="BA144" s="3">
        <f>AZ144</f>
        <v>0</v>
      </c>
      <c r="BB144" s="3">
        <f>(BB145/(BB$5-BA$5))*BB$15</f>
        <v>0</v>
      </c>
      <c r="BC144" s="3">
        <f>(BC145/(BC$5-BB$5))*BC$15</f>
        <v>0</v>
      </c>
      <c r="BD144" s="3">
        <f>(BD145/(BD$5-BC$5))*BD$15</f>
        <v>0</v>
      </c>
      <c r="BE144" s="3">
        <f>(BE145/(BE$5-BD$5))*BE$15</f>
        <v>0</v>
      </c>
      <c r="BF144" s="3">
        <f>BE144</f>
        <v>0</v>
      </c>
      <c r="BG144" s="3">
        <f>(BG145/(BG$5-BF$5))*BG$15</f>
        <v>0</v>
      </c>
      <c r="BH144" s="3">
        <f>(BH145/(BH$5-BG$5))*BH$15</f>
        <v>0</v>
      </c>
      <c r="BI144" s="3">
        <f>(BI145/(BI$5-BH$5))*BI$15</f>
        <v>0</v>
      </c>
      <c r="BJ144" s="3">
        <f>(BJ145/(BJ$5-BI$5))*BJ$15</f>
        <v>0</v>
      </c>
      <c r="BK144" s="3">
        <f>BJ144</f>
        <v>0</v>
      </c>
      <c r="BL144" s="3">
        <f>(BL145/(BL$5-BK$5))*BL$15</f>
        <v>0</v>
      </c>
      <c r="BM144" s="3">
        <f>(BM145/(BM$5-BL$5))*BM$15</f>
        <v>0</v>
      </c>
      <c r="BN144" s="3">
        <f>(BN145/(BN$5-BM$5))*BN$15</f>
        <v>0</v>
      </c>
      <c r="BO144" s="3">
        <f>(BO145/(BO$5-BN$5))*BO$15</f>
        <v>0</v>
      </c>
      <c r="BP144" s="3">
        <f>BO144</f>
        <v>0</v>
      </c>
      <c r="BQ144" s="3">
        <f>(BQ145/(BQ$5-BP$5))*BQ$15</f>
        <v>0</v>
      </c>
      <c r="BR144" s="3">
        <f>(BR145/(BR$5-BQ$5))*BR$15</f>
        <v>0</v>
      </c>
      <c r="BS144" s="3">
        <f>(BS145/(BS$5-BR$5))*BS$15</f>
        <v>0</v>
      </c>
      <c r="BT144" s="3">
        <f>(BT145/(BT$5-BS$5))*BT$15</f>
        <v>0</v>
      </c>
      <c r="BU144" s="3">
        <f>BT144</f>
        <v>0</v>
      </c>
      <c r="BV144" s="3">
        <f>(BV145/(BV$5-BU$5))*BV$15</f>
        <v>0</v>
      </c>
      <c r="BW144" s="3">
        <f>(BW145/(BW$5-BV$5))*BW$15</f>
        <v>0</v>
      </c>
      <c r="BX144" s="3">
        <f>(BX145/(BX$5-BW$5))*BX$15</f>
        <v>0</v>
      </c>
      <c r="BY144" s="3">
        <f>(BY145/(BY$5-BX$5))*BY$15</f>
        <v>0</v>
      </c>
      <c r="BZ144" s="3">
        <f>BY144</f>
        <v>0</v>
      </c>
      <c r="CA144" s="3">
        <f>(CA145/(CA$5-BZ$5))*CA$15</f>
        <v>0</v>
      </c>
      <c r="CB144" s="3">
        <f>(CB145/(CB$5-CA$5))*CB$15</f>
        <v>0</v>
      </c>
      <c r="CC144" s="3">
        <f>(CC145/(CC$5-CB$5))*CC$15</f>
        <v>0</v>
      </c>
      <c r="CD144" s="3">
        <f>(CD145/(CD$5-CC$5))*CD$15</f>
        <v>0</v>
      </c>
      <c r="CE144" s="3">
        <f>CD144</f>
        <v>0</v>
      </c>
      <c r="CF144" s="3">
        <f>(CF145/(CF$5-CE$5))*CF$15</f>
        <v>0</v>
      </c>
      <c r="CG144" s="3">
        <f>(CG145/(CG$5-CF$5))*CG$15</f>
        <v>0</v>
      </c>
      <c r="CH144" s="3">
        <f>(CH145/(CH$5-CG$5))*CH$15</f>
        <v>0</v>
      </c>
      <c r="CI144" s="3">
        <f>(CI145/(CI$5-CH$5))*CI$15</f>
        <v>0</v>
      </c>
      <c r="CJ144" s="3">
        <f>CI144</f>
        <v>0</v>
      </c>
      <c r="CK144" s="3">
        <f>(CK145/(CK$5-CJ$5))*CK$15</f>
        <v>0</v>
      </c>
      <c r="CL144" s="3">
        <f>(CL145/(CL$5-CK$5))*CL$15</f>
        <v>0</v>
      </c>
      <c r="CM144" s="3">
        <f>(CM145/(CM$5-CL$5))*CM$15</f>
        <v>0</v>
      </c>
      <c r="CN144" s="3">
        <f>(CN145/(CN$5-CM$5))*CN$15</f>
        <v>0</v>
      </c>
      <c r="CO144" s="3">
        <f>CN144</f>
        <v>0</v>
      </c>
      <c r="CP144" s="3">
        <f>(CP145/(CP$5-CO$5))*CP$15</f>
        <v>0</v>
      </c>
      <c r="CQ144" s="3">
        <f>(CQ145/(CQ$5-CP$5))*CQ$15</f>
        <v>0</v>
      </c>
      <c r="CR144" s="3">
        <f>(CR145/(CR$5-CQ$5))*CR$15</f>
        <v>0</v>
      </c>
      <c r="CS144" s="3">
        <f>(CS145/(CS$5-CR$5))*CS$15</f>
        <v>0</v>
      </c>
      <c r="CT144" s="3">
        <f>CS144</f>
        <v>0</v>
      </c>
      <c r="CU144" s="3">
        <f>(CU145/(CU$5-CT$5))*CU$15</f>
        <v>0</v>
      </c>
      <c r="CV144" s="3">
        <f>(CV145/(CV$5-CU$5))*CV$15</f>
        <v>0</v>
      </c>
      <c r="CW144" s="3">
        <f>(CW145/(CW$5-CV$5))*CW$15</f>
        <v>0</v>
      </c>
      <c r="CX144" s="3">
        <f>(CX145/(CX$5-CW$5))*CX$15</f>
        <v>0</v>
      </c>
      <c r="CY144" s="3">
        <f>CX144</f>
        <v>0</v>
      </c>
    </row>
    <row r="145" hidden="1" outlineLevel="1">
      <c r="C145" s="34" t="inlineStr">
        <is>
          <t>DSO</t>
        </is>
      </c>
      <c r="D145" s="3" t="n"/>
      <c r="E145" s="3">
        <f>(E144/E$15)*(E$5-D$5)</f>
        <v>49.0543197102949</v>
      </c>
      <c r="F145" s="3">
        <f>(F144/F$15)*(F$5-E$5)</f>
        <v>49.5624206517139</v>
      </c>
      <c r="G145" s="3">
        <f>(G144/G$15)*(G$5-F$5)</f>
        <v>44.666799920048</v>
      </c>
      <c r="H145" s="3" t="n"/>
      <c r="I145" s="3">
        <f>(I144/I$15)*(I$5-H$5)</f>
        <v>48.0763116057234</v>
      </c>
      <c r="J145" s="3">
        <f>(J144/J$15)*(J$5-I$5)</f>
        <v>50.1499923159674</v>
      </c>
      <c r="K145" s="3">
        <f>(K144/K$15)*(K$5-J$5)</f>
        <v>51.2132901590877</v>
      </c>
      <c r="L145" s="3">
        <f>(L144/L$15)*(L$5-K$5)</f>
        <v>55.9727855554102</v>
      </c>
      <c r="M145" s="3" t="n"/>
      <c r="N145" s="3">
        <f>(N144/N$15)*(N$5-M$5)</f>
        <v>59.0516409266409</v>
      </c>
      <c r="O145" s="3">
        <f>(O144/O$15)*(O$5-N$5)</f>
        <v>72.1728818615752</v>
      </c>
      <c r="P145" s="3">
        <f>(P144/P$15)*(P$5-O$5)</f>
        <v>76.1315123925139</v>
      </c>
      <c r="Q145" s="3">
        <f>(Q144/Q$15)*(Q$5-P$5)</f>
        <v>58.1860849446373</v>
      </c>
      <c r="R145" s="3" t="n"/>
      <c r="S145" s="3">
        <f>(S144/S$15)*(S$5-R$5)</f>
        <v>51.0567296996663</v>
      </c>
      <c r="T145" s="3">
        <f>(T144/T$15)*(T$5-S$5)</f>
        <v>47.6053897978826</v>
      </c>
      <c r="U145" s="3">
        <f>(U144/U$15)*(U$5-T$5)</f>
        <v>42.1869757174393</v>
      </c>
      <c r="V145" s="3">
        <f>(V144/V$15)*(V$5-U$5)</f>
        <v>41.6191467221644</v>
      </c>
      <c r="W145" s="3" t="n"/>
      <c r="X145" s="3">
        <f>(X144/X$15)*(X$5-W$5)</f>
        <v>43.2043848871141</v>
      </c>
      <c r="Y145" s="3">
        <f>(Y144/Y$15)*(Y$5-X$5)</f>
        <v>42.8099866844208</v>
      </c>
      <c r="Z145" s="3">
        <f>(Z144/Z$15)*(Z$5-Y$5)</f>
        <v>46.3986089732627</v>
      </c>
      <c r="AA145" s="3">
        <f>(AA144/AA$15)*(AA$5-Z$5)</f>
        <v>53.9518446009509</v>
      </c>
      <c r="AB145" s="3" t="n"/>
      <c r="AC145" s="3">
        <f>(AC144/AC$15)*(AC$5-AB$5)</f>
        <v>45.2063002133358</v>
      </c>
      <c r="AD145" s="3">
        <f>(AD144/AD$15)*(AD$5-AC$5)</f>
        <v>54.137047258413</v>
      </c>
      <c r="AE145" s="3">
        <f>(AE144/AE$15)*(AE$5-AD$5)</f>
        <v>53.8885731326527</v>
      </c>
      <c r="AF145" s="6">
        <f>(AF144/AF$15)*(AF$5-AE$5)</f>
        <v>51.9452199568453</v>
      </c>
      <c r="AG145" s="3" t="n"/>
      <c r="AH145" s="6">
        <f>(AH144/AH$15)*(AH$5-AG$5)</f>
        <v>44.8924829994486</v>
      </c>
      <c r="AI145" s="6">
        <f>(AI144/AI$15)*(AI$5-AH$5)</f>
        <v>59.6373868490246</v>
      </c>
      <c r="AJ145" s="6" t="n"/>
      <c r="AK145" s="6" t="n"/>
      <c r="AL145" s="3" t="n"/>
      <c r="AM145" s="6" t="n"/>
      <c r="AN145" s="6" t="n"/>
      <c r="AO145" s="6" t="n"/>
      <c r="AP145" s="6" t="n"/>
      <c r="AQ145" s="3" t="n"/>
      <c r="AR145" s="6" t="n"/>
      <c r="AS145" s="6" t="n"/>
      <c r="AT145" s="6" t="n"/>
      <c r="AU145" s="6" t="n"/>
      <c r="AV145" s="3" t="n"/>
      <c r="AW145" s="6" t="n"/>
      <c r="AX145" s="6" t="n"/>
      <c r="AY145" s="6" t="n"/>
      <c r="AZ145" s="6" t="n"/>
      <c r="BA145" s="3" t="n"/>
      <c r="BB145" s="6" t="n"/>
      <c r="BC145" s="6" t="n"/>
      <c r="BD145" s="6" t="n"/>
      <c r="BE145" s="6" t="n"/>
      <c r="BF145" s="3" t="n"/>
      <c r="BG145" s="6" t="n"/>
      <c r="BH145" s="6" t="n"/>
      <c r="BI145" s="6" t="n"/>
      <c r="BJ145" s="6" t="n"/>
      <c r="BK145" s="3" t="n"/>
      <c r="BL145" s="6" t="n"/>
      <c r="BM145" s="6" t="n"/>
      <c r="BN145" s="6" t="n"/>
      <c r="BO145" s="6" t="n"/>
      <c r="BP145" s="3" t="n"/>
      <c r="BQ145" s="6" t="n"/>
      <c r="BR145" s="6" t="n"/>
      <c r="BS145" s="6" t="n"/>
      <c r="BT145" s="6" t="n"/>
      <c r="BU145" s="3" t="n"/>
      <c r="BV145" s="6" t="n"/>
      <c r="BW145" s="6" t="n"/>
      <c r="BX145" s="6" t="n"/>
      <c r="BY145" s="6" t="n"/>
      <c r="BZ145" s="3" t="n"/>
      <c r="CA145" s="6" t="n"/>
      <c r="CB145" s="6" t="n"/>
      <c r="CC145" s="6" t="n"/>
      <c r="CD145" s="6" t="n"/>
      <c r="CE145" s="3" t="n"/>
      <c r="CF145" s="6" t="n"/>
      <c r="CG145" s="6" t="n"/>
      <c r="CH145" s="6" t="n"/>
      <c r="CI145" s="6" t="n"/>
      <c r="CJ145" s="3" t="n"/>
      <c r="CK145" s="6" t="n"/>
      <c r="CL145" s="6" t="n"/>
      <c r="CM145" s="6" t="n"/>
      <c r="CN145" s="6" t="n"/>
      <c r="CO145" s="3" t="n"/>
      <c r="CP145" s="6" t="n"/>
      <c r="CQ145" s="6" t="n"/>
      <c r="CR145" s="6" t="n"/>
      <c r="CS145" s="6" t="n"/>
      <c r="CT145" s="3" t="n"/>
      <c r="CU145" s="6" t="n"/>
      <c r="CV145" s="6" t="n"/>
      <c r="CW145" s="6" t="n"/>
      <c r="CX145" s="6" t="n"/>
      <c r="CY145" s="3" t="n"/>
    </row>
    <row r="146" hidden="1" outlineLevel="1">
      <c r="C146" s="34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  <c r="AG146" s="3" t="n"/>
      <c r="AH146" s="3" t="n"/>
      <c r="AI146" s="3" t="n"/>
      <c r="AJ146" s="3" t="n"/>
      <c r="AK146" s="3" t="n"/>
      <c r="AL146" s="3" t="n"/>
      <c r="AM146" s="3" t="n"/>
      <c r="AN146" s="3" t="n"/>
      <c r="AO146" s="3" t="n"/>
      <c r="AP146" s="3" t="n"/>
      <c r="AQ146" s="3" t="n"/>
      <c r="AR146" s="3" t="n"/>
      <c r="AS146" s="3" t="n"/>
      <c r="AT146" s="3" t="n"/>
      <c r="AU146" s="3" t="n"/>
      <c r="AV146" s="3" t="n"/>
      <c r="AW146" s="3" t="n"/>
      <c r="AX146" s="3" t="n"/>
      <c r="AY146" s="3" t="n"/>
      <c r="AZ146" s="3" t="n"/>
      <c r="BA146" s="3" t="n"/>
      <c r="BB146" s="3" t="n"/>
      <c r="BC146" s="3" t="n"/>
      <c r="BD146" s="3" t="n"/>
      <c r="BE146" s="3" t="n"/>
      <c r="BF146" s="3" t="n"/>
      <c r="BG146" s="3" t="n"/>
      <c r="BH146" s="3" t="n"/>
      <c r="BI146" s="3" t="n"/>
      <c r="BJ146" s="3" t="n"/>
      <c r="BK146" s="3" t="n"/>
      <c r="BL146" s="3" t="n"/>
      <c r="BM146" s="3" t="n"/>
      <c r="BN146" s="3" t="n"/>
      <c r="BO146" s="3" t="n"/>
      <c r="BP146" s="3" t="n"/>
      <c r="BQ146" s="3" t="n"/>
      <c r="BR146" s="3" t="n"/>
      <c r="BS146" s="3" t="n"/>
      <c r="BT146" s="3" t="n"/>
      <c r="BU146" s="3" t="n"/>
      <c r="BV146" s="3" t="n"/>
      <c r="BW146" s="3" t="n"/>
      <c r="BX146" s="3" t="n"/>
      <c r="BY146" s="3" t="n"/>
      <c r="BZ146" s="3" t="n"/>
      <c r="CA146" s="3" t="n"/>
      <c r="CB146" s="3" t="n"/>
      <c r="CC146" s="3" t="n"/>
      <c r="CD146" s="3" t="n"/>
      <c r="CE146" s="3" t="n"/>
      <c r="CF146" s="3" t="n"/>
      <c r="CG146" s="3" t="n"/>
      <c r="CH146" s="3" t="n"/>
      <c r="CI146" s="3" t="n"/>
      <c r="CJ146" s="3" t="n"/>
      <c r="CK146" s="3" t="n"/>
      <c r="CL146" s="3" t="n"/>
      <c r="CM146" s="3" t="n"/>
      <c r="CN146" s="3" t="n"/>
      <c r="CO146" s="3" t="n"/>
      <c r="CP146" s="3" t="n"/>
      <c r="CQ146" s="3" t="n"/>
      <c r="CR146" s="3" t="n"/>
      <c r="CS146" s="3" t="n"/>
      <c r="CT146" s="3" t="n"/>
      <c r="CU146" s="3" t="n"/>
      <c r="CV146" s="3" t="n"/>
      <c r="CW146" s="3" t="n"/>
      <c r="CX146" s="3" t="n"/>
      <c r="CY146" s="3" t="n"/>
    </row>
    <row r="147" hidden="1" outlineLevel="1">
      <c r="C147" s="34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  <c r="AD147" s="3" t="n"/>
      <c r="AE147" s="3" t="n"/>
      <c r="AF147" s="3" t="n"/>
      <c r="AG147" s="3" t="n"/>
      <c r="AH147" s="3" t="n"/>
      <c r="AI147" s="3" t="n"/>
      <c r="AJ147" s="3" t="n"/>
      <c r="AK147" s="3" t="n"/>
      <c r="AL147" s="3" t="n"/>
      <c r="AM147" s="3" t="n"/>
      <c r="AN147" s="3" t="n"/>
      <c r="AO147" s="3" t="n"/>
      <c r="AP147" s="3" t="n"/>
      <c r="AQ147" s="3" t="n"/>
      <c r="AR147" s="3" t="n"/>
      <c r="AS147" s="3" t="n"/>
      <c r="AT147" s="3" t="n"/>
      <c r="AU147" s="3" t="n"/>
      <c r="AV147" s="3" t="n"/>
      <c r="AW147" s="3" t="n"/>
      <c r="AX147" s="3" t="n"/>
      <c r="AY147" s="3" t="n"/>
      <c r="AZ147" s="3" t="n"/>
      <c r="BA147" s="3" t="n"/>
      <c r="BB147" s="3" t="n"/>
      <c r="BC147" s="3" t="n"/>
      <c r="BD147" s="3" t="n"/>
      <c r="BE147" s="3" t="n"/>
      <c r="BF147" s="3" t="n"/>
      <c r="BG147" s="3" t="n"/>
      <c r="BH147" s="3" t="n"/>
      <c r="BI147" s="3" t="n"/>
      <c r="BJ147" s="3" t="n"/>
      <c r="BK147" s="3" t="n"/>
      <c r="BL147" s="3" t="n"/>
      <c r="BM147" s="3" t="n"/>
      <c r="BN147" s="3" t="n"/>
      <c r="BO147" s="3" t="n"/>
      <c r="BP147" s="3" t="n"/>
      <c r="BQ147" s="3" t="n"/>
      <c r="BR147" s="3" t="n"/>
      <c r="BS147" s="3" t="n"/>
      <c r="BT147" s="3" t="n"/>
      <c r="BU147" s="3" t="n"/>
      <c r="BV147" s="3" t="n"/>
      <c r="BW147" s="3" t="n"/>
      <c r="BX147" s="3" t="n"/>
      <c r="BY147" s="3" t="n"/>
      <c r="BZ147" s="3" t="n"/>
      <c r="CA147" s="3" t="n"/>
      <c r="CB147" s="3" t="n"/>
      <c r="CC147" s="3" t="n"/>
      <c r="CD147" s="3" t="n"/>
      <c r="CE147" s="3" t="n"/>
      <c r="CF147" s="3" t="n"/>
      <c r="CG147" s="3" t="n"/>
      <c r="CH147" s="3" t="n"/>
      <c r="CI147" s="3" t="n"/>
      <c r="CJ147" s="3" t="n"/>
      <c r="CK147" s="3" t="n"/>
      <c r="CL147" s="3" t="n"/>
      <c r="CM147" s="3" t="n"/>
      <c r="CN147" s="3" t="n"/>
      <c r="CO147" s="3" t="n"/>
      <c r="CP147" s="3" t="n"/>
      <c r="CQ147" s="3" t="n"/>
      <c r="CR147" s="3" t="n"/>
      <c r="CS147" s="3" t="n"/>
      <c r="CT147" s="3" t="n"/>
      <c r="CU147" s="3" t="n"/>
      <c r="CV147" s="3" t="n"/>
      <c r="CW147" s="3" t="n"/>
      <c r="CX147" s="3" t="n"/>
      <c r="CY147" s="3" t="n"/>
    </row>
    <row r="148" collapsed="1">
      <c r="C148" s="26" t="inlineStr">
        <is>
          <t>Inventories</t>
        </is>
      </c>
      <c r="D148" s="25">
        <f>INDEX('Inputs (2)'!$D$17:$AL$17,MATCH(D$7,'Inputs (2)'!$D$2:$AL$2,0))</f>
        <v>1128</v>
      </c>
      <c r="E148" s="25">
        <f>INDEX('Inputs (2)'!$D$17:$AL$17,MATCH(E$7,'Inputs (2)'!$D$2:$AL$2,0))</f>
        <v>1401</v>
      </c>
      <c r="F148" s="25">
        <f>INDEX('Inputs (2)'!$D$17:$AL$17,MATCH(F$7,'Inputs (2)'!$D$2:$AL$2,0))</f>
        <v>1495</v>
      </c>
      <c r="G148" s="25">
        <f>INDEX('Inputs (2)'!$D$17:$AL$17,MATCH(G$7,'Inputs (2)'!$D$2:$AL$2,0))</f>
        <v>1826</v>
      </c>
      <c r="H148" s="3">
        <f>G148</f>
        <v>1826</v>
      </c>
      <c r="I148" s="25">
        <f>INDEX('Inputs (2)'!$D$17:$AL$17,MATCH(I$7,'Inputs (2)'!$D$2:$AL$2,0))</f>
        <v>1992</v>
      </c>
      <c r="J148" s="25">
        <f>INDEX('Inputs (2)'!$D$17:$AL$17,MATCH(J$7,'Inputs (2)'!$D$2:$AL$2,0))</f>
        <v>2114</v>
      </c>
      <c r="K148" s="25">
        <f>INDEX('Inputs (2)'!$D$17:$AL$17,MATCH(K$7,'Inputs (2)'!$D$2:$AL$2,0))</f>
        <v>2233</v>
      </c>
      <c r="L148" s="25">
        <f>INDEX('Inputs (2)'!$D$17:$AL$17,MATCH(L$7,'Inputs (2)'!$D$2:$AL$2,0))</f>
        <v>2605</v>
      </c>
      <c r="M148" s="3">
        <f>L148</f>
        <v>2605</v>
      </c>
      <c r="N148" s="25">
        <f>INDEX('Inputs (2)'!$D$17:$AL$17,MATCH(N$7,'Inputs (2)'!$D$2:$AL$2,0))</f>
        <v>3163</v>
      </c>
      <c r="O148" s="25">
        <f>INDEX('Inputs (2)'!$D$17:$AL$17,MATCH(O$7,'Inputs (2)'!$D$2:$AL$2,0))</f>
        <v>3889</v>
      </c>
      <c r="P148" s="25">
        <f>INDEX('Inputs (2)'!$D$17:$AL$17,MATCH(P$7,'Inputs (2)'!$D$2:$AL$2,0))</f>
        <v>4454</v>
      </c>
      <c r="Q148" s="25">
        <f>INDEX('Inputs (2)'!$D$17:$AL$17,MATCH(Q$7,'Inputs (2)'!$D$2:$AL$2,0))</f>
        <v>5159</v>
      </c>
      <c r="R148" s="3">
        <f>Q148</f>
        <v>5159</v>
      </c>
      <c r="S148" s="25">
        <f>INDEX('Inputs (2)'!$D$17:$AL$17,MATCH(S$7,'Inputs (2)'!$D$2:$AL$2,0))</f>
        <v>4611</v>
      </c>
      <c r="T148" s="25">
        <f>INDEX('Inputs (2)'!$D$17:$AL$17,MATCH(T$7,'Inputs (2)'!$D$2:$AL$2,0))</f>
        <v>4319</v>
      </c>
      <c r="U148" s="25">
        <f>INDEX('Inputs (2)'!$D$17:$AL$17,MATCH(U$7,'Inputs (2)'!$D$2:$AL$2,0))</f>
        <v>4779</v>
      </c>
      <c r="V148" s="25">
        <f>INDEX('Inputs (2)'!$D$17:$AL$17,MATCH(V$7,'Inputs (2)'!$D$2:$AL$2,0))</f>
        <v>5282</v>
      </c>
      <c r="W148" s="3">
        <f>V148</f>
        <v>5282</v>
      </c>
      <c r="X148" s="25">
        <f>INDEX('Inputs (2)'!$D$17:$AL$17,MATCH(X$7,'Inputs (2)'!$D$2:$AL$2,0))</f>
        <v>5864</v>
      </c>
      <c r="Y148" s="25">
        <f>INDEX('Inputs (2)'!$D$17:$AL$17,MATCH(Y$7,'Inputs (2)'!$D$2:$AL$2,0))</f>
        <v>6675</v>
      </c>
      <c r="Z148" s="25">
        <f>INDEX('Inputs (2)'!$D$17:$AL$17,MATCH(Z$7,'Inputs (2)'!$D$2:$AL$2,0))</f>
        <v>7654</v>
      </c>
      <c r="AA148" s="25">
        <f>INDEX('Inputs (2)'!$D$17:$AL$17,MATCH(AA$7,'Inputs (2)'!$D$2:$AL$2,0))</f>
        <v>10080</v>
      </c>
      <c r="AB148" s="3">
        <f>AA148</f>
        <v>10080</v>
      </c>
      <c r="AC148" s="25">
        <f>INDEX('Inputs (2)'!$D$17:$AL$17,MATCH(AC$7,'Inputs (2)'!$D$2:$AL$2,0))</f>
        <v>11333</v>
      </c>
      <c r="AD148" s="25">
        <f>INDEX('Inputs (2)'!$D$17:$AL$17,MATCH(AD$7,'Inputs (2)'!$D$2:$AL$2,0))</f>
        <v>14962</v>
      </c>
      <c r="AE148" s="25">
        <f>INDEX('Inputs (2)'!$D$17:$AL$17,MATCH(AE$7,'Inputs (2)'!$D$2:$AL$2,0))</f>
        <v>19784</v>
      </c>
      <c r="AF148" s="25">
        <f>INDEX('Inputs (2)'!$D$17:$AL$17,MATCH(AF$7,'Inputs (2)'!$D$2:$AL$2,0))</f>
        <v>21403</v>
      </c>
      <c r="AG148" s="3">
        <f>AF148</f>
        <v>21403</v>
      </c>
      <c r="AH148" s="3">
        <f>INDEX('Inputs (2)'!$D$17:$AL$17,MATCH(AH$7,'Inputs (2)'!$D$2:$AL$2,0))</f>
        <v>25797</v>
      </c>
      <c r="AI148" s="3">
        <f>INDEX('Inputs (2)'!$D$17:$AL$17,MATCH(AI$7,'Inputs (2)'!$D$2:$AL$2,0))</f>
        <v>31575</v>
      </c>
      <c r="AJ148" s="3">
        <f>(AJ149/(AJ$5-AI$5))*-AJ$53</f>
        <v>0</v>
      </c>
      <c r="AK148" s="3">
        <f>(AK149/(AK$5-AJ$5))*-AK$53</f>
        <v>0</v>
      </c>
      <c r="AL148" s="3">
        <f>AK148</f>
        <v>0</v>
      </c>
      <c r="AM148" s="3">
        <f>(AM149/(AM$5-AL$5))*-AM$53</f>
        <v>0</v>
      </c>
      <c r="AN148" s="3">
        <f>(AN149/(AN$5-AM$5))*-AN$53</f>
        <v>0</v>
      </c>
      <c r="AO148" s="3">
        <f>(AO149/(AO$5-AN$5))*-AO$53</f>
        <v>0</v>
      </c>
      <c r="AP148" s="3">
        <f>(AP149/(AP$5-AO$5))*-AP$53</f>
        <v>0</v>
      </c>
      <c r="AQ148" s="3">
        <f>AP148</f>
        <v>0</v>
      </c>
      <c r="AR148" s="3">
        <f>(AR149/(AR$5-AQ$5))*-AR$53</f>
        <v>0</v>
      </c>
      <c r="AS148" s="3">
        <f>(AS149/(AS$5-AR$5))*-AS$53</f>
        <v>0</v>
      </c>
      <c r="AT148" s="3">
        <f>(AT149/(AT$5-AS$5))*-AT$53</f>
        <v>0</v>
      </c>
      <c r="AU148" s="3">
        <f>(AU149/(AU$5-AT$5))*-AU$53</f>
        <v>0</v>
      </c>
      <c r="AV148" s="3">
        <f>AU148</f>
        <v>0</v>
      </c>
      <c r="AW148" s="3">
        <f>(AW149/(AW$5-AV$5))*-AW$53</f>
        <v>0</v>
      </c>
      <c r="AX148" s="3">
        <f>(AX149/(AX$5-AW$5))*-AX$53</f>
        <v>0</v>
      </c>
      <c r="AY148" s="3">
        <f>(AY149/(AY$5-AX$5))*-AY$53</f>
        <v>0</v>
      </c>
      <c r="AZ148" s="3">
        <f>(AZ149/(AZ$5-AY$5))*-AZ$53</f>
        <v>0</v>
      </c>
      <c r="BA148" s="3">
        <f>AZ148</f>
        <v>0</v>
      </c>
      <c r="BB148" s="3">
        <f>(BB149/(BB$5-BA$5))*-BB$53</f>
        <v>0</v>
      </c>
      <c r="BC148" s="3">
        <f>(BC149/(BC$5-BB$5))*-BC$53</f>
        <v>0</v>
      </c>
      <c r="BD148" s="3">
        <f>(BD149/(BD$5-BC$5))*-BD$53</f>
        <v>0</v>
      </c>
      <c r="BE148" s="3">
        <f>(BE149/(BE$5-BD$5))*-BE$53</f>
        <v>0</v>
      </c>
      <c r="BF148" s="3">
        <f>BE148</f>
        <v>0</v>
      </c>
      <c r="BG148" s="3">
        <f>(BG149/(BG$5-BF$5))*-BG$53</f>
        <v>0</v>
      </c>
      <c r="BH148" s="3">
        <f>(BH149/(BH$5-BG$5))*-BH$53</f>
        <v>0</v>
      </c>
      <c r="BI148" s="3">
        <f>(BI149/(BI$5-BH$5))*-BI$53</f>
        <v>0</v>
      </c>
      <c r="BJ148" s="3">
        <f>(BJ149/(BJ$5-BI$5))*-BJ$53</f>
        <v>0</v>
      </c>
      <c r="BK148" s="3">
        <f>BJ148</f>
        <v>0</v>
      </c>
      <c r="BL148" s="3">
        <f>(BL149/(BL$5-BK$5))*-BL$53</f>
        <v>0</v>
      </c>
      <c r="BM148" s="3">
        <f>(BM149/(BM$5-BL$5))*-BM$53</f>
        <v>0</v>
      </c>
      <c r="BN148" s="3">
        <f>(BN149/(BN$5-BM$5))*-BN$53</f>
        <v>0</v>
      </c>
      <c r="BO148" s="3">
        <f>(BO149/(BO$5-BN$5))*-BO$53</f>
        <v>0</v>
      </c>
      <c r="BP148" s="3">
        <f>BO148</f>
        <v>0</v>
      </c>
      <c r="BQ148" s="3">
        <f>(BQ149/(BQ$5-BP$5))*-BQ$53</f>
        <v>0</v>
      </c>
      <c r="BR148" s="3">
        <f>(BR149/(BR$5-BQ$5))*-BR$53</f>
        <v>0</v>
      </c>
      <c r="BS148" s="3">
        <f>(BS149/(BS$5-BR$5))*-BS$53</f>
        <v>0</v>
      </c>
      <c r="BT148" s="3">
        <f>(BT149/(BT$5-BS$5))*-BT$53</f>
        <v>0</v>
      </c>
      <c r="BU148" s="3">
        <f>BT148</f>
        <v>0</v>
      </c>
      <c r="BV148" s="3">
        <f>(BV149/(BV$5-BU$5))*-BV$53</f>
        <v>0</v>
      </c>
      <c r="BW148" s="3">
        <f>(BW149/(BW$5-BV$5))*-BW$53</f>
        <v>0</v>
      </c>
      <c r="BX148" s="3">
        <f>(BX149/(BX$5-BW$5))*-BX$53</f>
        <v>0</v>
      </c>
      <c r="BY148" s="3">
        <f>(BY149/(BY$5-BX$5))*-BY$53</f>
        <v>0</v>
      </c>
      <c r="BZ148" s="3">
        <f>BY148</f>
        <v>0</v>
      </c>
      <c r="CA148" s="3">
        <f>(CA149/(CA$5-BZ$5))*-CA$53</f>
        <v>0</v>
      </c>
      <c r="CB148" s="3">
        <f>(CB149/(CB$5-CA$5))*-CB$53</f>
        <v>0</v>
      </c>
      <c r="CC148" s="3">
        <f>(CC149/(CC$5-CB$5))*-CC$53</f>
        <v>0</v>
      </c>
      <c r="CD148" s="3">
        <f>(CD149/(CD$5-CC$5))*-CD$53</f>
        <v>0</v>
      </c>
      <c r="CE148" s="3">
        <f>CD148</f>
        <v>0</v>
      </c>
      <c r="CF148" s="3">
        <f>(CF149/(CF$5-CE$5))*-CF$53</f>
        <v>0</v>
      </c>
      <c r="CG148" s="3">
        <f>(CG149/(CG$5-CF$5))*-CG$53</f>
        <v>0</v>
      </c>
      <c r="CH148" s="3">
        <f>(CH149/(CH$5-CG$5))*-CH$53</f>
        <v>0</v>
      </c>
      <c r="CI148" s="3">
        <f>(CI149/(CI$5-CH$5))*-CI$53</f>
        <v>0</v>
      </c>
      <c r="CJ148" s="3">
        <f>CI148</f>
        <v>0</v>
      </c>
      <c r="CK148" s="3">
        <f>(CK149/(CK$5-CJ$5))*-CK$53</f>
        <v>0</v>
      </c>
      <c r="CL148" s="3">
        <f>(CL149/(CL$5-CK$5))*-CL$53</f>
        <v>0</v>
      </c>
      <c r="CM148" s="3">
        <f>(CM149/(CM$5-CL$5))*-CM$53</f>
        <v>0</v>
      </c>
      <c r="CN148" s="3">
        <f>(CN149/(CN$5-CM$5))*-CN$53</f>
        <v>0</v>
      </c>
      <c r="CO148" s="3">
        <f>CN148</f>
        <v>0</v>
      </c>
      <c r="CP148" s="3">
        <f>(CP149/(CP$5-CO$5))*-CP$53</f>
        <v>0</v>
      </c>
      <c r="CQ148" s="3">
        <f>(CQ149/(CQ$5-CP$5))*-CQ$53</f>
        <v>0</v>
      </c>
      <c r="CR148" s="3">
        <f>(CR149/(CR$5-CQ$5))*-CR$53</f>
        <v>0</v>
      </c>
      <c r="CS148" s="3">
        <f>(CS149/(CS$5-CR$5))*-CS$53</f>
        <v>0</v>
      </c>
      <c r="CT148" s="3">
        <f>CS148</f>
        <v>0</v>
      </c>
      <c r="CU148" s="3">
        <f>(CU149/(CU$5-CT$5))*-CU$53</f>
        <v>0</v>
      </c>
      <c r="CV148" s="3">
        <f>(CV149/(CV$5-CU$5))*-CV$53</f>
        <v>0</v>
      </c>
      <c r="CW148" s="3">
        <f>(CW149/(CW$5-CV$5))*-CW$53</f>
        <v>0</v>
      </c>
      <c r="CX148" s="3">
        <f>(CX149/(CX$5-CW$5))*-CX$53</f>
        <v>0</v>
      </c>
      <c r="CY148" s="3">
        <f>CX148</f>
        <v>0</v>
      </c>
    </row>
    <row r="149" hidden="1" outlineLevel="1">
      <c r="C149" s="34" t="inlineStr">
        <is>
          <t>DIO</t>
        </is>
      </c>
      <c r="D149" s="3" t="n"/>
      <c r="E149" s="3">
        <f>((E148/E$53)*(E$5-D$5))*-1</f>
        <v>80.1326209930861</v>
      </c>
      <c r="F149" s="3">
        <f>((F148/F$53)*(F$5-E$5))*-1</f>
        <v>77.8822197055493</v>
      </c>
      <c r="G149" s="3">
        <f>((G148/G$53)*(G$5-F$5))*-1</f>
        <v>90.9539794260964</v>
      </c>
      <c r="H149" s="3" t="n"/>
      <c r="I149" s="3">
        <f>((I148/I$53)*(I$5-H$5))*-1</f>
        <v>88.2283464566929</v>
      </c>
      <c r="J149" s="3">
        <f>((J148/J$53)*(J$5-I$5))*-1</f>
        <v>83.9328097731239</v>
      </c>
      <c r="K149" s="3">
        <f>((K148/K$53)*(K$5-J$5))*-1</f>
        <v>83.1051779935275</v>
      </c>
      <c r="L149" s="3">
        <f>((L148/L$53)*(L$5-K$5))*-1</f>
        <v>90.642965204236</v>
      </c>
      <c r="M149" s="3" t="n"/>
      <c r="N149" s="3">
        <f>((N148/N$53)*(N$5-M$5))*-1</f>
        <v>99.6394819740987</v>
      </c>
      <c r="O149" s="3">
        <f>((O148/O$53)*(O$5-N$5))*-1</f>
        <v>93.4016891000264</v>
      </c>
      <c r="P149" s="3">
        <f>((P148/P$53)*(P$5-O$5))*-1</f>
        <v>148.79012345679</v>
      </c>
      <c r="Q149" s="3">
        <f>((Q148/Q$53)*(Q$5-P$5))*-1</f>
        <v>213.989179440938</v>
      </c>
      <c r="R149" s="3" t="n"/>
      <c r="S149" s="3">
        <f>((S148/S$53)*(S$5-R$5))*-1</f>
        <v>163.125</v>
      </c>
      <c r="T149" s="3">
        <f>((T148/T$53)*(T$5-S$5))*-1</f>
        <v>97.1641532756489</v>
      </c>
      <c r="U149" s="3">
        <f>((U148/U$53)*(U$5-T$5))*-1</f>
        <v>93.15</v>
      </c>
      <c r="V149" s="3">
        <f>((V148/V$53)*(V$5-U$5))*-1</f>
        <v>91.480421686747</v>
      </c>
      <c r="W149" s="3" t="n"/>
      <c r="X149" s="3">
        <f>((X148/X$53)*(X$5-W$5))*-1</f>
        <v>94.647747428166</v>
      </c>
      <c r="Y149" s="3">
        <f>((Y148/Y$53)*(Y$5-X$5))*-1</f>
        <v>81.3588266809537</v>
      </c>
      <c r="Z149" s="3">
        <f>((Z148/Z$53)*(Z$5-Y$5))*-1</f>
        <v>78.8895361864217</v>
      </c>
      <c r="AA149" s="3">
        <f>((AA148/AA$53)*(AA$5-Z$5))*-1</f>
        <v>87.420814479638</v>
      </c>
      <c r="AB149" s="3" t="n"/>
      <c r="AC149" s="3">
        <f>((AC148/AC$53)*(AC$5-AB$5))*-1</f>
        <v>58.6391859261815</v>
      </c>
      <c r="AD149" s="3">
        <f>((AD148/AD$53)*(AD$5-AC$5))*-1</f>
        <v>105.627773467805</v>
      </c>
      <c r="AE149" s="3">
        <f>((AE148/AE$53)*(AE$5-AD$5))*-1</f>
        <v>120.08497723824</v>
      </c>
      <c r="AF149" s="6">
        <f>((AF148/AF$53)*(AF$5-AE$5))*-1</f>
        <v>115.596806387226</v>
      </c>
      <c r="AG149" s="3" t="n"/>
      <c r="AH149" s="6">
        <f>((AH148/AH$53)*(AH$5-AG$5))*-1</f>
        <v>113.487633199726</v>
      </c>
      <c r="AI149" s="6">
        <f>((AI148/AI$53)*(AI$5-AH$5))*-1</f>
        <v>119.329083433697</v>
      </c>
      <c r="AJ149" s="6" t="n"/>
      <c r="AK149" s="6" t="n"/>
      <c r="AL149" s="3" t="n"/>
      <c r="AM149" s="6" t="n"/>
      <c r="AN149" s="6" t="n"/>
      <c r="AO149" s="6" t="n"/>
      <c r="AP149" s="6" t="n"/>
      <c r="AQ149" s="3" t="n"/>
      <c r="AR149" s="6" t="n"/>
      <c r="AS149" s="6" t="n"/>
      <c r="AT149" s="6" t="n"/>
      <c r="AU149" s="6" t="n"/>
      <c r="AV149" s="3" t="n"/>
      <c r="AW149" s="6" t="n"/>
      <c r="AX149" s="6" t="n"/>
      <c r="AY149" s="6" t="n"/>
      <c r="AZ149" s="6" t="n"/>
      <c r="BA149" s="3" t="n"/>
      <c r="BB149" s="6" t="n"/>
      <c r="BC149" s="6" t="n"/>
      <c r="BD149" s="6" t="n"/>
      <c r="BE149" s="6" t="n"/>
      <c r="BF149" s="3" t="n"/>
      <c r="BG149" s="6" t="n"/>
      <c r="BH149" s="6" t="n"/>
      <c r="BI149" s="6" t="n"/>
      <c r="BJ149" s="6" t="n"/>
      <c r="BK149" s="3" t="n"/>
      <c r="BL149" s="6" t="n"/>
      <c r="BM149" s="6" t="n"/>
      <c r="BN149" s="6" t="n"/>
      <c r="BO149" s="6" t="n"/>
      <c r="BP149" s="3" t="n"/>
      <c r="BQ149" s="6" t="n"/>
      <c r="BR149" s="6" t="n"/>
      <c r="BS149" s="6" t="n"/>
      <c r="BT149" s="6" t="n"/>
      <c r="BU149" s="3" t="n"/>
      <c r="BV149" s="6" t="n"/>
      <c r="BW149" s="6" t="n"/>
      <c r="BX149" s="6" t="n"/>
      <c r="BY149" s="6" t="n"/>
      <c r="BZ149" s="3" t="n"/>
      <c r="CA149" s="6" t="n"/>
      <c r="CB149" s="6" t="n"/>
      <c r="CC149" s="6" t="n"/>
      <c r="CD149" s="6" t="n"/>
      <c r="CE149" s="3" t="n"/>
      <c r="CF149" s="6" t="n"/>
      <c r="CG149" s="6" t="n"/>
      <c r="CH149" s="6" t="n"/>
      <c r="CI149" s="6" t="n"/>
      <c r="CJ149" s="3" t="n"/>
      <c r="CK149" s="6" t="n"/>
      <c r="CL149" s="6" t="n"/>
      <c r="CM149" s="6" t="n"/>
      <c r="CN149" s="6" t="n"/>
      <c r="CO149" s="3" t="n"/>
      <c r="CP149" s="6" t="n"/>
      <c r="CQ149" s="6" t="n"/>
      <c r="CR149" s="6" t="n"/>
      <c r="CS149" s="6" t="n"/>
      <c r="CT149" s="3" t="n"/>
      <c r="CU149" s="6" t="n"/>
      <c r="CV149" s="6" t="n"/>
      <c r="CW149" s="6" t="n"/>
      <c r="CX149" s="6" t="n"/>
      <c r="CY149" s="3" t="n"/>
    </row>
    <row r="150" hidden="1" outlineLevel="1">
      <c r="C150" s="34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n"/>
      <c r="AK150" s="3" t="n"/>
      <c r="AL150" s="3" t="n"/>
      <c r="AM150" s="3" t="n"/>
      <c r="AN150" s="3" t="n"/>
      <c r="AO150" s="3" t="n"/>
      <c r="AP150" s="3" t="n"/>
      <c r="AQ150" s="3" t="n"/>
      <c r="AR150" s="3" t="n"/>
      <c r="AS150" s="3" t="n"/>
      <c r="AT150" s="3" t="n"/>
      <c r="AU150" s="3" t="n"/>
      <c r="AV150" s="3" t="n"/>
      <c r="AW150" s="3" t="n"/>
      <c r="AX150" s="3" t="n"/>
      <c r="AY150" s="3" t="n"/>
      <c r="AZ150" s="3" t="n"/>
      <c r="BA150" s="3" t="n"/>
      <c r="BB150" s="3" t="n"/>
      <c r="BC150" s="3" t="n"/>
      <c r="BD150" s="3" t="n"/>
      <c r="BE150" s="3" t="n"/>
      <c r="BF150" s="3" t="n"/>
      <c r="BG150" s="3" t="n"/>
      <c r="BH150" s="3" t="n"/>
      <c r="BI150" s="3" t="n"/>
      <c r="BJ150" s="3" t="n"/>
      <c r="BK150" s="3" t="n"/>
      <c r="BL150" s="3" t="n"/>
      <c r="BM150" s="3" t="n"/>
      <c r="BN150" s="3" t="n"/>
      <c r="BO150" s="3" t="n"/>
      <c r="BP150" s="3" t="n"/>
      <c r="BQ150" s="3" t="n"/>
      <c r="BR150" s="3" t="n"/>
      <c r="BS150" s="3" t="n"/>
      <c r="BT150" s="3" t="n"/>
      <c r="BU150" s="3" t="n"/>
      <c r="BV150" s="3" t="n"/>
      <c r="BW150" s="3" t="n"/>
      <c r="BX150" s="3" t="n"/>
      <c r="BY150" s="3" t="n"/>
      <c r="BZ150" s="3" t="n"/>
      <c r="CA150" s="3" t="n"/>
      <c r="CB150" s="3" t="n"/>
      <c r="CC150" s="3" t="n"/>
      <c r="CD150" s="3" t="n"/>
      <c r="CE150" s="3" t="n"/>
      <c r="CF150" s="3" t="n"/>
      <c r="CG150" s="3" t="n"/>
      <c r="CH150" s="3" t="n"/>
      <c r="CI150" s="3" t="n"/>
      <c r="CJ150" s="3" t="n"/>
      <c r="CK150" s="3" t="n"/>
      <c r="CL150" s="3" t="n"/>
      <c r="CM150" s="3" t="n"/>
      <c r="CN150" s="3" t="n"/>
      <c r="CO150" s="3" t="n"/>
      <c r="CP150" s="3" t="n"/>
      <c r="CQ150" s="3" t="n"/>
      <c r="CR150" s="3" t="n"/>
      <c r="CS150" s="3" t="n"/>
      <c r="CT150" s="3" t="n"/>
      <c r="CU150" s="3" t="n"/>
      <c r="CV150" s="3" t="n"/>
      <c r="CW150" s="3" t="n"/>
      <c r="CX150" s="3" t="n"/>
      <c r="CY150" s="3" t="n"/>
    </row>
    <row r="151" hidden="1" outlineLevel="1">
      <c r="C151" s="34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  <c r="AD151" s="3" t="n"/>
      <c r="AE151" s="3" t="n"/>
      <c r="AF151" s="3" t="n"/>
      <c r="AG151" s="3" t="n"/>
      <c r="AH151" s="3" t="n"/>
      <c r="AI151" s="3" t="n"/>
      <c r="AJ151" s="3" t="n"/>
      <c r="AK151" s="3" t="n"/>
      <c r="AL151" s="3" t="n"/>
      <c r="AM151" s="3" t="n"/>
      <c r="AN151" s="3" t="n"/>
      <c r="AO151" s="3" t="n"/>
      <c r="AP151" s="3" t="n"/>
      <c r="AQ151" s="3" t="n"/>
      <c r="AR151" s="3" t="n"/>
      <c r="AS151" s="3" t="n"/>
      <c r="AT151" s="3" t="n"/>
      <c r="AU151" s="3" t="n"/>
      <c r="AV151" s="3" t="n"/>
      <c r="AW151" s="3" t="n"/>
      <c r="AX151" s="3" t="n"/>
      <c r="AY151" s="3" t="n"/>
      <c r="AZ151" s="3" t="n"/>
      <c r="BA151" s="3" t="n"/>
      <c r="BB151" s="3" t="n"/>
      <c r="BC151" s="3" t="n"/>
      <c r="BD151" s="3" t="n"/>
      <c r="BE151" s="3" t="n"/>
      <c r="BF151" s="3" t="n"/>
      <c r="BG151" s="3" t="n"/>
      <c r="BH151" s="3" t="n"/>
      <c r="BI151" s="3" t="n"/>
      <c r="BJ151" s="3" t="n"/>
      <c r="BK151" s="3" t="n"/>
      <c r="BL151" s="3" t="n"/>
      <c r="BM151" s="3" t="n"/>
      <c r="BN151" s="3" t="n"/>
      <c r="BO151" s="3" t="n"/>
      <c r="BP151" s="3" t="n"/>
      <c r="BQ151" s="3" t="n"/>
      <c r="BR151" s="3" t="n"/>
      <c r="BS151" s="3" t="n"/>
      <c r="BT151" s="3" t="n"/>
      <c r="BU151" s="3" t="n"/>
      <c r="BV151" s="3" t="n"/>
      <c r="BW151" s="3" t="n"/>
      <c r="BX151" s="3" t="n"/>
      <c r="BY151" s="3" t="n"/>
      <c r="BZ151" s="3" t="n"/>
      <c r="CA151" s="3" t="n"/>
      <c r="CB151" s="3" t="n"/>
      <c r="CC151" s="3" t="n"/>
      <c r="CD151" s="3" t="n"/>
      <c r="CE151" s="3" t="n"/>
      <c r="CF151" s="3" t="n"/>
      <c r="CG151" s="3" t="n"/>
      <c r="CH151" s="3" t="n"/>
      <c r="CI151" s="3" t="n"/>
      <c r="CJ151" s="3" t="n"/>
      <c r="CK151" s="3" t="n"/>
      <c r="CL151" s="3" t="n"/>
      <c r="CM151" s="3" t="n"/>
      <c r="CN151" s="3" t="n"/>
      <c r="CO151" s="3" t="n"/>
      <c r="CP151" s="3" t="n"/>
      <c r="CQ151" s="3" t="n"/>
      <c r="CR151" s="3" t="n"/>
      <c r="CS151" s="3" t="n"/>
      <c r="CT151" s="3" t="n"/>
      <c r="CU151" s="3" t="n"/>
      <c r="CV151" s="3" t="n"/>
      <c r="CW151" s="3" t="n"/>
      <c r="CX151" s="3" t="n"/>
      <c r="CY151" s="3" t="n"/>
    </row>
    <row r="152" collapsed="1">
      <c r="C152" s="26" t="inlineStr">
        <is>
          <t>Deferred income taxes</t>
        </is>
      </c>
      <c r="D152" s="25">
        <f>INDEX('Inputs (2)'!$D$18:$AL$18,MATCH(D$7,'Inputs (2)'!$D$2:$AL$2,0))</f>
        <v>533</v>
      </c>
      <c r="E152" s="25">
        <f>INDEX('Inputs (2)'!$D$18:$AL$18,MATCH(E$7,'Inputs (2)'!$D$2:$AL$2,0))</f>
        <v>630</v>
      </c>
      <c r="F152" s="25">
        <f>INDEX('Inputs (2)'!$D$18:$AL$18,MATCH(F$7,'Inputs (2)'!$D$2:$AL$2,0))</f>
        <v>666</v>
      </c>
      <c r="G152" s="25">
        <f>INDEX('Inputs (2)'!$D$18:$AL$18,MATCH(G$7,'Inputs (2)'!$D$2:$AL$2,0))</f>
        <v>806</v>
      </c>
      <c r="H152" s="3">
        <f>G152</f>
        <v>806</v>
      </c>
      <c r="I152" s="25">
        <f>INDEX('Inputs (2)'!$D$18:$AL$18,MATCH(I$7,'Inputs (2)'!$D$2:$AL$2,0))</f>
        <v>778</v>
      </c>
      <c r="J152" s="25">
        <f>INDEX('Inputs (2)'!$D$18:$AL$18,MATCH(J$7,'Inputs (2)'!$D$2:$AL$2,0))</f>
        <v>958</v>
      </c>
      <c r="K152" s="25">
        <f>INDEX('Inputs (2)'!$D$18:$AL$18,MATCH(K$7,'Inputs (2)'!$D$2:$AL$2,0))</f>
        <v>970</v>
      </c>
      <c r="L152" s="25">
        <f>INDEX('Inputs (2)'!$D$18:$AL$18,MATCH(L$7,'Inputs (2)'!$D$2:$AL$2,0))</f>
        <v>1222</v>
      </c>
      <c r="M152" s="3">
        <f>L152</f>
        <v>1222</v>
      </c>
      <c r="N152" s="25">
        <f>INDEX('Inputs (2)'!$D$18:$AL$18,MATCH(N$7,'Inputs (2)'!$D$2:$AL$2,0))</f>
        <v>1784</v>
      </c>
      <c r="O152" s="25">
        <f>INDEX('Inputs (2)'!$D$18:$AL$18,MATCH(O$7,'Inputs (2)'!$D$2:$AL$2,0))</f>
        <v>2225</v>
      </c>
      <c r="P152" s="25">
        <f>INDEX('Inputs (2)'!$D$18:$AL$18,MATCH(P$7,'Inputs (2)'!$D$2:$AL$2,0))</f>
        <v>2762</v>
      </c>
      <c r="Q152" s="25">
        <f>INDEX('Inputs (2)'!$D$18:$AL$18,MATCH(Q$7,'Inputs (2)'!$D$2:$AL$2,0))</f>
        <v>3396</v>
      </c>
      <c r="R152" s="3">
        <f>Q152</f>
        <v>3396</v>
      </c>
      <c r="S152" s="25">
        <f>INDEX('Inputs (2)'!$D$18:$AL$18,MATCH(S$7,'Inputs (2)'!$D$2:$AL$2,0))</f>
        <v>4568</v>
      </c>
      <c r="T152" s="25">
        <f>INDEX('Inputs (2)'!$D$18:$AL$18,MATCH(T$7,'Inputs (2)'!$D$2:$AL$2,0))</f>
        <v>5398</v>
      </c>
      <c r="U152" s="25">
        <f>INDEX('Inputs (2)'!$D$18:$AL$18,MATCH(U$7,'Inputs (2)'!$D$2:$AL$2,0))</f>
        <v>5982</v>
      </c>
      <c r="V152" s="25">
        <f>INDEX('Inputs (2)'!$D$18:$AL$18,MATCH(V$7,'Inputs (2)'!$D$2:$AL$2,0))</f>
        <v>6081</v>
      </c>
      <c r="W152" s="3">
        <f>V152</f>
        <v>6081</v>
      </c>
      <c r="X152" s="25">
        <f>INDEX('Inputs (2)'!$D$18:$AL$18,MATCH(X$7,'Inputs (2)'!$D$2:$AL$2,0))</f>
        <v>7798</v>
      </c>
      <c r="Y152" s="25">
        <f>INDEX('Inputs (2)'!$D$18:$AL$18,MATCH(Y$7,'Inputs (2)'!$D$2:$AL$2,0))</f>
        <v>9578</v>
      </c>
      <c r="Z152" s="25">
        <f>INDEX('Inputs (2)'!$D$18:$AL$18,MATCH(Z$7,'Inputs (2)'!$D$2:$AL$2,0))</f>
        <v>10276</v>
      </c>
      <c r="AA152" s="25">
        <f>INDEX('Inputs (2)'!$D$18:$AL$18,MATCH(AA$7,'Inputs (2)'!$D$2:$AL$2,0))</f>
        <v>10979</v>
      </c>
      <c r="AB152" s="3">
        <f>AA152</f>
        <v>10979</v>
      </c>
      <c r="AC152" s="25">
        <f>INDEX('Inputs (2)'!$D$18:$AL$18,MATCH(AC$7,'Inputs (2)'!$D$2:$AL$2,0))</f>
        <v>13318</v>
      </c>
      <c r="AD152" s="25">
        <f>INDEX('Inputs (2)'!$D$18:$AL$18,MATCH(AD$7,'Inputs (2)'!$D$2:$AL$2,0))</f>
        <v>13570</v>
      </c>
      <c r="AE152" s="25">
        <f>INDEX('Inputs (2)'!$D$18:$AL$18,MATCH(AE$7,'Inputs (2)'!$D$2:$AL$2,0))</f>
        <v>13674</v>
      </c>
      <c r="AF152" s="25">
        <f>INDEX('Inputs (2)'!$D$18:$AL$18,MATCH(AF$7,'Inputs (2)'!$D$2:$AL$2,0))</f>
        <v>13258</v>
      </c>
      <c r="AG152" s="3">
        <f>AF152</f>
        <v>13258</v>
      </c>
      <c r="AH152" s="3">
        <f>INDEX('Inputs (2)'!$D$18:$AL$18,MATCH(AH$7,'Inputs (2)'!$D$2:$AL$2,0))</f>
        <v>11707</v>
      </c>
      <c r="AI152" s="3">
        <f>INDEX('Inputs (2)'!$D$18:$AL$18,MATCH(AI$7,'Inputs (2)'!$D$2:$AL$2,0))</f>
        <v>12159</v>
      </c>
      <c r="AJ152" s="3">
        <f>AI152</f>
        <v>12159</v>
      </c>
      <c r="AK152" s="3">
        <f>AJ152</f>
        <v>12159</v>
      </c>
      <c r="AL152" s="3">
        <f>AK152</f>
        <v>12159</v>
      </c>
      <c r="AM152" s="3">
        <f>AL152</f>
        <v>12159</v>
      </c>
      <c r="AN152" s="3">
        <f>AM152</f>
        <v>12159</v>
      </c>
      <c r="AO152" s="3">
        <f>AN152</f>
        <v>12159</v>
      </c>
      <c r="AP152" s="3">
        <f>AO152</f>
        <v>12159</v>
      </c>
      <c r="AQ152" s="3">
        <f>AP152</f>
        <v>12159</v>
      </c>
      <c r="AR152" s="3">
        <f>AQ152</f>
        <v>12159</v>
      </c>
      <c r="AS152" s="3">
        <f>AR152</f>
        <v>12159</v>
      </c>
      <c r="AT152" s="3">
        <f>AS152</f>
        <v>12159</v>
      </c>
      <c r="AU152" s="3">
        <f>AT152</f>
        <v>12159</v>
      </c>
      <c r="AV152" s="3">
        <f>AU152</f>
        <v>12159</v>
      </c>
      <c r="AW152" s="3">
        <f>AV152</f>
        <v>12159</v>
      </c>
      <c r="AX152" s="3">
        <f>AW152</f>
        <v>12159</v>
      </c>
      <c r="AY152" s="3">
        <f>AX152</f>
        <v>12159</v>
      </c>
      <c r="AZ152" s="3">
        <f>AY152</f>
        <v>12159</v>
      </c>
      <c r="BA152" s="3">
        <f>AZ152</f>
        <v>12159</v>
      </c>
      <c r="BB152" s="3">
        <f>BA152</f>
        <v>12159</v>
      </c>
      <c r="BC152" s="3">
        <f>BB152</f>
        <v>12159</v>
      </c>
      <c r="BD152" s="3">
        <f>BC152</f>
        <v>12159</v>
      </c>
      <c r="BE152" s="3">
        <f>BD152</f>
        <v>12159</v>
      </c>
      <c r="BF152" s="3">
        <f>BE152</f>
        <v>12159</v>
      </c>
      <c r="BG152" s="3">
        <f>BF152</f>
        <v>12159</v>
      </c>
      <c r="BH152" s="3">
        <f>BG152</f>
        <v>12159</v>
      </c>
      <c r="BI152" s="3">
        <f>BH152</f>
        <v>12159</v>
      </c>
      <c r="BJ152" s="3">
        <f>BI152</f>
        <v>12159</v>
      </c>
      <c r="BK152" s="3">
        <f>BJ152</f>
        <v>12159</v>
      </c>
      <c r="BL152" s="3">
        <f>BK152</f>
        <v>12159</v>
      </c>
      <c r="BM152" s="3">
        <f>BL152</f>
        <v>12159</v>
      </c>
      <c r="BN152" s="3">
        <f>BM152</f>
        <v>12159</v>
      </c>
      <c r="BO152" s="3">
        <f>BN152</f>
        <v>12159</v>
      </c>
      <c r="BP152" s="3">
        <f>BO152</f>
        <v>12159</v>
      </c>
      <c r="BQ152" s="3">
        <f>BP152</f>
        <v>12159</v>
      </c>
      <c r="BR152" s="3">
        <f>BQ152</f>
        <v>12159</v>
      </c>
      <c r="BS152" s="3">
        <f>BR152</f>
        <v>12159</v>
      </c>
      <c r="BT152" s="3">
        <f>BS152</f>
        <v>12159</v>
      </c>
      <c r="BU152" s="3">
        <f>BT152</f>
        <v>12159</v>
      </c>
      <c r="BV152" s="3">
        <f>BU152</f>
        <v>12159</v>
      </c>
      <c r="BW152" s="3">
        <f>BV152</f>
        <v>12159</v>
      </c>
      <c r="BX152" s="3">
        <f>BW152</f>
        <v>12159</v>
      </c>
      <c r="BY152" s="3">
        <f>BX152</f>
        <v>12159</v>
      </c>
      <c r="BZ152" s="3">
        <f>BY152</f>
        <v>12159</v>
      </c>
      <c r="CA152" s="3">
        <f>BZ152</f>
        <v>12159</v>
      </c>
      <c r="CB152" s="3">
        <f>CA152</f>
        <v>12159</v>
      </c>
      <c r="CC152" s="3">
        <f>CB152</f>
        <v>12159</v>
      </c>
      <c r="CD152" s="3">
        <f>CC152</f>
        <v>12159</v>
      </c>
      <c r="CE152" s="3">
        <f>CD152</f>
        <v>12159</v>
      </c>
      <c r="CF152" s="3">
        <f>CE152</f>
        <v>12159</v>
      </c>
      <c r="CG152" s="3">
        <f>CF152</f>
        <v>12159</v>
      </c>
      <c r="CH152" s="3">
        <f>CG152</f>
        <v>12159</v>
      </c>
      <c r="CI152" s="3">
        <f>CH152</f>
        <v>12159</v>
      </c>
      <c r="CJ152" s="3">
        <f>CI152</f>
        <v>12159</v>
      </c>
      <c r="CK152" s="3">
        <f>CJ152</f>
        <v>12159</v>
      </c>
      <c r="CL152" s="3">
        <f>CK152</f>
        <v>12159</v>
      </c>
      <c r="CM152" s="3">
        <f>CL152</f>
        <v>12159</v>
      </c>
      <c r="CN152" s="3">
        <f>CM152</f>
        <v>12159</v>
      </c>
      <c r="CO152" s="3">
        <f>CN152</f>
        <v>12159</v>
      </c>
      <c r="CP152" s="3">
        <f>CO152</f>
        <v>12159</v>
      </c>
      <c r="CQ152" s="3">
        <f>CP152</f>
        <v>12159</v>
      </c>
      <c r="CR152" s="3">
        <f>CQ152</f>
        <v>12159</v>
      </c>
      <c r="CS152" s="3">
        <f>CR152</f>
        <v>12159</v>
      </c>
      <c r="CT152" s="3">
        <f>CS152</f>
        <v>12159</v>
      </c>
      <c r="CU152" s="3">
        <f>CT152</f>
        <v>12159</v>
      </c>
      <c r="CV152" s="3">
        <f>CU152</f>
        <v>12159</v>
      </c>
      <c r="CW152" s="3">
        <f>CV152</f>
        <v>12159</v>
      </c>
      <c r="CX152" s="3">
        <f>CW152</f>
        <v>12159</v>
      </c>
      <c r="CY152" s="3">
        <f>CX152</f>
        <v>12159</v>
      </c>
    </row>
    <row r="153">
      <c r="C153" s="26" t="inlineStr">
        <is>
          <t>Prepaid expenses</t>
        </is>
      </c>
      <c r="D153" s="25" t="n"/>
      <c r="E153" s="25" t="n"/>
      <c r="F153" s="25" t="n"/>
      <c r="G153" s="25" t="n"/>
      <c r="H153" s="3">
        <f>G153</f>
        <v>0</v>
      </c>
      <c r="I153" s="25" t="n"/>
      <c r="J153" s="25" t="n"/>
      <c r="K153" s="25" t="n"/>
      <c r="L153" s="25" t="n"/>
      <c r="M153" s="3">
        <f>L153</f>
        <v>0</v>
      </c>
      <c r="N153" s="25" t="n"/>
      <c r="O153" s="25" t="n"/>
      <c r="P153" s="25" t="n"/>
      <c r="Q153" s="25" t="n"/>
      <c r="R153" s="3">
        <f>Q153</f>
        <v>0</v>
      </c>
      <c r="S153" s="25" t="n"/>
      <c r="T153" s="25" t="n"/>
      <c r="U153" s="25" t="n"/>
      <c r="V153" s="25" t="n"/>
      <c r="W153" s="3">
        <f>V153</f>
        <v>0</v>
      </c>
      <c r="X153" s="25" t="n"/>
      <c r="Y153" s="25" t="n"/>
      <c r="Z153" s="25" t="n"/>
      <c r="AA153" s="25" t="n"/>
      <c r="AB153" s="3">
        <f>AA153</f>
        <v>0</v>
      </c>
      <c r="AC153" s="25" t="n"/>
      <c r="AD153" s="25" t="n"/>
      <c r="AE153" s="25" t="n"/>
      <c r="AF153" s="25" t="n"/>
      <c r="AG153" s="3">
        <f>AF153</f>
        <v>0</v>
      </c>
      <c r="AH153" s="3">
        <f>AG153</f>
        <v>0</v>
      </c>
      <c r="AI153" s="3">
        <f>AH153</f>
        <v>0</v>
      </c>
      <c r="AJ153" s="3">
        <f>AI153</f>
        <v>0</v>
      </c>
      <c r="AK153" s="3">
        <f>AJ153</f>
        <v>0</v>
      </c>
      <c r="AL153" s="3">
        <f>AK153</f>
        <v>0</v>
      </c>
      <c r="AM153" s="3">
        <f>AL153</f>
        <v>0</v>
      </c>
      <c r="AN153" s="3">
        <f>AM153</f>
        <v>0</v>
      </c>
      <c r="AO153" s="3">
        <f>AN153</f>
        <v>0</v>
      </c>
      <c r="AP153" s="3">
        <f>AO153</f>
        <v>0</v>
      </c>
      <c r="AQ153" s="3">
        <f>AP153</f>
        <v>0</v>
      </c>
      <c r="AR153" s="3">
        <f>AQ153</f>
        <v>0</v>
      </c>
      <c r="AS153" s="3">
        <f>AR153</f>
        <v>0</v>
      </c>
      <c r="AT153" s="3">
        <f>AS153</f>
        <v>0</v>
      </c>
      <c r="AU153" s="3">
        <f>AT153</f>
        <v>0</v>
      </c>
      <c r="AV153" s="3">
        <f>AU153</f>
        <v>0</v>
      </c>
      <c r="AW153" s="3">
        <f>AV153</f>
        <v>0</v>
      </c>
      <c r="AX153" s="3">
        <f>AW153</f>
        <v>0</v>
      </c>
      <c r="AY153" s="3">
        <f>AX153</f>
        <v>0</v>
      </c>
      <c r="AZ153" s="3">
        <f>AY153</f>
        <v>0</v>
      </c>
      <c r="BA153" s="3">
        <f>AZ153</f>
        <v>0</v>
      </c>
      <c r="BB153" s="3">
        <f>BA153</f>
        <v>0</v>
      </c>
      <c r="BC153" s="3">
        <f>BB153</f>
        <v>0</v>
      </c>
      <c r="BD153" s="3">
        <f>BC153</f>
        <v>0</v>
      </c>
      <c r="BE153" s="3">
        <f>BD153</f>
        <v>0</v>
      </c>
      <c r="BF153" s="3">
        <f>BE153</f>
        <v>0</v>
      </c>
      <c r="BG153" s="3">
        <f>BF153</f>
        <v>0</v>
      </c>
      <c r="BH153" s="3">
        <f>BG153</f>
        <v>0</v>
      </c>
      <c r="BI153" s="3">
        <f>BH153</f>
        <v>0</v>
      </c>
      <c r="BJ153" s="3">
        <f>BI153</f>
        <v>0</v>
      </c>
      <c r="BK153" s="3">
        <f>BJ153</f>
        <v>0</v>
      </c>
      <c r="BL153" s="3">
        <f>BK153</f>
        <v>0</v>
      </c>
      <c r="BM153" s="3">
        <f>BL153</f>
        <v>0</v>
      </c>
      <c r="BN153" s="3">
        <f>BM153</f>
        <v>0</v>
      </c>
      <c r="BO153" s="3">
        <f>BN153</f>
        <v>0</v>
      </c>
      <c r="BP153" s="3">
        <f>BO153</f>
        <v>0</v>
      </c>
      <c r="BQ153" s="3">
        <f>BP153</f>
        <v>0</v>
      </c>
      <c r="BR153" s="3">
        <f>BQ153</f>
        <v>0</v>
      </c>
      <c r="BS153" s="3">
        <f>BR153</f>
        <v>0</v>
      </c>
      <c r="BT153" s="3">
        <f>BS153</f>
        <v>0</v>
      </c>
      <c r="BU153" s="3">
        <f>BT153</f>
        <v>0</v>
      </c>
      <c r="BV153" s="3">
        <f>BU153</f>
        <v>0</v>
      </c>
      <c r="BW153" s="3">
        <f>BV153</f>
        <v>0</v>
      </c>
      <c r="BX153" s="3">
        <f>BW153</f>
        <v>0</v>
      </c>
      <c r="BY153" s="3">
        <f>BX153</f>
        <v>0</v>
      </c>
      <c r="BZ153" s="3">
        <f>BY153</f>
        <v>0</v>
      </c>
      <c r="CA153" s="3">
        <f>BZ153</f>
        <v>0</v>
      </c>
      <c r="CB153" s="3">
        <f>CA153</f>
        <v>0</v>
      </c>
      <c r="CC153" s="3">
        <f>CB153</f>
        <v>0</v>
      </c>
      <c r="CD153" s="3">
        <f>CC153</f>
        <v>0</v>
      </c>
      <c r="CE153" s="3">
        <f>CD153</f>
        <v>0</v>
      </c>
      <c r="CF153" s="3">
        <f>CE153</f>
        <v>0</v>
      </c>
      <c r="CG153" s="3">
        <f>CF153</f>
        <v>0</v>
      </c>
      <c r="CH153" s="3">
        <f>CG153</f>
        <v>0</v>
      </c>
      <c r="CI153" s="3">
        <f>CH153</f>
        <v>0</v>
      </c>
      <c r="CJ153" s="3">
        <f>CI153</f>
        <v>0</v>
      </c>
      <c r="CK153" s="3">
        <f>CJ153</f>
        <v>0</v>
      </c>
      <c r="CL153" s="3">
        <f>CK153</f>
        <v>0</v>
      </c>
      <c r="CM153" s="3">
        <f>CL153</f>
        <v>0</v>
      </c>
      <c r="CN153" s="3">
        <f>CM153</f>
        <v>0</v>
      </c>
      <c r="CO153" s="3">
        <f>CN153</f>
        <v>0</v>
      </c>
      <c r="CP153" s="3">
        <f>CO153</f>
        <v>0</v>
      </c>
      <c r="CQ153" s="3">
        <f>CP153</f>
        <v>0</v>
      </c>
      <c r="CR153" s="3">
        <f>CQ153</f>
        <v>0</v>
      </c>
      <c r="CS153" s="3">
        <f>CR153</f>
        <v>0</v>
      </c>
      <c r="CT153" s="3">
        <f>CS153</f>
        <v>0</v>
      </c>
      <c r="CU153" s="3">
        <f>CT153</f>
        <v>0</v>
      </c>
      <c r="CV153" s="3">
        <f>CU153</f>
        <v>0</v>
      </c>
      <c r="CW153" s="3">
        <f>CV153</f>
        <v>0</v>
      </c>
      <c r="CX153" s="3">
        <f>CW153</f>
        <v>0</v>
      </c>
      <c r="CY153" s="3">
        <f>CX153</f>
        <v>0</v>
      </c>
    </row>
    <row r="154">
      <c r="C154" s="26" t="inlineStr">
        <is>
          <t>Other current assets</t>
        </is>
      </c>
      <c r="D154" s="25">
        <f>INDEX('Inputs (2)'!$D$20:$AL$20,MATCH(D$7,'Inputs (2)'!$D$2:$AL$2,0))</f>
        <v>195</v>
      </c>
      <c r="E154" s="25">
        <f>INDEX('Inputs (2)'!$D$20:$AL$20,MATCH(E$7,'Inputs (2)'!$D$2:$AL$2,0))</f>
        <v>215</v>
      </c>
      <c r="F154" s="25">
        <f>INDEX('Inputs (2)'!$D$20:$AL$20,MATCH(F$7,'Inputs (2)'!$D$2:$AL$2,0))</f>
        <v>213</v>
      </c>
      <c r="G154" s="25">
        <f>INDEX('Inputs (2)'!$D$20:$AL$20,MATCH(G$7,'Inputs (2)'!$D$2:$AL$2,0))</f>
        <v>239</v>
      </c>
      <c r="H154" s="3">
        <f>G154</f>
        <v>239</v>
      </c>
      <c r="I154" s="25">
        <f>INDEX('Inputs (2)'!$D$20:$AL$20,MATCH(I$7,'Inputs (2)'!$D$2:$AL$2,0))</f>
        <v>444</v>
      </c>
      <c r="J154" s="25">
        <f>INDEX('Inputs (2)'!$D$20:$AL$20,MATCH(J$7,'Inputs (2)'!$D$2:$AL$2,0))</f>
        <v>452</v>
      </c>
      <c r="K154" s="25">
        <f>INDEX('Inputs (2)'!$D$20:$AL$20,MATCH(K$7,'Inputs (2)'!$D$2:$AL$2,0))</f>
        <v>321</v>
      </c>
      <c r="L154" s="25">
        <f>INDEX('Inputs (2)'!$D$20:$AL$20,MATCH(L$7,'Inputs (2)'!$D$2:$AL$2,0))</f>
        <v>366</v>
      </c>
      <c r="M154" s="3">
        <f>L154</f>
        <v>366</v>
      </c>
      <c r="N154" s="25">
        <f>INDEX('Inputs (2)'!$D$20:$AL$20,MATCH(N$7,'Inputs (2)'!$D$2:$AL$2,0))</f>
        <v>636</v>
      </c>
      <c r="O154" s="25">
        <f>INDEX('Inputs (2)'!$D$20:$AL$20,MATCH(O$7,'Inputs (2)'!$D$2:$AL$2,0))</f>
        <v>1175</v>
      </c>
      <c r="P154" s="25">
        <f>INDEX('Inputs (2)'!$D$20:$AL$20,MATCH(P$7,'Inputs (2)'!$D$2:$AL$2,0))</f>
        <v>718</v>
      </c>
      <c r="Q154" s="25">
        <f>INDEX('Inputs (2)'!$D$20:$AL$20,MATCH(Q$7,'Inputs (2)'!$D$2:$AL$2,0))</f>
        <v>791</v>
      </c>
      <c r="R154" s="3">
        <f>Q154</f>
        <v>791</v>
      </c>
      <c r="S154" s="25">
        <f>INDEX('Inputs (2)'!$D$20:$AL$20,MATCH(S$7,'Inputs (2)'!$D$2:$AL$2,0))</f>
        <v>872</v>
      </c>
      <c r="T154" s="25">
        <f>INDEX('Inputs (2)'!$D$20:$AL$20,MATCH(T$7,'Inputs (2)'!$D$2:$AL$2,0))</f>
        <v>1389</v>
      </c>
      <c r="U154" s="25">
        <f>INDEX('Inputs (2)'!$D$20:$AL$20,MATCH(U$7,'Inputs (2)'!$D$2:$AL$2,0))</f>
        <v>1289</v>
      </c>
      <c r="V154" s="25">
        <f>INDEX('Inputs (2)'!$D$20:$AL$20,MATCH(V$7,'Inputs (2)'!$D$2:$AL$2,0))</f>
        <v>3080</v>
      </c>
      <c r="W154" s="3">
        <f>V154</f>
        <v>3080</v>
      </c>
      <c r="X154" s="25">
        <f>INDEX('Inputs (2)'!$D$20:$AL$20,MATCH(X$7,'Inputs (2)'!$D$2:$AL$2,0))</f>
        <v>4062</v>
      </c>
      <c r="Y154" s="25">
        <f>INDEX('Inputs (2)'!$D$20:$AL$20,MATCH(Y$7,'Inputs (2)'!$D$2:$AL$2,0))</f>
        <v>4026</v>
      </c>
      <c r="Z154" s="25">
        <f>INDEX('Inputs (2)'!$D$20:$AL$20,MATCH(Z$7,'Inputs (2)'!$D$2:$AL$2,0))</f>
        <v>3806</v>
      </c>
      <c r="AA154" s="25">
        <f>INDEX('Inputs (2)'!$D$20:$AL$20,MATCH(AA$7,'Inputs (2)'!$D$2:$AL$2,0))</f>
        <v>3771</v>
      </c>
      <c r="AB154" s="3">
        <f>AA154</f>
        <v>3771</v>
      </c>
      <c r="AC154" s="25">
        <f>INDEX('Inputs (2)'!$D$20:$AL$20,MATCH(AC$7,'Inputs (2)'!$D$2:$AL$2,0))</f>
        <v>2779</v>
      </c>
      <c r="AD154" s="25">
        <f>INDEX('Inputs (2)'!$D$20:$AL$20,MATCH(AD$7,'Inputs (2)'!$D$2:$AL$2,0))</f>
        <v>2658</v>
      </c>
      <c r="AE154" s="25">
        <f>INDEX('Inputs (2)'!$D$20:$AL$20,MATCH(AE$7,'Inputs (2)'!$D$2:$AL$2,0))</f>
        <v>2709</v>
      </c>
      <c r="AF154" s="25">
        <f>INDEX('Inputs (2)'!$D$20:$AL$20,MATCH(AF$7,'Inputs (2)'!$D$2:$AL$2,0))</f>
        <v>16066</v>
      </c>
      <c r="AG154" s="3">
        <f>AF154</f>
        <v>16066</v>
      </c>
      <c r="AH154" s="3">
        <f>INDEX('Inputs (2)'!$D$20:$AL$20,MATCH(AH$7,'Inputs (2)'!$D$2:$AL$2,0))</f>
        <v>34153</v>
      </c>
      <c r="AI154" s="3">
        <f>INDEX('Inputs (2)'!$D$20:$AL$20,MATCH(AI$7,'Inputs (2)'!$D$2:$AL$2,0))</f>
        <v>46192</v>
      </c>
      <c r="AJ154" s="3">
        <f>AI154</f>
        <v>46192</v>
      </c>
      <c r="AK154" s="3">
        <f>AJ154</f>
        <v>46192</v>
      </c>
      <c r="AL154" s="3">
        <f>AK154</f>
        <v>46192</v>
      </c>
      <c r="AM154" s="3">
        <f>AL154</f>
        <v>46192</v>
      </c>
      <c r="AN154" s="3">
        <f>AM154</f>
        <v>46192</v>
      </c>
      <c r="AO154" s="3">
        <f>AN154</f>
        <v>46192</v>
      </c>
      <c r="AP154" s="3">
        <f>AO154</f>
        <v>46192</v>
      </c>
      <c r="AQ154" s="3">
        <f>AP154</f>
        <v>46192</v>
      </c>
      <c r="AR154" s="3">
        <f>AQ154</f>
        <v>46192</v>
      </c>
      <c r="AS154" s="3">
        <f>AR154</f>
        <v>46192</v>
      </c>
      <c r="AT154" s="3">
        <f>AS154</f>
        <v>46192</v>
      </c>
      <c r="AU154" s="3">
        <f>AT154</f>
        <v>46192</v>
      </c>
      <c r="AV154" s="3">
        <f>AU154</f>
        <v>46192</v>
      </c>
      <c r="AW154" s="3">
        <f>AV154</f>
        <v>46192</v>
      </c>
      <c r="AX154" s="3">
        <f>AW154</f>
        <v>46192</v>
      </c>
      <c r="AY154" s="3">
        <f>AX154</f>
        <v>46192</v>
      </c>
      <c r="AZ154" s="3">
        <f>AY154</f>
        <v>46192</v>
      </c>
      <c r="BA154" s="3">
        <f>AZ154</f>
        <v>46192</v>
      </c>
      <c r="BB154" s="3">
        <f>BA154</f>
        <v>46192</v>
      </c>
      <c r="BC154" s="3">
        <f>BB154</f>
        <v>46192</v>
      </c>
      <c r="BD154" s="3">
        <f>BC154</f>
        <v>46192</v>
      </c>
      <c r="BE154" s="3">
        <f>BD154</f>
        <v>46192</v>
      </c>
      <c r="BF154" s="3">
        <f>BE154</f>
        <v>46192</v>
      </c>
      <c r="BG154" s="3">
        <f>BF154</f>
        <v>46192</v>
      </c>
      <c r="BH154" s="3">
        <f>BG154</f>
        <v>46192</v>
      </c>
      <c r="BI154" s="3">
        <f>BH154</f>
        <v>46192</v>
      </c>
      <c r="BJ154" s="3">
        <f>BI154</f>
        <v>46192</v>
      </c>
      <c r="BK154" s="3">
        <f>BJ154</f>
        <v>46192</v>
      </c>
      <c r="BL154" s="3">
        <f>BK154</f>
        <v>46192</v>
      </c>
      <c r="BM154" s="3">
        <f>BL154</f>
        <v>46192</v>
      </c>
      <c r="BN154" s="3">
        <f>BM154</f>
        <v>46192</v>
      </c>
      <c r="BO154" s="3">
        <f>BN154</f>
        <v>46192</v>
      </c>
      <c r="BP154" s="3">
        <f>BO154</f>
        <v>46192</v>
      </c>
      <c r="BQ154" s="3">
        <f>BP154</f>
        <v>46192</v>
      </c>
      <c r="BR154" s="3">
        <f>BQ154</f>
        <v>46192</v>
      </c>
      <c r="BS154" s="3">
        <f>BR154</f>
        <v>46192</v>
      </c>
      <c r="BT154" s="3">
        <f>BS154</f>
        <v>46192</v>
      </c>
      <c r="BU154" s="3">
        <f>BT154</f>
        <v>46192</v>
      </c>
      <c r="BV154" s="3">
        <f>BU154</f>
        <v>46192</v>
      </c>
      <c r="BW154" s="3">
        <f>BV154</f>
        <v>46192</v>
      </c>
      <c r="BX154" s="3">
        <f>BW154</f>
        <v>46192</v>
      </c>
      <c r="BY154" s="3">
        <f>BX154</f>
        <v>46192</v>
      </c>
      <c r="BZ154" s="3">
        <f>BY154</f>
        <v>46192</v>
      </c>
      <c r="CA154" s="3">
        <f>BZ154</f>
        <v>46192</v>
      </c>
      <c r="CB154" s="3">
        <f>CA154</f>
        <v>46192</v>
      </c>
      <c r="CC154" s="3">
        <f>CB154</f>
        <v>46192</v>
      </c>
      <c r="CD154" s="3">
        <f>CC154</f>
        <v>46192</v>
      </c>
      <c r="CE154" s="3">
        <f>CD154</f>
        <v>46192</v>
      </c>
      <c r="CF154" s="3">
        <f>CE154</f>
        <v>46192</v>
      </c>
      <c r="CG154" s="3">
        <f>CF154</f>
        <v>46192</v>
      </c>
      <c r="CH154" s="3">
        <f>CG154</f>
        <v>46192</v>
      </c>
      <c r="CI154" s="3">
        <f>CH154</f>
        <v>46192</v>
      </c>
      <c r="CJ154" s="3">
        <f>CI154</f>
        <v>46192</v>
      </c>
      <c r="CK154" s="3">
        <f>CJ154</f>
        <v>46192</v>
      </c>
      <c r="CL154" s="3">
        <f>CK154</f>
        <v>46192</v>
      </c>
      <c r="CM154" s="3">
        <f>CL154</f>
        <v>46192</v>
      </c>
      <c r="CN154" s="3">
        <f>CM154</f>
        <v>46192</v>
      </c>
      <c r="CO154" s="3">
        <f>CN154</f>
        <v>46192</v>
      </c>
      <c r="CP154" s="3">
        <f>CO154</f>
        <v>46192</v>
      </c>
      <c r="CQ154" s="3">
        <f>CP154</f>
        <v>46192</v>
      </c>
      <c r="CR154" s="3">
        <f>CQ154</f>
        <v>46192</v>
      </c>
      <c r="CS154" s="3">
        <f>CR154</f>
        <v>46192</v>
      </c>
      <c r="CT154" s="3">
        <f>CS154</f>
        <v>46192</v>
      </c>
      <c r="CU154" s="3">
        <f>CT154</f>
        <v>46192</v>
      </c>
      <c r="CV154" s="3">
        <f>CU154</f>
        <v>46192</v>
      </c>
      <c r="CW154" s="3">
        <f>CV154</f>
        <v>46192</v>
      </c>
      <c r="CX154" s="3">
        <f>CW154</f>
        <v>46192</v>
      </c>
      <c r="CY154" s="3">
        <f>CX154</f>
        <v>46192</v>
      </c>
    </row>
    <row r="155" hidden="1" outlineLevel="1">
      <c r="C155" s="38" t="inlineStr">
        <is>
          <t>%(Var.)</t>
        </is>
      </c>
      <c r="D155" s="3" t="n"/>
      <c r="E155" s="47">
        <f>(E154-D154)/D154</f>
        <v>0.102564102564103</v>
      </c>
      <c r="F155" s="47">
        <f>(F154-E154)/E154</f>
        <v>-0.00930232558139535</v>
      </c>
      <c r="G155" s="47">
        <f>(G154-F154)/F154</f>
        <v>0.122065727699531</v>
      </c>
      <c r="H155" s="3" t="n"/>
      <c r="I155" s="47">
        <f>(I154-H154)/H154</f>
        <v>0.857740585774059</v>
      </c>
      <c r="J155" s="47">
        <f>(J154-I154)/I154</f>
        <v>0.018018018018018</v>
      </c>
      <c r="K155" s="47">
        <f>(K154-J154)/J154</f>
        <v>-0.289823008849558</v>
      </c>
      <c r="L155" s="47">
        <f>(L154-K154)/K154</f>
        <v>0.14018691588785</v>
      </c>
      <c r="M155" s="3" t="n"/>
      <c r="N155" s="47">
        <f>(N154-M154)/M154</f>
        <v>0.737704918032787</v>
      </c>
      <c r="O155" s="47">
        <f>(O154-N154)/N154</f>
        <v>0.84748427672956</v>
      </c>
      <c r="P155" s="47">
        <f>(P154-O154)/O154</f>
        <v>-0.388936170212766</v>
      </c>
      <c r="Q155" s="47">
        <f>(Q154-P154)/P154</f>
        <v>0.101671309192201</v>
      </c>
      <c r="R155" s="3" t="n"/>
      <c r="S155" s="47">
        <f>(S154-R154)/R154</f>
        <v>0.102402022756005</v>
      </c>
      <c r="T155" s="47">
        <f>(T154-S154)/S154</f>
        <v>0.592889908256881</v>
      </c>
      <c r="U155" s="47">
        <f>(U154-T154)/T154</f>
        <v>-0.0719942404607631</v>
      </c>
      <c r="V155" s="47">
        <f>(V154-U154)/U154</f>
        <v>1.38944918541505</v>
      </c>
      <c r="W155" s="3" t="n"/>
      <c r="X155" s="47">
        <f>(X154-W154)/W154</f>
        <v>0.318831168831169</v>
      </c>
      <c r="Y155" s="47">
        <f>(Y154-X154)/X154</f>
        <v>-0.00886262924667652</v>
      </c>
      <c r="Z155" s="47">
        <f>(Z154-Y154)/Y154</f>
        <v>-0.0546448087431694</v>
      </c>
      <c r="AA155" s="47">
        <f>(AA154-Z154)/Z154</f>
        <v>-0.0091960063058329</v>
      </c>
      <c r="AB155" s="3" t="n"/>
      <c r="AC155" s="47">
        <f>(AC154-AB154)/AB154</f>
        <v>-0.263060196234421</v>
      </c>
      <c r="AD155" s="47">
        <f>(AD154-AC154)/AC154</f>
        <v>-0.043540842029507</v>
      </c>
      <c r="AE155" s="47">
        <f>(AE154-AD154)/AD154</f>
        <v>0.0191873589164786</v>
      </c>
      <c r="AF155" s="218">
        <f>(AF154-AE154)/AE154</f>
        <v>4.93060169804356</v>
      </c>
      <c r="AG155" s="3" t="n"/>
      <c r="AH155" s="3">
        <f>(AH154-AG154)/AG154</f>
        <v>1.12579360139425</v>
      </c>
      <c r="AI155" s="3">
        <f>(AI154-AH154)/AH154</f>
        <v>0.352501976400316</v>
      </c>
      <c r="AJ155" s="3" t="n"/>
      <c r="AK155" s="3" t="n"/>
      <c r="AL155" s="3" t="n"/>
      <c r="AM155" s="3" t="n"/>
      <c r="AN155" s="3" t="n"/>
      <c r="AO155" s="3" t="n"/>
      <c r="AP155" s="3" t="n"/>
      <c r="AQ155" s="3" t="n"/>
      <c r="AR155" s="3" t="n"/>
      <c r="AS155" s="3" t="n"/>
      <c r="AT155" s="3" t="n"/>
      <c r="AU155" s="3" t="n"/>
      <c r="AV155" s="3" t="n"/>
      <c r="AW155" s="3" t="n"/>
      <c r="AX155" s="3" t="n"/>
      <c r="AY155" s="3" t="n"/>
      <c r="AZ155" s="3" t="n"/>
      <c r="BA155" s="3" t="n"/>
      <c r="BB155" s="3" t="n"/>
      <c r="BC155" s="3" t="n"/>
      <c r="BD155" s="3" t="n"/>
      <c r="BE155" s="3" t="n"/>
      <c r="BF155" s="3" t="n"/>
      <c r="BG155" s="3" t="n"/>
      <c r="BH155" s="3" t="n"/>
      <c r="BI155" s="3" t="n"/>
      <c r="BJ155" s="3" t="n"/>
      <c r="BK155" s="3" t="n"/>
      <c r="BL155" s="3" t="n"/>
      <c r="BM155" s="3" t="n"/>
      <c r="BN155" s="3" t="n"/>
      <c r="BO155" s="3" t="n"/>
      <c r="BP155" s="3" t="n"/>
      <c r="BQ155" s="3" t="n"/>
      <c r="BR155" s="3" t="n"/>
      <c r="BS155" s="3" t="n"/>
      <c r="BT155" s="3" t="n"/>
      <c r="BU155" s="3" t="n"/>
      <c r="BV155" s="3" t="n"/>
      <c r="BW155" s="3" t="n"/>
      <c r="BX155" s="3" t="n"/>
      <c r="BY155" s="3" t="n"/>
      <c r="BZ155" s="3" t="n"/>
      <c r="CA155" s="3" t="n"/>
      <c r="CB155" s="3" t="n"/>
      <c r="CC155" s="3" t="n"/>
      <c r="CD155" s="3" t="n"/>
      <c r="CE155" s="3" t="n"/>
      <c r="CF155" s="3" t="n"/>
      <c r="CG155" s="3" t="n"/>
      <c r="CH155" s="3" t="n"/>
      <c r="CI155" s="3" t="n"/>
      <c r="CJ155" s="3" t="n"/>
      <c r="CK155" s="3" t="n"/>
      <c r="CL155" s="3" t="n"/>
      <c r="CM155" s="3" t="n"/>
      <c r="CN155" s="3" t="n"/>
      <c r="CO155" s="3" t="n"/>
      <c r="CP155" s="3" t="n"/>
      <c r="CQ155" s="3" t="n"/>
      <c r="CR155" s="3" t="n"/>
      <c r="CS155" s="3" t="n"/>
      <c r="CT155" s="3" t="n"/>
      <c r="CU155" s="3" t="n"/>
      <c r="CV155" s="3" t="n"/>
      <c r="CW155" s="3" t="n"/>
      <c r="CX155" s="3" t="n"/>
      <c r="CY155" s="3" t="n"/>
    </row>
    <row r="156" hidden="1" outlineLevel="1">
      <c r="C156" s="34" t="n"/>
      <c r="D156" s="3" t="n"/>
      <c r="E156" s="47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3" t="n"/>
      <c r="AC156" s="3" t="n"/>
      <c r="AD156" s="3" t="n"/>
      <c r="AE156" s="3" t="n"/>
      <c r="AF156" s="3" t="n"/>
      <c r="AG156" s="3" t="n"/>
      <c r="AH156" s="3" t="n"/>
      <c r="AI156" s="3" t="n"/>
      <c r="AJ156" s="3" t="n"/>
      <c r="AK156" s="3" t="n"/>
      <c r="AL156" s="3" t="n"/>
      <c r="AM156" s="3" t="n"/>
      <c r="AN156" s="3" t="n"/>
      <c r="AO156" s="3" t="n"/>
      <c r="AP156" s="3" t="n"/>
      <c r="AQ156" s="3" t="n"/>
      <c r="AR156" s="3" t="n"/>
      <c r="AS156" s="3" t="n"/>
      <c r="AT156" s="3" t="n"/>
      <c r="AU156" s="3" t="n"/>
      <c r="AV156" s="3" t="n"/>
      <c r="AW156" s="3" t="n"/>
      <c r="AX156" s="3" t="n"/>
      <c r="AY156" s="3" t="n"/>
      <c r="AZ156" s="3" t="n"/>
      <c r="BA156" s="3" t="n"/>
      <c r="BB156" s="3" t="n"/>
      <c r="BC156" s="3" t="n"/>
      <c r="BD156" s="3" t="n"/>
      <c r="BE156" s="3" t="n"/>
      <c r="BF156" s="3" t="n"/>
      <c r="BG156" s="3" t="n"/>
      <c r="BH156" s="3" t="n"/>
      <c r="BI156" s="3" t="n"/>
      <c r="BJ156" s="3" t="n"/>
      <c r="BK156" s="3" t="n"/>
      <c r="BL156" s="3" t="n"/>
      <c r="BM156" s="3" t="n"/>
      <c r="BN156" s="3" t="n"/>
      <c r="BO156" s="3" t="n"/>
      <c r="BP156" s="3" t="n"/>
      <c r="BQ156" s="3" t="n"/>
      <c r="BR156" s="3" t="n"/>
      <c r="BS156" s="3" t="n"/>
      <c r="BT156" s="3" t="n"/>
      <c r="BU156" s="3" t="n"/>
      <c r="BV156" s="3" t="n"/>
      <c r="BW156" s="3" t="n"/>
      <c r="BX156" s="3" t="n"/>
      <c r="BY156" s="3" t="n"/>
      <c r="BZ156" s="3" t="n"/>
      <c r="CA156" s="3" t="n"/>
      <c r="CB156" s="3" t="n"/>
      <c r="CC156" s="3" t="n"/>
      <c r="CD156" s="3" t="n"/>
      <c r="CE156" s="3" t="n"/>
      <c r="CF156" s="3" t="n"/>
      <c r="CG156" s="3" t="n"/>
      <c r="CH156" s="3" t="n"/>
      <c r="CI156" s="3" t="n"/>
      <c r="CJ156" s="3" t="n"/>
      <c r="CK156" s="3" t="n"/>
      <c r="CL156" s="3" t="n"/>
      <c r="CM156" s="3" t="n"/>
      <c r="CN156" s="3" t="n"/>
      <c r="CO156" s="3" t="n"/>
      <c r="CP156" s="3" t="n"/>
      <c r="CQ156" s="3" t="n"/>
      <c r="CR156" s="3" t="n"/>
      <c r="CS156" s="3" t="n"/>
      <c r="CT156" s="3" t="n"/>
      <c r="CU156" s="3" t="n"/>
      <c r="CV156" s="3" t="n"/>
      <c r="CW156" s="3" t="n"/>
      <c r="CX156" s="3" t="n"/>
      <c r="CY156" s="3" t="n"/>
    </row>
    <row r="157" hidden="1" outlineLevel="1">
      <c r="C157" s="52" t="inlineStr">
        <is>
          <t xml:space="preserve">Impostos e Contribuições a Recuperar </t>
        </is>
      </c>
      <c r="D157" s="6" t="n"/>
      <c r="E157" s="6" t="n"/>
      <c r="F157" s="6" t="n"/>
      <c r="G157" s="6" t="n"/>
      <c r="H157" s="3" t="n"/>
      <c r="I157" s="6" t="n"/>
      <c r="J157" s="6" t="n"/>
      <c r="K157" s="6" t="n"/>
      <c r="L157" s="6" t="n"/>
      <c r="M157" s="3" t="n"/>
      <c r="N157" s="6" t="n"/>
      <c r="O157" s="6" t="n"/>
      <c r="P157" s="6" t="n"/>
      <c r="Q157" s="6" t="n"/>
      <c r="R157" s="3" t="n"/>
      <c r="S157" s="6" t="n"/>
      <c r="T157" s="6" t="n"/>
      <c r="U157" s="6" t="n"/>
      <c r="V157" s="6" t="n"/>
      <c r="W157" s="3" t="n"/>
      <c r="X157" s="6" t="n"/>
      <c r="Y157" s="6" t="n"/>
      <c r="Z157" s="6" t="n"/>
      <c r="AA157" s="6" t="n"/>
      <c r="AB157" s="3" t="n"/>
      <c r="AC157" s="6" t="n"/>
      <c r="AD157" s="6" t="n"/>
      <c r="AE157" s="6" t="n"/>
      <c r="AF157" s="6" t="n"/>
      <c r="AG157" s="3">
        <f>AF157</f>
        <v>0</v>
      </c>
      <c r="AH157" s="216">
        <f>AG157*AH15/AG15</f>
        <v>0</v>
      </c>
      <c r="AI157" s="216">
        <f>AH157*AI15/AH15</f>
        <v>0</v>
      </c>
      <c r="AJ157" s="216">
        <f>AI157*AJ15/AI15</f>
        <v>0</v>
      </c>
      <c r="AK157" s="216">
        <f>AJ157*AK15/AJ15</f>
        <v>0</v>
      </c>
      <c r="AL157" s="3">
        <f>AK157</f>
        <v>0</v>
      </c>
      <c r="AM157" s="3" t="n"/>
      <c r="AN157" s="3" t="n"/>
      <c r="AO157" s="3" t="n"/>
      <c r="AP157" s="3" t="n"/>
      <c r="AQ157" s="3" t="n"/>
      <c r="AR157" s="3" t="n"/>
      <c r="AS157" s="3" t="n"/>
      <c r="AT157" s="3" t="n"/>
      <c r="AU157" s="3" t="n"/>
      <c r="AV157" s="3" t="n"/>
      <c r="AW157" s="3" t="n"/>
      <c r="AX157" s="3" t="n"/>
      <c r="AY157" s="3" t="n"/>
      <c r="AZ157" s="3" t="n"/>
      <c r="BA157" s="3" t="n"/>
      <c r="BB157" s="3" t="n"/>
      <c r="BC157" s="3" t="n"/>
      <c r="BD157" s="3" t="n"/>
      <c r="BE157" s="3" t="n"/>
      <c r="BF157" s="3" t="n"/>
      <c r="BG157" s="3" t="n"/>
      <c r="BH157" s="3" t="n"/>
      <c r="BI157" s="3" t="n"/>
      <c r="BJ157" s="3" t="n"/>
      <c r="BK157" s="3" t="n"/>
      <c r="BL157" s="3" t="n"/>
      <c r="BM157" s="3" t="n"/>
      <c r="BN157" s="3" t="n"/>
      <c r="BO157" s="3" t="n"/>
      <c r="BP157" s="3" t="n"/>
      <c r="BQ157" s="3" t="n"/>
      <c r="BR157" s="3" t="n"/>
      <c r="BS157" s="3" t="n"/>
      <c r="BT157" s="3" t="n"/>
      <c r="BU157" s="3" t="n"/>
      <c r="BV157" s="3" t="n"/>
      <c r="BW157" s="3" t="n"/>
      <c r="BX157" s="3" t="n"/>
      <c r="BY157" s="3" t="n"/>
      <c r="BZ157" s="3" t="n"/>
      <c r="CA157" s="3" t="n"/>
      <c r="CB157" s="3" t="n"/>
      <c r="CC157" s="3" t="n"/>
      <c r="CD157" s="3" t="n"/>
      <c r="CE157" s="3" t="n"/>
      <c r="CF157" s="3" t="n"/>
      <c r="CG157" s="3" t="n"/>
      <c r="CH157" s="3" t="n"/>
      <c r="CI157" s="3" t="n"/>
      <c r="CJ157" s="3" t="n"/>
      <c r="CK157" s="3" t="n"/>
      <c r="CL157" s="3" t="n"/>
      <c r="CM157" s="3" t="n"/>
      <c r="CN157" s="3" t="n"/>
      <c r="CO157" s="3" t="n"/>
      <c r="CP157" s="3" t="n"/>
      <c r="CQ157" s="3" t="n"/>
      <c r="CR157" s="3" t="n"/>
      <c r="CS157" s="3" t="n"/>
      <c r="CT157" s="3" t="n"/>
      <c r="CU157" s="3" t="n"/>
      <c r="CV157" s="3" t="n"/>
      <c r="CW157" s="3" t="n"/>
      <c r="CX157" s="3" t="n"/>
      <c r="CY157" s="3" t="n"/>
    </row>
    <row r="158" hidden="1" outlineLevel="1">
      <c r="C158" s="52" t="inlineStr">
        <is>
          <t>Outros Créditos</t>
        </is>
      </c>
      <c r="D158" s="6" t="n"/>
      <c r="E158" s="6" t="n"/>
      <c r="F158" s="6" t="n"/>
      <c r="G158" s="6" t="n"/>
      <c r="H158" s="3" t="n"/>
      <c r="I158" s="6" t="n"/>
      <c r="J158" s="6" t="n"/>
      <c r="K158" s="6" t="n"/>
      <c r="L158" s="6" t="n"/>
      <c r="M158" s="3" t="n"/>
      <c r="N158" s="6" t="n"/>
      <c r="O158" s="6" t="n"/>
      <c r="P158" s="6" t="n"/>
      <c r="Q158" s="6" t="n"/>
      <c r="R158" s="3" t="n"/>
      <c r="S158" s="6" t="n"/>
      <c r="T158" s="6" t="n"/>
      <c r="U158" s="6" t="n"/>
      <c r="V158" s="6" t="n"/>
      <c r="W158" s="3" t="n"/>
      <c r="X158" s="6" t="n"/>
      <c r="Y158" s="6" t="n"/>
      <c r="Z158" s="6" t="n"/>
      <c r="AA158" s="6" t="n"/>
      <c r="AB158" s="3" t="n"/>
      <c r="AC158" s="6" t="n"/>
      <c r="AD158" s="6" t="n"/>
      <c r="AE158" s="6" t="n"/>
      <c r="AF158" s="6" t="n"/>
      <c r="AG158" s="3">
        <f>AF158</f>
        <v>0</v>
      </c>
      <c r="AH158" s="3">
        <f>AG158</f>
        <v>0</v>
      </c>
      <c r="AI158" s="3">
        <f>AH158</f>
        <v>0</v>
      </c>
      <c r="AJ158" s="3">
        <f>AI158</f>
        <v>0</v>
      </c>
      <c r="AK158" s="3">
        <f>AJ158</f>
        <v>0</v>
      </c>
      <c r="AL158" s="3">
        <f>AK158</f>
        <v>0</v>
      </c>
      <c r="AM158" s="3" t="n"/>
      <c r="AN158" s="3" t="n"/>
      <c r="AO158" s="3" t="n"/>
      <c r="AP158" s="3" t="n"/>
      <c r="AQ158" s="3" t="n"/>
      <c r="AR158" s="3" t="n"/>
      <c r="AS158" s="3" t="n"/>
      <c r="AT158" s="3" t="n"/>
      <c r="AU158" s="3" t="n"/>
      <c r="AV158" s="3" t="n"/>
      <c r="AW158" s="3" t="n"/>
      <c r="AX158" s="3" t="n"/>
      <c r="AY158" s="3" t="n"/>
      <c r="AZ158" s="3" t="n"/>
      <c r="BA158" s="3" t="n"/>
      <c r="BB158" s="3" t="n"/>
      <c r="BC158" s="3" t="n"/>
      <c r="BD158" s="3" t="n"/>
      <c r="BE158" s="3" t="n"/>
      <c r="BF158" s="3" t="n"/>
      <c r="BG158" s="3" t="n"/>
      <c r="BH158" s="3" t="n"/>
      <c r="BI158" s="3" t="n"/>
      <c r="BJ158" s="3" t="n"/>
      <c r="BK158" s="3" t="n"/>
      <c r="BL158" s="3" t="n"/>
      <c r="BM158" s="3" t="n"/>
      <c r="BN158" s="3" t="n"/>
      <c r="BO158" s="3" t="n"/>
      <c r="BP158" s="3" t="n"/>
      <c r="BQ158" s="3" t="n"/>
      <c r="BR158" s="3" t="n"/>
      <c r="BS158" s="3" t="n"/>
      <c r="BT158" s="3" t="n"/>
      <c r="BU158" s="3" t="n"/>
      <c r="BV158" s="3" t="n"/>
      <c r="BW158" s="3" t="n"/>
      <c r="BX158" s="3" t="n"/>
      <c r="BY158" s="3" t="n"/>
      <c r="BZ158" s="3" t="n"/>
      <c r="CA158" s="3" t="n"/>
      <c r="CB158" s="3" t="n"/>
      <c r="CC158" s="3" t="n"/>
      <c r="CD158" s="3" t="n"/>
      <c r="CE158" s="3" t="n"/>
      <c r="CF158" s="3" t="n"/>
      <c r="CG158" s="3" t="n"/>
      <c r="CH158" s="3" t="n"/>
      <c r="CI158" s="3" t="n"/>
      <c r="CJ158" s="3" t="n"/>
      <c r="CK158" s="3" t="n"/>
      <c r="CL158" s="3" t="n"/>
      <c r="CM158" s="3" t="n"/>
      <c r="CN158" s="3" t="n"/>
      <c r="CO158" s="3" t="n"/>
      <c r="CP158" s="3" t="n"/>
      <c r="CQ158" s="3" t="n"/>
      <c r="CR158" s="3" t="n"/>
      <c r="CS158" s="3" t="n"/>
      <c r="CT158" s="3" t="n"/>
      <c r="CU158" s="3" t="n"/>
      <c r="CV158" s="3" t="n"/>
      <c r="CW158" s="3" t="n"/>
      <c r="CX158" s="3" t="n"/>
      <c r="CY158" s="3" t="n"/>
    </row>
    <row r="159" hidden="1" outlineLevel="1">
      <c r="C159" s="34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  <c r="AC159" s="3" t="n"/>
      <c r="AD159" s="3" t="n"/>
      <c r="AE159" s="3" t="n"/>
      <c r="AF159" s="3" t="n"/>
      <c r="AG159" s="3" t="n"/>
      <c r="AH159" s="3" t="n"/>
      <c r="AI159" s="3" t="n"/>
      <c r="AJ159" s="3" t="n"/>
      <c r="AK159" s="3" t="n"/>
      <c r="AL159" s="3" t="n"/>
      <c r="AM159" s="3" t="n"/>
      <c r="AN159" s="3" t="n"/>
      <c r="AO159" s="3" t="n"/>
      <c r="AP159" s="3" t="n"/>
      <c r="AQ159" s="3" t="n"/>
      <c r="AR159" s="3" t="n"/>
      <c r="AS159" s="3" t="n"/>
      <c r="AT159" s="3" t="n"/>
      <c r="AU159" s="3" t="n"/>
      <c r="AV159" s="3" t="n"/>
      <c r="AW159" s="3" t="n"/>
      <c r="AX159" s="3" t="n"/>
      <c r="AY159" s="3" t="n"/>
      <c r="AZ159" s="3" t="n"/>
      <c r="BA159" s="3" t="n"/>
      <c r="BB159" s="3" t="n"/>
      <c r="BC159" s="3" t="n"/>
      <c r="BD159" s="3" t="n"/>
      <c r="BE159" s="3" t="n"/>
      <c r="BF159" s="3" t="n"/>
      <c r="BG159" s="3" t="n"/>
      <c r="BH159" s="3" t="n"/>
      <c r="BI159" s="3" t="n"/>
      <c r="BJ159" s="3" t="n"/>
      <c r="BK159" s="3" t="n"/>
      <c r="BL159" s="3" t="n"/>
      <c r="BM159" s="3" t="n"/>
      <c r="BN159" s="3" t="n"/>
      <c r="BO159" s="3" t="n"/>
      <c r="BP159" s="3" t="n"/>
      <c r="BQ159" s="3" t="n"/>
      <c r="BR159" s="3" t="n"/>
      <c r="BS159" s="3" t="n"/>
      <c r="BT159" s="3" t="n"/>
      <c r="BU159" s="3" t="n"/>
      <c r="BV159" s="3" t="n"/>
      <c r="BW159" s="3" t="n"/>
      <c r="BX159" s="3" t="n"/>
      <c r="BY159" s="3" t="n"/>
      <c r="BZ159" s="3" t="n"/>
      <c r="CA159" s="3" t="n"/>
      <c r="CB159" s="3" t="n"/>
      <c r="CC159" s="3" t="n"/>
      <c r="CD159" s="3" t="n"/>
      <c r="CE159" s="3" t="n"/>
      <c r="CF159" s="3" t="n"/>
      <c r="CG159" s="3" t="n"/>
      <c r="CH159" s="3" t="n"/>
      <c r="CI159" s="3" t="n"/>
      <c r="CJ159" s="3" t="n"/>
      <c r="CK159" s="3" t="n"/>
      <c r="CL159" s="3" t="n"/>
      <c r="CM159" s="3" t="n"/>
      <c r="CN159" s="3" t="n"/>
      <c r="CO159" s="3" t="n"/>
      <c r="CP159" s="3" t="n"/>
      <c r="CQ159" s="3" t="n"/>
      <c r="CR159" s="3" t="n"/>
      <c r="CS159" s="3" t="n"/>
      <c r="CT159" s="3" t="n"/>
      <c r="CU159" s="3" t="n"/>
      <c r="CV159" s="3" t="n"/>
      <c r="CW159" s="3" t="n"/>
      <c r="CX159" s="3" t="n"/>
      <c r="CY159" s="3" t="n"/>
    </row>
    <row r="160" collapsed="1">
      <c r="C160" s="26" t="inlineStr">
        <is>
          <t>Equity in affiliates</t>
        </is>
      </c>
      <c r="D160" s="25" t="n"/>
      <c r="E160" s="25" t="n"/>
      <c r="F160" s="25" t="n"/>
      <c r="G160" s="25" t="n"/>
      <c r="H160" s="3">
        <f>G160</f>
        <v>0</v>
      </c>
      <c r="I160" s="25" t="n">
        <v>0</v>
      </c>
      <c r="J160" s="25" t="n">
        <v>0</v>
      </c>
      <c r="K160" s="25" t="n">
        <v>0</v>
      </c>
      <c r="L160" s="25" t="n">
        <v>0</v>
      </c>
      <c r="M160" s="3">
        <f>L160</f>
        <v>0</v>
      </c>
      <c r="N160" s="25" t="n"/>
      <c r="O160" s="25" t="n"/>
      <c r="P160" s="25" t="n"/>
      <c r="Q160" s="25" t="n"/>
      <c r="R160" s="3">
        <f>Q160</f>
        <v>0</v>
      </c>
      <c r="S160" s="25" t="n"/>
      <c r="T160" s="25" t="n"/>
      <c r="U160" s="25" t="n"/>
      <c r="V160" s="25" t="n"/>
      <c r="W160" s="3">
        <f>V160</f>
        <v>0</v>
      </c>
      <c r="X160" s="25" t="n"/>
      <c r="Y160" s="25" t="n"/>
      <c r="Z160" s="25" t="n"/>
      <c r="AA160" s="25" t="n"/>
      <c r="AB160" s="3">
        <f>AA160</f>
        <v>0</v>
      </c>
      <c r="AC160" s="25" t="n"/>
      <c r="AD160" s="25" t="n"/>
      <c r="AE160" s="25" t="n"/>
      <c r="AF160" s="25" t="n"/>
      <c r="AG160" s="3">
        <f>AF160</f>
        <v>0</v>
      </c>
      <c r="AH160" s="3">
        <f>AG160+AH134+AH163</f>
        <v>0</v>
      </c>
      <c r="AI160" s="3">
        <f>AH160+AI134+AI163</f>
        <v>0</v>
      </c>
      <c r="AJ160" s="3">
        <f>AI160+AJ134+AJ163</f>
        <v>0</v>
      </c>
      <c r="AK160" s="3">
        <f>AJ160+AK134+AK163</f>
        <v>0</v>
      </c>
      <c r="AL160" s="3">
        <f>AK160</f>
        <v>0</v>
      </c>
      <c r="AM160" s="3">
        <f>AL160+AM134+AM163</f>
        <v>0</v>
      </c>
      <c r="AN160" s="3">
        <f>AM160+AN134+AN163</f>
        <v>0</v>
      </c>
      <c r="AO160" s="3">
        <f>AN160+AO134+AO163</f>
        <v>0</v>
      </c>
      <c r="AP160" s="3">
        <f>AO160+AP134+AP163</f>
        <v>0</v>
      </c>
      <c r="AQ160" s="3">
        <f>AP160</f>
        <v>0</v>
      </c>
      <c r="AR160" s="3">
        <f>AQ160+AR134+AR163</f>
        <v>0</v>
      </c>
      <c r="AS160" s="3">
        <f>AR160+AS134+AS163</f>
        <v>0</v>
      </c>
      <c r="AT160" s="3">
        <f>AS160+AT134+AT163</f>
        <v>0</v>
      </c>
      <c r="AU160" s="3">
        <f>AT160+AU134+AU163</f>
        <v>0</v>
      </c>
      <c r="AV160" s="3">
        <f>AU160</f>
        <v>0</v>
      </c>
      <c r="AW160" s="3">
        <f>AV160+AW134+AW163</f>
        <v>0</v>
      </c>
      <c r="AX160" s="3">
        <f>AW160+AX134+AX163</f>
        <v>0</v>
      </c>
      <c r="AY160" s="3">
        <f>AX160+AY134+AY163</f>
        <v>0</v>
      </c>
      <c r="AZ160" s="3">
        <f>AY160+AZ134+AZ163</f>
        <v>0</v>
      </c>
      <c r="BA160" s="3">
        <f>AZ160</f>
        <v>0</v>
      </c>
      <c r="BB160" s="3">
        <f>BA160+BB134+BB163</f>
        <v>0</v>
      </c>
      <c r="BC160" s="3">
        <f>BB160+BC134+BC163</f>
        <v>0</v>
      </c>
      <c r="BD160" s="3">
        <f>BC160+BD134+BD163</f>
        <v>0</v>
      </c>
      <c r="BE160" s="3">
        <f>BD160+BE134+BE163</f>
        <v>0</v>
      </c>
      <c r="BF160" s="3">
        <f>BE160</f>
        <v>0</v>
      </c>
      <c r="BG160" s="3">
        <f>BF160+BG134+BG163</f>
        <v>0</v>
      </c>
      <c r="BH160" s="3">
        <f>BG160+BH134+BH163</f>
        <v>0</v>
      </c>
      <c r="BI160" s="3">
        <f>BH160+BI134+BI163</f>
        <v>0</v>
      </c>
      <c r="BJ160" s="3">
        <f>BI160+BJ134+BJ163</f>
        <v>0</v>
      </c>
      <c r="BK160" s="3">
        <f>BJ160</f>
        <v>0</v>
      </c>
      <c r="BL160" s="3">
        <f>BK160+BL134+BL163</f>
        <v>0</v>
      </c>
      <c r="BM160" s="3">
        <f>BL160+BM134+BM163</f>
        <v>0</v>
      </c>
      <c r="BN160" s="3">
        <f>BM160+BN134+BN163</f>
        <v>0</v>
      </c>
      <c r="BO160" s="3">
        <f>BN160+BO134+BO163</f>
        <v>0</v>
      </c>
      <c r="BP160" s="3">
        <f>BO160</f>
        <v>0</v>
      </c>
      <c r="BQ160" s="3">
        <f>BP160+BQ134+BQ163</f>
        <v>0</v>
      </c>
      <c r="BR160" s="3">
        <f>BQ160+BR134+BR163</f>
        <v>0</v>
      </c>
      <c r="BS160" s="3">
        <f>BR160+BS134+BS163</f>
        <v>0</v>
      </c>
      <c r="BT160" s="3">
        <f>BS160+BT134+BT163</f>
        <v>0</v>
      </c>
      <c r="BU160" s="3">
        <f>BT160</f>
        <v>0</v>
      </c>
      <c r="BV160" s="3">
        <f>BU160+BV134+BV163</f>
        <v>0</v>
      </c>
      <c r="BW160" s="3">
        <f>BV160+BW134+BW163</f>
        <v>0</v>
      </c>
      <c r="BX160" s="3">
        <f>BW160+BX134+BX163</f>
        <v>0</v>
      </c>
      <c r="BY160" s="3">
        <f>BX160+BY134+BY163</f>
        <v>0</v>
      </c>
      <c r="BZ160" s="3">
        <f>BY160</f>
        <v>0</v>
      </c>
      <c r="CA160" s="3">
        <f>BZ160+CA134+CA163</f>
        <v>0</v>
      </c>
      <c r="CB160" s="3">
        <f>CA160+CB134+CB163</f>
        <v>0</v>
      </c>
      <c r="CC160" s="3">
        <f>CB160+CC134+CC163</f>
        <v>0</v>
      </c>
      <c r="CD160" s="3">
        <f>CC160+CD134+CD163</f>
        <v>0</v>
      </c>
      <c r="CE160" s="3">
        <f>CD160</f>
        <v>0</v>
      </c>
      <c r="CF160" s="3">
        <f>CE160+CF134+CF163</f>
        <v>0</v>
      </c>
      <c r="CG160" s="3">
        <f>CF160+CG134+CG163</f>
        <v>0</v>
      </c>
      <c r="CH160" s="3">
        <f>CG160+CH134+CH163</f>
        <v>0</v>
      </c>
      <c r="CI160" s="3">
        <f>CH160+CI134+CI163</f>
        <v>0</v>
      </c>
      <c r="CJ160" s="3">
        <f>CI160</f>
        <v>0</v>
      </c>
      <c r="CK160" s="3">
        <f>CJ160+CK134+CK163</f>
        <v>0</v>
      </c>
      <c r="CL160" s="3">
        <f>CK160+CL134+CL163</f>
        <v>0</v>
      </c>
      <c r="CM160" s="3">
        <f>CL160+CM134+CM163</f>
        <v>0</v>
      </c>
      <c r="CN160" s="3">
        <f>CM160+CN134+CN163</f>
        <v>0</v>
      </c>
      <c r="CO160" s="3">
        <f>CN160</f>
        <v>0</v>
      </c>
      <c r="CP160" s="3">
        <f>CO160+CP134+CP163</f>
        <v>0</v>
      </c>
      <c r="CQ160" s="3">
        <f>CP160+CQ134+CQ163</f>
        <v>0</v>
      </c>
      <c r="CR160" s="3">
        <f>CQ160+CR134+CR163</f>
        <v>0</v>
      </c>
      <c r="CS160" s="3">
        <f>CR160+CS134+CS163</f>
        <v>0</v>
      </c>
      <c r="CT160" s="3">
        <f>CS160</f>
        <v>0</v>
      </c>
      <c r="CU160" s="3">
        <f>CT160+CU134+CU163</f>
        <v>0</v>
      </c>
      <c r="CV160" s="3">
        <f>CU160+CV134+CV163</f>
        <v>0</v>
      </c>
      <c r="CW160" s="3">
        <f>CV160+CW134+CW163</f>
        <v>0</v>
      </c>
      <c r="CX160" s="3">
        <f>CW160+CX134+CX163</f>
        <v>0</v>
      </c>
      <c r="CY160" s="3">
        <f>CX160</f>
        <v>0</v>
      </c>
    </row>
    <row r="161" hidden="1" outlineLevel="1">
      <c r="C161" s="34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3" t="n"/>
      <c r="AE161" s="3" t="n"/>
      <c r="AF161" s="3" t="n"/>
      <c r="AG161" s="3" t="n"/>
      <c r="AH161" s="3" t="n"/>
      <c r="AI161" s="3" t="n"/>
      <c r="AJ161" s="3" t="n"/>
      <c r="AK161" s="3" t="n"/>
      <c r="AL161" s="3" t="n"/>
      <c r="AM161" s="3" t="n"/>
      <c r="AN161" s="3" t="n"/>
      <c r="AO161" s="3" t="n"/>
      <c r="AP161" s="3" t="n"/>
      <c r="AQ161" s="3" t="n"/>
      <c r="AR161" s="3" t="n"/>
      <c r="AS161" s="3" t="n"/>
      <c r="AT161" s="3" t="n"/>
      <c r="AU161" s="3" t="n"/>
      <c r="AV161" s="3" t="n"/>
      <c r="AW161" s="3" t="n"/>
      <c r="AX161" s="3" t="n"/>
      <c r="AY161" s="3" t="n"/>
      <c r="AZ161" s="3" t="n"/>
      <c r="BA161" s="3" t="n"/>
      <c r="BB161" s="3" t="n"/>
      <c r="BC161" s="3" t="n"/>
      <c r="BD161" s="3" t="n"/>
      <c r="BE161" s="3" t="n"/>
      <c r="BF161" s="3" t="n"/>
      <c r="BG161" s="3" t="n"/>
      <c r="BH161" s="3" t="n"/>
      <c r="BI161" s="3" t="n"/>
      <c r="BJ161" s="3" t="n"/>
      <c r="BK161" s="3" t="n"/>
      <c r="BL161" s="3" t="n"/>
      <c r="BM161" s="3" t="n"/>
      <c r="BN161" s="3" t="n"/>
      <c r="BO161" s="3" t="n"/>
      <c r="BP161" s="3" t="n"/>
      <c r="BQ161" s="3" t="n"/>
      <c r="BR161" s="3" t="n"/>
      <c r="BS161" s="3" t="n"/>
      <c r="BT161" s="3" t="n"/>
      <c r="BU161" s="3" t="n"/>
      <c r="BV161" s="3" t="n"/>
      <c r="BW161" s="3" t="n"/>
      <c r="BX161" s="3" t="n"/>
      <c r="BY161" s="3" t="n"/>
      <c r="BZ161" s="3" t="n"/>
      <c r="CA161" s="3" t="n"/>
      <c r="CB161" s="3" t="n"/>
      <c r="CC161" s="3" t="n"/>
      <c r="CD161" s="3" t="n"/>
      <c r="CE161" s="3" t="n"/>
      <c r="CF161" s="3" t="n"/>
      <c r="CG161" s="3" t="n"/>
      <c r="CH161" s="3" t="n"/>
      <c r="CI161" s="3" t="n"/>
      <c r="CJ161" s="3" t="n"/>
      <c r="CK161" s="3" t="n"/>
      <c r="CL161" s="3" t="n"/>
      <c r="CM161" s="3" t="n"/>
      <c r="CN161" s="3" t="n"/>
      <c r="CO161" s="3" t="n"/>
      <c r="CP161" s="3" t="n"/>
      <c r="CQ161" s="3" t="n"/>
      <c r="CR161" s="3" t="n"/>
      <c r="CS161" s="3" t="n"/>
      <c r="CT161" s="3" t="n"/>
      <c r="CU161" s="3" t="n"/>
      <c r="CV161" s="3" t="n"/>
      <c r="CW161" s="3" t="n"/>
      <c r="CX161" s="3" t="n"/>
      <c r="CY161" s="3" t="n"/>
    </row>
    <row r="162" hidden="1" outlineLevel="1">
      <c r="C162" s="34" t="inlineStr">
        <is>
          <t>Equity in Income - % YoY</t>
        </is>
      </c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>
        <f>IF(I134=0,0,N134/I134-1)</f>
        <v>0</v>
      </c>
      <c r="O162" s="3">
        <f>IF(J134=0,0,O134/J134-1)</f>
        <v>0</v>
      </c>
      <c r="P162" s="3">
        <f>IF(K134=0,0,P134/K134-1)</f>
        <v>0</v>
      </c>
      <c r="Q162" s="3">
        <f>IF(L134=0,0,Q134/L134-1)</f>
        <v>0</v>
      </c>
      <c r="R162" s="3" t="n"/>
      <c r="S162" s="3">
        <f>IF(N134=0,0,S134/N134-1)</f>
        <v>0</v>
      </c>
      <c r="T162" s="3">
        <f>IF(O134=0,0,T134/O134-1)</f>
        <v>0</v>
      </c>
      <c r="U162" s="3">
        <f>IF(P134=0,0,U134/P134-1)</f>
        <v>0</v>
      </c>
      <c r="V162" s="3">
        <f>IF(Q134=0,0,V134/Q134-1)</f>
        <v>0</v>
      </c>
      <c r="W162" s="3" t="n"/>
      <c r="X162" s="3">
        <f>IF(S134=0,0,X134/S134-1)</f>
        <v>0</v>
      </c>
      <c r="Y162" s="3">
        <f>IF(T134=0,0,Y134/T134-1)</f>
        <v>0</v>
      </c>
      <c r="Z162" s="3">
        <f>IF(U134=0,0,Z134/U134-1)</f>
        <v>0</v>
      </c>
      <c r="AA162" s="3">
        <f>IF(V134=0,0,AA134/V134-1)</f>
        <v>0</v>
      </c>
      <c r="AB162" s="3" t="n"/>
      <c r="AC162" s="3">
        <f>IF(X134=0,0,AC134/X134-1)</f>
        <v>0</v>
      </c>
      <c r="AD162" s="3">
        <f>IF(Y134=0,0,AD134/Y134-1)</f>
        <v>0</v>
      </c>
      <c r="AE162" s="3">
        <f>IF(Z134=0,0,AE134/Z134-1)</f>
        <v>0</v>
      </c>
      <c r="AF162" s="3">
        <f>IF(AA134=0,0,AF134/AA134-1)</f>
        <v>0</v>
      </c>
      <c r="AG162" s="3" t="n"/>
      <c r="AH162" s="6">
        <f>IF(AC134=0,0,AH134/AC134-1)</f>
        <v>0</v>
      </c>
      <c r="AI162" s="6">
        <f>IF(AD134=0,0,AI134/AD134-1)</f>
        <v>0</v>
      </c>
      <c r="AJ162" s="6" t="n"/>
      <c r="AK162" s="6" t="n"/>
      <c r="AL162" s="3" t="n"/>
      <c r="AM162" s="6" t="n"/>
      <c r="AN162" s="6" t="n"/>
      <c r="AO162" s="6" t="n"/>
      <c r="AP162" s="6" t="n"/>
      <c r="AQ162" s="3" t="n"/>
      <c r="AR162" s="6" t="n"/>
      <c r="AS162" s="6" t="n"/>
      <c r="AT162" s="6" t="n"/>
      <c r="AU162" s="6" t="n"/>
      <c r="AV162" s="3" t="n"/>
      <c r="AW162" s="6" t="n"/>
      <c r="AX162" s="6" t="n"/>
      <c r="AY162" s="6" t="n"/>
      <c r="AZ162" s="6" t="n"/>
      <c r="BA162" s="3" t="n"/>
      <c r="BB162" s="6" t="n"/>
      <c r="BC162" s="6" t="n"/>
      <c r="BD162" s="6" t="n"/>
      <c r="BE162" s="6" t="n"/>
      <c r="BF162" s="3" t="n"/>
      <c r="BG162" s="6" t="n"/>
      <c r="BH162" s="6" t="n"/>
      <c r="BI162" s="6" t="n"/>
      <c r="BJ162" s="6" t="n"/>
      <c r="BK162" s="3" t="n"/>
      <c r="BL162" s="6" t="n"/>
      <c r="BM162" s="6" t="n"/>
      <c r="BN162" s="6" t="n"/>
      <c r="BO162" s="6" t="n"/>
      <c r="BP162" s="3" t="n"/>
      <c r="BQ162" s="6" t="n"/>
      <c r="BR162" s="6" t="n"/>
      <c r="BS162" s="6" t="n"/>
      <c r="BT162" s="6" t="n"/>
      <c r="BU162" s="3" t="n"/>
      <c r="BV162" s="6" t="n"/>
      <c r="BW162" s="6" t="n"/>
      <c r="BX162" s="6" t="n"/>
      <c r="BY162" s="6" t="n"/>
      <c r="BZ162" s="3" t="n"/>
      <c r="CA162" s="6" t="n"/>
      <c r="CB162" s="6" t="n"/>
      <c r="CC162" s="6" t="n"/>
      <c r="CD162" s="6" t="n"/>
      <c r="CE162" s="3" t="n"/>
      <c r="CF162" s="6" t="n"/>
      <c r="CG162" s="6" t="n"/>
      <c r="CH162" s="6" t="n"/>
      <c r="CI162" s="6" t="n"/>
      <c r="CJ162" s="3" t="n"/>
      <c r="CK162" s="6" t="n"/>
      <c r="CL162" s="6" t="n"/>
      <c r="CM162" s="6" t="n"/>
      <c r="CN162" s="6" t="n"/>
      <c r="CO162" s="3" t="n"/>
      <c r="CP162" s="6" t="n"/>
      <c r="CQ162" s="6" t="n"/>
      <c r="CR162" s="6" t="n"/>
      <c r="CS162" s="6" t="n"/>
      <c r="CT162" s="3" t="n"/>
      <c r="CU162" s="6" t="n"/>
      <c r="CV162" s="6" t="n"/>
      <c r="CW162" s="6" t="n"/>
      <c r="CX162" s="6" t="n"/>
      <c r="CY162" s="3" t="n"/>
    </row>
    <row r="163" hidden="1" outlineLevel="1">
      <c r="C163" s="34" t="inlineStr">
        <is>
          <t>Dividends (enter as -)</t>
        </is>
      </c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  <c r="AC163" s="3" t="n"/>
      <c r="AD163" s="3" t="n"/>
      <c r="AE163" s="3" t="n"/>
      <c r="AF163" s="3" t="n"/>
      <c r="AG163" s="3" t="n"/>
      <c r="AH163" s="6" t="n"/>
      <c r="AI163" s="6" t="n"/>
      <c r="AJ163" s="6" t="n"/>
      <c r="AK163" s="6" t="n"/>
      <c r="AL163" s="3" t="n"/>
      <c r="AM163" s="6" t="n"/>
      <c r="AN163" s="6" t="n"/>
      <c r="AO163" s="6" t="n"/>
      <c r="AP163" s="6" t="n"/>
      <c r="AQ163" s="3" t="n"/>
      <c r="AR163" s="6" t="n"/>
      <c r="AS163" s="6" t="n"/>
      <c r="AT163" s="6" t="n"/>
      <c r="AU163" s="6" t="n"/>
      <c r="AV163" s="3" t="n"/>
      <c r="AW163" s="6" t="n"/>
      <c r="AX163" s="6" t="n"/>
      <c r="AY163" s="6" t="n"/>
      <c r="AZ163" s="6" t="n"/>
      <c r="BA163" s="3" t="n"/>
      <c r="BB163" s="6" t="n"/>
      <c r="BC163" s="6" t="n"/>
      <c r="BD163" s="6" t="n"/>
      <c r="BE163" s="6" t="n"/>
      <c r="BF163" s="3" t="n"/>
      <c r="BG163" s="6" t="n"/>
      <c r="BH163" s="6" t="n"/>
      <c r="BI163" s="6" t="n"/>
      <c r="BJ163" s="6" t="n"/>
      <c r="BK163" s="3" t="n"/>
      <c r="BL163" s="6" t="n"/>
      <c r="BM163" s="6" t="n"/>
      <c r="BN163" s="6" t="n"/>
      <c r="BO163" s="6" t="n"/>
      <c r="BP163" s="3" t="n"/>
      <c r="BQ163" s="6" t="n"/>
      <c r="BR163" s="6" t="n"/>
      <c r="BS163" s="6" t="n"/>
      <c r="BT163" s="6" t="n"/>
      <c r="BU163" s="3" t="n"/>
      <c r="BV163" s="6" t="n"/>
      <c r="BW163" s="6" t="n"/>
      <c r="BX163" s="6" t="n"/>
      <c r="BY163" s="6" t="n"/>
      <c r="BZ163" s="3" t="n"/>
      <c r="CA163" s="6" t="n"/>
      <c r="CB163" s="6" t="n"/>
      <c r="CC163" s="6" t="n"/>
      <c r="CD163" s="6" t="n"/>
      <c r="CE163" s="3" t="n"/>
      <c r="CF163" s="6" t="n"/>
      <c r="CG163" s="6" t="n"/>
      <c r="CH163" s="6" t="n"/>
      <c r="CI163" s="6" t="n"/>
      <c r="CJ163" s="3" t="n"/>
      <c r="CK163" s="6" t="n"/>
      <c r="CL163" s="6" t="n"/>
      <c r="CM163" s="6" t="n"/>
      <c r="CN163" s="6" t="n"/>
      <c r="CO163" s="3" t="n"/>
      <c r="CP163" s="6" t="n"/>
      <c r="CQ163" s="6" t="n"/>
      <c r="CR163" s="6" t="n"/>
      <c r="CS163" s="6" t="n"/>
      <c r="CT163" s="3" t="n"/>
      <c r="CU163" s="6" t="n"/>
      <c r="CV163" s="6" t="n"/>
      <c r="CW163" s="6" t="n"/>
      <c r="CX163" s="6" t="n"/>
      <c r="CY163" s="3" t="n"/>
    </row>
    <row r="164" hidden="1" outlineLevel="1">
      <c r="C164" s="34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  <c r="AD164" s="3" t="n"/>
      <c r="AE164" s="3" t="n"/>
      <c r="AF164" s="3" t="n"/>
      <c r="AG164" s="3" t="n"/>
      <c r="AH164" s="3" t="n"/>
      <c r="AI164" s="3" t="n"/>
      <c r="AJ164" s="3" t="n"/>
      <c r="AK164" s="3" t="n"/>
      <c r="AL164" s="3" t="n"/>
      <c r="AM164" s="3" t="n"/>
      <c r="AN164" s="3" t="n"/>
      <c r="AO164" s="3" t="n"/>
      <c r="AP164" s="3" t="n"/>
      <c r="AQ164" s="3" t="n"/>
      <c r="AR164" s="3" t="n"/>
      <c r="AS164" s="3" t="n"/>
      <c r="AT164" s="3" t="n"/>
      <c r="AU164" s="3" t="n"/>
      <c r="AV164" s="3" t="n"/>
      <c r="AW164" s="3" t="n"/>
      <c r="AX164" s="3" t="n"/>
      <c r="AY164" s="3" t="n"/>
      <c r="AZ164" s="3" t="n"/>
      <c r="BA164" s="3" t="n"/>
      <c r="BB164" s="3" t="n"/>
      <c r="BC164" s="3" t="n"/>
      <c r="BD164" s="3" t="n"/>
      <c r="BE164" s="3" t="n"/>
      <c r="BF164" s="3" t="n"/>
      <c r="BG164" s="3" t="n"/>
      <c r="BH164" s="3" t="n"/>
      <c r="BI164" s="3" t="n"/>
      <c r="BJ164" s="3" t="n"/>
      <c r="BK164" s="3" t="n"/>
      <c r="BL164" s="3" t="n"/>
      <c r="BM164" s="3" t="n"/>
      <c r="BN164" s="3" t="n"/>
      <c r="BO164" s="3" t="n"/>
      <c r="BP164" s="3" t="n"/>
      <c r="BQ164" s="3" t="n"/>
      <c r="BR164" s="3" t="n"/>
      <c r="BS164" s="3" t="n"/>
      <c r="BT164" s="3" t="n"/>
      <c r="BU164" s="3" t="n"/>
      <c r="BV164" s="3" t="n"/>
      <c r="BW164" s="3" t="n"/>
      <c r="BX164" s="3" t="n"/>
      <c r="BY164" s="3" t="n"/>
      <c r="BZ164" s="3" t="n"/>
      <c r="CA164" s="3" t="n"/>
      <c r="CB164" s="3" t="n"/>
      <c r="CC164" s="3" t="n"/>
      <c r="CD164" s="3" t="n"/>
      <c r="CE164" s="3" t="n"/>
      <c r="CF164" s="3" t="n"/>
      <c r="CG164" s="3" t="n"/>
      <c r="CH164" s="3" t="n"/>
      <c r="CI164" s="3" t="n"/>
      <c r="CJ164" s="3" t="n"/>
      <c r="CK164" s="3" t="n"/>
      <c r="CL164" s="3" t="n"/>
      <c r="CM164" s="3" t="n"/>
      <c r="CN164" s="3" t="n"/>
      <c r="CO164" s="3" t="n"/>
      <c r="CP164" s="3" t="n"/>
      <c r="CQ164" s="3" t="n"/>
      <c r="CR164" s="3" t="n"/>
      <c r="CS164" s="3" t="n"/>
      <c r="CT164" s="3" t="n"/>
      <c r="CU164" s="3" t="n"/>
      <c r="CV164" s="3" t="n"/>
      <c r="CW164" s="3" t="n"/>
      <c r="CX164" s="3" t="n"/>
      <c r="CY164" s="3" t="n"/>
    </row>
    <row r="165" collapsed="1">
      <c r="C165" s="26" t="inlineStr">
        <is>
          <t>PP&amp;E</t>
        </is>
      </c>
      <c r="D165" s="25">
        <f>INDEX('Inputs (2)'!$D$22:$AL$22,MATCH(D$7,'Inputs (2)'!$D$2:$AL$2,0))</f>
        <v>1715</v>
      </c>
      <c r="E165" s="25">
        <f>INDEX('Inputs (2)'!$D$22:$AL$22,MATCH(E$7,'Inputs (2)'!$D$2:$AL$2,0))</f>
        <v>1964</v>
      </c>
      <c r="F165" s="25">
        <f>INDEX('Inputs (2)'!$D$22:$AL$22,MATCH(F$7,'Inputs (2)'!$D$2:$AL$2,0))</f>
        <v>2059</v>
      </c>
      <c r="G165" s="25">
        <f>INDEX('Inputs (2)'!$D$22:$AL$22,MATCH(G$7,'Inputs (2)'!$D$2:$AL$2,0))</f>
        <v>2149</v>
      </c>
      <c r="H165" s="3">
        <f>G165</f>
        <v>2149</v>
      </c>
      <c r="I165" s="25">
        <f>INDEX('Inputs (2)'!$D$22:$AL$22,MATCH(I$7,'Inputs (2)'!$D$2:$AL$2,0))</f>
        <v>2268</v>
      </c>
      <c r="J165" s="25">
        <f>INDEX('Inputs (2)'!$D$22:$AL$22,MATCH(J$7,'Inputs (2)'!$D$2:$AL$2,0))</f>
        <v>2364</v>
      </c>
      <c r="K165" s="25">
        <f>INDEX('Inputs (2)'!$D$22:$AL$22,MATCH(K$7,'Inputs (2)'!$D$2:$AL$2,0))</f>
        <v>2509</v>
      </c>
      <c r="L165" s="25">
        <f>INDEX('Inputs (2)'!$D$22:$AL$22,MATCH(L$7,'Inputs (2)'!$D$2:$AL$2,0))</f>
        <v>2778</v>
      </c>
      <c r="M165" s="3">
        <f>L165</f>
        <v>2778</v>
      </c>
      <c r="N165" s="25">
        <f>INDEX('Inputs (2)'!$D$22:$AL$22,MATCH(N$7,'Inputs (2)'!$D$2:$AL$2,0))</f>
        <v>2916</v>
      </c>
      <c r="O165" s="25">
        <f>INDEX('Inputs (2)'!$D$22:$AL$22,MATCH(O$7,'Inputs (2)'!$D$2:$AL$2,0))</f>
        <v>3233</v>
      </c>
      <c r="P165" s="25">
        <f>INDEX('Inputs (2)'!$D$22:$AL$22,MATCH(P$7,'Inputs (2)'!$D$2:$AL$2,0))</f>
        <v>3774</v>
      </c>
      <c r="Q165" s="25">
        <f>INDEX('Inputs (2)'!$D$22:$AL$22,MATCH(Q$7,'Inputs (2)'!$D$2:$AL$2,0))</f>
        <v>3807</v>
      </c>
      <c r="R165" s="3">
        <f>Q165</f>
        <v>3807</v>
      </c>
      <c r="S165" s="25">
        <f>INDEX('Inputs (2)'!$D$22:$AL$22,MATCH(S$7,'Inputs (2)'!$D$2:$AL$2,0))</f>
        <v>3740</v>
      </c>
      <c r="T165" s="25">
        <f>INDEX('Inputs (2)'!$D$22:$AL$22,MATCH(T$7,'Inputs (2)'!$D$2:$AL$2,0))</f>
        <v>3799</v>
      </c>
      <c r="U165" s="25">
        <f>INDEX('Inputs (2)'!$D$22:$AL$22,MATCH(U$7,'Inputs (2)'!$D$2:$AL$2,0))</f>
        <v>3844</v>
      </c>
      <c r="V165" s="25">
        <f>INDEX('Inputs (2)'!$D$22:$AL$22,MATCH(V$7,'Inputs (2)'!$D$2:$AL$2,0))</f>
        <v>3914</v>
      </c>
      <c r="W165" s="3">
        <f>V165</f>
        <v>3914</v>
      </c>
      <c r="X165" s="25">
        <f>INDEX('Inputs (2)'!$D$22:$AL$22,MATCH(X$7,'Inputs (2)'!$D$2:$AL$2,0))</f>
        <v>4006</v>
      </c>
      <c r="Y165" s="25">
        <f>INDEX('Inputs (2)'!$D$22:$AL$22,MATCH(Y$7,'Inputs (2)'!$D$2:$AL$2,0))</f>
        <v>4885</v>
      </c>
      <c r="Z165" s="25">
        <f>INDEX('Inputs (2)'!$D$22:$AL$22,MATCH(Z$7,'Inputs (2)'!$D$2:$AL$2,0))</f>
        <v>5343</v>
      </c>
      <c r="AA165" s="25">
        <f>INDEX('Inputs (2)'!$D$22:$AL$22,MATCH(AA$7,'Inputs (2)'!$D$2:$AL$2,0))</f>
        <v>6283</v>
      </c>
      <c r="AB165" s="3">
        <f>AA165</f>
        <v>6283</v>
      </c>
      <c r="AC165" s="25">
        <f>INDEX('Inputs (2)'!$D$22:$AL$22,MATCH(AC$7,'Inputs (2)'!$D$2:$AL$2,0))</f>
        <v>7136</v>
      </c>
      <c r="AD165" s="25">
        <f>INDEX('Inputs (2)'!$D$22:$AL$22,MATCH(AD$7,'Inputs (2)'!$D$2:$AL$2,0))</f>
        <v>9141</v>
      </c>
      <c r="AE165" s="25">
        <f>INDEX('Inputs (2)'!$D$22:$AL$22,MATCH(AE$7,'Inputs (2)'!$D$2:$AL$2,0))</f>
        <v>9780</v>
      </c>
      <c r="AF165" s="25">
        <f>INDEX('Inputs (2)'!$D$22:$AL$22,MATCH(AF$7,'Inputs (2)'!$D$2:$AL$2,0))</f>
        <v>10383</v>
      </c>
      <c r="AG165" s="3">
        <f>AF165</f>
        <v>10383</v>
      </c>
      <c r="AH165" s="3">
        <f>INDEX('Inputs (2)'!$D$22:$AL$22,MATCH(AH$7,'Inputs (2)'!$D$2:$AL$2,0))</f>
        <v>12403</v>
      </c>
      <c r="AI165" s="3">
        <f>INDEX('Inputs (2)'!$D$22:$AL$22,MATCH(AI$7,'Inputs (2)'!$D$2:$AL$2,0))</f>
        <v>14285</v>
      </c>
      <c r="AJ165" s="3">
        <f>AJ170</f>
        <v>14285</v>
      </c>
      <c r="AK165" s="3">
        <f>AK170</f>
        <v>14285</v>
      </c>
      <c r="AL165" s="3">
        <f>AK165</f>
        <v>14285</v>
      </c>
      <c r="AM165" s="3">
        <f>AM170</f>
        <v>14285</v>
      </c>
      <c r="AN165" s="3">
        <f>AN170</f>
        <v>14285</v>
      </c>
      <c r="AO165" s="3">
        <f>AO170</f>
        <v>14285</v>
      </c>
      <c r="AP165" s="3">
        <f>AP170</f>
        <v>14285</v>
      </c>
      <c r="AQ165" s="3">
        <f>AP165</f>
        <v>14285</v>
      </c>
      <c r="AR165" s="3">
        <f>AR170</f>
        <v>14285</v>
      </c>
      <c r="AS165" s="3">
        <f>AS170</f>
        <v>14285</v>
      </c>
      <c r="AT165" s="3">
        <f>AT170</f>
        <v>14285</v>
      </c>
      <c r="AU165" s="3">
        <f>AU170</f>
        <v>14285</v>
      </c>
      <c r="AV165" s="3">
        <f>AU165</f>
        <v>14285</v>
      </c>
      <c r="AW165" s="3">
        <f>AW170</f>
        <v>14285</v>
      </c>
      <c r="AX165" s="3">
        <f>AX170</f>
        <v>14285</v>
      </c>
      <c r="AY165" s="3">
        <f>AY170</f>
        <v>14285</v>
      </c>
      <c r="AZ165" s="3">
        <f>AZ170</f>
        <v>14285</v>
      </c>
      <c r="BA165" s="3">
        <f>AZ165</f>
        <v>14285</v>
      </c>
      <c r="BB165" s="3">
        <f>BB170</f>
        <v>14285</v>
      </c>
      <c r="BC165" s="3">
        <f>BC170</f>
        <v>14285</v>
      </c>
      <c r="BD165" s="3">
        <f>BD170</f>
        <v>14285</v>
      </c>
      <c r="BE165" s="3">
        <f>BE170</f>
        <v>14285</v>
      </c>
      <c r="BF165" s="3">
        <f>BE165</f>
        <v>14285</v>
      </c>
      <c r="BG165" s="3">
        <f>BG170</f>
        <v>14285</v>
      </c>
      <c r="BH165" s="3">
        <f>BH170</f>
        <v>14285</v>
      </c>
      <c r="BI165" s="3">
        <f>BI170</f>
        <v>14285</v>
      </c>
      <c r="BJ165" s="3">
        <f>BJ170</f>
        <v>14285</v>
      </c>
      <c r="BK165" s="3">
        <f>BJ165</f>
        <v>14285</v>
      </c>
      <c r="BL165" s="3">
        <f>BL170</f>
        <v>14285</v>
      </c>
      <c r="BM165" s="3">
        <f>BM170</f>
        <v>14285</v>
      </c>
      <c r="BN165" s="3">
        <f>BN170</f>
        <v>14285</v>
      </c>
      <c r="BO165" s="3">
        <f>BO170</f>
        <v>14285</v>
      </c>
      <c r="BP165" s="3">
        <f>BO165</f>
        <v>14285</v>
      </c>
      <c r="BQ165" s="3">
        <f>BQ170</f>
        <v>14285</v>
      </c>
      <c r="BR165" s="3">
        <f>BR170</f>
        <v>14285</v>
      </c>
      <c r="BS165" s="3">
        <f>BS170</f>
        <v>14285</v>
      </c>
      <c r="BT165" s="3">
        <f>BT170</f>
        <v>14285</v>
      </c>
      <c r="BU165" s="3">
        <f>BT165</f>
        <v>14285</v>
      </c>
      <c r="BV165" s="3">
        <f>BV170</f>
        <v>14285</v>
      </c>
      <c r="BW165" s="3">
        <f>BW170</f>
        <v>14285</v>
      </c>
      <c r="BX165" s="3">
        <f>BX170</f>
        <v>14285</v>
      </c>
      <c r="BY165" s="3">
        <f>BY170</f>
        <v>14285</v>
      </c>
      <c r="BZ165" s="3">
        <f>BY165</f>
        <v>14285</v>
      </c>
      <c r="CA165" s="3">
        <f>CA170</f>
        <v>14285</v>
      </c>
      <c r="CB165" s="3">
        <f>CB170</f>
        <v>14285</v>
      </c>
      <c r="CC165" s="3">
        <f>CC170</f>
        <v>14285</v>
      </c>
      <c r="CD165" s="3">
        <f>CD170</f>
        <v>14285</v>
      </c>
      <c r="CE165" s="3">
        <f>CD165</f>
        <v>14285</v>
      </c>
      <c r="CF165" s="3">
        <f>CF170</f>
        <v>14285</v>
      </c>
      <c r="CG165" s="3">
        <f>CG170</f>
        <v>14285</v>
      </c>
      <c r="CH165" s="3">
        <f>CH170</f>
        <v>14285</v>
      </c>
      <c r="CI165" s="3">
        <f>CI170</f>
        <v>14285</v>
      </c>
      <c r="CJ165" s="3">
        <f>CI165</f>
        <v>14285</v>
      </c>
      <c r="CK165" s="3">
        <f>CK170</f>
        <v>14285</v>
      </c>
      <c r="CL165" s="3">
        <f>CL170</f>
        <v>14285</v>
      </c>
      <c r="CM165" s="3">
        <f>CM170</f>
        <v>14285</v>
      </c>
      <c r="CN165" s="3">
        <f>CN170</f>
        <v>14285</v>
      </c>
      <c r="CO165" s="3">
        <f>CN165</f>
        <v>14285</v>
      </c>
      <c r="CP165" s="3">
        <f>CP170</f>
        <v>14285</v>
      </c>
      <c r="CQ165" s="3">
        <f>CQ170</f>
        <v>14285</v>
      </c>
      <c r="CR165" s="3">
        <f>CR170</f>
        <v>14285</v>
      </c>
      <c r="CS165" s="3">
        <f>CS170</f>
        <v>14285</v>
      </c>
      <c r="CT165" s="3">
        <f>CS165</f>
        <v>14285</v>
      </c>
      <c r="CU165" s="3">
        <f>CU170</f>
        <v>14285</v>
      </c>
      <c r="CV165" s="3">
        <f>CV170</f>
        <v>14285</v>
      </c>
      <c r="CW165" s="3">
        <f>CW170</f>
        <v>14285</v>
      </c>
      <c r="CX165" s="3">
        <f>CX170</f>
        <v>14285</v>
      </c>
      <c r="CY165" s="3">
        <f>CX165</f>
        <v>14285</v>
      </c>
    </row>
    <row r="166" hidden="1" outlineLevel="1">
      <c r="C166" s="34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3" t="n"/>
      <c r="AE166" s="3" t="n"/>
      <c r="AF166" s="3" t="n"/>
      <c r="AG166" s="3" t="n"/>
      <c r="AH166" s="3" t="n"/>
      <c r="AI166" s="3" t="n"/>
      <c r="AJ166" s="3" t="n"/>
      <c r="AK166" s="3" t="n"/>
      <c r="AL166" s="3" t="n"/>
      <c r="AM166" s="3" t="n"/>
      <c r="AN166" s="3" t="n"/>
      <c r="AO166" s="3" t="n"/>
      <c r="AP166" s="3" t="n"/>
      <c r="AQ166" s="3" t="n"/>
      <c r="AR166" s="3" t="n"/>
      <c r="AS166" s="3" t="n"/>
      <c r="AT166" s="3" t="n"/>
      <c r="AU166" s="3" t="n"/>
      <c r="AV166" s="3" t="n"/>
      <c r="AW166" s="3" t="n"/>
      <c r="AX166" s="3" t="n"/>
      <c r="AY166" s="3" t="n"/>
      <c r="AZ166" s="3" t="n"/>
      <c r="BA166" s="3" t="n"/>
      <c r="BB166" s="3" t="n"/>
      <c r="BC166" s="3" t="n"/>
      <c r="BD166" s="3" t="n"/>
      <c r="BE166" s="3" t="n"/>
      <c r="BF166" s="3" t="n"/>
      <c r="BG166" s="3" t="n"/>
      <c r="BH166" s="3" t="n"/>
      <c r="BI166" s="3" t="n"/>
      <c r="BJ166" s="3" t="n"/>
      <c r="BK166" s="3" t="n"/>
      <c r="BL166" s="3" t="n"/>
      <c r="BM166" s="3" t="n"/>
      <c r="BN166" s="3" t="n"/>
      <c r="BO166" s="3" t="n"/>
      <c r="BP166" s="3" t="n"/>
      <c r="BQ166" s="3" t="n"/>
      <c r="BR166" s="3" t="n"/>
      <c r="BS166" s="3" t="n"/>
      <c r="BT166" s="3" t="n"/>
      <c r="BU166" s="3" t="n"/>
      <c r="BV166" s="3" t="n"/>
      <c r="BW166" s="3" t="n"/>
      <c r="BX166" s="3" t="n"/>
      <c r="BY166" s="3" t="n"/>
      <c r="BZ166" s="3" t="n"/>
      <c r="CA166" s="3" t="n"/>
      <c r="CB166" s="3" t="n"/>
      <c r="CC166" s="3" t="n"/>
      <c r="CD166" s="3" t="n"/>
      <c r="CE166" s="3" t="n"/>
      <c r="CF166" s="3" t="n"/>
      <c r="CG166" s="3" t="n"/>
      <c r="CH166" s="3" t="n"/>
      <c r="CI166" s="3" t="n"/>
      <c r="CJ166" s="3" t="n"/>
      <c r="CK166" s="3" t="n"/>
      <c r="CL166" s="3" t="n"/>
      <c r="CM166" s="3" t="n"/>
      <c r="CN166" s="3" t="n"/>
      <c r="CO166" s="3" t="n"/>
      <c r="CP166" s="3" t="n"/>
      <c r="CQ166" s="3" t="n"/>
      <c r="CR166" s="3" t="n"/>
      <c r="CS166" s="3" t="n"/>
      <c r="CT166" s="3" t="n"/>
      <c r="CU166" s="3" t="n"/>
      <c r="CV166" s="3" t="n"/>
      <c r="CW166" s="3" t="n"/>
      <c r="CX166" s="3" t="n"/>
      <c r="CY166" s="3" t="n"/>
    </row>
    <row r="167" hidden="1" outlineLevel="1">
      <c r="C167" s="34" t="inlineStr">
        <is>
          <t>Capital expenditures</t>
        </is>
      </c>
      <c r="D167" s="3" t="n"/>
      <c r="E167" s="3">
        <f>E165-D165-E69</f>
        <v>653</v>
      </c>
      <c r="F167" s="3">
        <f>F165-E165-F69</f>
        <v>394</v>
      </c>
      <c r="G167" s="3">
        <f>G165-F165-G69</f>
        <v>378</v>
      </c>
      <c r="H167" s="3" t="n"/>
      <c r="I167" s="3">
        <f>I165-H165-I69</f>
        <v>400</v>
      </c>
      <c r="J167" s="3">
        <f>J165-I165-J69</f>
        <v>382</v>
      </c>
      <c r="K167" s="3">
        <f>K165-J165-K69</f>
        <v>443</v>
      </c>
      <c r="L167" s="3">
        <f>L165-K165-L69</f>
        <v>578</v>
      </c>
      <c r="M167" s="3" t="n"/>
      <c r="N167" s="3">
        <f>N165-M165-N69</f>
        <v>472</v>
      </c>
      <c r="O167" s="3">
        <f>O165-N165-O69</f>
        <v>695</v>
      </c>
      <c r="P167" s="3">
        <f>P165-O165-P69</f>
        <v>947</v>
      </c>
      <c r="Q167" s="3">
        <f>Q165-P165-Q69</f>
        <v>459</v>
      </c>
      <c r="R167" s="3" t="n"/>
      <c r="S167" s="3">
        <f>S165-R165-S69</f>
        <v>317</v>
      </c>
      <c r="T167" s="3">
        <f>T165-S165-T69</f>
        <v>424</v>
      </c>
      <c r="U167" s="3">
        <f>U165-T165-U69</f>
        <v>417</v>
      </c>
      <c r="V167" s="3">
        <f>V165-U165-V69</f>
        <v>457</v>
      </c>
      <c r="W167" s="3" t="n"/>
      <c r="X167" s="3">
        <f>X165-W165-X69</f>
        <v>502</v>
      </c>
      <c r="Y167" s="3">
        <f>Y165-X165-Y69</f>
        <v>1312</v>
      </c>
      <c r="Z167" s="3">
        <f>Z165-Y165-Z69</f>
        <v>936</v>
      </c>
      <c r="AA167" s="3">
        <f>AA165-Z165-AA69</f>
        <v>1483</v>
      </c>
      <c r="AB167" s="3" t="n"/>
      <c r="AC167" s="3">
        <f>AC165-AB165-AC69</f>
        <v>1464</v>
      </c>
      <c r="AD167" s="3">
        <f>AD165-AC165-AD69</f>
        <v>2674</v>
      </c>
      <c r="AE167" s="3">
        <f>AE165-AD165-AE69</f>
        <v>1390</v>
      </c>
      <c r="AF167" s="6">
        <f>AF165-AE165-AF69</f>
        <v>1415</v>
      </c>
      <c r="AG167" s="3">
        <f>SUM(AC167:AF167)</f>
        <v>6943</v>
      </c>
      <c r="AH167" s="6">
        <f>AH165-AG165-AH69</f>
        <v>3017</v>
      </c>
      <c r="AI167" s="6">
        <f>AI165-AH165-AI69</f>
        <v>3009</v>
      </c>
      <c r="AJ167" s="6" t="n"/>
      <c r="AK167" s="6" t="n"/>
      <c r="AL167" s="3" t="n"/>
      <c r="AM167" s="6" t="n"/>
      <c r="AN167" s="6" t="n"/>
      <c r="AO167" s="6" t="n"/>
      <c r="AP167" s="6" t="n"/>
      <c r="AQ167" s="3" t="n"/>
      <c r="AR167" s="6" t="n"/>
      <c r="AS167" s="6" t="n"/>
      <c r="AT167" s="6" t="n"/>
      <c r="AU167" s="6" t="n"/>
      <c r="AV167" s="3" t="n"/>
      <c r="AW167" s="6" t="n"/>
      <c r="AX167" s="6" t="n"/>
      <c r="AY167" s="6" t="n"/>
      <c r="AZ167" s="6" t="n"/>
      <c r="BA167" s="3" t="n"/>
      <c r="BB167" s="6" t="n"/>
      <c r="BC167" s="6" t="n"/>
      <c r="BD167" s="6" t="n"/>
      <c r="BE167" s="6" t="n"/>
      <c r="BF167" s="3" t="n"/>
      <c r="BG167" s="6" t="n"/>
      <c r="BH167" s="6" t="n"/>
      <c r="BI167" s="6" t="n"/>
      <c r="BJ167" s="6" t="n"/>
      <c r="BK167" s="3" t="n"/>
      <c r="BL167" s="6" t="n"/>
      <c r="BM167" s="6" t="n"/>
      <c r="BN167" s="6" t="n"/>
      <c r="BO167" s="6" t="n"/>
      <c r="BP167" s="3" t="n"/>
      <c r="BQ167" s="6" t="n"/>
      <c r="BR167" s="6" t="n"/>
      <c r="BS167" s="6" t="n"/>
      <c r="BT167" s="6" t="n"/>
      <c r="BU167" s="3" t="n"/>
      <c r="BV167" s="6" t="n"/>
      <c r="BW167" s="6" t="n"/>
      <c r="BX167" s="6" t="n"/>
      <c r="BY167" s="6" t="n"/>
      <c r="BZ167" s="3" t="n"/>
      <c r="CA167" s="6" t="n"/>
      <c r="CB167" s="6" t="n"/>
      <c r="CC167" s="6" t="n"/>
      <c r="CD167" s="6" t="n"/>
      <c r="CE167" s="3" t="n"/>
      <c r="CF167" s="6" t="n"/>
      <c r="CG167" s="6" t="n"/>
      <c r="CH167" s="6" t="n"/>
      <c r="CI167" s="6" t="n"/>
      <c r="CJ167" s="3" t="n"/>
      <c r="CK167" s="6" t="n"/>
      <c r="CL167" s="6" t="n"/>
      <c r="CM167" s="6" t="n"/>
      <c r="CN167" s="6" t="n"/>
      <c r="CO167" s="3" t="n"/>
      <c r="CP167" s="6" t="n"/>
      <c r="CQ167" s="6" t="n"/>
      <c r="CR167" s="6" t="n"/>
      <c r="CS167" s="6" t="n"/>
      <c r="CT167" s="3" t="n"/>
      <c r="CU167" s="6" t="n"/>
      <c r="CV167" s="6" t="n"/>
      <c r="CW167" s="6" t="n"/>
      <c r="CX167" s="6" t="n"/>
      <c r="CY167" s="3" t="n"/>
    </row>
    <row r="168" hidden="1" outlineLevel="1">
      <c r="C168" s="34" t="inlineStr">
        <is>
          <t>Recurring asset sales (enter as -)</t>
        </is>
      </c>
      <c r="D168" s="3" t="n"/>
      <c r="E168" s="3" t="n"/>
      <c r="F168" s="3" t="n"/>
      <c r="G168" s="3" t="n"/>
      <c r="H168" s="3">
        <f>SUM(D168:G168)</f>
        <v>0</v>
      </c>
      <c r="I168" s="3" t="n"/>
      <c r="J168" s="3" t="n"/>
      <c r="K168" s="3" t="n"/>
      <c r="L168" s="3" t="n"/>
      <c r="M168" s="3">
        <f>SUM(I168:L168)</f>
        <v>0</v>
      </c>
      <c r="N168" s="3" t="n"/>
      <c r="O168" s="3" t="n"/>
      <c r="P168" s="3" t="n"/>
      <c r="Q168" s="3" t="n"/>
      <c r="R168" s="3">
        <f>SUM(N168:Q168)</f>
        <v>0</v>
      </c>
      <c r="S168" s="3" t="n"/>
      <c r="T168" s="3" t="n"/>
      <c r="U168" s="3" t="n"/>
      <c r="V168" s="3" t="n"/>
      <c r="W168" s="3">
        <f>SUM(S168:V168)</f>
        <v>0</v>
      </c>
      <c r="X168" s="3" t="n"/>
      <c r="Y168" s="3" t="n"/>
      <c r="Z168" s="3" t="n"/>
      <c r="AA168" s="3" t="n"/>
      <c r="AB168" s="3">
        <f>SUM(X168:AA168)</f>
        <v>0</v>
      </c>
      <c r="AC168" s="3" t="n"/>
      <c r="AD168" s="3" t="n"/>
      <c r="AE168" s="3" t="n"/>
      <c r="AF168" s="6" t="n"/>
      <c r="AG168" s="3" t="n"/>
      <c r="AH168" s="6" t="n"/>
      <c r="AI168" s="6" t="n"/>
      <c r="AJ168" s="6" t="n"/>
      <c r="AK168" s="6" t="n"/>
      <c r="AL168" s="3" t="n"/>
      <c r="AM168" s="6" t="n"/>
      <c r="AN168" s="6" t="n"/>
      <c r="AO168" s="6" t="n"/>
      <c r="AP168" s="6" t="n"/>
      <c r="AQ168" s="3" t="n"/>
      <c r="AR168" s="6" t="n"/>
      <c r="AS168" s="6" t="n"/>
      <c r="AT168" s="6" t="n"/>
      <c r="AU168" s="6" t="n"/>
      <c r="AV168" s="3" t="n"/>
      <c r="AW168" s="6" t="n"/>
      <c r="AX168" s="6" t="n"/>
      <c r="AY168" s="6" t="n"/>
      <c r="AZ168" s="6" t="n"/>
      <c r="BA168" s="3" t="n"/>
      <c r="BB168" s="6" t="n"/>
      <c r="BC168" s="6" t="n"/>
      <c r="BD168" s="6" t="n"/>
      <c r="BE168" s="6" t="n"/>
      <c r="BF168" s="3" t="n"/>
      <c r="BG168" s="6" t="n"/>
      <c r="BH168" s="6" t="n"/>
      <c r="BI168" s="6" t="n"/>
      <c r="BJ168" s="6" t="n"/>
      <c r="BK168" s="3" t="n"/>
      <c r="BL168" s="6" t="n"/>
      <c r="BM168" s="6" t="n"/>
      <c r="BN168" s="6" t="n"/>
      <c r="BO168" s="6" t="n"/>
      <c r="BP168" s="3" t="n"/>
      <c r="BQ168" s="6" t="n"/>
      <c r="BR168" s="6" t="n"/>
      <c r="BS168" s="6" t="n"/>
      <c r="BT168" s="6" t="n"/>
      <c r="BU168" s="3" t="n"/>
      <c r="BV168" s="6" t="n"/>
      <c r="BW168" s="6" t="n"/>
      <c r="BX168" s="6" t="n"/>
      <c r="BY168" s="6" t="n"/>
      <c r="BZ168" s="3" t="n"/>
      <c r="CA168" s="6" t="n"/>
      <c r="CB168" s="6" t="n"/>
      <c r="CC168" s="6" t="n"/>
      <c r="CD168" s="6" t="n"/>
      <c r="CE168" s="3" t="n"/>
      <c r="CF168" s="6" t="n"/>
      <c r="CG168" s="6" t="n"/>
      <c r="CH168" s="6" t="n"/>
      <c r="CI168" s="6" t="n"/>
      <c r="CJ168" s="3" t="n"/>
      <c r="CK168" s="6" t="n"/>
      <c r="CL168" s="6" t="n"/>
      <c r="CM168" s="6" t="n"/>
      <c r="CN168" s="6" t="n"/>
      <c r="CO168" s="3" t="n"/>
      <c r="CP168" s="6" t="n"/>
      <c r="CQ168" s="6" t="n"/>
      <c r="CR168" s="6" t="n"/>
      <c r="CS168" s="6" t="n"/>
      <c r="CT168" s="3" t="n"/>
      <c r="CU168" s="6" t="n"/>
      <c r="CV168" s="6" t="n"/>
      <c r="CW168" s="6" t="n"/>
      <c r="CX168" s="6" t="n"/>
      <c r="CY168" s="3" t="n"/>
    </row>
    <row r="169" hidden="1" outlineLevel="1">
      <c r="C169" s="34" t="inlineStr">
        <is>
          <t>Depreciation</t>
        </is>
      </c>
      <c r="D169" s="3">
        <f>D69</f>
        <v>-107</v>
      </c>
      <c r="E169" s="3">
        <f>E69</f>
        <v>-404</v>
      </c>
      <c r="F169" s="3">
        <f>F69</f>
        <v>-299</v>
      </c>
      <c r="G169" s="3">
        <f>G69</f>
        <v>-288</v>
      </c>
      <c r="H169" s="3" t="n"/>
      <c r="I169" s="3">
        <f>I69</f>
        <v>-281</v>
      </c>
      <c r="J169" s="3">
        <f>J69</f>
        <v>-286</v>
      </c>
      <c r="K169" s="3">
        <f>K69</f>
        <v>-298</v>
      </c>
      <c r="L169" s="3">
        <f>L69</f>
        <v>-309</v>
      </c>
      <c r="M169" s="3" t="n"/>
      <c r="N169" s="3">
        <f>N69</f>
        <v>-334</v>
      </c>
      <c r="O169" s="3">
        <f>O69</f>
        <v>-378</v>
      </c>
      <c r="P169" s="3">
        <f>P69</f>
        <v>-406</v>
      </c>
      <c r="Q169" s="3">
        <f>Q69</f>
        <v>-426</v>
      </c>
      <c r="R169" s="3" t="n"/>
      <c r="S169" s="3">
        <f>S69</f>
        <v>-384</v>
      </c>
      <c r="T169" s="3">
        <f>T69</f>
        <v>-365</v>
      </c>
      <c r="U169" s="3">
        <f>U69</f>
        <v>-372</v>
      </c>
      <c r="V169" s="3">
        <f>V69</f>
        <v>-387</v>
      </c>
      <c r="W169" s="3" t="n"/>
      <c r="X169" s="3">
        <f>X69</f>
        <v>-410</v>
      </c>
      <c r="Y169" s="3">
        <f>Y69</f>
        <v>-433</v>
      </c>
      <c r="Z169" s="3">
        <f>Z69</f>
        <v>-478</v>
      </c>
      <c r="AA169" s="3">
        <f>AA69</f>
        <v>-543</v>
      </c>
      <c r="AB169" s="3" t="n"/>
      <c r="AC169" s="3">
        <f>AC69</f>
        <v>-611</v>
      </c>
      <c r="AD169" s="3">
        <f>AD69</f>
        <v>-669</v>
      </c>
      <c r="AE169" s="3">
        <f>AE69</f>
        <v>-751</v>
      </c>
      <c r="AF169" s="3">
        <f>AF69</f>
        <v>-812</v>
      </c>
      <c r="AG169" s="3" t="n"/>
      <c r="AH169" s="3">
        <f>AH69</f>
        <v>-997</v>
      </c>
      <c r="AI169" s="3">
        <f>AI69</f>
        <v>-1127</v>
      </c>
      <c r="AJ169" s="3">
        <f>AJ69</f>
        <v>0</v>
      </c>
      <c r="AK169" s="3">
        <f>AK69</f>
        <v>0</v>
      </c>
      <c r="AL169" s="3" t="n"/>
      <c r="AM169" s="3">
        <f>AM69</f>
        <v>0</v>
      </c>
      <c r="AN169" s="3">
        <f>AN69</f>
        <v>0</v>
      </c>
      <c r="AO169" s="3">
        <f>AO69</f>
        <v>0</v>
      </c>
      <c r="AP169" s="3">
        <f>AP69</f>
        <v>0</v>
      </c>
      <c r="AQ169" s="3" t="n"/>
      <c r="AR169" s="3">
        <f>AR69</f>
        <v>0</v>
      </c>
      <c r="AS169" s="3">
        <f>AS69</f>
        <v>0</v>
      </c>
      <c r="AT169" s="3">
        <f>AT69</f>
        <v>0</v>
      </c>
      <c r="AU169" s="3">
        <f>AU69</f>
        <v>0</v>
      </c>
      <c r="AV169" s="3" t="n"/>
      <c r="AW169" s="3">
        <f>AW69</f>
        <v>0</v>
      </c>
      <c r="AX169" s="3">
        <f>AX69</f>
        <v>0</v>
      </c>
      <c r="AY169" s="3">
        <f>AY69</f>
        <v>0</v>
      </c>
      <c r="AZ169" s="3">
        <f>AZ69</f>
        <v>0</v>
      </c>
      <c r="BA169" s="3" t="n"/>
      <c r="BB169" s="3">
        <f>BB69</f>
        <v>0</v>
      </c>
      <c r="BC169" s="3">
        <f>BC69</f>
        <v>0</v>
      </c>
      <c r="BD169" s="3">
        <f>BD69</f>
        <v>0</v>
      </c>
      <c r="BE169" s="3">
        <f>BE69</f>
        <v>0</v>
      </c>
      <c r="BF169" s="3" t="n"/>
      <c r="BG169" s="3">
        <f>BG69</f>
        <v>0</v>
      </c>
      <c r="BH169" s="3">
        <f>BH69</f>
        <v>0</v>
      </c>
      <c r="BI169" s="3">
        <f>BI69</f>
        <v>0</v>
      </c>
      <c r="BJ169" s="3">
        <f>BJ69</f>
        <v>0</v>
      </c>
      <c r="BK169" s="3" t="n"/>
      <c r="BL169" s="3">
        <f>BL69</f>
        <v>0</v>
      </c>
      <c r="BM169" s="3">
        <f>BM69</f>
        <v>0</v>
      </c>
      <c r="BN169" s="3">
        <f>BN69</f>
        <v>0</v>
      </c>
      <c r="BO169" s="3">
        <f>BO69</f>
        <v>0</v>
      </c>
      <c r="BP169" s="3" t="n"/>
      <c r="BQ169" s="3">
        <f>BQ69</f>
        <v>0</v>
      </c>
      <c r="BR169" s="3">
        <f>BR69</f>
        <v>0</v>
      </c>
      <c r="BS169" s="3">
        <f>BS69</f>
        <v>0</v>
      </c>
      <c r="BT169" s="3">
        <f>BT69</f>
        <v>0</v>
      </c>
      <c r="BU169" s="3" t="n"/>
      <c r="BV169" s="3">
        <f>BV69</f>
        <v>0</v>
      </c>
      <c r="BW169" s="3">
        <f>BW69</f>
        <v>0</v>
      </c>
      <c r="BX169" s="3">
        <f>BX69</f>
        <v>0</v>
      </c>
      <c r="BY169" s="3">
        <f>BY69</f>
        <v>0</v>
      </c>
      <c r="BZ169" s="3" t="n"/>
      <c r="CA169" s="3">
        <f>CA69</f>
        <v>0</v>
      </c>
      <c r="CB169" s="3">
        <f>CB69</f>
        <v>0</v>
      </c>
      <c r="CC169" s="3">
        <f>CC69</f>
        <v>0</v>
      </c>
      <c r="CD169" s="3">
        <f>CD69</f>
        <v>0</v>
      </c>
      <c r="CE169" s="3" t="n"/>
      <c r="CF169" s="3">
        <f>CF69</f>
        <v>0</v>
      </c>
      <c r="CG169" s="3">
        <f>CG69</f>
        <v>0</v>
      </c>
      <c r="CH169" s="3">
        <f>CH69</f>
        <v>0</v>
      </c>
      <c r="CI169" s="3">
        <f>CI69</f>
        <v>0</v>
      </c>
      <c r="CJ169" s="3" t="n"/>
      <c r="CK169" s="3">
        <f>CK69</f>
        <v>0</v>
      </c>
      <c r="CL169" s="3">
        <f>CL69</f>
        <v>0</v>
      </c>
      <c r="CM169" s="3">
        <f>CM69</f>
        <v>0</v>
      </c>
      <c r="CN169" s="3">
        <f>CN69</f>
        <v>0</v>
      </c>
      <c r="CO169" s="3" t="n"/>
      <c r="CP169" s="3">
        <f>CP69</f>
        <v>0</v>
      </c>
      <c r="CQ169" s="3">
        <f>CQ69</f>
        <v>0</v>
      </c>
      <c r="CR169" s="3">
        <f>CR69</f>
        <v>0</v>
      </c>
      <c r="CS169" s="3">
        <f>CS69</f>
        <v>0</v>
      </c>
      <c r="CT169" s="3" t="n"/>
      <c r="CU169" s="3">
        <f>CU69</f>
        <v>0</v>
      </c>
      <c r="CV169" s="3">
        <f>CV69</f>
        <v>0</v>
      </c>
      <c r="CW169" s="3">
        <f>CW69</f>
        <v>0</v>
      </c>
      <c r="CX169" s="3">
        <f>CX69</f>
        <v>0</v>
      </c>
      <c r="CY169" s="3" t="n"/>
    </row>
    <row r="170" hidden="1" outlineLevel="1">
      <c r="C170" s="34" t="inlineStr">
        <is>
          <t>PP&amp;E</t>
        </is>
      </c>
      <c r="D170" s="3">
        <f>D165</f>
        <v>1715</v>
      </c>
      <c r="E170" s="3">
        <f>E165</f>
        <v>1964</v>
      </c>
      <c r="F170" s="3">
        <f>F165</f>
        <v>2059</v>
      </c>
      <c r="G170" s="3">
        <f>G165</f>
        <v>2149</v>
      </c>
      <c r="H170" s="3" t="n"/>
      <c r="I170" s="3">
        <f>I165</f>
        <v>2268</v>
      </c>
      <c r="J170" s="3">
        <f>J165</f>
        <v>2364</v>
      </c>
      <c r="K170" s="3">
        <f>K165</f>
        <v>2509</v>
      </c>
      <c r="L170" s="3">
        <f>L165</f>
        <v>2778</v>
      </c>
      <c r="M170" s="3" t="n"/>
      <c r="N170" s="3">
        <f>N165</f>
        <v>2916</v>
      </c>
      <c r="O170" s="3">
        <f>O165</f>
        <v>3233</v>
      </c>
      <c r="P170" s="3">
        <f>P165</f>
        <v>3774</v>
      </c>
      <c r="Q170" s="3">
        <f>Q165</f>
        <v>3807</v>
      </c>
      <c r="R170" s="3" t="n"/>
      <c r="S170" s="3">
        <f>S165</f>
        <v>3740</v>
      </c>
      <c r="T170" s="3">
        <f>T165</f>
        <v>3799</v>
      </c>
      <c r="U170" s="3">
        <f>U165</f>
        <v>3844</v>
      </c>
      <c r="V170" s="3">
        <f>V165</f>
        <v>3914</v>
      </c>
      <c r="W170" s="3" t="n"/>
      <c r="X170" s="3">
        <f>X165</f>
        <v>4006</v>
      </c>
      <c r="Y170" s="3">
        <f>Y165</f>
        <v>4885</v>
      </c>
      <c r="Z170" s="3">
        <f>Z165</f>
        <v>5343</v>
      </c>
      <c r="AA170" s="3">
        <f>Y170+SUM(AA167:AA169)</f>
        <v>5825</v>
      </c>
      <c r="AB170" s="3" t="n"/>
      <c r="AC170" s="3">
        <f>AC165</f>
        <v>7136</v>
      </c>
      <c r="AD170" s="3">
        <f>AD165</f>
        <v>9141</v>
      </c>
      <c r="AE170" s="3">
        <f>AE165</f>
        <v>9780</v>
      </c>
      <c r="AF170" s="3">
        <f>AE170+SUM(AF167:AF169)</f>
        <v>10383</v>
      </c>
      <c r="AG170" s="3" t="n"/>
      <c r="AH170" s="3">
        <f>AH165</f>
        <v>12403</v>
      </c>
      <c r="AI170" s="3">
        <f>AI165</f>
        <v>14285</v>
      </c>
      <c r="AJ170" s="3">
        <f>AI170+SUM(AJ167:AJ169)</f>
        <v>14285</v>
      </c>
      <c r="AK170" s="3">
        <f>AJ170+SUM(AK167:AK169)</f>
        <v>14285</v>
      </c>
      <c r="AL170" s="3" t="n"/>
      <c r="AM170" s="3">
        <f>AK170+SUM(AM167:AM169)</f>
        <v>14285</v>
      </c>
      <c r="AN170" s="3">
        <f>AM170+SUM(AN167:AN169)</f>
        <v>14285</v>
      </c>
      <c r="AO170" s="3">
        <f>AN170+SUM(AO167:AO169)</f>
        <v>14285</v>
      </c>
      <c r="AP170" s="3">
        <f>AO170+SUM(AP167:AP169)</f>
        <v>14285</v>
      </c>
      <c r="AQ170" s="3" t="n"/>
      <c r="AR170" s="3">
        <f>AP170+SUM(AR167:AR169)</f>
        <v>14285</v>
      </c>
      <c r="AS170" s="3">
        <f>AR170+SUM(AS167:AS169)</f>
        <v>14285</v>
      </c>
      <c r="AT170" s="3">
        <f>AS170+SUM(AT167:AT169)</f>
        <v>14285</v>
      </c>
      <c r="AU170" s="3">
        <f>AT170+SUM(AU167:AU169)</f>
        <v>14285</v>
      </c>
      <c r="AV170" s="3" t="n"/>
      <c r="AW170" s="3">
        <f>AU170+SUM(AW167:AW169)</f>
        <v>14285</v>
      </c>
      <c r="AX170" s="3">
        <f>AW170+SUM(AX167:AX169)</f>
        <v>14285</v>
      </c>
      <c r="AY170" s="3">
        <f>AX170+SUM(AY167:AY169)</f>
        <v>14285</v>
      </c>
      <c r="AZ170" s="3">
        <f>AY170+SUM(AZ167:AZ169)</f>
        <v>14285</v>
      </c>
      <c r="BA170" s="3" t="n"/>
      <c r="BB170" s="3">
        <f>AZ170+SUM(BB167:BB169)</f>
        <v>14285</v>
      </c>
      <c r="BC170" s="3">
        <f>BB170+SUM(BC167:BC169)</f>
        <v>14285</v>
      </c>
      <c r="BD170" s="3">
        <f>BC170+SUM(BD167:BD169)</f>
        <v>14285</v>
      </c>
      <c r="BE170" s="3">
        <f>BD170+SUM(BE167:BE169)</f>
        <v>14285</v>
      </c>
      <c r="BF170" s="3" t="n"/>
      <c r="BG170" s="3">
        <f>BE170+SUM(BG167:BG169)</f>
        <v>14285</v>
      </c>
      <c r="BH170" s="3">
        <f>BG170+SUM(BH167:BH169)</f>
        <v>14285</v>
      </c>
      <c r="BI170" s="3">
        <f>BH170+SUM(BI167:BI169)</f>
        <v>14285</v>
      </c>
      <c r="BJ170" s="3">
        <f>BI170+SUM(BJ167:BJ169)</f>
        <v>14285</v>
      </c>
      <c r="BK170" s="3" t="n"/>
      <c r="BL170" s="3">
        <f>BJ170+SUM(BL167:BL169)</f>
        <v>14285</v>
      </c>
      <c r="BM170" s="3">
        <f>BL170+SUM(BM167:BM169)</f>
        <v>14285</v>
      </c>
      <c r="BN170" s="3">
        <f>BM170+SUM(BN167:BN169)</f>
        <v>14285</v>
      </c>
      <c r="BO170" s="3">
        <f>BN170+SUM(BO167:BO169)</f>
        <v>14285</v>
      </c>
      <c r="BP170" s="3" t="n"/>
      <c r="BQ170" s="3">
        <f>BO170+SUM(BQ167:BQ169)</f>
        <v>14285</v>
      </c>
      <c r="BR170" s="3">
        <f>BQ170+SUM(BR167:BR169)</f>
        <v>14285</v>
      </c>
      <c r="BS170" s="3">
        <f>BR170+SUM(BS167:BS169)</f>
        <v>14285</v>
      </c>
      <c r="BT170" s="3">
        <f>BS170+SUM(BT167:BT169)</f>
        <v>14285</v>
      </c>
      <c r="BU170" s="3" t="n"/>
      <c r="BV170" s="3">
        <f>BT170+SUM(BV167:BV169)</f>
        <v>14285</v>
      </c>
      <c r="BW170" s="3">
        <f>BV170+SUM(BW167:BW169)</f>
        <v>14285</v>
      </c>
      <c r="BX170" s="3">
        <f>BW170+SUM(BX167:BX169)</f>
        <v>14285</v>
      </c>
      <c r="BY170" s="3">
        <f>BX170+SUM(BY167:BY169)</f>
        <v>14285</v>
      </c>
      <c r="BZ170" s="3" t="n"/>
      <c r="CA170" s="3">
        <f>BY170+SUM(CA167:CA169)</f>
        <v>14285</v>
      </c>
      <c r="CB170" s="3">
        <f>CA170+SUM(CB167:CB169)</f>
        <v>14285</v>
      </c>
      <c r="CC170" s="3">
        <f>CB170+SUM(CC167:CC169)</f>
        <v>14285</v>
      </c>
      <c r="CD170" s="3">
        <f>CC170+SUM(CD167:CD169)</f>
        <v>14285</v>
      </c>
      <c r="CE170" s="3" t="n"/>
      <c r="CF170" s="3">
        <f>CD170+SUM(CF167:CF169)</f>
        <v>14285</v>
      </c>
      <c r="CG170" s="3">
        <f>CF170+SUM(CG167:CG169)</f>
        <v>14285</v>
      </c>
      <c r="CH170" s="3">
        <f>CG170+SUM(CH167:CH169)</f>
        <v>14285</v>
      </c>
      <c r="CI170" s="3">
        <f>CH170+SUM(CI167:CI169)</f>
        <v>14285</v>
      </c>
      <c r="CJ170" s="3" t="n"/>
      <c r="CK170" s="3">
        <f>CI170+SUM(CK167:CK169)</f>
        <v>14285</v>
      </c>
      <c r="CL170" s="3">
        <f>CK170+SUM(CL167:CL169)</f>
        <v>14285</v>
      </c>
      <c r="CM170" s="3">
        <f>CL170+SUM(CM167:CM169)</f>
        <v>14285</v>
      </c>
      <c r="CN170" s="3">
        <f>CM170+SUM(CN167:CN169)</f>
        <v>14285</v>
      </c>
      <c r="CO170" s="3" t="n"/>
      <c r="CP170" s="3">
        <f>CN170+SUM(CP167:CP169)</f>
        <v>14285</v>
      </c>
      <c r="CQ170" s="3">
        <f>CP170+SUM(CQ167:CQ169)</f>
        <v>14285</v>
      </c>
      <c r="CR170" s="3">
        <f>CQ170+SUM(CR167:CR169)</f>
        <v>14285</v>
      </c>
      <c r="CS170" s="3">
        <f>CR170+SUM(CS167:CS169)</f>
        <v>14285</v>
      </c>
      <c r="CT170" s="3" t="n"/>
      <c r="CU170" s="3">
        <f>CS170+SUM(CU167:CU169)</f>
        <v>14285</v>
      </c>
      <c r="CV170" s="3">
        <f>CU170+SUM(CV167:CV169)</f>
        <v>14285</v>
      </c>
      <c r="CW170" s="3">
        <f>CV170+SUM(CW167:CW169)</f>
        <v>14285</v>
      </c>
      <c r="CX170" s="3">
        <f>CW170+SUM(CX167:CX169)</f>
        <v>14285</v>
      </c>
      <c r="CY170" s="3" t="n"/>
      <c r="CZ170">
        <f>CX170+SUM(CZ167:CZ169)</f>
        <v>14285</v>
      </c>
      <c r="DA170">
        <f>CZ170+SUM(DA167:DA169)</f>
        <v>14285</v>
      </c>
      <c r="DB170">
        <f>DA170+SUM(DB167:DB169)</f>
        <v>14285</v>
      </c>
      <c r="DC170">
        <f>DB170+SUM(DC167:DC169)</f>
        <v>14285</v>
      </c>
    </row>
    <row r="171" hidden="1" outlineLevel="1">
      <c r="C171" s="34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  <c r="AC171" s="3" t="n"/>
      <c r="AD171" s="3" t="n"/>
      <c r="AE171" s="3" t="n"/>
      <c r="AF171" s="3" t="n"/>
      <c r="AG171" s="3" t="n"/>
      <c r="AH171" s="3" t="n"/>
      <c r="AI171" s="3" t="n"/>
      <c r="AJ171" s="3" t="n"/>
      <c r="AK171" s="3" t="n"/>
      <c r="AL171" s="3" t="n"/>
      <c r="AM171" s="3" t="n"/>
      <c r="AN171" s="3" t="n"/>
      <c r="AO171" s="3" t="n"/>
      <c r="AP171" s="3" t="n"/>
      <c r="AQ171" s="3" t="n"/>
      <c r="AR171" s="3" t="n"/>
      <c r="AS171" s="3" t="n"/>
      <c r="AT171" s="3" t="n"/>
      <c r="AU171" s="3" t="n"/>
      <c r="AV171" s="3" t="n"/>
      <c r="AW171" s="3" t="n"/>
      <c r="AX171" s="3" t="n"/>
      <c r="AY171" s="3" t="n"/>
      <c r="AZ171" s="3" t="n"/>
      <c r="BA171" s="3" t="n"/>
      <c r="BB171" s="3" t="n"/>
      <c r="BC171" s="3" t="n"/>
      <c r="BD171" s="3" t="n"/>
      <c r="BE171" s="3" t="n"/>
      <c r="BF171" s="3" t="n"/>
      <c r="BG171" s="3" t="n"/>
      <c r="BH171" s="3" t="n"/>
      <c r="BI171" s="3" t="n"/>
      <c r="BJ171" s="3" t="n"/>
      <c r="BK171" s="3" t="n"/>
      <c r="BL171" s="3" t="n"/>
      <c r="BM171" s="3" t="n"/>
      <c r="BN171" s="3" t="n"/>
      <c r="BO171" s="3" t="n"/>
      <c r="BP171" s="3" t="n"/>
      <c r="BQ171" s="3" t="n"/>
      <c r="BR171" s="3" t="n"/>
      <c r="BS171" s="3" t="n"/>
      <c r="BT171" s="3" t="n"/>
      <c r="BU171" s="3" t="n"/>
      <c r="BV171" s="3" t="n"/>
      <c r="BW171" s="3" t="n"/>
      <c r="BX171" s="3" t="n"/>
      <c r="BY171" s="3" t="n"/>
      <c r="BZ171" s="3" t="n"/>
      <c r="CA171" s="3" t="n"/>
      <c r="CB171" s="3" t="n"/>
      <c r="CC171" s="3" t="n"/>
      <c r="CD171" s="3" t="n"/>
      <c r="CE171" s="3" t="n"/>
      <c r="CF171" s="3" t="n"/>
      <c r="CG171" s="3" t="n"/>
      <c r="CH171" s="3" t="n"/>
      <c r="CI171" s="3" t="n"/>
      <c r="CJ171" s="3" t="n"/>
      <c r="CK171" s="3" t="n"/>
      <c r="CL171" s="3" t="n"/>
      <c r="CM171" s="3" t="n"/>
      <c r="CN171" s="3" t="n"/>
      <c r="CO171" s="3" t="n"/>
      <c r="CP171" s="3" t="n"/>
      <c r="CQ171" s="3" t="n"/>
      <c r="CR171" s="3" t="n"/>
      <c r="CS171" s="3" t="n"/>
      <c r="CT171" s="3" t="n"/>
      <c r="CU171" s="3" t="n"/>
      <c r="CV171" s="3" t="n"/>
      <c r="CW171" s="3" t="n"/>
      <c r="CX171" s="3" t="n"/>
      <c r="CY171" s="3" t="n"/>
    </row>
    <row r="172" hidden="1" outlineLevel="1">
      <c r="C172" s="34" t="inlineStr">
        <is>
          <t>Capital expenditures (% Net Revenues)</t>
        </is>
      </c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  <c r="AD172" s="3" t="n"/>
      <c r="AE172" s="3" t="n"/>
      <c r="AF172" s="40">
        <f>AF167/AF15</f>
        <v>0.0207700324394146</v>
      </c>
      <c r="AG172" s="40">
        <f>AG167/AG15</f>
        <v>0.0321527475479073</v>
      </c>
      <c r="AH172" s="40">
        <f>AH167/AH15</f>
        <v>0.0369662439502542</v>
      </c>
      <c r="AI172" s="40">
        <f>AI167/AI15</f>
        <v>0.0312717598029536</v>
      </c>
      <c r="AJ172" s="40">
        <f>AJ167/AJ15</f>
        <v>0</v>
      </c>
      <c r="AK172" s="40">
        <f>AK167/AK15</f>
        <v>0</v>
      </c>
      <c r="AL172" s="40">
        <f>AL167/AL15</f>
        <v>0</v>
      </c>
      <c r="AM172" s="40">
        <f>AM167/AM15</f>
        <v>0</v>
      </c>
      <c r="AN172" s="40">
        <f>AN167/AN15</f>
        <v>0</v>
      </c>
      <c r="AO172" s="40">
        <f>AO167/AO15</f>
        <v>0</v>
      </c>
      <c r="AP172" s="40">
        <f>AP167/AP15</f>
        <v>0</v>
      </c>
      <c r="AQ172" s="40">
        <f>AQ167/AQ15</f>
        <v>0</v>
      </c>
      <c r="AR172" s="40">
        <f>AR167/AR15</f>
        <v>0</v>
      </c>
      <c r="AS172" s="40">
        <f>AS167/AS15</f>
        <v>0</v>
      </c>
      <c r="AT172" s="40">
        <f>AT167/AT15</f>
        <v>0</v>
      </c>
      <c r="AU172" s="40">
        <f>AU167/AU15</f>
        <v>0</v>
      </c>
      <c r="AV172" s="40">
        <f>AV167/AV15</f>
        <v>0</v>
      </c>
      <c r="AW172" s="40">
        <f>AW167/AW15</f>
        <v>0</v>
      </c>
      <c r="AX172" s="40">
        <f>AX167/AX15</f>
        <v>0</v>
      </c>
      <c r="AY172" s="40">
        <f>AY167/AY15</f>
        <v>0</v>
      </c>
      <c r="AZ172" s="40">
        <f>AZ167/AZ15</f>
        <v>0</v>
      </c>
      <c r="BA172" s="40">
        <f>BA167/BA15</f>
        <v>0</v>
      </c>
      <c r="BB172" s="40">
        <f>BB167/BB15</f>
        <v>0</v>
      </c>
      <c r="BC172" s="40">
        <f>BC167/BC15</f>
        <v>0</v>
      </c>
      <c r="BD172" s="40">
        <f>BD167/BD15</f>
        <v>0</v>
      </c>
      <c r="BE172" s="40">
        <f>BE167/BE15</f>
        <v>0</v>
      </c>
      <c r="BF172" s="40">
        <f>BF167/BF15</f>
        <v>0</v>
      </c>
      <c r="BG172" s="40">
        <f>BG167/BG15</f>
        <v>0</v>
      </c>
      <c r="BH172" s="40">
        <f>BH167/BH15</f>
        <v>0</v>
      </c>
      <c r="BI172" s="40">
        <f>BI167/BI15</f>
        <v>0</v>
      </c>
      <c r="BJ172" s="40">
        <f>BJ167/BJ15</f>
        <v>0</v>
      </c>
      <c r="BK172" s="40">
        <f>BK167/BK15</f>
        <v>0</v>
      </c>
      <c r="BL172" s="40">
        <f>BL167/BL15</f>
        <v>0</v>
      </c>
      <c r="BM172" s="40">
        <f>BM167/BM15</f>
        <v>0</v>
      </c>
      <c r="BN172" s="40">
        <f>BN167/BN15</f>
        <v>0</v>
      </c>
      <c r="BO172" s="40">
        <f>BO167/BO15</f>
        <v>0</v>
      </c>
      <c r="BP172" s="40">
        <f>BP167/BP15</f>
        <v>0</v>
      </c>
      <c r="BQ172" s="40">
        <f>BQ167/BQ15</f>
        <v>0</v>
      </c>
      <c r="BR172" s="40">
        <f>BR167/BR15</f>
        <v>0</v>
      </c>
      <c r="BS172" s="40">
        <f>BS167/BS15</f>
        <v>0</v>
      </c>
      <c r="BT172" s="40">
        <f>BT167/BT15</f>
        <v>0</v>
      </c>
      <c r="BU172" s="40">
        <f>BU167/BU15</f>
        <v>0</v>
      </c>
      <c r="BV172" s="40">
        <f>BV167/BV15</f>
        <v>0</v>
      </c>
      <c r="BW172" s="40">
        <f>BW167/BW15</f>
        <v>0</v>
      </c>
      <c r="BX172" s="40">
        <f>BX167/BX15</f>
        <v>0</v>
      </c>
      <c r="BY172" s="40">
        <f>BY167/BY15</f>
        <v>0</v>
      </c>
      <c r="BZ172" s="40">
        <f>BZ167/BZ15</f>
        <v>0</v>
      </c>
      <c r="CA172" s="40">
        <f>CA167/CA15</f>
        <v>0</v>
      </c>
      <c r="CB172" s="40">
        <f>CB167/CB15</f>
        <v>0</v>
      </c>
      <c r="CC172" s="40">
        <f>CC167/CC15</f>
        <v>0</v>
      </c>
      <c r="CD172" s="40">
        <f>CD167/CD15</f>
        <v>0</v>
      </c>
      <c r="CE172" s="40">
        <f>CE167/CE15</f>
        <v>0</v>
      </c>
      <c r="CF172" s="40">
        <f>CF167/CF15</f>
        <v>0</v>
      </c>
      <c r="CG172" s="40">
        <f>CG167/CG15</f>
        <v>0</v>
      </c>
      <c r="CH172" s="40">
        <f>CH167/CH15</f>
        <v>0</v>
      </c>
      <c r="CI172" s="40">
        <f>CI167/CI15</f>
        <v>0</v>
      </c>
      <c r="CJ172" s="40">
        <f>CJ167/CJ15</f>
        <v>0</v>
      </c>
      <c r="CK172" s="40">
        <f>CK167/CK15</f>
        <v>0</v>
      </c>
      <c r="CL172" s="40">
        <f>CL167/CL15</f>
        <v>0</v>
      </c>
      <c r="CM172" s="40">
        <f>CM167/CM15</f>
        <v>0</v>
      </c>
      <c r="CN172" s="40">
        <f>CN167/CN15</f>
        <v>0</v>
      </c>
      <c r="CO172" s="40">
        <f>CO167/CO15</f>
        <v>0</v>
      </c>
      <c r="CP172" s="40">
        <f>CP167/CP15</f>
        <v>0</v>
      </c>
      <c r="CQ172" s="40">
        <f>CQ167/CQ15</f>
        <v>0</v>
      </c>
      <c r="CR172" s="40">
        <f>CR167/CR15</f>
        <v>0</v>
      </c>
      <c r="CS172" s="40">
        <f>CS167/CS15</f>
        <v>0</v>
      </c>
      <c r="CT172" s="40">
        <f>CT167/CT15</f>
        <v>0</v>
      </c>
      <c r="CU172" s="40">
        <f>CU167/CU15</f>
        <v>0</v>
      </c>
      <c r="CV172" s="40">
        <f>CV167/CV15</f>
        <v>0</v>
      </c>
      <c r="CW172" s="40">
        <f>CW167/CW15</f>
        <v>0</v>
      </c>
      <c r="CX172" s="40">
        <f>CX167/CX15</f>
        <v>0</v>
      </c>
      <c r="CY172" s="40">
        <f>CY167/CY15</f>
        <v>0</v>
      </c>
    </row>
    <row r="173" hidden="1" outlineLevel="1">
      <c r="C173" s="34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  <c r="AC173" s="3" t="n"/>
      <c r="AD173" s="3" t="n"/>
      <c r="AE173" s="3" t="n"/>
      <c r="AF173" s="3" t="n"/>
      <c r="AG173" s="3" t="n"/>
      <c r="AH173" s="3" t="n"/>
      <c r="AI173" s="3" t="n"/>
      <c r="AJ173" s="3" t="n"/>
      <c r="AK173" s="3" t="n"/>
      <c r="AL173" s="3" t="n"/>
      <c r="AM173" s="3" t="n"/>
      <c r="AN173" s="3" t="n"/>
      <c r="AO173" s="3" t="n"/>
      <c r="AP173" s="3" t="n"/>
      <c r="AQ173" s="3" t="n"/>
      <c r="AR173" s="3" t="n"/>
      <c r="AS173" s="3" t="n"/>
      <c r="AT173" s="3" t="n"/>
      <c r="AU173" s="3" t="n"/>
      <c r="AV173" s="3" t="n"/>
      <c r="AW173" s="3" t="n"/>
      <c r="AX173" s="3" t="n"/>
      <c r="AY173" s="3" t="n"/>
      <c r="AZ173" s="3" t="n"/>
      <c r="BA173" s="3" t="n"/>
      <c r="BB173" s="3" t="n"/>
      <c r="BC173" s="3" t="n"/>
      <c r="BD173" s="3" t="n"/>
      <c r="BE173" s="3" t="n"/>
      <c r="BF173" s="3" t="n"/>
      <c r="BG173" s="3" t="n"/>
      <c r="BH173" s="3" t="n"/>
      <c r="BI173" s="3" t="n"/>
      <c r="BJ173" s="3" t="n"/>
      <c r="BK173" s="3" t="n"/>
      <c r="BL173" s="3" t="n"/>
      <c r="BM173" s="3" t="n"/>
      <c r="BN173" s="3" t="n"/>
      <c r="BO173" s="3" t="n"/>
      <c r="BP173" s="3" t="n"/>
      <c r="BQ173" s="3" t="n"/>
      <c r="BR173" s="3" t="n"/>
      <c r="BS173" s="3" t="n"/>
      <c r="BT173" s="3" t="n"/>
      <c r="BU173" s="3" t="n"/>
      <c r="BV173" s="3" t="n"/>
      <c r="BW173" s="3" t="n"/>
      <c r="BX173" s="3" t="n"/>
      <c r="BY173" s="3" t="n"/>
      <c r="BZ173" s="3" t="n"/>
      <c r="CA173" s="3" t="n"/>
      <c r="CB173" s="3" t="n"/>
      <c r="CC173" s="3" t="n"/>
      <c r="CD173" s="3" t="n"/>
      <c r="CE173" s="3" t="n"/>
      <c r="CF173" s="3" t="n"/>
      <c r="CG173" s="3" t="n"/>
      <c r="CH173" s="3" t="n"/>
      <c r="CI173" s="3" t="n"/>
      <c r="CJ173" s="3" t="n"/>
      <c r="CK173" s="3" t="n"/>
      <c r="CL173" s="3" t="n"/>
      <c r="CM173" s="3" t="n"/>
      <c r="CN173" s="3" t="n"/>
      <c r="CO173" s="3" t="n"/>
      <c r="CP173" s="3" t="n"/>
      <c r="CQ173" s="3" t="n"/>
      <c r="CR173" s="3" t="n"/>
      <c r="CS173" s="3" t="n"/>
      <c r="CT173" s="3" t="n"/>
      <c r="CU173" s="3" t="n"/>
      <c r="CV173" s="3" t="n"/>
      <c r="CW173" s="3" t="n"/>
      <c r="CX173" s="3" t="n"/>
      <c r="CY173" s="3" t="n"/>
    </row>
    <row r="174" hidden="1" outlineLevel="1">
      <c r="C174" s="34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3" t="n"/>
      <c r="AE174" s="3" t="n"/>
      <c r="AF174" s="3" t="n"/>
      <c r="AG174" s="3" t="n"/>
      <c r="AH174" s="3" t="n"/>
      <c r="AI174" s="3" t="n"/>
      <c r="AJ174" s="3" t="n"/>
      <c r="AK174" s="3" t="n"/>
      <c r="AL174" s="3" t="n"/>
      <c r="AM174" s="3" t="n"/>
      <c r="AN174" s="3" t="n"/>
      <c r="AO174" s="3" t="n"/>
      <c r="AP174" s="3" t="n"/>
      <c r="AQ174" s="3" t="n"/>
      <c r="AR174" s="3" t="n"/>
      <c r="AS174" s="3" t="n"/>
      <c r="AT174" s="3" t="n"/>
      <c r="AU174" s="3" t="n"/>
      <c r="AV174" s="3" t="n"/>
      <c r="AW174" s="3" t="n"/>
      <c r="AX174" s="3" t="n"/>
      <c r="AY174" s="3" t="n"/>
      <c r="AZ174" s="3" t="n"/>
      <c r="BA174" s="3" t="n"/>
      <c r="BB174" s="3" t="n"/>
      <c r="BC174" s="3" t="n"/>
      <c r="BD174" s="3" t="n"/>
      <c r="BE174" s="3" t="n"/>
      <c r="BF174" s="3" t="n"/>
      <c r="BG174" s="3" t="n"/>
      <c r="BH174" s="3" t="n"/>
      <c r="BI174" s="3" t="n"/>
      <c r="BJ174" s="3" t="n"/>
      <c r="BK174" s="3" t="n"/>
      <c r="BL174" s="3" t="n"/>
      <c r="BM174" s="3" t="n"/>
      <c r="BN174" s="3" t="n"/>
      <c r="BO174" s="3" t="n"/>
      <c r="BP174" s="3" t="n"/>
      <c r="BQ174" s="3" t="n"/>
      <c r="BR174" s="3" t="n"/>
      <c r="BS174" s="3" t="n"/>
      <c r="BT174" s="3" t="n"/>
      <c r="BU174" s="3" t="n"/>
      <c r="BV174" s="3" t="n"/>
      <c r="BW174" s="3" t="n"/>
      <c r="BX174" s="3" t="n"/>
      <c r="BY174" s="3" t="n"/>
      <c r="BZ174" s="3" t="n"/>
      <c r="CA174" s="3" t="n"/>
      <c r="CB174" s="3" t="n"/>
      <c r="CC174" s="3" t="n"/>
      <c r="CD174" s="3" t="n"/>
      <c r="CE174" s="3" t="n"/>
      <c r="CF174" s="3" t="n"/>
      <c r="CG174" s="3" t="n"/>
      <c r="CH174" s="3" t="n"/>
      <c r="CI174" s="3" t="n"/>
      <c r="CJ174" s="3" t="n"/>
      <c r="CK174" s="3" t="n"/>
      <c r="CL174" s="3" t="n"/>
      <c r="CM174" s="3" t="n"/>
      <c r="CN174" s="3" t="n"/>
      <c r="CO174" s="3" t="n"/>
      <c r="CP174" s="3" t="n"/>
      <c r="CQ174" s="3" t="n"/>
      <c r="CR174" s="3" t="n"/>
      <c r="CS174" s="3" t="n"/>
      <c r="CT174" s="3" t="n"/>
      <c r="CU174" s="3" t="n"/>
      <c r="CV174" s="3" t="n"/>
      <c r="CW174" s="3" t="n"/>
      <c r="CX174" s="3" t="n"/>
      <c r="CY174" s="3" t="n"/>
    </row>
    <row r="175" collapsed="1">
      <c r="C175" s="26" t="inlineStr">
        <is>
          <t>Right-of-use-assets</t>
        </is>
      </c>
      <c r="D175" s="25">
        <f>INDEX('Inputs (2)'!$D$23:$AL$23,MATCH(D$7,'Inputs (2)'!$D$2:$AL$2,0))</f>
        <v>595</v>
      </c>
      <c r="E175" s="25">
        <f>INDEX('Inputs (2)'!$D$23:$AL$23,MATCH(E$7,'Inputs (2)'!$D$2:$AL$2,0))</f>
        <v>701</v>
      </c>
      <c r="F175" s="25">
        <f>INDEX('Inputs (2)'!$D$23:$AL$23,MATCH(F$7,'Inputs (2)'!$D$2:$AL$2,0))</f>
        <v>681</v>
      </c>
      <c r="G175" s="25">
        <f>INDEX('Inputs (2)'!$D$23:$AL$23,MATCH(G$7,'Inputs (2)'!$D$2:$AL$2,0))</f>
        <v>707</v>
      </c>
      <c r="H175" s="3">
        <f>G175</f>
        <v>707</v>
      </c>
      <c r="I175" s="25">
        <f>INDEX('Inputs (2)'!$D$23:$AL$23,MATCH(I$7,'Inputs (2)'!$D$2:$AL$2,0))</f>
        <v>727</v>
      </c>
      <c r="J175" s="25">
        <f>INDEX('Inputs (2)'!$D$23:$AL$23,MATCH(J$7,'Inputs (2)'!$D$2:$AL$2,0))</f>
        <v>801</v>
      </c>
      <c r="K175" s="25">
        <f>INDEX('Inputs (2)'!$D$23:$AL$23,MATCH(K$7,'Inputs (2)'!$D$2:$AL$2,0))</f>
        <v>830</v>
      </c>
      <c r="L175" s="25">
        <f>INDEX('Inputs (2)'!$D$23:$AL$23,MATCH(L$7,'Inputs (2)'!$D$2:$AL$2,0))</f>
        <v>829</v>
      </c>
      <c r="M175" s="3">
        <f>L175</f>
        <v>829</v>
      </c>
      <c r="N175" s="25">
        <f>INDEX('Inputs (2)'!$D$23:$AL$23,MATCH(N$7,'Inputs (2)'!$D$2:$AL$2,0))</f>
        <v>856</v>
      </c>
      <c r="O175" s="25">
        <f>INDEX('Inputs (2)'!$D$23:$AL$23,MATCH(O$7,'Inputs (2)'!$D$2:$AL$2,0))</f>
        <v>852</v>
      </c>
      <c r="P175" s="25">
        <f>INDEX('Inputs (2)'!$D$23:$AL$23,MATCH(P$7,'Inputs (2)'!$D$2:$AL$2,0))</f>
        <v>927</v>
      </c>
      <c r="Q175" s="25">
        <f>INDEX('Inputs (2)'!$D$23:$AL$23,MATCH(Q$7,'Inputs (2)'!$D$2:$AL$2,0))</f>
        <v>1038</v>
      </c>
      <c r="R175" s="3">
        <f>Q175</f>
        <v>1038</v>
      </c>
      <c r="S175" s="25">
        <f>INDEX('Inputs (2)'!$D$23:$AL$23,MATCH(S$7,'Inputs (2)'!$D$2:$AL$2,0))</f>
        <v>1094</v>
      </c>
      <c r="T175" s="25">
        <f>INDEX('Inputs (2)'!$D$23:$AL$23,MATCH(T$7,'Inputs (2)'!$D$2:$AL$2,0))</f>
        <v>1235</v>
      </c>
      <c r="U175" s="25">
        <f>INDEX('Inputs (2)'!$D$23:$AL$23,MATCH(U$7,'Inputs (2)'!$D$2:$AL$2,0))</f>
        <v>1316</v>
      </c>
      <c r="V175" s="25">
        <f>INDEX('Inputs (2)'!$D$23:$AL$23,MATCH(V$7,'Inputs (2)'!$D$2:$AL$2,0))</f>
        <v>1346</v>
      </c>
      <c r="W175" s="3">
        <f>V175</f>
        <v>1346</v>
      </c>
      <c r="X175" s="25">
        <f>INDEX('Inputs (2)'!$D$23:$AL$23,MATCH(X$7,'Inputs (2)'!$D$2:$AL$2,0))</f>
        <v>1532</v>
      </c>
      <c r="Y175" s="25">
        <f>INDEX('Inputs (2)'!$D$23:$AL$23,MATCH(Y$7,'Inputs (2)'!$D$2:$AL$2,0))</f>
        <v>1556</v>
      </c>
      <c r="Z175" s="25">
        <f>INDEX('Inputs (2)'!$D$23:$AL$23,MATCH(Z$7,'Inputs (2)'!$D$2:$AL$2,0))</f>
        <v>1755</v>
      </c>
      <c r="AA175" s="25">
        <f>INDEX('Inputs (2)'!$D$23:$AL$23,MATCH(AA$7,'Inputs (2)'!$D$2:$AL$2,0))</f>
        <v>1793</v>
      </c>
      <c r="AB175" s="3">
        <f>AA175</f>
        <v>1793</v>
      </c>
      <c r="AC175" s="25">
        <f>INDEX('Inputs (2)'!$D$23:$AL$23,MATCH(AC$7,'Inputs (2)'!$D$2:$AL$2,0))</f>
        <v>1810</v>
      </c>
      <c r="AD175" s="25">
        <f>INDEX('Inputs (2)'!$D$23:$AL$23,MATCH(AD$7,'Inputs (2)'!$D$2:$AL$2,0))</f>
        <v>2084</v>
      </c>
      <c r="AE175" s="25">
        <f>INDEX('Inputs (2)'!$D$23:$AL$23,MATCH(AE$7,'Inputs (2)'!$D$2:$AL$2,0))</f>
        <v>2281</v>
      </c>
      <c r="AF175" s="25">
        <f>INDEX('Inputs (2)'!$D$23:$AL$23,MATCH(AF$7,'Inputs (2)'!$D$2:$AL$2,0))</f>
        <v>2867</v>
      </c>
      <c r="AG175" s="3">
        <f>AF175</f>
        <v>2867</v>
      </c>
      <c r="AH175" s="3">
        <f>INDEX('Inputs (2)'!$D$23:$AL$23,MATCH(AH$7,'Inputs (2)'!$D$2:$AL$2,0))</f>
        <v>4258</v>
      </c>
      <c r="AI175" s="3">
        <f>INDEX('Inputs (2)'!$D$23:$AL$23,MATCH(AI$7,'Inputs (2)'!$D$2:$AL$2,0))</f>
        <v>5390</v>
      </c>
      <c r="AJ175" s="3">
        <f>AI175</f>
        <v>5390</v>
      </c>
      <c r="AK175" s="3">
        <f>AJ175</f>
        <v>5390</v>
      </c>
      <c r="AL175" s="3">
        <f>AK175</f>
        <v>5390</v>
      </c>
      <c r="AM175" s="3">
        <f>AL175</f>
        <v>5390</v>
      </c>
      <c r="AN175" s="3">
        <f>AM175</f>
        <v>5390</v>
      </c>
      <c r="AO175" s="3">
        <f>AN175</f>
        <v>5390</v>
      </c>
      <c r="AP175" s="3">
        <f>AO175</f>
        <v>5390</v>
      </c>
      <c r="AQ175" s="3">
        <f>AP175</f>
        <v>5390</v>
      </c>
      <c r="AR175" s="3">
        <f>AQ175</f>
        <v>5390</v>
      </c>
      <c r="AS175" s="3">
        <f>AR175</f>
        <v>5390</v>
      </c>
      <c r="AT175" s="3">
        <f>AS175</f>
        <v>5390</v>
      </c>
      <c r="AU175" s="3">
        <f>AT175</f>
        <v>5390</v>
      </c>
      <c r="AV175" s="3">
        <f>AU175</f>
        <v>5390</v>
      </c>
      <c r="AW175" s="3">
        <f>AV175</f>
        <v>5390</v>
      </c>
      <c r="AX175" s="3">
        <f>AW175</f>
        <v>5390</v>
      </c>
      <c r="AY175" s="3">
        <f>AX175</f>
        <v>5390</v>
      </c>
      <c r="AZ175" s="3">
        <f>AY175</f>
        <v>5390</v>
      </c>
      <c r="BA175" s="3">
        <f>AZ175</f>
        <v>5390</v>
      </c>
      <c r="BB175" s="3">
        <f>BA175</f>
        <v>5390</v>
      </c>
      <c r="BC175" s="3">
        <f>BB175</f>
        <v>5390</v>
      </c>
      <c r="BD175" s="3">
        <f>BC175</f>
        <v>5390</v>
      </c>
      <c r="BE175" s="3">
        <f>BD175</f>
        <v>5390</v>
      </c>
      <c r="BF175" s="3">
        <f>BE175</f>
        <v>5390</v>
      </c>
      <c r="BG175" s="3">
        <f>BF175</f>
        <v>5390</v>
      </c>
      <c r="BH175" s="3">
        <f>BG175</f>
        <v>5390</v>
      </c>
      <c r="BI175" s="3">
        <f>BH175</f>
        <v>5390</v>
      </c>
      <c r="BJ175" s="3">
        <f>BI175</f>
        <v>5390</v>
      </c>
      <c r="BK175" s="3">
        <f>BJ175</f>
        <v>5390</v>
      </c>
      <c r="BL175" s="3">
        <f>BK175</f>
        <v>5390</v>
      </c>
      <c r="BM175" s="3">
        <f>BL175</f>
        <v>5390</v>
      </c>
      <c r="BN175" s="3">
        <f>BM175</f>
        <v>5390</v>
      </c>
      <c r="BO175" s="3">
        <f>BN175</f>
        <v>5390</v>
      </c>
      <c r="BP175" s="3">
        <f>BO175</f>
        <v>5390</v>
      </c>
      <c r="BQ175" s="3">
        <f>BP175</f>
        <v>5390</v>
      </c>
      <c r="BR175" s="3">
        <f>BQ175</f>
        <v>5390</v>
      </c>
      <c r="BS175" s="3">
        <f>BR175</f>
        <v>5390</v>
      </c>
      <c r="BT175" s="3">
        <f>BS175</f>
        <v>5390</v>
      </c>
      <c r="BU175" s="3">
        <f>BT175</f>
        <v>5390</v>
      </c>
      <c r="BV175" s="3">
        <f>BU175</f>
        <v>5390</v>
      </c>
      <c r="BW175" s="3">
        <f>BV175</f>
        <v>5390</v>
      </c>
      <c r="BX175" s="3">
        <f>BW175</f>
        <v>5390</v>
      </c>
      <c r="BY175" s="3">
        <f>BX175</f>
        <v>5390</v>
      </c>
      <c r="BZ175" s="3">
        <f>BY175</f>
        <v>5390</v>
      </c>
      <c r="CA175" s="3">
        <f>BZ175</f>
        <v>5390</v>
      </c>
      <c r="CB175" s="3">
        <f>CA175</f>
        <v>5390</v>
      </c>
      <c r="CC175" s="3">
        <f>CB175</f>
        <v>5390</v>
      </c>
      <c r="CD175" s="3">
        <f>CC175</f>
        <v>5390</v>
      </c>
      <c r="CE175" s="3">
        <f>CD175</f>
        <v>5390</v>
      </c>
      <c r="CF175" s="3">
        <f>CE175</f>
        <v>5390</v>
      </c>
      <c r="CG175" s="3">
        <f>CF175</f>
        <v>5390</v>
      </c>
      <c r="CH175" s="3">
        <f>CG175</f>
        <v>5390</v>
      </c>
      <c r="CI175" s="3">
        <f>CH175</f>
        <v>5390</v>
      </c>
      <c r="CJ175" s="3">
        <f>CI175</f>
        <v>5390</v>
      </c>
      <c r="CK175" s="3">
        <f>CJ175</f>
        <v>5390</v>
      </c>
      <c r="CL175" s="3">
        <f>CK175</f>
        <v>5390</v>
      </c>
      <c r="CM175" s="3">
        <f>CL175</f>
        <v>5390</v>
      </c>
      <c r="CN175" s="3">
        <f>CM175</f>
        <v>5390</v>
      </c>
      <c r="CO175" s="3">
        <f>CN175</f>
        <v>5390</v>
      </c>
      <c r="CP175" s="3">
        <f>CO175</f>
        <v>5390</v>
      </c>
      <c r="CQ175" s="3">
        <f>CP175</f>
        <v>5390</v>
      </c>
      <c r="CR175" s="3">
        <f>CQ175</f>
        <v>5390</v>
      </c>
      <c r="CS175" s="3">
        <f>CR175</f>
        <v>5390</v>
      </c>
      <c r="CT175" s="3">
        <f>CS175</f>
        <v>5390</v>
      </c>
      <c r="CU175" s="3">
        <f>CT175</f>
        <v>5390</v>
      </c>
      <c r="CV175" s="3">
        <f>CU175</f>
        <v>5390</v>
      </c>
      <c r="CW175" s="3">
        <f>CV175</f>
        <v>5390</v>
      </c>
      <c r="CX175" s="3">
        <f>CW175</f>
        <v>5390</v>
      </c>
      <c r="CY175" s="3">
        <f>CX175</f>
        <v>5390</v>
      </c>
    </row>
    <row r="176" hidden="1" outlineLevel="1">
      <c r="C176" s="38" t="inlineStr">
        <is>
          <t>%(Var.)</t>
        </is>
      </c>
      <c r="D176" s="3" t="n"/>
      <c r="E176" s="47">
        <f>IFERROR((E175-D175)/D175,0)</f>
        <v>0.178151260504202</v>
      </c>
      <c r="F176" s="47">
        <f>IFERROR((F175-E175)/E175,0)</f>
        <v>-0.0285306704707561</v>
      </c>
      <c r="G176" s="47">
        <f>IFERROR((G175-F175)/F175,0)</f>
        <v>0.0381791483113069</v>
      </c>
      <c r="H176" s="3" t="n"/>
      <c r="I176" s="47">
        <f>IFERROR((I175-H175)/H175,0)</f>
        <v>0.0282885431400283</v>
      </c>
      <c r="J176" s="47">
        <f>IFERROR((J175-I175)/I175,0)</f>
        <v>0.101788170563961</v>
      </c>
      <c r="K176" s="47">
        <f>IFERROR((K175-J175)/J175,0)</f>
        <v>0.0362047440699126</v>
      </c>
      <c r="L176" s="47">
        <f>IFERROR((L175-K175)/K175,0)</f>
        <v>-0.00120481927710843</v>
      </c>
      <c r="M176" s="3" t="n"/>
      <c r="N176" s="47">
        <f>IFERROR((N175-M175)/M175,0)</f>
        <v>0.0325693606755127</v>
      </c>
      <c r="O176" s="47">
        <f>IFERROR((O175-N175)/N175,0)</f>
        <v>-0.00467289719626168</v>
      </c>
      <c r="P176" s="47">
        <f>IFERROR((P175-O175)/O175,0)</f>
        <v>0.0880281690140845</v>
      </c>
      <c r="Q176" s="47">
        <f>IFERROR((Q175-P175)/P175,0)</f>
        <v>0.119741100323625</v>
      </c>
      <c r="R176" s="3" t="n"/>
      <c r="S176" s="47">
        <f>IFERROR((S175-R175)/R175,0)</f>
        <v>0.0539499036608863</v>
      </c>
      <c r="T176" s="47">
        <f>IFERROR((T175-S175)/S175,0)</f>
        <v>0.128884826325411</v>
      </c>
      <c r="U176" s="47">
        <f>IFERROR((U175-T175)/T175,0)</f>
        <v>0.065587044534413</v>
      </c>
      <c r="V176" s="47">
        <f>IFERROR((V175-U175)/U175,0)</f>
        <v>0.0227963525835866</v>
      </c>
      <c r="W176" s="3" t="n"/>
      <c r="X176" s="47">
        <f>IFERROR((X175-W175)/W175,0)</f>
        <v>0.138187221396731</v>
      </c>
      <c r="Y176" s="47">
        <f>IFERROR((Y175-X175)/X175,0)</f>
        <v>0.0156657963446475</v>
      </c>
      <c r="Z176" s="47">
        <f>IFERROR((Z175-Y175)/Y175,0)</f>
        <v>0.127892030848329</v>
      </c>
      <c r="AA176" s="47">
        <f>IFERROR((AA175-Z175)/Z175,0)</f>
        <v>0.0216524216524217</v>
      </c>
      <c r="AB176" s="3" t="n"/>
      <c r="AC176" s="47">
        <f>IFERROR((AC175-AB175)/AB175,0)</f>
        <v>0.00948131622978249</v>
      </c>
      <c r="AD176" s="47">
        <f>IFERROR((AD175-AC175)/AC175,0)</f>
        <v>0.151381215469613</v>
      </c>
      <c r="AE176" s="47">
        <f>IFERROR((AE175-AD175)/AD175,0)</f>
        <v>0.0945297504798465</v>
      </c>
      <c r="AF176" s="218">
        <f>IFERROR((AF175-AE175)/AE175,0)</f>
        <v>0.256904866286716</v>
      </c>
      <c r="AG176" s="3" t="n"/>
      <c r="AH176" s="218">
        <f>IFERROR((AH175-AG175)/AG175,0)</f>
        <v>0.485176142309034</v>
      </c>
      <c r="AI176" s="218">
        <f>IFERROR((AI175-AH175)/AH175,0)</f>
        <v>0.265852512916862</v>
      </c>
      <c r="AJ176" s="218" t="n"/>
      <c r="AK176" s="218" t="n"/>
      <c r="AL176" s="3" t="n"/>
      <c r="AM176" s="218" t="n"/>
      <c r="AN176" s="218" t="n"/>
      <c r="AO176" s="218" t="n"/>
      <c r="AP176" s="218" t="n"/>
      <c r="AQ176" s="3" t="n"/>
      <c r="AR176" s="218" t="n"/>
      <c r="AS176" s="218" t="n"/>
      <c r="AT176" s="218" t="n"/>
      <c r="AU176" s="218" t="n"/>
      <c r="AV176" s="3" t="n"/>
      <c r="AW176" s="218" t="n"/>
      <c r="AX176" s="218" t="n"/>
      <c r="AY176" s="218" t="n"/>
      <c r="AZ176" s="218" t="n"/>
      <c r="BA176" s="3" t="n"/>
      <c r="BB176" s="218" t="n"/>
      <c r="BC176" s="218" t="n"/>
      <c r="BD176" s="218" t="n"/>
      <c r="BE176" s="218" t="n"/>
      <c r="BF176" s="3" t="n"/>
      <c r="BG176" s="218" t="n"/>
      <c r="BH176" s="218" t="n"/>
      <c r="BI176" s="218" t="n"/>
      <c r="BJ176" s="218" t="n"/>
      <c r="BK176" s="3" t="n"/>
      <c r="BL176" s="218" t="n"/>
      <c r="BM176" s="218" t="n"/>
      <c r="BN176" s="218" t="n"/>
      <c r="BO176" s="218" t="n"/>
      <c r="BP176" s="3" t="n"/>
      <c r="BQ176" s="218" t="n"/>
      <c r="BR176" s="218" t="n"/>
      <c r="BS176" s="218" t="n"/>
      <c r="BT176" s="218" t="n"/>
      <c r="BU176" s="3" t="n"/>
      <c r="BV176" s="218" t="n"/>
      <c r="BW176" s="218" t="n"/>
      <c r="BX176" s="218" t="n"/>
      <c r="BY176" s="218" t="n"/>
      <c r="BZ176" s="3" t="n"/>
      <c r="CA176" s="218" t="n"/>
      <c r="CB176" s="218" t="n"/>
      <c r="CC176" s="218" t="n"/>
      <c r="CD176" s="218" t="n"/>
      <c r="CE176" s="3" t="n"/>
      <c r="CF176" s="218" t="n"/>
      <c r="CG176" s="218" t="n"/>
      <c r="CH176" s="218" t="n"/>
      <c r="CI176" s="218" t="n"/>
      <c r="CJ176" s="3" t="n"/>
      <c r="CK176" s="218" t="n"/>
      <c r="CL176" s="218" t="n"/>
      <c r="CM176" s="218" t="n"/>
      <c r="CN176" s="218" t="n"/>
      <c r="CO176" s="3" t="n"/>
      <c r="CP176" s="218" t="n"/>
      <c r="CQ176" s="218" t="n"/>
      <c r="CR176" s="218" t="n"/>
      <c r="CS176" s="218" t="n"/>
      <c r="CT176" s="3" t="n"/>
      <c r="CU176" s="218" t="n"/>
      <c r="CV176" s="218" t="n"/>
      <c r="CW176" s="218" t="n"/>
      <c r="CX176" s="218" t="n"/>
      <c r="CY176" s="3" t="n"/>
    </row>
    <row r="177" hidden="1" outlineLevel="1">
      <c r="C177" s="34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3" t="n"/>
      <c r="AE177" s="3" t="n"/>
      <c r="AF177" s="3" t="n"/>
      <c r="AG177" s="3" t="n"/>
      <c r="AH177" s="3" t="n"/>
      <c r="AI177" s="3" t="n"/>
      <c r="AJ177" s="3" t="n"/>
      <c r="AK177" s="3" t="n"/>
      <c r="AL177" s="3" t="n"/>
      <c r="AM177" s="3" t="n"/>
      <c r="AN177" s="3" t="n"/>
      <c r="AO177" s="3" t="n"/>
      <c r="AP177" s="3" t="n"/>
      <c r="AQ177" s="3" t="n"/>
      <c r="AR177" s="3" t="n"/>
      <c r="AS177" s="3" t="n"/>
      <c r="AT177" s="3" t="n"/>
      <c r="AU177" s="3" t="n"/>
      <c r="AV177" s="3" t="n"/>
      <c r="AW177" s="3" t="n"/>
      <c r="AX177" s="3" t="n"/>
      <c r="AY177" s="3" t="n"/>
      <c r="AZ177" s="3" t="n"/>
      <c r="BA177" s="3" t="n"/>
      <c r="BB177" s="3" t="n"/>
      <c r="BC177" s="3" t="n"/>
      <c r="BD177" s="3" t="n"/>
      <c r="BE177" s="3" t="n"/>
      <c r="BF177" s="3" t="n"/>
      <c r="BG177" s="3" t="n"/>
      <c r="BH177" s="3" t="n"/>
      <c r="BI177" s="3" t="n"/>
      <c r="BJ177" s="3" t="n"/>
      <c r="BK177" s="3" t="n"/>
      <c r="BL177" s="3" t="n"/>
      <c r="BM177" s="3" t="n"/>
      <c r="BN177" s="3" t="n"/>
      <c r="BO177" s="3" t="n"/>
      <c r="BP177" s="3" t="n"/>
      <c r="BQ177" s="3" t="n"/>
      <c r="BR177" s="3" t="n"/>
      <c r="BS177" s="3" t="n"/>
      <c r="BT177" s="3" t="n"/>
      <c r="BU177" s="3" t="n"/>
      <c r="BV177" s="3" t="n"/>
      <c r="BW177" s="3" t="n"/>
      <c r="BX177" s="3" t="n"/>
      <c r="BY177" s="3" t="n"/>
      <c r="BZ177" s="3" t="n"/>
      <c r="CA177" s="3" t="n"/>
      <c r="CB177" s="3" t="n"/>
      <c r="CC177" s="3" t="n"/>
      <c r="CD177" s="3" t="n"/>
      <c r="CE177" s="3" t="n"/>
      <c r="CF177" s="3" t="n"/>
      <c r="CG177" s="3" t="n"/>
      <c r="CH177" s="3" t="n"/>
      <c r="CI177" s="3" t="n"/>
      <c r="CJ177" s="3" t="n"/>
      <c r="CK177" s="3" t="n"/>
      <c r="CL177" s="3" t="n"/>
      <c r="CM177" s="3" t="n"/>
      <c r="CN177" s="3" t="n"/>
      <c r="CO177" s="3" t="n"/>
      <c r="CP177" s="3" t="n"/>
      <c r="CQ177" s="3" t="n"/>
      <c r="CR177" s="3" t="n"/>
      <c r="CS177" s="3" t="n"/>
      <c r="CT177" s="3" t="n"/>
      <c r="CU177" s="3" t="n"/>
      <c r="CV177" s="3" t="n"/>
      <c r="CW177" s="3" t="n"/>
      <c r="CX177" s="3" t="n"/>
      <c r="CY177" s="3" t="n"/>
    </row>
    <row r="178" collapsed="1">
      <c r="C178" s="26" t="inlineStr">
        <is>
          <t>Goodwill</t>
        </is>
      </c>
      <c r="D178" s="25">
        <f>INDEX('Inputs (2)'!$D$24:$AL$24,MATCH(D$7,'Inputs (2)'!$D$2:$AL$2,0))</f>
        <v>628</v>
      </c>
      <c r="E178" s="25">
        <f>INDEX('Inputs (2)'!$D$24:$AL$24,MATCH(E$7,'Inputs (2)'!$D$2:$AL$2,0))</f>
        <v>4193</v>
      </c>
      <c r="F178" s="25">
        <f>INDEX('Inputs (2)'!$D$24:$AL$24,MATCH(F$7,'Inputs (2)'!$D$2:$AL$2,0))</f>
        <v>4193</v>
      </c>
      <c r="G178" s="25">
        <f>INDEX('Inputs (2)'!$D$24:$AL$24,MATCH(G$7,'Inputs (2)'!$D$2:$AL$2,0))</f>
        <v>4193</v>
      </c>
      <c r="H178" s="3">
        <f>G178</f>
        <v>4193</v>
      </c>
      <c r="I178" s="25">
        <f>INDEX('Inputs (2)'!$D$24:$AL$24,MATCH(I$7,'Inputs (2)'!$D$2:$AL$2,0))</f>
        <v>4193</v>
      </c>
      <c r="J178" s="25">
        <f>INDEX('Inputs (2)'!$D$24:$AL$24,MATCH(J$7,'Inputs (2)'!$D$2:$AL$2,0))</f>
        <v>4193</v>
      </c>
      <c r="K178" s="25">
        <f>INDEX('Inputs (2)'!$D$24:$AL$24,MATCH(K$7,'Inputs (2)'!$D$2:$AL$2,0))</f>
        <v>4302</v>
      </c>
      <c r="L178" s="25">
        <f>INDEX('Inputs (2)'!$D$24:$AL$24,MATCH(L$7,'Inputs (2)'!$D$2:$AL$2,0))</f>
        <v>4349</v>
      </c>
      <c r="M178" s="3">
        <f>L178</f>
        <v>4349</v>
      </c>
      <c r="N178" s="25">
        <f>INDEX('Inputs (2)'!$D$24:$AL$24,MATCH(N$7,'Inputs (2)'!$D$2:$AL$2,0))</f>
        <v>4365</v>
      </c>
      <c r="O178" s="25">
        <f>INDEX('Inputs (2)'!$D$24:$AL$24,MATCH(O$7,'Inputs (2)'!$D$2:$AL$2,0))</f>
        <v>4372</v>
      </c>
      <c r="P178" s="25">
        <f>INDEX('Inputs (2)'!$D$24:$AL$24,MATCH(P$7,'Inputs (2)'!$D$2:$AL$2,0))</f>
        <v>4372</v>
      </c>
      <c r="Q178" s="25">
        <f>INDEX('Inputs (2)'!$D$24:$AL$24,MATCH(Q$7,'Inputs (2)'!$D$2:$AL$2,0))</f>
        <v>4372</v>
      </c>
      <c r="R178" s="3">
        <f>Q178</f>
        <v>4372</v>
      </c>
      <c r="S178" s="25">
        <f>INDEX('Inputs (2)'!$D$24:$AL$24,MATCH(S$7,'Inputs (2)'!$D$2:$AL$2,0))</f>
        <v>4430</v>
      </c>
      <c r="T178" s="25">
        <f>INDEX('Inputs (2)'!$D$24:$AL$24,MATCH(T$7,'Inputs (2)'!$D$2:$AL$2,0))</f>
        <v>4430</v>
      </c>
      <c r="U178" s="25">
        <f>INDEX('Inputs (2)'!$D$24:$AL$24,MATCH(U$7,'Inputs (2)'!$D$2:$AL$2,0))</f>
        <v>4430</v>
      </c>
      <c r="V178" s="25">
        <f>INDEX('Inputs (2)'!$D$24:$AL$24,MATCH(V$7,'Inputs (2)'!$D$2:$AL$2,0))</f>
        <v>4430</v>
      </c>
      <c r="W178" s="3">
        <f>V178</f>
        <v>4430</v>
      </c>
      <c r="X178" s="25">
        <f>INDEX('Inputs (2)'!$D$24:$AL$24,MATCH(X$7,'Inputs (2)'!$D$2:$AL$2,0))</f>
        <v>4453</v>
      </c>
      <c r="Y178" s="25">
        <f>INDEX('Inputs (2)'!$D$24:$AL$24,MATCH(Y$7,'Inputs (2)'!$D$2:$AL$2,0))</f>
        <v>4622</v>
      </c>
      <c r="Z178" s="25">
        <f>INDEX('Inputs (2)'!$D$24:$AL$24,MATCH(Z$7,'Inputs (2)'!$D$2:$AL$2,0))</f>
        <v>4724</v>
      </c>
      <c r="AA178" s="25">
        <f>INDEX('Inputs (2)'!$D$24:$AL$24,MATCH(AA$7,'Inputs (2)'!$D$2:$AL$2,0))</f>
        <v>5188</v>
      </c>
      <c r="AB178" s="3">
        <f>AA178</f>
        <v>5188</v>
      </c>
      <c r="AC178" s="25">
        <f>INDEX('Inputs (2)'!$D$24:$AL$24,MATCH(AC$7,'Inputs (2)'!$D$2:$AL$2,0))</f>
        <v>5498</v>
      </c>
      <c r="AD178" s="25">
        <f>INDEX('Inputs (2)'!$D$24:$AL$24,MATCH(AD$7,'Inputs (2)'!$D$2:$AL$2,0))</f>
        <v>5755</v>
      </c>
      <c r="AE178" s="25">
        <f>INDEX('Inputs (2)'!$D$24:$AL$24,MATCH(AE$7,'Inputs (2)'!$D$2:$AL$2,0))</f>
        <v>6261</v>
      </c>
      <c r="AF178" s="25">
        <f>INDEX('Inputs (2)'!$D$24:$AL$24,MATCH(AF$7,'Inputs (2)'!$D$2:$AL$2,0))</f>
        <v>20832</v>
      </c>
      <c r="AG178" s="3">
        <f>AF178</f>
        <v>20832</v>
      </c>
      <c r="AH178" s="3">
        <f>INDEX('Inputs (2)'!$D$24:$AL$24,MATCH(AH$7,'Inputs (2)'!$D$2:$AL$2,0))</f>
        <v>20894</v>
      </c>
      <c r="AI178" s="3">
        <f>INDEX('Inputs (2)'!$D$24:$AL$24,MATCH(AI$7,'Inputs (2)'!$D$2:$AL$2,0))</f>
        <v>21125</v>
      </c>
      <c r="AJ178" s="3">
        <f>AI178</f>
        <v>21125</v>
      </c>
      <c r="AK178" s="3">
        <f>AJ178</f>
        <v>21125</v>
      </c>
      <c r="AL178" s="3">
        <f>AK178</f>
        <v>21125</v>
      </c>
      <c r="AM178" s="3">
        <f>AL178</f>
        <v>21125</v>
      </c>
      <c r="AN178" s="3">
        <f>AM178</f>
        <v>21125</v>
      </c>
      <c r="AO178" s="3">
        <f>AN178</f>
        <v>21125</v>
      </c>
      <c r="AP178" s="3">
        <f>AO178</f>
        <v>21125</v>
      </c>
      <c r="AQ178" s="3">
        <f>AP178</f>
        <v>21125</v>
      </c>
      <c r="AR178" s="3">
        <f>AQ178</f>
        <v>21125</v>
      </c>
      <c r="AS178" s="3">
        <f>AR178</f>
        <v>21125</v>
      </c>
      <c r="AT178" s="3">
        <f>AS178</f>
        <v>21125</v>
      </c>
      <c r="AU178" s="3">
        <f>AT178</f>
        <v>21125</v>
      </c>
      <c r="AV178" s="3">
        <f>AU178</f>
        <v>21125</v>
      </c>
      <c r="AW178" s="3">
        <f>AV178</f>
        <v>21125</v>
      </c>
      <c r="AX178" s="3">
        <f>AW178</f>
        <v>21125</v>
      </c>
      <c r="AY178" s="3">
        <f>AX178</f>
        <v>21125</v>
      </c>
      <c r="AZ178" s="3">
        <f>AY178</f>
        <v>21125</v>
      </c>
      <c r="BA178" s="3">
        <f>AZ178</f>
        <v>21125</v>
      </c>
      <c r="BB178" s="3">
        <f>BA178</f>
        <v>21125</v>
      </c>
      <c r="BC178" s="3">
        <f>BB178</f>
        <v>21125</v>
      </c>
      <c r="BD178" s="3">
        <f>BC178</f>
        <v>21125</v>
      </c>
      <c r="BE178" s="3">
        <f>BD178</f>
        <v>21125</v>
      </c>
      <c r="BF178" s="3">
        <f>BE178</f>
        <v>21125</v>
      </c>
      <c r="BG178" s="3">
        <f>BF178</f>
        <v>21125</v>
      </c>
      <c r="BH178" s="3">
        <f>BG178</f>
        <v>21125</v>
      </c>
      <c r="BI178" s="3">
        <f>BH178</f>
        <v>21125</v>
      </c>
      <c r="BJ178" s="3">
        <f>BI178</f>
        <v>21125</v>
      </c>
      <c r="BK178" s="3">
        <f>BJ178</f>
        <v>21125</v>
      </c>
      <c r="BL178" s="3">
        <f>BK178</f>
        <v>21125</v>
      </c>
      <c r="BM178" s="3">
        <f>BL178</f>
        <v>21125</v>
      </c>
      <c r="BN178" s="3">
        <f>BM178</f>
        <v>21125</v>
      </c>
      <c r="BO178" s="3">
        <f>BN178</f>
        <v>21125</v>
      </c>
      <c r="BP178" s="3">
        <f>BO178</f>
        <v>21125</v>
      </c>
      <c r="BQ178" s="3">
        <f>BP178</f>
        <v>21125</v>
      </c>
      <c r="BR178" s="3">
        <f>BQ178</f>
        <v>21125</v>
      </c>
      <c r="BS178" s="3">
        <f>BR178</f>
        <v>21125</v>
      </c>
      <c r="BT178" s="3">
        <f>BS178</f>
        <v>21125</v>
      </c>
      <c r="BU178" s="3">
        <f>BT178</f>
        <v>21125</v>
      </c>
      <c r="BV178" s="3">
        <f>BU178</f>
        <v>21125</v>
      </c>
      <c r="BW178" s="3">
        <f>BV178</f>
        <v>21125</v>
      </c>
      <c r="BX178" s="3">
        <f>BW178</f>
        <v>21125</v>
      </c>
      <c r="BY178" s="3">
        <f>BX178</f>
        <v>21125</v>
      </c>
      <c r="BZ178" s="3">
        <f>BY178</f>
        <v>21125</v>
      </c>
      <c r="CA178" s="3">
        <f>BZ178</f>
        <v>21125</v>
      </c>
      <c r="CB178" s="3">
        <f>CA178</f>
        <v>21125</v>
      </c>
      <c r="CC178" s="3">
        <f>CB178</f>
        <v>21125</v>
      </c>
      <c r="CD178" s="3">
        <f>CC178</f>
        <v>21125</v>
      </c>
      <c r="CE178" s="3">
        <f>CD178</f>
        <v>21125</v>
      </c>
      <c r="CF178" s="3">
        <f>CE178</f>
        <v>21125</v>
      </c>
      <c r="CG178" s="3">
        <f>CF178</f>
        <v>21125</v>
      </c>
      <c r="CH178" s="3">
        <f>CG178</f>
        <v>21125</v>
      </c>
      <c r="CI178" s="3">
        <f>CH178</f>
        <v>21125</v>
      </c>
      <c r="CJ178" s="3">
        <f>CI178</f>
        <v>21125</v>
      </c>
      <c r="CK178" s="3">
        <f>CJ178</f>
        <v>21125</v>
      </c>
      <c r="CL178" s="3">
        <f>CK178</f>
        <v>21125</v>
      </c>
      <c r="CM178" s="3">
        <f>CL178</f>
        <v>21125</v>
      </c>
      <c r="CN178" s="3">
        <f>CM178</f>
        <v>21125</v>
      </c>
      <c r="CO178" s="3">
        <f>CN178</f>
        <v>21125</v>
      </c>
      <c r="CP178" s="3">
        <f>CO178</f>
        <v>21125</v>
      </c>
      <c r="CQ178" s="3">
        <f>CP178</f>
        <v>21125</v>
      </c>
      <c r="CR178" s="3">
        <f>CQ178</f>
        <v>21125</v>
      </c>
      <c r="CS178" s="3">
        <f>CR178</f>
        <v>21125</v>
      </c>
      <c r="CT178" s="3">
        <f>CS178</f>
        <v>21125</v>
      </c>
      <c r="CU178" s="3">
        <f>CT178</f>
        <v>21125</v>
      </c>
      <c r="CV178" s="3">
        <f>CU178</f>
        <v>21125</v>
      </c>
      <c r="CW178" s="3">
        <f>CV178</f>
        <v>21125</v>
      </c>
      <c r="CX178" s="3">
        <f>CW178</f>
        <v>21125</v>
      </c>
      <c r="CY178" s="3">
        <f>CX178</f>
        <v>21125</v>
      </c>
    </row>
    <row r="179">
      <c r="C179" s="26" t="inlineStr">
        <is>
          <t>Intangibles</t>
        </is>
      </c>
      <c r="D179" s="25">
        <f>INDEX('Inputs (2)'!$D$25:$AL$25,MATCH(D$7,'Inputs (2)'!$D$2:$AL$2,0))</f>
        <v>80</v>
      </c>
      <c r="E179" s="25">
        <f>INDEX('Inputs (2)'!$D$25:$AL$25,MATCH(E$7,'Inputs (2)'!$D$2:$AL$2,0))</f>
        <v>2854</v>
      </c>
      <c r="F179" s="25">
        <f>INDEX('Inputs (2)'!$D$25:$AL$25,MATCH(F$7,'Inputs (2)'!$D$2:$AL$2,0))</f>
        <v>2861</v>
      </c>
      <c r="G179" s="25">
        <f>INDEX('Inputs (2)'!$D$25:$AL$25,MATCH(G$7,'Inputs (2)'!$D$2:$AL$2,0))</f>
        <v>2737</v>
      </c>
      <c r="H179" s="3">
        <f>G179</f>
        <v>2737</v>
      </c>
      <c r="I179" s="25">
        <f>INDEX('Inputs (2)'!$D$25:$AL$25,MATCH(I$7,'Inputs (2)'!$D$2:$AL$2,0))</f>
        <v>2613</v>
      </c>
      <c r="J179" s="25">
        <f>INDEX('Inputs (2)'!$D$25:$AL$25,MATCH(J$7,'Inputs (2)'!$D$2:$AL$2,0))</f>
        <v>2478</v>
      </c>
      <c r="K179" s="25">
        <f>INDEX('Inputs (2)'!$D$25:$AL$25,MATCH(K$7,'Inputs (2)'!$D$2:$AL$2,0))</f>
        <v>2454</v>
      </c>
      <c r="L179" s="25">
        <f>INDEX('Inputs (2)'!$D$25:$AL$25,MATCH(L$7,'Inputs (2)'!$D$2:$AL$2,0))</f>
        <v>2339</v>
      </c>
      <c r="M179" s="3">
        <f>L179</f>
        <v>2339</v>
      </c>
      <c r="N179" s="25">
        <f>INDEX('Inputs (2)'!$D$25:$AL$25,MATCH(N$7,'Inputs (2)'!$D$2:$AL$2,0))</f>
        <v>2211</v>
      </c>
      <c r="O179" s="25">
        <f>INDEX('Inputs (2)'!$D$25:$AL$25,MATCH(O$7,'Inputs (2)'!$D$2:$AL$2,0))</f>
        <v>2036</v>
      </c>
      <c r="P179" s="25">
        <f>INDEX('Inputs (2)'!$D$25:$AL$25,MATCH(P$7,'Inputs (2)'!$D$2:$AL$2,0))</f>
        <v>1850</v>
      </c>
      <c r="Q179" s="25">
        <f>INDEX('Inputs (2)'!$D$25:$AL$25,MATCH(Q$7,'Inputs (2)'!$D$2:$AL$2,0))</f>
        <v>1676</v>
      </c>
      <c r="R179" s="3">
        <f>Q179</f>
        <v>1676</v>
      </c>
      <c r="S179" s="25">
        <f>INDEX('Inputs (2)'!$D$25:$AL$25,MATCH(S$7,'Inputs (2)'!$D$2:$AL$2,0))</f>
        <v>1541</v>
      </c>
      <c r="T179" s="25">
        <f>INDEX('Inputs (2)'!$D$25:$AL$25,MATCH(T$7,'Inputs (2)'!$D$2:$AL$2,0))</f>
        <v>1395</v>
      </c>
      <c r="U179" s="25">
        <f>INDEX('Inputs (2)'!$D$25:$AL$25,MATCH(U$7,'Inputs (2)'!$D$2:$AL$2,0))</f>
        <v>1251</v>
      </c>
      <c r="V179" s="25">
        <f>INDEX('Inputs (2)'!$D$25:$AL$25,MATCH(V$7,'Inputs (2)'!$D$2:$AL$2,0))</f>
        <v>1112</v>
      </c>
      <c r="W179" s="3">
        <f>V179</f>
        <v>1112</v>
      </c>
      <c r="X179" s="25">
        <f>INDEX('Inputs (2)'!$D$25:$AL$25,MATCH(X$7,'Inputs (2)'!$D$2:$AL$2,0))</f>
        <v>986</v>
      </c>
      <c r="Y179" s="25">
        <f>INDEX('Inputs (2)'!$D$25:$AL$25,MATCH(Y$7,'Inputs (2)'!$D$2:$AL$2,0))</f>
        <v>952</v>
      </c>
      <c r="Z179" s="25">
        <f>INDEX('Inputs (2)'!$D$25:$AL$25,MATCH(Z$7,'Inputs (2)'!$D$2:$AL$2,0))</f>
        <v>838</v>
      </c>
      <c r="AA179" s="25">
        <f>INDEX('Inputs (2)'!$D$25:$AL$25,MATCH(AA$7,'Inputs (2)'!$D$2:$AL$2,0))</f>
        <v>807</v>
      </c>
      <c r="AB179" s="3">
        <f>AA179</f>
        <v>807</v>
      </c>
      <c r="AC179" s="25">
        <f>INDEX('Inputs (2)'!$D$25:$AL$25,MATCH(AC$7,'Inputs (2)'!$D$2:$AL$2,0))</f>
        <v>769</v>
      </c>
      <c r="AD179" s="25">
        <f>INDEX('Inputs (2)'!$D$25:$AL$25,MATCH(AD$7,'Inputs (2)'!$D$2:$AL$2,0))</f>
        <v>755</v>
      </c>
      <c r="AE179" s="25">
        <f>INDEX('Inputs (2)'!$D$25:$AL$25,MATCH(AE$7,'Inputs (2)'!$D$2:$AL$2,0))</f>
        <v>936</v>
      </c>
      <c r="AF179" s="25">
        <f>INDEX('Inputs (2)'!$D$25:$AL$25,MATCH(AF$7,'Inputs (2)'!$D$2:$AL$2,0))</f>
        <v>3306</v>
      </c>
      <c r="AG179" s="3">
        <f>AF179</f>
        <v>3306</v>
      </c>
      <c r="AH179" s="3">
        <f>INDEX('Inputs (2)'!$D$25:$AL$25,MATCH(AH$7,'Inputs (2)'!$D$2:$AL$2,0))</f>
        <v>3120</v>
      </c>
      <c r="AI179" s="3">
        <f>INDEX('Inputs (2)'!$D$25:$AL$25,MATCH(AI$7,'Inputs (2)'!$D$2:$AL$2,0))</f>
        <v>2998</v>
      </c>
      <c r="AJ179" s="3" t="n"/>
      <c r="AK179" s="3" t="n"/>
      <c r="AL179" s="3">
        <f>AK179</f>
        <v>0</v>
      </c>
      <c r="AN179" s="3" t="n"/>
      <c r="AO179" s="3" t="n"/>
      <c r="AP179" s="3" t="n"/>
      <c r="AQ179" s="3">
        <f>AP179</f>
        <v>0</v>
      </c>
      <c r="AS179" s="3" t="n"/>
      <c r="AT179" s="3" t="n"/>
      <c r="AU179" s="3" t="n"/>
      <c r="AV179" s="3">
        <f>AU179</f>
        <v>0</v>
      </c>
      <c r="AX179" s="3" t="n"/>
      <c r="AY179" s="3" t="n"/>
      <c r="AZ179" s="3" t="n"/>
      <c r="BA179" s="3">
        <f>AZ179</f>
        <v>0</v>
      </c>
      <c r="BC179" s="3" t="n"/>
      <c r="BD179" s="3" t="n"/>
      <c r="BE179" s="3" t="n"/>
      <c r="BF179" s="3">
        <f>BE179</f>
        <v>0</v>
      </c>
      <c r="BH179" s="3" t="n"/>
      <c r="BI179" s="3" t="n"/>
      <c r="BJ179" s="3" t="n"/>
      <c r="BK179" s="3">
        <f>BJ179</f>
        <v>0</v>
      </c>
      <c r="BM179" s="3" t="n"/>
      <c r="BN179" s="3" t="n"/>
      <c r="BO179" s="3" t="n"/>
      <c r="BP179" s="3">
        <f>BO179</f>
        <v>0</v>
      </c>
      <c r="BR179" s="3" t="n"/>
      <c r="BS179" s="3" t="n"/>
      <c r="BT179" s="3" t="n"/>
      <c r="BU179" s="3">
        <f>BT179</f>
        <v>0</v>
      </c>
      <c r="BW179" s="3" t="n"/>
      <c r="BX179" s="3" t="n"/>
      <c r="BY179" s="3" t="n"/>
      <c r="BZ179" s="3">
        <f>BY179</f>
        <v>0</v>
      </c>
      <c r="CB179" s="3" t="n"/>
      <c r="CC179" s="3" t="n"/>
      <c r="CD179" s="3" t="n"/>
      <c r="CE179" s="3">
        <f>CD179</f>
        <v>0</v>
      </c>
      <c r="CG179" s="3" t="n"/>
      <c r="CH179" s="3" t="n"/>
      <c r="CI179" s="3" t="n"/>
      <c r="CJ179" s="3">
        <f>CI179</f>
        <v>0</v>
      </c>
      <c r="CL179" s="3" t="n"/>
      <c r="CM179" s="3" t="n"/>
      <c r="CN179" s="3" t="n"/>
      <c r="CO179" s="3">
        <f>CN179</f>
        <v>0</v>
      </c>
      <c r="CQ179" s="3" t="n"/>
      <c r="CR179" s="3" t="n"/>
      <c r="CS179" s="3" t="n"/>
      <c r="CT179" s="3">
        <f>CS179</f>
        <v>0</v>
      </c>
      <c r="CV179" s="3" t="n"/>
      <c r="CW179" s="3" t="n"/>
      <c r="CX179" s="3" t="n"/>
      <c r="CY179" s="3">
        <f>CX179</f>
        <v>0</v>
      </c>
    </row>
    <row r="180" hidden="1" outlineLevel="1">
      <c r="C180" s="34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  <c r="AD180" s="3" t="n"/>
      <c r="AE180" s="3" t="n"/>
      <c r="AF180" s="3" t="n"/>
      <c r="AG180" s="3" t="n"/>
      <c r="AH180" s="3" t="n"/>
      <c r="AI180" s="3" t="n"/>
      <c r="AJ180" s="3" t="n"/>
      <c r="AK180" s="3" t="n"/>
      <c r="AL180" s="3" t="n"/>
      <c r="AM180" s="3" t="n"/>
      <c r="AN180" s="3" t="n"/>
      <c r="AO180" s="3" t="n"/>
      <c r="AP180" s="3" t="n"/>
      <c r="AQ180" s="3" t="n"/>
      <c r="AR180" s="3" t="n"/>
      <c r="AS180" s="3" t="n"/>
      <c r="AT180" s="3" t="n"/>
      <c r="AU180" s="3" t="n"/>
      <c r="AV180" s="3" t="n"/>
      <c r="AW180" s="3" t="n"/>
      <c r="AX180" s="3" t="n"/>
      <c r="AY180" s="3" t="n"/>
      <c r="AZ180" s="3" t="n"/>
      <c r="BA180" s="3" t="n"/>
      <c r="BB180" s="3" t="n"/>
      <c r="BC180" s="3" t="n"/>
      <c r="BD180" s="3" t="n"/>
      <c r="BE180" s="3" t="n"/>
      <c r="BF180" s="3" t="n"/>
      <c r="BG180" s="3" t="n"/>
      <c r="BH180" s="3" t="n"/>
      <c r="BI180" s="3" t="n"/>
      <c r="BJ180" s="3" t="n"/>
      <c r="BK180" s="3" t="n"/>
      <c r="BL180" s="3" t="n"/>
      <c r="BM180" s="3" t="n"/>
      <c r="BN180" s="3" t="n"/>
      <c r="BO180" s="3" t="n"/>
      <c r="BP180" s="3" t="n"/>
      <c r="BQ180" s="3" t="n"/>
      <c r="BR180" s="3" t="n"/>
      <c r="BS180" s="3" t="n"/>
      <c r="BT180" s="3" t="n"/>
      <c r="BU180" s="3" t="n"/>
      <c r="BV180" s="3" t="n"/>
      <c r="BW180" s="3" t="n"/>
      <c r="BX180" s="3" t="n"/>
      <c r="BY180" s="3" t="n"/>
      <c r="BZ180" s="3" t="n"/>
      <c r="CA180" s="3" t="n"/>
      <c r="CB180" s="3" t="n"/>
      <c r="CC180" s="3" t="n"/>
      <c r="CD180" s="3" t="n"/>
      <c r="CE180" s="3" t="n"/>
      <c r="CF180" s="3" t="n"/>
      <c r="CG180" s="3" t="n"/>
      <c r="CH180" s="3" t="n"/>
      <c r="CI180" s="3" t="n"/>
      <c r="CJ180" s="3" t="n"/>
      <c r="CK180" s="3" t="n"/>
      <c r="CL180" s="3" t="n"/>
      <c r="CM180" s="3" t="n"/>
      <c r="CN180" s="3" t="n"/>
      <c r="CO180" s="3" t="n"/>
      <c r="CP180" s="3" t="n"/>
      <c r="CQ180" s="3" t="n"/>
      <c r="CR180" s="3" t="n"/>
      <c r="CS180" s="3" t="n"/>
      <c r="CT180" s="3" t="n"/>
      <c r="CU180" s="3" t="n"/>
      <c r="CV180" s="3" t="n"/>
      <c r="CW180" s="3" t="n"/>
      <c r="CX180" s="3" t="n"/>
      <c r="CY180" s="3" t="n"/>
    </row>
    <row r="181" hidden="1" outlineLevel="1">
      <c r="C181" s="34" t="inlineStr">
        <is>
          <t>Purchase of intangible assets</t>
        </is>
      </c>
      <c r="D181" s="3" t="n"/>
      <c r="E181" s="3">
        <f>E179-D179-E83</f>
        <v>2774</v>
      </c>
      <c r="F181" s="3">
        <f>F179-E179-F83</f>
        <v>7</v>
      </c>
      <c r="G181" s="3">
        <f>G179-F179-G83</f>
        <v>-124</v>
      </c>
      <c r="H181" s="3" t="n"/>
      <c r="I181" s="3">
        <f>I179-H179-I83</f>
        <v>-124</v>
      </c>
      <c r="J181" s="3">
        <f>J179-I179-J83</f>
        <v>-135</v>
      </c>
      <c r="K181" s="3">
        <f>K179-J179-K83</f>
        <v>-24</v>
      </c>
      <c r="L181" s="3">
        <f>L179-K179-L83</f>
        <v>-115</v>
      </c>
      <c r="M181" s="3" t="n"/>
      <c r="N181" s="3">
        <f>N179-M179-N83</f>
        <v>-128</v>
      </c>
      <c r="O181" s="3">
        <f>O179-N179-O83</f>
        <v>-175</v>
      </c>
      <c r="P181" s="3">
        <f>P179-O179-P83</f>
        <v>-186</v>
      </c>
      <c r="Q181" s="3">
        <f>Q179-P179-Q83</f>
        <v>-174</v>
      </c>
      <c r="R181" s="3" t="n"/>
      <c r="S181" s="3">
        <f>S179-R179-S83</f>
        <v>-135</v>
      </c>
      <c r="T181" s="3">
        <f>T179-S179-T83</f>
        <v>-146</v>
      </c>
      <c r="U181" s="3">
        <f>U179-T179-U83</f>
        <v>-144</v>
      </c>
      <c r="V181" s="3">
        <f>V179-U179-V83</f>
        <v>-139</v>
      </c>
      <c r="W181" s="3" t="n"/>
      <c r="X181" s="3">
        <f>X179-W179-X83</f>
        <v>-126</v>
      </c>
      <c r="Y181" s="3">
        <f>Y179-X179-Y83</f>
        <v>-34</v>
      </c>
      <c r="Z181" s="3">
        <f>Z179-Y179-Z83</f>
        <v>-114</v>
      </c>
      <c r="AA181" s="3">
        <f>AA179-Z179-AA83</f>
        <v>-31</v>
      </c>
      <c r="AB181" s="3" t="n"/>
      <c r="AC181" s="3">
        <f>AC179-AB179-AC83</f>
        <v>-38</v>
      </c>
      <c r="AD181" s="3">
        <f>AD179-AC179-AD83</f>
        <v>-14</v>
      </c>
      <c r="AE181" s="3">
        <f>AE179-AD179-AE83</f>
        <v>181</v>
      </c>
      <c r="AF181" s="3" t="n"/>
      <c r="AG181" s="3" t="n"/>
      <c r="AH181" s="6">
        <f>AH179-AG179-AH83</f>
        <v>-186</v>
      </c>
      <c r="AI181" s="6">
        <f>AI179-AH179-AI83</f>
        <v>-122</v>
      </c>
      <c r="AJ181" s="6" t="n"/>
      <c r="AK181" s="6" t="n"/>
      <c r="AL181" s="3" t="n"/>
      <c r="AM181" s="6" t="n"/>
      <c r="AN181" s="6" t="n"/>
      <c r="AO181" s="6" t="n"/>
      <c r="AP181" s="6" t="n"/>
      <c r="AQ181" s="3" t="n"/>
      <c r="AR181" s="6" t="n"/>
      <c r="AS181" s="6" t="n"/>
      <c r="AT181" s="6" t="n"/>
      <c r="AU181" s="6" t="n"/>
      <c r="AV181" s="3" t="n"/>
      <c r="AW181" s="6" t="n"/>
      <c r="AX181" s="6" t="n"/>
      <c r="AY181" s="6" t="n"/>
      <c r="AZ181" s="6" t="n"/>
      <c r="BA181" s="3" t="n"/>
      <c r="BB181" s="6" t="n"/>
      <c r="BC181" s="6" t="n"/>
      <c r="BD181" s="6" t="n"/>
      <c r="BE181" s="6" t="n"/>
      <c r="BF181" s="3" t="n"/>
      <c r="BG181" s="6" t="n"/>
      <c r="BH181" s="6" t="n"/>
      <c r="BI181" s="6" t="n"/>
      <c r="BJ181" s="6" t="n"/>
      <c r="BK181" s="3" t="n"/>
      <c r="BL181" s="6" t="n"/>
      <c r="BM181" s="6" t="n"/>
      <c r="BN181" s="6" t="n"/>
      <c r="BO181" s="6" t="n"/>
      <c r="BP181" s="3" t="n"/>
      <c r="BQ181" s="6" t="n"/>
      <c r="BR181" s="6" t="n"/>
      <c r="BS181" s="6" t="n"/>
      <c r="BT181" s="6" t="n"/>
      <c r="BU181" s="3" t="n"/>
      <c r="BV181" s="6" t="n"/>
      <c r="BW181" s="6" t="n"/>
      <c r="BX181" s="6" t="n"/>
      <c r="BY181" s="6" t="n"/>
      <c r="BZ181" s="3" t="n"/>
      <c r="CA181" s="6" t="n"/>
      <c r="CB181" s="6" t="n"/>
      <c r="CC181" s="6" t="n"/>
      <c r="CD181" s="6" t="n"/>
      <c r="CE181" s="3" t="n"/>
      <c r="CF181" s="6" t="n"/>
      <c r="CG181" s="6" t="n"/>
      <c r="CH181" s="6" t="n"/>
      <c r="CI181" s="6" t="n"/>
      <c r="CJ181" s="3" t="n"/>
      <c r="CK181" s="6" t="n"/>
      <c r="CL181" s="6" t="n"/>
      <c r="CM181" s="6" t="n"/>
      <c r="CN181" s="6" t="n"/>
      <c r="CO181" s="3" t="n"/>
      <c r="CP181" s="6" t="n"/>
      <c r="CQ181" s="6" t="n"/>
      <c r="CR181" s="6" t="n"/>
      <c r="CS181" s="6" t="n"/>
      <c r="CT181" s="3" t="n"/>
      <c r="CU181" s="6" t="n"/>
      <c r="CV181" s="6" t="n"/>
      <c r="CW181" s="6" t="n"/>
      <c r="CX181" s="6" t="n"/>
      <c r="CY181" s="3" t="n"/>
    </row>
    <row r="182" hidden="1" outlineLevel="1">
      <c r="C182" s="34" t="inlineStr">
        <is>
          <t>Amortization (enter as -)</t>
        </is>
      </c>
      <c r="D182" s="3" t="n"/>
      <c r="E182" s="3">
        <f>E82</f>
        <v>0</v>
      </c>
      <c r="F182" s="3">
        <f>F82</f>
        <v>0</v>
      </c>
      <c r="G182" s="3">
        <f>G82</f>
        <v>0</v>
      </c>
      <c r="H182" s="3" t="n"/>
      <c r="I182" s="3">
        <f>I82</f>
        <v>0</v>
      </c>
      <c r="J182" s="3">
        <f>J82</f>
        <v>0</v>
      </c>
      <c r="K182" s="3">
        <f>K82</f>
        <v>0</v>
      </c>
      <c r="L182" s="3">
        <f>L82</f>
        <v>0</v>
      </c>
      <c r="M182" s="3" t="n"/>
      <c r="N182" s="3">
        <f>N82</f>
        <v>0</v>
      </c>
      <c r="O182" s="3">
        <f>O82</f>
        <v>0</v>
      </c>
      <c r="P182" s="3">
        <f>P82</f>
        <v>0</v>
      </c>
      <c r="Q182" s="3">
        <f>Q82</f>
        <v>0</v>
      </c>
      <c r="R182" s="3" t="n"/>
      <c r="S182" s="3">
        <f>S82</f>
        <v>0</v>
      </c>
      <c r="T182" s="3">
        <f>T82</f>
        <v>0</v>
      </c>
      <c r="U182" s="3">
        <f>U82</f>
        <v>0</v>
      </c>
      <c r="V182" s="3">
        <f>V82</f>
        <v>0</v>
      </c>
      <c r="W182" s="3" t="n"/>
      <c r="X182" s="3">
        <f>X82</f>
        <v>0</v>
      </c>
      <c r="Y182" s="3">
        <f>Y82</f>
        <v>0</v>
      </c>
      <c r="Z182" s="3">
        <f>Z82</f>
        <v>0</v>
      </c>
      <c r="AA182" s="3">
        <f>AA82</f>
        <v>0</v>
      </c>
      <c r="AB182" s="3" t="n"/>
      <c r="AC182" s="3">
        <f>AC82</f>
        <v>0</v>
      </c>
      <c r="AD182" s="3">
        <f>AD82</f>
        <v>0</v>
      </c>
      <c r="AE182" s="3">
        <f>AE82</f>
        <v>0</v>
      </c>
      <c r="AF182" s="3" t="n"/>
      <c r="AG182" s="3" t="n"/>
      <c r="AH182" s="3">
        <f>AH82</f>
        <v>0</v>
      </c>
      <c r="AI182" s="6">
        <f>AI82</f>
        <v>0</v>
      </c>
      <c r="AJ182" s="6" t="n"/>
      <c r="AK182" s="6" t="n"/>
      <c r="AL182" s="3" t="n"/>
      <c r="AM182" s="6" t="n"/>
      <c r="AN182" s="6" t="n"/>
      <c r="AO182" s="6" t="n"/>
      <c r="AP182" s="6" t="n"/>
      <c r="AQ182" s="3" t="n"/>
      <c r="AR182" s="6" t="n"/>
      <c r="AS182" s="6" t="n"/>
      <c r="AT182" s="6" t="n"/>
      <c r="AU182" s="6" t="n"/>
      <c r="AV182" s="3" t="n"/>
      <c r="AW182" s="6" t="n"/>
      <c r="AX182" s="6" t="n"/>
      <c r="AY182" s="6" t="n"/>
      <c r="AZ182" s="6" t="n"/>
      <c r="BA182" s="3" t="n"/>
      <c r="BB182" s="6" t="n"/>
      <c r="BC182" s="6" t="n"/>
      <c r="BD182" s="6" t="n"/>
      <c r="BE182" s="6" t="n"/>
      <c r="BF182" s="3" t="n"/>
      <c r="BG182" s="6" t="n"/>
      <c r="BH182" s="6" t="n"/>
      <c r="BI182" s="6" t="n"/>
      <c r="BJ182" s="6" t="n"/>
      <c r="BK182" s="3" t="n"/>
      <c r="BL182" s="6" t="n"/>
      <c r="BM182" s="6" t="n"/>
      <c r="BN182" s="6" t="n"/>
      <c r="BO182" s="6" t="n"/>
      <c r="BP182" s="3" t="n"/>
      <c r="BQ182" s="6" t="n"/>
      <c r="BR182" s="6" t="n"/>
      <c r="BS182" s="6" t="n"/>
      <c r="BT182" s="6" t="n"/>
      <c r="BU182" s="3" t="n"/>
      <c r="BV182" s="6" t="n"/>
      <c r="BW182" s="6" t="n"/>
      <c r="BX182" s="6" t="n"/>
      <c r="BY182" s="6" t="n"/>
      <c r="BZ182" s="3" t="n"/>
      <c r="CA182" s="6" t="n"/>
      <c r="CB182" s="6" t="n"/>
      <c r="CC182" s="6" t="n"/>
      <c r="CD182" s="6" t="n"/>
      <c r="CE182" s="3" t="n"/>
      <c r="CF182" s="6" t="n"/>
      <c r="CG182" s="6" t="n"/>
      <c r="CH182" s="6" t="n"/>
      <c r="CI182" s="6" t="n"/>
      <c r="CJ182" s="3" t="n"/>
      <c r="CK182" s="6" t="n"/>
      <c r="CL182" s="6" t="n"/>
      <c r="CM182" s="6" t="n"/>
      <c r="CN182" s="6" t="n"/>
      <c r="CO182" s="3" t="n"/>
      <c r="CP182" s="6" t="n"/>
      <c r="CQ182" s="6" t="n"/>
      <c r="CR182" s="6" t="n"/>
      <c r="CS182" s="6" t="n"/>
      <c r="CT182" s="3" t="n"/>
      <c r="CU182" s="6" t="n"/>
      <c r="CV182" s="6" t="n"/>
      <c r="CW182" s="6" t="n"/>
      <c r="CX182" s="6" t="n"/>
      <c r="CY182" s="3" t="n"/>
    </row>
    <row r="183" hidden="1" outlineLevel="1">
      <c r="C183" s="34" t="inlineStr">
        <is>
          <t>Intangibles</t>
        </is>
      </c>
      <c r="D183" s="3" t="n"/>
      <c r="E183" s="3">
        <f>E179</f>
        <v>2854</v>
      </c>
      <c r="F183" s="3">
        <f>F179</f>
        <v>2861</v>
      </c>
      <c r="G183" s="3">
        <f>G179</f>
        <v>2737</v>
      </c>
      <c r="H183" s="3" t="n"/>
      <c r="I183" s="3">
        <f>I179</f>
        <v>2613</v>
      </c>
      <c r="J183" s="3">
        <f>J179</f>
        <v>2478</v>
      </c>
      <c r="K183" s="3">
        <f>K179</f>
        <v>2454</v>
      </c>
      <c r="L183" s="3">
        <f>L179</f>
        <v>2339</v>
      </c>
      <c r="M183" s="3" t="n"/>
      <c r="N183" s="3">
        <f>N179</f>
        <v>2211</v>
      </c>
      <c r="O183" s="3">
        <f>O179</f>
        <v>2036</v>
      </c>
      <c r="P183" s="3">
        <f>P179</f>
        <v>1850</v>
      </c>
      <c r="Q183" s="3">
        <f>Q179</f>
        <v>1676</v>
      </c>
      <c r="R183" s="3" t="n"/>
      <c r="S183" s="3">
        <f>S179</f>
        <v>1541</v>
      </c>
      <c r="T183" s="3">
        <f>T179</f>
        <v>1395</v>
      </c>
      <c r="U183" s="3">
        <f>U179</f>
        <v>1251</v>
      </c>
      <c r="V183" s="3">
        <f>V179</f>
        <v>1112</v>
      </c>
      <c r="W183" s="3" t="n"/>
      <c r="X183" s="3">
        <f>X179</f>
        <v>986</v>
      </c>
      <c r="Y183" s="3">
        <f>Y179</f>
        <v>952</v>
      </c>
      <c r="Z183" s="3">
        <f>Z179</f>
        <v>838</v>
      </c>
      <c r="AA183" s="3">
        <f>AA179</f>
        <v>807</v>
      </c>
      <c r="AB183" s="3" t="n"/>
      <c r="AC183" s="3">
        <f>AC179</f>
        <v>769</v>
      </c>
      <c r="AD183" s="3">
        <f>AD179</f>
        <v>755</v>
      </c>
      <c r="AE183" s="3">
        <f>AE179</f>
        <v>936</v>
      </c>
      <c r="AF183" s="3">
        <f>AF179</f>
        <v>3306</v>
      </c>
      <c r="AG183" s="3" t="n"/>
      <c r="AH183" s="3">
        <f>AH179</f>
        <v>3120</v>
      </c>
      <c r="AI183" s="3">
        <f>AI179</f>
        <v>2998</v>
      </c>
      <c r="AJ183" s="3">
        <f>AI183+SUM(AJ181:AJ182)</f>
        <v>2998</v>
      </c>
      <c r="AK183" s="3">
        <f>AJ183+SUM(AK181:AK182)</f>
        <v>2998</v>
      </c>
      <c r="AL183" s="3" t="n"/>
      <c r="AM183" s="3">
        <f>AK183+SUM(AM181:AM182)</f>
        <v>2998</v>
      </c>
      <c r="AN183" s="3">
        <f>AM183+SUM(AN181:AN182)</f>
        <v>2998</v>
      </c>
      <c r="AO183" s="3">
        <f>AN183+SUM(AO181:AO182)</f>
        <v>2998</v>
      </c>
      <c r="AP183" s="3">
        <f>AO183+SUM(AP181:AP182)</f>
        <v>2998</v>
      </c>
      <c r="AQ183" s="3" t="n"/>
      <c r="AR183" s="3">
        <f>AP183+SUM(AR181:AR182)</f>
        <v>2998</v>
      </c>
      <c r="AS183" s="3">
        <f>AR183+SUM(AS181:AS182)</f>
        <v>2998</v>
      </c>
      <c r="AT183" s="3">
        <f>AS183+SUM(AT181:AT182)</f>
        <v>2998</v>
      </c>
      <c r="AU183" s="3">
        <f>AT183+SUM(AU181:AU182)</f>
        <v>2998</v>
      </c>
      <c r="AV183" s="3" t="n"/>
      <c r="AW183" s="3">
        <f>AU183+SUM(AW181:AW182)</f>
        <v>2998</v>
      </c>
      <c r="AX183" s="3">
        <f>AW183+SUM(AX181:AX182)</f>
        <v>2998</v>
      </c>
      <c r="AY183" s="3">
        <f>AX183+SUM(AY181:AY182)</f>
        <v>2998</v>
      </c>
      <c r="AZ183" s="3">
        <f>AY183+SUM(AZ181:AZ182)</f>
        <v>2998</v>
      </c>
      <c r="BA183" s="3" t="n"/>
      <c r="BB183" s="3">
        <f>AZ183+SUM(BB181:BB182)</f>
        <v>2998</v>
      </c>
      <c r="BC183" s="3">
        <f>BB183+SUM(BC181:BC182)</f>
        <v>2998</v>
      </c>
      <c r="BD183" s="3">
        <f>BC183+SUM(BD181:BD182)</f>
        <v>2998</v>
      </c>
      <c r="BE183" s="3">
        <f>BD183+SUM(BE181:BE182)</f>
        <v>2998</v>
      </c>
      <c r="BF183" s="3" t="n"/>
      <c r="BG183" s="3">
        <f>BE183+SUM(BG181:BG182)</f>
        <v>2998</v>
      </c>
      <c r="BH183" s="3">
        <f>BG183+SUM(BH181:BH182)</f>
        <v>2998</v>
      </c>
      <c r="BI183" s="3">
        <f>BH183+SUM(BI181:BI182)</f>
        <v>2998</v>
      </c>
      <c r="BJ183" s="3">
        <f>BI183+SUM(BJ181:BJ182)</f>
        <v>2998</v>
      </c>
      <c r="BK183" s="3" t="n"/>
      <c r="BL183" s="3">
        <f>BJ183+SUM(BL181:BL182)</f>
        <v>2998</v>
      </c>
      <c r="BM183" s="3">
        <f>BL183+SUM(BM181:BM182)</f>
        <v>2998</v>
      </c>
      <c r="BN183" s="3">
        <f>BM183+SUM(BN181:BN182)</f>
        <v>2998</v>
      </c>
      <c r="BO183" s="3">
        <f>BN183+SUM(BO181:BO182)</f>
        <v>2998</v>
      </c>
      <c r="BP183" s="3" t="n"/>
      <c r="BQ183" s="3">
        <f>BO183+SUM(BQ181:BQ182)</f>
        <v>2998</v>
      </c>
      <c r="BR183" s="3">
        <f>BQ183+SUM(BR181:BR182)</f>
        <v>2998</v>
      </c>
      <c r="BS183" s="3">
        <f>BR183+SUM(BS181:BS182)</f>
        <v>2998</v>
      </c>
      <c r="BT183" s="3">
        <f>BS183+SUM(BT181:BT182)</f>
        <v>2998</v>
      </c>
      <c r="BU183" s="3" t="n"/>
      <c r="BV183" s="3">
        <f>BT183+SUM(BV181:BV182)</f>
        <v>2998</v>
      </c>
      <c r="BW183" s="3">
        <f>BV183+SUM(BW181:BW182)</f>
        <v>2998</v>
      </c>
      <c r="BX183" s="3">
        <f>BW183+SUM(BX181:BX182)</f>
        <v>2998</v>
      </c>
      <c r="BY183" s="3">
        <f>BX183+SUM(BY181:BY182)</f>
        <v>2998</v>
      </c>
      <c r="BZ183" s="3" t="n"/>
      <c r="CA183" s="3">
        <f>BY183+SUM(CA181:CA182)</f>
        <v>2998</v>
      </c>
      <c r="CB183" s="3">
        <f>CA183+SUM(CB181:CB182)</f>
        <v>2998</v>
      </c>
      <c r="CC183" s="3">
        <f>CB183+SUM(CC181:CC182)</f>
        <v>2998</v>
      </c>
      <c r="CD183" s="3">
        <f>CC183+SUM(CD181:CD182)</f>
        <v>2998</v>
      </c>
      <c r="CE183" s="3" t="n"/>
      <c r="CF183" s="3">
        <f>CD183+SUM(CF181:CF182)</f>
        <v>2998</v>
      </c>
      <c r="CG183" s="3">
        <f>CF183+SUM(CG181:CG182)</f>
        <v>2998</v>
      </c>
      <c r="CH183" s="3">
        <f>CG183+SUM(CH181:CH182)</f>
        <v>2998</v>
      </c>
      <c r="CI183" s="3">
        <f>CH183+SUM(CI181:CI182)</f>
        <v>2998</v>
      </c>
      <c r="CJ183" s="3" t="n"/>
      <c r="CK183" s="3">
        <f>CI183+SUM(CK181:CK182)</f>
        <v>2998</v>
      </c>
      <c r="CL183" s="3">
        <f>CK183+SUM(CL181:CL182)</f>
        <v>2998</v>
      </c>
      <c r="CM183" s="3">
        <f>CL183+SUM(CM181:CM182)</f>
        <v>2998</v>
      </c>
      <c r="CN183" s="3">
        <f>CM183+SUM(CN181:CN182)</f>
        <v>2998</v>
      </c>
      <c r="CO183" s="3" t="n"/>
      <c r="CP183" s="3">
        <f>CN183+SUM(CP181:CP182)</f>
        <v>2998</v>
      </c>
      <c r="CQ183" s="3">
        <f>CP183+SUM(CQ181:CQ182)</f>
        <v>2998</v>
      </c>
      <c r="CR183" s="3">
        <f>CQ183+SUM(CR181:CR182)</f>
        <v>2998</v>
      </c>
      <c r="CS183" s="3">
        <f>CR183+SUM(CS181:CS182)</f>
        <v>2998</v>
      </c>
      <c r="CT183" s="3" t="n"/>
      <c r="CU183" s="3">
        <f>CS183+SUM(CU181:CU182)</f>
        <v>2998</v>
      </c>
      <c r="CV183" s="3">
        <f>CU183+SUM(CV181:CV182)</f>
        <v>2998</v>
      </c>
      <c r="CW183" s="3">
        <f>CV183+SUM(CW181:CW182)</f>
        <v>2998</v>
      </c>
      <c r="CX183" s="3">
        <f>CW183+SUM(CX181:CX182)</f>
        <v>2998</v>
      </c>
      <c r="CY183" s="3" t="n"/>
      <c r="CZ183">
        <f>CX183+SUM(CZ181:CZ182)</f>
        <v>2998</v>
      </c>
      <c r="DA183">
        <f>CZ183+SUM(DA181:DA182)</f>
        <v>2998</v>
      </c>
      <c r="DB183">
        <f>DA183+SUM(DB181:DB182)</f>
        <v>2998</v>
      </c>
      <c r="DC183">
        <f>DB183+SUM(DC181:DC182)</f>
        <v>2998</v>
      </c>
    </row>
    <row r="184" hidden="1" outlineLevel="1">
      <c r="C184" s="34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  <c r="AD184" s="3" t="n"/>
      <c r="AE184" s="3" t="n"/>
      <c r="AF184" s="3" t="n"/>
      <c r="AG184" s="3" t="n"/>
      <c r="AH184" s="3" t="n"/>
      <c r="AI184" s="3" t="n"/>
      <c r="AJ184" s="3" t="n"/>
      <c r="AK184" s="3" t="n"/>
      <c r="AL184" s="3" t="n"/>
      <c r="AM184" s="3" t="n"/>
      <c r="AN184" s="3" t="n"/>
      <c r="AO184" s="3" t="n"/>
      <c r="AP184" s="3" t="n"/>
      <c r="AQ184" s="3" t="n"/>
      <c r="AR184" s="3" t="n"/>
      <c r="AS184" s="3" t="n"/>
      <c r="AT184" s="3" t="n"/>
      <c r="AU184" s="3" t="n"/>
      <c r="AV184" s="3" t="n"/>
      <c r="AW184" s="3" t="n"/>
      <c r="AX184" s="3" t="n"/>
      <c r="AY184" s="3" t="n"/>
      <c r="AZ184" s="3" t="n"/>
      <c r="BA184" s="3" t="n"/>
      <c r="BB184" s="3" t="n"/>
      <c r="BC184" s="3" t="n"/>
      <c r="BD184" s="3" t="n"/>
      <c r="BE184" s="3" t="n"/>
      <c r="BF184" s="3" t="n"/>
      <c r="BG184" s="3" t="n"/>
      <c r="BH184" s="3" t="n"/>
      <c r="BI184" s="3" t="n"/>
      <c r="BJ184" s="3" t="n"/>
      <c r="BK184" s="3" t="n"/>
      <c r="BL184" s="3" t="n"/>
      <c r="BM184" s="3" t="n"/>
      <c r="BN184" s="3" t="n"/>
      <c r="BO184" s="3" t="n"/>
      <c r="BP184" s="3" t="n"/>
      <c r="BQ184" s="3" t="n"/>
      <c r="BR184" s="3" t="n"/>
      <c r="BS184" s="3" t="n"/>
      <c r="BT184" s="3" t="n"/>
      <c r="BU184" s="3" t="n"/>
      <c r="BV184" s="3" t="n"/>
      <c r="BW184" s="3" t="n"/>
      <c r="BX184" s="3" t="n"/>
      <c r="BY184" s="3" t="n"/>
      <c r="BZ184" s="3" t="n"/>
      <c r="CA184" s="3" t="n"/>
      <c r="CB184" s="3" t="n"/>
      <c r="CC184" s="3" t="n"/>
      <c r="CD184" s="3" t="n"/>
      <c r="CE184" s="3" t="n"/>
      <c r="CF184" s="3" t="n"/>
      <c r="CG184" s="3" t="n"/>
      <c r="CH184" s="3" t="n"/>
      <c r="CI184" s="3" t="n"/>
      <c r="CJ184" s="3" t="n"/>
      <c r="CK184" s="3" t="n"/>
      <c r="CL184" s="3" t="n"/>
      <c r="CM184" s="3" t="n"/>
      <c r="CN184" s="3" t="n"/>
      <c r="CO184" s="3" t="n"/>
      <c r="CP184" s="3" t="n"/>
      <c r="CQ184" s="3" t="n"/>
      <c r="CR184" s="3" t="n"/>
      <c r="CS184" s="3" t="n"/>
      <c r="CT184" s="3" t="n"/>
      <c r="CU184" s="3" t="n"/>
      <c r="CV184" s="3" t="n"/>
      <c r="CW184" s="3" t="n"/>
      <c r="CX184" s="3" t="n"/>
      <c r="CY184" s="3" t="n"/>
    </row>
    <row r="185" hidden="1" outlineLevel="1">
      <c r="C185" s="34" t="inlineStr">
        <is>
          <t>Definir % do D&amp;A No PPE and Intagibles</t>
        </is>
      </c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  <c r="AC185" s="3" t="n"/>
      <c r="AD185" s="3" t="n"/>
      <c r="AE185" s="3" t="n"/>
      <c r="AF185" s="3" t="n"/>
      <c r="AG185" s="3" t="n"/>
      <c r="AH185" s="3" t="n"/>
      <c r="AI185" s="3" t="n"/>
      <c r="AJ185" s="3" t="n"/>
      <c r="AK185" s="3" t="n"/>
      <c r="AL185" s="3" t="n"/>
      <c r="AM185" s="3" t="n"/>
      <c r="AN185" s="3" t="n"/>
      <c r="AO185" s="3" t="n"/>
      <c r="AP185" s="3" t="n"/>
      <c r="AQ185" s="3" t="n"/>
      <c r="AR185" s="3" t="n"/>
      <c r="AS185" s="3" t="n"/>
      <c r="AT185" s="3" t="n"/>
      <c r="AU185" s="3" t="n"/>
      <c r="AV185" s="3" t="n"/>
      <c r="AW185" s="3" t="n"/>
      <c r="AX185" s="3" t="n"/>
      <c r="AY185" s="3" t="n"/>
      <c r="AZ185" s="3" t="n"/>
      <c r="BA185" s="3" t="n"/>
      <c r="BB185" s="3" t="n"/>
      <c r="BC185" s="3" t="n"/>
      <c r="BD185" s="3" t="n"/>
      <c r="BE185" s="3" t="n"/>
      <c r="BF185" s="3" t="n"/>
      <c r="BG185" s="3" t="n"/>
      <c r="BH185" s="3" t="n"/>
      <c r="BI185" s="3" t="n"/>
      <c r="BJ185" s="3" t="n"/>
      <c r="BK185" s="3" t="n"/>
      <c r="BL185" s="3" t="n"/>
      <c r="BM185" s="3" t="n"/>
      <c r="BN185" s="3" t="n"/>
      <c r="BO185" s="3" t="n"/>
      <c r="BP185" s="3" t="n"/>
      <c r="BQ185" s="3" t="n"/>
      <c r="BR185" s="3" t="n"/>
      <c r="BS185" s="3" t="n"/>
      <c r="BT185" s="3" t="n"/>
      <c r="BU185" s="3" t="n"/>
      <c r="BV185" s="3" t="n"/>
      <c r="BW185" s="3" t="n"/>
      <c r="BX185" s="3" t="n"/>
      <c r="BY185" s="3" t="n"/>
      <c r="BZ185" s="3" t="n"/>
      <c r="CA185" s="3" t="n"/>
      <c r="CB185" s="3" t="n"/>
      <c r="CC185" s="3" t="n"/>
      <c r="CD185" s="3" t="n"/>
      <c r="CE185" s="3" t="n"/>
      <c r="CF185" s="3" t="n"/>
      <c r="CG185" s="3" t="n"/>
      <c r="CH185" s="3" t="n"/>
      <c r="CI185" s="3" t="n"/>
      <c r="CJ185" s="3" t="n"/>
      <c r="CK185" s="3" t="n"/>
      <c r="CL185" s="3" t="n"/>
      <c r="CM185" s="3" t="n"/>
      <c r="CN185" s="3" t="n"/>
      <c r="CO185" s="3" t="n"/>
      <c r="CP185" s="3" t="n"/>
      <c r="CQ185" s="3" t="n"/>
      <c r="CR185" s="3" t="n"/>
      <c r="CS185" s="3" t="n"/>
      <c r="CT185" s="3" t="n"/>
      <c r="CU185" s="3" t="n"/>
      <c r="CV185" s="3" t="n"/>
      <c r="CW185" s="3" t="n"/>
      <c r="CX185" s="3" t="n"/>
      <c r="CY185" s="3" t="n"/>
    </row>
    <row r="186" hidden="1" outlineLevel="1">
      <c r="C186" s="34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  <c r="AC186" s="3" t="n"/>
      <c r="AD186" s="3" t="n"/>
      <c r="AE186" s="3" t="n"/>
      <c r="AF186" s="3" t="n"/>
      <c r="AG186" s="3" t="n"/>
      <c r="AH186" s="3" t="n"/>
      <c r="AI186" s="3" t="n"/>
      <c r="AJ186" s="3" t="n"/>
      <c r="AK186" s="3" t="n"/>
      <c r="AL186" s="3" t="n"/>
      <c r="AM186" s="3" t="n"/>
      <c r="AN186" s="3" t="n"/>
      <c r="AO186" s="3" t="n"/>
      <c r="AP186" s="3" t="n"/>
      <c r="AQ186" s="3" t="n"/>
      <c r="AR186" s="3" t="n"/>
      <c r="AS186" s="3" t="n"/>
      <c r="AT186" s="3" t="n"/>
      <c r="AU186" s="3" t="n"/>
      <c r="AV186" s="3" t="n"/>
      <c r="AW186" s="3" t="n"/>
      <c r="AX186" s="3" t="n"/>
      <c r="AY186" s="3" t="n"/>
      <c r="AZ186" s="3" t="n"/>
      <c r="BA186" s="3" t="n"/>
      <c r="BB186" s="3" t="n"/>
      <c r="BC186" s="3" t="n"/>
      <c r="BD186" s="3" t="n"/>
      <c r="BE186" s="3" t="n"/>
      <c r="BF186" s="3" t="n"/>
      <c r="BG186" s="3" t="n"/>
      <c r="BH186" s="3" t="n"/>
      <c r="BI186" s="3" t="n"/>
      <c r="BJ186" s="3" t="n"/>
      <c r="BK186" s="3" t="n"/>
      <c r="BL186" s="3" t="n"/>
      <c r="BM186" s="3" t="n"/>
      <c r="BN186" s="3" t="n"/>
      <c r="BO186" s="3" t="n"/>
      <c r="BP186" s="3" t="n"/>
      <c r="BQ186" s="3" t="n"/>
      <c r="BR186" s="3" t="n"/>
      <c r="BS186" s="3" t="n"/>
      <c r="BT186" s="3" t="n"/>
      <c r="BU186" s="3" t="n"/>
      <c r="BV186" s="3" t="n"/>
      <c r="BW186" s="3" t="n"/>
      <c r="BX186" s="3" t="n"/>
      <c r="BY186" s="3" t="n"/>
      <c r="BZ186" s="3" t="n"/>
      <c r="CA186" s="3" t="n"/>
      <c r="CB186" s="3" t="n"/>
      <c r="CC186" s="3" t="n"/>
      <c r="CD186" s="3" t="n"/>
      <c r="CE186" s="3" t="n"/>
      <c r="CF186" s="3" t="n"/>
      <c r="CG186" s="3" t="n"/>
      <c r="CH186" s="3" t="n"/>
      <c r="CI186" s="3" t="n"/>
      <c r="CJ186" s="3" t="n"/>
      <c r="CK186" s="3" t="n"/>
      <c r="CL186" s="3" t="n"/>
      <c r="CM186" s="3" t="n"/>
      <c r="CN186" s="3" t="n"/>
      <c r="CO186" s="3" t="n"/>
      <c r="CP186" s="3" t="n"/>
      <c r="CQ186" s="3" t="n"/>
      <c r="CR186" s="3" t="n"/>
      <c r="CS186" s="3" t="n"/>
      <c r="CT186" s="3" t="n"/>
      <c r="CU186" s="3" t="n"/>
      <c r="CV186" s="3" t="n"/>
      <c r="CW186" s="3" t="n"/>
      <c r="CX186" s="3" t="n"/>
      <c r="CY186" s="3" t="n"/>
    </row>
    <row r="187" hidden="1" outlineLevel="1">
      <c r="C187" s="34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  <c r="AD187" s="3" t="n"/>
      <c r="AE187" s="3" t="n"/>
      <c r="AF187" s="3" t="n"/>
      <c r="AG187" s="3" t="n"/>
      <c r="AH187" s="3" t="n"/>
      <c r="AI187" s="3" t="n"/>
      <c r="AJ187" s="3" t="n"/>
      <c r="AK187" s="3" t="n"/>
      <c r="AL187" s="3" t="n"/>
      <c r="AM187" s="3" t="n"/>
      <c r="AN187" s="3" t="n"/>
      <c r="AO187" s="3" t="n"/>
      <c r="AP187" s="3" t="n"/>
      <c r="AQ187" s="3" t="n"/>
      <c r="AR187" s="3" t="n"/>
      <c r="AS187" s="3" t="n"/>
      <c r="AT187" s="3" t="n"/>
      <c r="AU187" s="3" t="n"/>
      <c r="AV187" s="3" t="n"/>
      <c r="AW187" s="3" t="n"/>
      <c r="AX187" s="3" t="n"/>
      <c r="AY187" s="3" t="n"/>
      <c r="AZ187" s="3" t="n"/>
      <c r="BA187" s="3" t="n"/>
      <c r="BB187" s="3" t="n"/>
      <c r="BC187" s="3" t="n"/>
      <c r="BD187" s="3" t="n"/>
      <c r="BE187" s="3" t="n"/>
      <c r="BF187" s="3" t="n"/>
      <c r="BG187" s="3" t="n"/>
      <c r="BH187" s="3" t="n"/>
      <c r="BI187" s="3" t="n"/>
      <c r="BJ187" s="3" t="n"/>
      <c r="BK187" s="3" t="n"/>
      <c r="BL187" s="3" t="n"/>
      <c r="BM187" s="3" t="n"/>
      <c r="BN187" s="3" t="n"/>
      <c r="BO187" s="3" t="n"/>
      <c r="BP187" s="3" t="n"/>
      <c r="BQ187" s="3" t="n"/>
      <c r="BR187" s="3" t="n"/>
      <c r="BS187" s="3" t="n"/>
      <c r="BT187" s="3" t="n"/>
      <c r="BU187" s="3" t="n"/>
      <c r="BV187" s="3" t="n"/>
      <c r="BW187" s="3" t="n"/>
      <c r="BX187" s="3" t="n"/>
      <c r="BY187" s="3" t="n"/>
      <c r="BZ187" s="3" t="n"/>
      <c r="CA187" s="3" t="n"/>
      <c r="CB187" s="3" t="n"/>
      <c r="CC187" s="3" t="n"/>
      <c r="CD187" s="3" t="n"/>
      <c r="CE187" s="3" t="n"/>
      <c r="CF187" s="3" t="n"/>
      <c r="CG187" s="3" t="n"/>
      <c r="CH187" s="3" t="n"/>
      <c r="CI187" s="3" t="n"/>
      <c r="CJ187" s="3" t="n"/>
      <c r="CK187" s="3" t="n"/>
      <c r="CL187" s="3" t="n"/>
      <c r="CM187" s="3" t="n"/>
      <c r="CN187" s="3" t="n"/>
      <c r="CO187" s="3" t="n"/>
      <c r="CP187" s="3" t="n"/>
      <c r="CQ187" s="3" t="n"/>
      <c r="CR187" s="3" t="n"/>
      <c r="CS187" s="3" t="n"/>
      <c r="CT187" s="3" t="n"/>
      <c r="CU187" s="3" t="n"/>
      <c r="CV187" s="3" t="n"/>
      <c r="CW187" s="3" t="n"/>
      <c r="CX187" s="3" t="n"/>
      <c r="CY187" s="3" t="n"/>
    </row>
    <row r="188" collapsed="1">
      <c r="C188" s="26" t="inlineStr">
        <is>
          <t>Other non-current assets</t>
        </is>
      </c>
      <c r="D188" s="25">
        <f>INDEX('Inputs (2)'!$D$26:$AL$26,MATCH(D$7,'Inputs (2)'!$D$2:$AL$2,0))</f>
        <v>119</v>
      </c>
      <c r="E188" s="25">
        <f>INDEX('Inputs (2)'!$D$26:$AL$26,MATCH(E$7,'Inputs (2)'!$D$2:$AL$2,0))</f>
        <v>157</v>
      </c>
      <c r="F188" s="25">
        <f>INDEX('Inputs (2)'!$D$26:$AL$26,MATCH(F$7,'Inputs (2)'!$D$2:$AL$2,0))</f>
        <v>2028</v>
      </c>
      <c r="G188" s="25">
        <f>INDEX('Inputs (2)'!$D$26:$AL$26,MATCH(G$7,'Inputs (2)'!$D$2:$AL$2,0))</f>
        <v>2144</v>
      </c>
      <c r="H188" s="3">
        <f>G188</f>
        <v>2144</v>
      </c>
      <c r="I188" s="25">
        <f>INDEX('Inputs (2)'!$D$26:$AL$26,MATCH(I$7,'Inputs (2)'!$D$2:$AL$2,0))</f>
        <v>2090</v>
      </c>
      <c r="J188" s="25">
        <f>INDEX('Inputs (2)'!$D$26:$AL$26,MATCH(J$7,'Inputs (2)'!$D$2:$AL$2,0))</f>
        <v>2050</v>
      </c>
      <c r="K188" s="25">
        <f>INDEX('Inputs (2)'!$D$26:$AL$26,MATCH(K$7,'Inputs (2)'!$D$2:$AL$2,0))</f>
        <v>3761</v>
      </c>
      <c r="L188" s="25">
        <f>INDEX('Inputs (2)'!$D$26:$AL$26,MATCH(L$7,'Inputs (2)'!$D$2:$AL$2,0))</f>
        <v>3841</v>
      </c>
      <c r="M188" s="3">
        <f>L188</f>
        <v>3841</v>
      </c>
      <c r="N188" s="25">
        <f>INDEX('Inputs (2)'!$D$26:$AL$26,MATCH(N$7,'Inputs (2)'!$D$2:$AL$2,0))</f>
        <v>3505</v>
      </c>
      <c r="O188" s="25">
        <f>INDEX('Inputs (2)'!$D$26:$AL$26,MATCH(O$7,'Inputs (2)'!$D$2:$AL$2,0))</f>
        <v>3340</v>
      </c>
      <c r="P188" s="25">
        <f>INDEX('Inputs (2)'!$D$26:$AL$26,MATCH(P$7,'Inputs (2)'!$D$2:$AL$2,0))</f>
        <v>3580</v>
      </c>
      <c r="Q188" s="25">
        <f>INDEX('Inputs (2)'!$D$26:$AL$26,MATCH(Q$7,'Inputs (2)'!$D$2:$AL$2,0))</f>
        <v>3820</v>
      </c>
      <c r="R188" s="3">
        <f>Q188</f>
        <v>3820</v>
      </c>
      <c r="S188" s="25">
        <f>INDEX('Inputs (2)'!$D$26:$AL$26,MATCH(S$7,'Inputs (2)'!$D$2:$AL$2,0))</f>
        <v>4204</v>
      </c>
      <c r="T188" s="25">
        <f>INDEX('Inputs (2)'!$D$26:$AL$26,MATCH(T$7,'Inputs (2)'!$D$2:$AL$2,0))</f>
        <v>4501</v>
      </c>
      <c r="U188" s="25">
        <f>INDEX('Inputs (2)'!$D$26:$AL$26,MATCH(U$7,'Inputs (2)'!$D$2:$AL$2,0))</f>
        <v>4667</v>
      </c>
      <c r="V188" s="25">
        <f>INDEX('Inputs (2)'!$D$26:$AL$26,MATCH(V$7,'Inputs (2)'!$D$2:$AL$2,0))</f>
        <v>4500</v>
      </c>
      <c r="W188" s="3">
        <f>V188</f>
        <v>4500</v>
      </c>
      <c r="X188" s="25">
        <f>INDEX('Inputs (2)'!$D$26:$AL$26,MATCH(X$7,'Inputs (2)'!$D$2:$AL$2,0))</f>
        <v>4568</v>
      </c>
      <c r="Y188" s="25">
        <f>INDEX('Inputs (2)'!$D$26:$AL$26,MATCH(Y$7,'Inputs (2)'!$D$2:$AL$2,0))</f>
        <v>4001</v>
      </c>
      <c r="Z188" s="25">
        <f>INDEX('Inputs (2)'!$D$26:$AL$26,MATCH(Z$7,'Inputs (2)'!$D$2:$AL$2,0))</f>
        <v>5437</v>
      </c>
      <c r="AA188" s="25">
        <f>INDEX('Inputs (2)'!$D$26:$AL$26,MATCH(AA$7,'Inputs (2)'!$D$2:$AL$2,0))</f>
        <v>6425</v>
      </c>
      <c r="AB188" s="3">
        <f>AA188</f>
        <v>6425</v>
      </c>
      <c r="AC188" s="25">
        <f>INDEX('Inputs (2)'!$D$26:$AL$26,MATCH(AC$7,'Inputs (2)'!$D$2:$AL$2,0))</f>
        <v>6788</v>
      </c>
      <c r="AD188" s="25">
        <f>INDEX('Inputs (2)'!$D$26:$AL$26,MATCH(AD$7,'Inputs (2)'!$D$2:$AL$2,0))</f>
        <v>7216</v>
      </c>
      <c r="AE188" s="25">
        <f>INDEX('Inputs (2)'!$D$26:$AL$26,MATCH(AE$7,'Inputs (2)'!$D$2:$AL$2,0))</f>
        <v>11724</v>
      </c>
      <c r="AF188" s="25">
        <f>INDEX('Inputs (2)'!$D$26:$AL$26,MATCH(AF$7,'Inputs (2)'!$D$2:$AL$2,0))</f>
        <v>30552</v>
      </c>
      <c r="AG188" s="3">
        <f>AF188</f>
        <v>30552</v>
      </c>
      <c r="AH188" s="3">
        <f>INDEX('Inputs (2)'!$D$26:$AL$26,MATCH(AH$7,'Inputs (2)'!$D$2:$AL$2,0))</f>
        <v>56097</v>
      </c>
      <c r="AI188" s="3">
        <f>INDEX('Inputs (2)'!$D$26:$AL$26,MATCH(AI$7,'Inputs (2)'!$D$2:$AL$2,0))</f>
        <v>66903</v>
      </c>
      <c r="AJ188" s="3">
        <f>AI188</f>
        <v>66903</v>
      </c>
      <c r="AK188" s="3">
        <f>AJ188</f>
        <v>66903</v>
      </c>
      <c r="AL188" s="3">
        <f>AK188</f>
        <v>66903</v>
      </c>
      <c r="AM188" s="3">
        <f>AL188</f>
        <v>66903</v>
      </c>
      <c r="AN188" s="3">
        <f>AM188</f>
        <v>66903</v>
      </c>
      <c r="AO188" s="3">
        <f>AN188</f>
        <v>66903</v>
      </c>
      <c r="AP188" s="3">
        <f>AO188</f>
        <v>66903</v>
      </c>
      <c r="AQ188" s="3">
        <f>AP188</f>
        <v>66903</v>
      </c>
      <c r="AR188" s="3">
        <f>AQ188</f>
        <v>66903</v>
      </c>
      <c r="AS188" s="3">
        <f>AR188</f>
        <v>66903</v>
      </c>
      <c r="AT188" s="3">
        <f>AS188</f>
        <v>66903</v>
      </c>
      <c r="AU188" s="3">
        <f>AT188</f>
        <v>66903</v>
      </c>
      <c r="AV188" s="3">
        <f>AU188</f>
        <v>66903</v>
      </c>
      <c r="AW188" s="3">
        <f>AV188</f>
        <v>66903</v>
      </c>
      <c r="AX188" s="3">
        <f>AW188</f>
        <v>66903</v>
      </c>
      <c r="AY188" s="3">
        <f>AX188</f>
        <v>66903</v>
      </c>
      <c r="AZ188" s="3">
        <f>AY188</f>
        <v>66903</v>
      </c>
      <c r="BA188" s="3">
        <f>AZ188</f>
        <v>66903</v>
      </c>
      <c r="BB188" s="3">
        <f>BA188</f>
        <v>66903</v>
      </c>
      <c r="BC188" s="3">
        <f>BB188</f>
        <v>66903</v>
      </c>
      <c r="BD188" s="3">
        <f>BC188</f>
        <v>66903</v>
      </c>
      <c r="BE188" s="3">
        <f>BD188</f>
        <v>66903</v>
      </c>
      <c r="BF188" s="3">
        <f>BE188</f>
        <v>66903</v>
      </c>
      <c r="BG188" s="3">
        <f>BF188</f>
        <v>66903</v>
      </c>
      <c r="BH188" s="3">
        <f>BG188</f>
        <v>66903</v>
      </c>
      <c r="BI188" s="3">
        <f>BH188</f>
        <v>66903</v>
      </c>
      <c r="BJ188" s="3">
        <f>BI188</f>
        <v>66903</v>
      </c>
      <c r="BK188" s="3">
        <f>BJ188</f>
        <v>66903</v>
      </c>
      <c r="BL188" s="3">
        <f>BK188</f>
        <v>66903</v>
      </c>
      <c r="BM188" s="3">
        <f>BL188</f>
        <v>66903</v>
      </c>
      <c r="BN188" s="3">
        <f>BM188</f>
        <v>66903</v>
      </c>
      <c r="BO188" s="3">
        <f>BN188</f>
        <v>66903</v>
      </c>
      <c r="BP188" s="3">
        <f>BO188</f>
        <v>66903</v>
      </c>
      <c r="BQ188" s="3">
        <f>BP188</f>
        <v>66903</v>
      </c>
      <c r="BR188" s="3">
        <f>BQ188</f>
        <v>66903</v>
      </c>
      <c r="BS188" s="3">
        <f>BR188</f>
        <v>66903</v>
      </c>
      <c r="BT188" s="3">
        <f>BS188</f>
        <v>66903</v>
      </c>
      <c r="BU188" s="3">
        <f>BT188</f>
        <v>66903</v>
      </c>
      <c r="BV188" s="3">
        <f>BU188</f>
        <v>66903</v>
      </c>
      <c r="BW188" s="3">
        <f>BV188</f>
        <v>66903</v>
      </c>
      <c r="BX188" s="3">
        <f>BW188</f>
        <v>66903</v>
      </c>
      <c r="BY188" s="3">
        <f>BX188</f>
        <v>66903</v>
      </c>
      <c r="BZ188" s="3">
        <f>BY188</f>
        <v>66903</v>
      </c>
      <c r="CA188" s="3">
        <f>BZ188</f>
        <v>66903</v>
      </c>
      <c r="CB188" s="3">
        <f>CA188</f>
        <v>66903</v>
      </c>
      <c r="CC188" s="3">
        <f>CB188</f>
        <v>66903</v>
      </c>
      <c r="CD188" s="3">
        <f>CC188</f>
        <v>66903</v>
      </c>
      <c r="CE188" s="3">
        <f>CD188</f>
        <v>66903</v>
      </c>
      <c r="CF188" s="3">
        <f>CE188</f>
        <v>66903</v>
      </c>
      <c r="CG188" s="3">
        <f>CF188</f>
        <v>66903</v>
      </c>
      <c r="CH188" s="3">
        <f>CG188</f>
        <v>66903</v>
      </c>
      <c r="CI188" s="3">
        <f>CH188</f>
        <v>66903</v>
      </c>
      <c r="CJ188" s="3">
        <f>CI188</f>
        <v>66903</v>
      </c>
      <c r="CK188" s="3">
        <f>CJ188</f>
        <v>66903</v>
      </c>
      <c r="CL188" s="3">
        <f>CK188</f>
        <v>66903</v>
      </c>
      <c r="CM188" s="3">
        <f>CL188</f>
        <v>66903</v>
      </c>
      <c r="CN188" s="3">
        <f>CM188</f>
        <v>66903</v>
      </c>
      <c r="CO188" s="3">
        <f>CN188</f>
        <v>66903</v>
      </c>
      <c r="CP188" s="3">
        <f>CO188</f>
        <v>66903</v>
      </c>
      <c r="CQ188" s="3">
        <f>CP188</f>
        <v>66903</v>
      </c>
      <c r="CR188" s="3">
        <f>CQ188</f>
        <v>66903</v>
      </c>
      <c r="CS188" s="3">
        <f>CR188</f>
        <v>66903</v>
      </c>
      <c r="CT188" s="3">
        <f>CS188</f>
        <v>66903</v>
      </c>
      <c r="CU188" s="3">
        <f>CT188</f>
        <v>66903</v>
      </c>
      <c r="CV188" s="3">
        <f>CU188</f>
        <v>66903</v>
      </c>
      <c r="CW188" s="3">
        <f>CV188</f>
        <v>66903</v>
      </c>
      <c r="CX188" s="3">
        <f>CW188</f>
        <v>66903</v>
      </c>
      <c r="CY188" s="3">
        <f>CX188</f>
        <v>66903</v>
      </c>
    </row>
    <row r="189" hidden="1" outlineLevel="1">
      <c r="C189" s="38" t="inlineStr">
        <is>
          <t>%(Var.)</t>
        </is>
      </c>
      <c r="D189" s="3" t="n"/>
      <c r="E189" s="47">
        <f>(E188-D188)/D188</f>
        <v>0.319327731092437</v>
      </c>
      <c r="F189" s="47">
        <f>(F188-E188)/E188</f>
        <v>11.9171974522293</v>
      </c>
      <c r="G189" s="47">
        <f>(G188-F188)/F188</f>
        <v>0.0571992110453649</v>
      </c>
      <c r="H189" s="3" t="n"/>
      <c r="I189" s="47">
        <f>(I188-H188)/H188</f>
        <v>-0.0251865671641791</v>
      </c>
      <c r="J189" s="47">
        <f>(J188-I188)/I188</f>
        <v>-0.0191387559808612</v>
      </c>
      <c r="K189" s="47">
        <f>(K188-J188)/J188</f>
        <v>0.834634146341463</v>
      </c>
      <c r="L189" s="47">
        <f>(L188-K188)/K188</f>
        <v>0.0212709385801649</v>
      </c>
      <c r="M189" s="3" t="n"/>
      <c r="N189" s="47">
        <f>(N188-M188)/M188</f>
        <v>-0.0874772194740953</v>
      </c>
      <c r="O189" s="47">
        <f>(O188-N188)/N188</f>
        <v>-0.0470756062767475</v>
      </c>
      <c r="P189" s="47">
        <f>(P188-O188)/O188</f>
        <v>0.0718562874251497</v>
      </c>
      <c r="Q189" s="47">
        <f>(Q188-P188)/P188</f>
        <v>0.0670391061452514</v>
      </c>
      <c r="R189" s="3" t="n"/>
      <c r="S189" s="47">
        <f>(S188-R188)/R188</f>
        <v>0.100523560209424</v>
      </c>
      <c r="T189" s="47">
        <f>(T188-S188)/S188</f>
        <v>0.0706470028544244</v>
      </c>
      <c r="U189" s="47">
        <f>(U188-T188)/T188</f>
        <v>0.0368806931792935</v>
      </c>
      <c r="V189" s="47">
        <f>(V188-U188)/U188</f>
        <v>-0.0357831583458324</v>
      </c>
      <c r="W189" s="3" t="n"/>
      <c r="X189" s="47">
        <f>(X188-W188)/W188</f>
        <v>0.0151111111111111</v>
      </c>
      <c r="Y189" s="47">
        <f>(Y188-X188)/X188</f>
        <v>-0.124124343257443</v>
      </c>
      <c r="Z189" s="47">
        <f>(Z188-Y188)/Y188</f>
        <v>0.358910272431892</v>
      </c>
      <c r="AA189" s="47">
        <f>(AA188-Z188)/Z188</f>
        <v>0.181717859113482</v>
      </c>
      <c r="AB189" s="3" t="n"/>
      <c r="AC189" s="47">
        <f>(AC188-AB188)/AB188</f>
        <v>0.0564980544747082</v>
      </c>
      <c r="AD189" s="47">
        <f>(AD188-AC188)/AC188</f>
        <v>0.0630524454920448</v>
      </c>
      <c r="AE189" s="47">
        <f>(AE188-AD188)/AD188</f>
        <v>0.624722838137472</v>
      </c>
      <c r="AF189" s="218">
        <f>(AF188-AE188)/AE188</f>
        <v>1.60593654042989</v>
      </c>
      <c r="AG189" s="3" t="n"/>
      <c r="AH189" s="218">
        <f>(AH188-AG188)/AG188</f>
        <v>0.836115475255302</v>
      </c>
      <c r="AI189" s="218">
        <f>(AI188-AH188)/AH188</f>
        <v>0.192630621958394</v>
      </c>
      <c r="AJ189" s="218" t="n"/>
      <c r="AK189" s="218" t="n"/>
      <c r="AL189" s="3" t="n"/>
      <c r="AM189" s="218" t="n"/>
      <c r="AN189" s="218" t="n"/>
      <c r="AO189" s="218" t="n"/>
      <c r="AP189" s="218" t="n"/>
      <c r="AQ189" s="3" t="n"/>
      <c r="AR189" s="218" t="n"/>
      <c r="AS189" s="218" t="n"/>
      <c r="AT189" s="218" t="n"/>
      <c r="AU189" s="218" t="n"/>
      <c r="AV189" s="3" t="n"/>
      <c r="AW189" s="218" t="n"/>
      <c r="AX189" s="218" t="n"/>
      <c r="AY189" s="218" t="n"/>
      <c r="AZ189" s="218" t="n"/>
      <c r="BA189" s="3" t="n"/>
      <c r="BB189" s="218" t="n"/>
      <c r="BC189" s="218" t="n"/>
      <c r="BD189" s="218" t="n"/>
      <c r="BE189" s="218" t="n"/>
      <c r="BF189" s="3" t="n"/>
      <c r="BG189" s="218" t="n"/>
      <c r="BH189" s="218" t="n"/>
      <c r="BI189" s="218" t="n"/>
      <c r="BJ189" s="218" t="n"/>
      <c r="BK189" s="3" t="n"/>
      <c r="BL189" s="218" t="n"/>
      <c r="BM189" s="218" t="n"/>
      <c r="BN189" s="218" t="n"/>
      <c r="BO189" s="218" t="n"/>
      <c r="BP189" s="3" t="n"/>
      <c r="BQ189" s="218" t="n"/>
      <c r="BR189" s="218" t="n"/>
      <c r="BS189" s="218" t="n"/>
      <c r="BT189" s="218" t="n"/>
      <c r="BU189" s="3" t="n"/>
      <c r="BV189" s="218" t="n"/>
      <c r="BW189" s="218" t="n"/>
      <c r="BX189" s="218" t="n"/>
      <c r="BY189" s="218" t="n"/>
      <c r="BZ189" s="3" t="n"/>
      <c r="CA189" s="218" t="n"/>
      <c r="CB189" s="218" t="n"/>
      <c r="CC189" s="218" t="n"/>
      <c r="CD189" s="218" t="n"/>
      <c r="CE189" s="3" t="n"/>
      <c r="CF189" s="218" t="n"/>
      <c r="CG189" s="218" t="n"/>
      <c r="CH189" s="218" t="n"/>
      <c r="CI189" s="218" t="n"/>
      <c r="CJ189" s="3" t="n"/>
      <c r="CK189" s="218" t="n"/>
      <c r="CL189" s="218" t="n"/>
      <c r="CM189" s="218" t="n"/>
      <c r="CN189" s="218" t="n"/>
      <c r="CO189" s="3" t="n"/>
      <c r="CP189" s="218" t="n"/>
      <c r="CQ189" s="218" t="n"/>
      <c r="CR189" s="218" t="n"/>
      <c r="CS189" s="218" t="n"/>
      <c r="CT189" s="3" t="n"/>
      <c r="CU189" s="218" t="n"/>
      <c r="CV189" s="218" t="n"/>
      <c r="CW189" s="218" t="n"/>
      <c r="CX189" s="218" t="n"/>
      <c r="CY189" s="3" t="n"/>
    </row>
    <row r="190" hidden="1" outlineLevel="1">
      <c r="C190" s="34" t="n"/>
      <c r="D190" s="3" t="n"/>
      <c r="E190" s="47" t="n"/>
      <c r="F190" s="47" t="n"/>
      <c r="G190" s="47" t="n"/>
      <c r="H190" s="3" t="n"/>
      <c r="I190" s="47" t="n"/>
      <c r="J190" s="47" t="n"/>
      <c r="K190" s="47" t="n"/>
      <c r="L190" s="47" t="n"/>
      <c r="M190" s="3" t="n"/>
      <c r="N190" s="47" t="n"/>
      <c r="O190" s="47" t="n"/>
      <c r="P190" s="47" t="n"/>
      <c r="Q190" s="47" t="n"/>
      <c r="R190" s="3" t="n"/>
      <c r="S190" s="47" t="n"/>
      <c r="T190" s="47" t="n"/>
      <c r="U190" s="47" t="n"/>
      <c r="V190" s="47" t="n"/>
      <c r="W190" s="3" t="n"/>
      <c r="X190" s="47" t="n"/>
      <c r="Y190" s="47" t="n"/>
      <c r="Z190" s="47" t="n"/>
      <c r="AA190" s="47" t="n"/>
      <c r="AB190" s="3" t="n"/>
      <c r="AC190" s="47" t="n"/>
      <c r="AD190" s="47" t="n"/>
      <c r="AE190" s="47" t="n"/>
      <c r="AF190" s="218" t="n"/>
      <c r="AG190" s="3" t="n"/>
      <c r="AH190" s="218" t="n"/>
      <c r="AI190" s="218" t="n"/>
      <c r="AJ190" s="218" t="n"/>
      <c r="AK190" s="218" t="n"/>
      <c r="AL190" s="3" t="n"/>
      <c r="AM190" s="218" t="n"/>
      <c r="AN190" s="218" t="n"/>
      <c r="AO190" s="218" t="n"/>
      <c r="AP190" s="218" t="n"/>
      <c r="AQ190" s="3" t="n"/>
      <c r="AR190" s="218" t="n"/>
      <c r="AS190" s="218" t="n"/>
      <c r="AT190" s="218" t="n"/>
      <c r="AU190" s="218" t="n"/>
      <c r="AV190" s="3" t="n"/>
      <c r="AW190" s="218" t="n"/>
      <c r="AX190" s="218" t="n"/>
      <c r="AY190" s="218" t="n"/>
      <c r="AZ190" s="218" t="n"/>
      <c r="BA190" s="3" t="n"/>
      <c r="BB190" s="218" t="n"/>
      <c r="BC190" s="218" t="n"/>
      <c r="BD190" s="218" t="n"/>
      <c r="BE190" s="218" t="n"/>
      <c r="BF190" s="3" t="n"/>
      <c r="BG190" s="218" t="n"/>
      <c r="BH190" s="218" t="n"/>
      <c r="BI190" s="218" t="n"/>
      <c r="BJ190" s="218" t="n"/>
      <c r="BK190" s="3" t="n"/>
      <c r="BL190" s="218" t="n"/>
      <c r="BM190" s="218" t="n"/>
      <c r="BN190" s="218" t="n"/>
      <c r="BO190" s="218" t="n"/>
      <c r="BP190" s="3" t="n"/>
      <c r="BQ190" s="218" t="n"/>
      <c r="BR190" s="218" t="n"/>
      <c r="BS190" s="218" t="n"/>
      <c r="BT190" s="218" t="n"/>
      <c r="BU190" s="3" t="n"/>
      <c r="BV190" s="218" t="n"/>
      <c r="BW190" s="218" t="n"/>
      <c r="BX190" s="218" t="n"/>
      <c r="BY190" s="218" t="n"/>
      <c r="BZ190" s="3" t="n"/>
      <c r="CA190" s="218" t="n"/>
      <c r="CB190" s="218" t="n"/>
      <c r="CC190" s="218" t="n"/>
      <c r="CD190" s="218" t="n"/>
      <c r="CE190" s="3" t="n"/>
      <c r="CF190" s="218" t="n"/>
      <c r="CG190" s="218" t="n"/>
      <c r="CH190" s="218" t="n"/>
      <c r="CI190" s="218" t="n"/>
      <c r="CJ190" s="3" t="n"/>
      <c r="CK190" s="218" t="n"/>
      <c r="CL190" s="218" t="n"/>
      <c r="CM190" s="218" t="n"/>
      <c r="CN190" s="218" t="n"/>
      <c r="CO190" s="3" t="n"/>
      <c r="CP190" s="218" t="n"/>
      <c r="CQ190" s="218" t="n"/>
      <c r="CR190" s="218" t="n"/>
      <c r="CS190" s="218" t="n"/>
      <c r="CT190" s="3" t="n"/>
      <c r="CU190" s="218" t="n"/>
      <c r="CV190" s="218" t="n"/>
      <c r="CW190" s="218" t="n"/>
      <c r="CX190" s="218" t="n"/>
      <c r="CY190" s="3" t="n"/>
    </row>
    <row r="191" hidden="1" outlineLevel="1">
      <c r="C191" s="52" t="inlineStr">
        <is>
          <t>Outros Créditos - LP</t>
        </is>
      </c>
      <c r="D191" s="6" t="n"/>
      <c r="E191" s="6" t="n"/>
      <c r="F191" s="6" t="n"/>
      <c r="G191" s="6" t="n"/>
      <c r="H191" s="3" t="n"/>
      <c r="I191" s="6" t="n"/>
      <c r="J191" s="6" t="n"/>
      <c r="K191" s="6" t="n"/>
      <c r="L191" s="6" t="n"/>
      <c r="M191" s="3" t="n"/>
      <c r="N191" s="6" t="n"/>
      <c r="O191" s="6" t="n"/>
      <c r="P191" s="6" t="n"/>
      <c r="Q191" s="6" t="n"/>
      <c r="R191" s="3" t="n"/>
      <c r="S191" s="6" t="n"/>
      <c r="T191" s="6" t="n"/>
      <c r="U191" s="6" t="n"/>
      <c r="V191" s="6" t="n"/>
      <c r="W191" s="3" t="n"/>
      <c r="X191" s="6" t="n"/>
      <c r="Y191" s="6" t="n"/>
      <c r="Z191" s="6" t="n"/>
      <c r="AA191" s="6" t="n"/>
      <c r="AB191" s="3" t="n"/>
      <c r="AC191" s="6" t="n"/>
      <c r="AD191" s="6" t="n"/>
      <c r="AE191" s="6" t="n"/>
      <c r="AF191" s="6" t="n"/>
      <c r="AG191" s="3" t="n"/>
      <c r="AH191" s="3" t="n"/>
      <c r="AI191" s="3" t="n"/>
      <c r="AJ191" s="3" t="n"/>
      <c r="AK191" s="3" t="n"/>
      <c r="AL191" s="3" t="n"/>
      <c r="AM191" s="3" t="n"/>
      <c r="AN191" s="3" t="n"/>
      <c r="AO191" s="3" t="n"/>
      <c r="AP191" s="3" t="n"/>
      <c r="AQ191" s="3" t="n"/>
      <c r="AR191" s="3" t="n"/>
      <c r="AS191" s="3" t="n"/>
      <c r="AT191" s="3" t="n"/>
      <c r="AU191" s="3" t="n"/>
      <c r="AV191" s="3" t="n"/>
      <c r="AW191" s="3" t="n"/>
      <c r="AX191" s="3" t="n"/>
      <c r="AY191" s="3" t="n"/>
      <c r="AZ191" s="3" t="n"/>
      <c r="BA191" s="3" t="n"/>
      <c r="BB191" s="3" t="n"/>
      <c r="BC191" s="3" t="n"/>
      <c r="BD191" s="3" t="n"/>
      <c r="BE191" s="3" t="n"/>
      <c r="BF191" s="3" t="n"/>
      <c r="BG191" s="3" t="n"/>
      <c r="BH191" s="3" t="n"/>
      <c r="BI191" s="3" t="n"/>
      <c r="BJ191" s="3" t="n"/>
      <c r="BK191" s="3" t="n"/>
      <c r="BL191" s="3" t="n"/>
      <c r="BM191" s="3" t="n"/>
      <c r="BN191" s="3" t="n"/>
      <c r="BO191" s="3" t="n"/>
      <c r="BP191" s="3" t="n"/>
      <c r="BQ191" s="3" t="n"/>
      <c r="BR191" s="3" t="n"/>
      <c r="BS191" s="3" t="n"/>
      <c r="BT191" s="3" t="n"/>
      <c r="BU191" s="3" t="n"/>
      <c r="BV191" s="3" t="n"/>
      <c r="BW191" s="3" t="n"/>
      <c r="BX191" s="3" t="n"/>
      <c r="BY191" s="3" t="n"/>
      <c r="BZ191" s="3" t="n"/>
      <c r="CA191" s="3" t="n"/>
      <c r="CB191" s="3" t="n"/>
      <c r="CC191" s="3" t="n"/>
      <c r="CD191" s="3" t="n"/>
      <c r="CE191" s="3" t="n"/>
      <c r="CF191" s="3" t="n"/>
      <c r="CG191" s="3" t="n"/>
      <c r="CH191" s="3" t="n"/>
      <c r="CI191" s="3" t="n"/>
      <c r="CJ191" s="3" t="n"/>
      <c r="CK191" s="3" t="n"/>
      <c r="CL191" s="3" t="n"/>
      <c r="CM191" s="3" t="n"/>
      <c r="CN191" s="3" t="n"/>
      <c r="CO191" s="3" t="n"/>
      <c r="CP191" s="3" t="n"/>
      <c r="CQ191" s="3" t="n"/>
      <c r="CR191" s="3" t="n"/>
      <c r="CS191" s="3" t="n"/>
      <c r="CT191" s="3" t="n"/>
      <c r="CU191" s="3" t="n"/>
      <c r="CV191" s="3" t="n"/>
      <c r="CW191" s="3" t="n"/>
      <c r="CX191" s="3" t="n"/>
      <c r="CY191" s="3" t="n"/>
    </row>
    <row r="192" hidden="1" outlineLevel="1">
      <c r="C192" s="52" t="inlineStr">
        <is>
          <t xml:space="preserve">Impostos e Contribuições a Recuperar </t>
        </is>
      </c>
      <c r="D192" s="6" t="n"/>
      <c r="E192" s="6" t="n"/>
      <c r="F192" s="6" t="n"/>
      <c r="G192" s="6" t="n"/>
      <c r="H192" s="3" t="n"/>
      <c r="I192" s="6" t="n"/>
      <c r="J192" s="6" t="n"/>
      <c r="K192" s="6" t="n"/>
      <c r="L192" s="6" t="n"/>
      <c r="M192" s="3" t="n"/>
      <c r="N192" s="6" t="n"/>
      <c r="O192" s="6" t="n"/>
      <c r="P192" s="6" t="n"/>
      <c r="Q192" s="6" t="n"/>
      <c r="R192" s="3" t="n"/>
      <c r="S192" s="6" t="n"/>
      <c r="T192" s="6" t="n"/>
      <c r="U192" s="6" t="n"/>
      <c r="V192" s="6" t="n"/>
      <c r="W192" s="3" t="n"/>
      <c r="X192" s="6" t="n"/>
      <c r="Y192" s="6" t="n"/>
      <c r="Z192" s="6" t="n"/>
      <c r="AA192" s="6" t="n"/>
      <c r="AB192" s="3" t="n"/>
      <c r="AC192" s="6" t="n"/>
      <c r="AD192" s="6" t="n"/>
      <c r="AE192" s="6" t="n"/>
      <c r="AF192" s="6" t="n"/>
      <c r="AG192" s="3" t="n"/>
      <c r="AH192" s="3" t="n"/>
      <c r="AI192" s="3" t="n"/>
      <c r="AJ192" s="3" t="n"/>
      <c r="AK192" s="3" t="n"/>
      <c r="AL192" s="3" t="n"/>
      <c r="AM192" s="3" t="n"/>
      <c r="AN192" s="3" t="n"/>
      <c r="AO192" s="3" t="n"/>
      <c r="AP192" s="3" t="n"/>
      <c r="AQ192" s="3" t="n"/>
      <c r="AR192" s="3" t="n"/>
      <c r="AS192" s="3" t="n"/>
      <c r="AT192" s="3" t="n"/>
      <c r="AU192" s="3" t="n"/>
      <c r="AV192" s="3" t="n"/>
      <c r="AW192" s="3" t="n"/>
      <c r="AX192" s="3" t="n"/>
      <c r="AY192" s="3" t="n"/>
      <c r="AZ192" s="3" t="n"/>
      <c r="BA192" s="3" t="n"/>
      <c r="BB192" s="3" t="n"/>
      <c r="BC192" s="3" t="n"/>
      <c r="BD192" s="3" t="n"/>
      <c r="BE192" s="3" t="n"/>
      <c r="BF192" s="3" t="n"/>
      <c r="BG192" s="3" t="n"/>
      <c r="BH192" s="3" t="n"/>
      <c r="BI192" s="3" t="n"/>
      <c r="BJ192" s="3" t="n"/>
      <c r="BK192" s="3" t="n"/>
      <c r="BL192" s="3" t="n"/>
      <c r="BM192" s="3" t="n"/>
      <c r="BN192" s="3" t="n"/>
      <c r="BO192" s="3" t="n"/>
      <c r="BP192" s="3" t="n"/>
      <c r="BQ192" s="3" t="n"/>
      <c r="BR192" s="3" t="n"/>
      <c r="BS192" s="3" t="n"/>
      <c r="BT192" s="3" t="n"/>
      <c r="BU192" s="3" t="n"/>
      <c r="BV192" s="3" t="n"/>
      <c r="BW192" s="3" t="n"/>
      <c r="BX192" s="3" t="n"/>
      <c r="BY192" s="3" t="n"/>
      <c r="BZ192" s="3" t="n"/>
      <c r="CA192" s="3" t="n"/>
      <c r="CB192" s="3" t="n"/>
      <c r="CC192" s="3" t="n"/>
      <c r="CD192" s="3" t="n"/>
      <c r="CE192" s="3" t="n"/>
      <c r="CF192" s="3" t="n"/>
      <c r="CG192" s="3" t="n"/>
      <c r="CH192" s="3" t="n"/>
      <c r="CI192" s="3" t="n"/>
      <c r="CJ192" s="3" t="n"/>
      <c r="CK192" s="3" t="n"/>
      <c r="CL192" s="3" t="n"/>
      <c r="CM192" s="3" t="n"/>
      <c r="CN192" s="3" t="n"/>
      <c r="CO192" s="3" t="n"/>
      <c r="CP192" s="3" t="n"/>
      <c r="CQ192" s="3" t="n"/>
      <c r="CR192" s="3" t="n"/>
      <c r="CS192" s="3" t="n"/>
      <c r="CT192" s="3" t="n"/>
      <c r="CU192" s="3" t="n"/>
      <c r="CV192" s="3" t="n"/>
      <c r="CW192" s="3" t="n"/>
      <c r="CX192" s="3" t="n"/>
      <c r="CY192" s="3" t="n"/>
    </row>
    <row r="193" hidden="1" outlineLevel="1">
      <c r="C193" s="52" t="inlineStr">
        <is>
          <t xml:space="preserve">Imposto de Renda e Contribuição Social Diferidos </t>
        </is>
      </c>
      <c r="D193" s="6" t="n"/>
      <c r="E193" s="6" t="n"/>
      <c r="F193" s="6" t="n"/>
      <c r="G193" s="6" t="n"/>
      <c r="H193" s="3" t="n"/>
      <c r="I193" s="6" t="n"/>
      <c r="J193" s="6" t="n"/>
      <c r="K193" s="6" t="n"/>
      <c r="L193" s="6" t="n"/>
      <c r="M193" s="3" t="n"/>
      <c r="N193" s="6" t="n"/>
      <c r="O193" s="6" t="n"/>
      <c r="P193" s="6" t="n"/>
      <c r="Q193" s="6" t="n"/>
      <c r="R193" s="3" t="n"/>
      <c r="S193" s="6" t="n"/>
      <c r="T193" s="6" t="n"/>
      <c r="U193" s="6" t="n"/>
      <c r="V193" s="6" t="n"/>
      <c r="W193" s="3" t="n"/>
      <c r="X193" s="6" t="n"/>
      <c r="Y193" s="6" t="n"/>
      <c r="Z193" s="6" t="n"/>
      <c r="AA193" s="6" t="n"/>
      <c r="AB193" s="3" t="n"/>
      <c r="AC193" s="6" t="n"/>
      <c r="AD193" s="6" t="n"/>
      <c r="AE193" s="6" t="n"/>
      <c r="AF193" s="6" t="n"/>
      <c r="AG193" s="3" t="n"/>
      <c r="AH193" s="3" t="n"/>
      <c r="AI193" s="3" t="n"/>
      <c r="AJ193" s="3" t="n"/>
      <c r="AK193" s="3" t="n"/>
      <c r="AL193" s="3" t="n"/>
      <c r="AM193" s="3" t="n"/>
      <c r="AN193" s="3" t="n"/>
      <c r="AO193" s="3" t="n"/>
      <c r="AP193" s="3" t="n"/>
      <c r="AQ193" s="3" t="n"/>
      <c r="AR193" s="3" t="n"/>
      <c r="AS193" s="3" t="n"/>
      <c r="AT193" s="3" t="n"/>
      <c r="AU193" s="3" t="n"/>
      <c r="AV193" s="3" t="n"/>
      <c r="AW193" s="3" t="n"/>
      <c r="AX193" s="3" t="n"/>
      <c r="AY193" s="3" t="n"/>
      <c r="AZ193" s="3" t="n"/>
      <c r="BA193" s="3" t="n"/>
      <c r="BB193" s="3" t="n"/>
      <c r="BC193" s="3" t="n"/>
      <c r="BD193" s="3" t="n"/>
      <c r="BE193" s="3" t="n"/>
      <c r="BF193" s="3" t="n"/>
      <c r="BG193" s="3" t="n"/>
      <c r="BH193" s="3" t="n"/>
      <c r="BI193" s="3" t="n"/>
      <c r="BJ193" s="3" t="n"/>
      <c r="BK193" s="3" t="n"/>
      <c r="BL193" s="3" t="n"/>
      <c r="BM193" s="3" t="n"/>
      <c r="BN193" s="3" t="n"/>
      <c r="BO193" s="3" t="n"/>
      <c r="BP193" s="3" t="n"/>
      <c r="BQ193" s="3" t="n"/>
      <c r="BR193" s="3" t="n"/>
      <c r="BS193" s="3" t="n"/>
      <c r="BT193" s="3" t="n"/>
      <c r="BU193" s="3" t="n"/>
      <c r="BV193" s="3" t="n"/>
      <c r="BW193" s="3" t="n"/>
      <c r="BX193" s="3" t="n"/>
      <c r="BY193" s="3" t="n"/>
      <c r="BZ193" s="3" t="n"/>
      <c r="CA193" s="3" t="n"/>
      <c r="CB193" s="3" t="n"/>
      <c r="CC193" s="3" t="n"/>
      <c r="CD193" s="3" t="n"/>
      <c r="CE193" s="3" t="n"/>
      <c r="CF193" s="3" t="n"/>
      <c r="CG193" s="3" t="n"/>
      <c r="CH193" s="3" t="n"/>
      <c r="CI193" s="3" t="n"/>
      <c r="CJ193" s="3" t="n"/>
      <c r="CK193" s="3" t="n"/>
      <c r="CL193" s="3" t="n"/>
      <c r="CM193" s="3" t="n"/>
      <c r="CN193" s="3" t="n"/>
      <c r="CO193" s="3" t="n"/>
      <c r="CP193" s="3" t="n"/>
      <c r="CQ193" s="3" t="n"/>
      <c r="CR193" s="3" t="n"/>
      <c r="CS193" s="3" t="n"/>
      <c r="CT193" s="3" t="n"/>
      <c r="CU193" s="3" t="n"/>
      <c r="CV193" s="3" t="n"/>
      <c r="CW193" s="3" t="n"/>
      <c r="CX193" s="3" t="n"/>
      <c r="CY193" s="3" t="n"/>
    </row>
    <row r="194" hidden="1" outlineLevel="1">
      <c r="C194" s="52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  <c r="AC194" s="3" t="n"/>
      <c r="AD194" s="3" t="n"/>
      <c r="AE194" s="3" t="n"/>
      <c r="AF194" s="3" t="n"/>
      <c r="AG194" s="3" t="n"/>
      <c r="AH194" s="3" t="n"/>
      <c r="AI194" s="3" t="n"/>
      <c r="AJ194" s="3" t="n"/>
      <c r="AK194" s="3" t="n"/>
      <c r="AL194" s="3" t="n"/>
      <c r="AM194" s="3" t="n"/>
      <c r="AN194" s="3" t="n"/>
      <c r="AO194" s="3" t="n"/>
      <c r="AP194" s="3" t="n"/>
      <c r="AQ194" s="3" t="n"/>
      <c r="AR194" s="3" t="n"/>
      <c r="AS194" s="3" t="n"/>
      <c r="AT194" s="3" t="n"/>
      <c r="AU194" s="3" t="n"/>
      <c r="AV194" s="3" t="n"/>
      <c r="AW194" s="3" t="n"/>
      <c r="AX194" s="3" t="n"/>
      <c r="AY194" s="3" t="n"/>
      <c r="AZ194" s="3" t="n"/>
      <c r="BA194" s="3" t="n"/>
      <c r="BB194" s="3" t="n"/>
      <c r="BC194" s="3" t="n"/>
      <c r="BD194" s="3" t="n"/>
      <c r="BE194" s="3" t="n"/>
      <c r="BF194" s="3" t="n"/>
      <c r="BG194" s="3" t="n"/>
      <c r="BH194" s="3" t="n"/>
      <c r="BI194" s="3" t="n"/>
      <c r="BJ194" s="3" t="n"/>
      <c r="BK194" s="3" t="n"/>
      <c r="BL194" s="3" t="n"/>
      <c r="BM194" s="3" t="n"/>
      <c r="BN194" s="3" t="n"/>
      <c r="BO194" s="3" t="n"/>
      <c r="BP194" s="3" t="n"/>
      <c r="BQ194" s="3" t="n"/>
      <c r="BR194" s="3" t="n"/>
      <c r="BS194" s="3" t="n"/>
      <c r="BT194" s="3" t="n"/>
      <c r="BU194" s="3" t="n"/>
      <c r="BV194" s="3" t="n"/>
      <c r="BW194" s="3" t="n"/>
      <c r="BX194" s="3" t="n"/>
      <c r="BY194" s="3" t="n"/>
      <c r="BZ194" s="3" t="n"/>
      <c r="CA194" s="3" t="n"/>
      <c r="CB194" s="3" t="n"/>
      <c r="CC194" s="3" t="n"/>
      <c r="CD194" s="3" t="n"/>
      <c r="CE194" s="3" t="n"/>
      <c r="CF194" s="3" t="n"/>
      <c r="CG194" s="3" t="n"/>
      <c r="CH194" s="3" t="n"/>
      <c r="CI194" s="3" t="n"/>
      <c r="CJ194" s="3" t="n"/>
      <c r="CK194" s="3" t="n"/>
      <c r="CL194" s="3" t="n"/>
      <c r="CM194" s="3" t="n"/>
      <c r="CN194" s="3" t="n"/>
      <c r="CO194" s="3" t="n"/>
      <c r="CP194" s="3" t="n"/>
      <c r="CQ194" s="3" t="n"/>
      <c r="CR194" s="3" t="n"/>
      <c r="CS194" s="3" t="n"/>
      <c r="CT194" s="3" t="n"/>
      <c r="CU194" s="3" t="n"/>
      <c r="CV194" s="3" t="n"/>
      <c r="CW194" s="3" t="n"/>
      <c r="CX194" s="3" t="n"/>
      <c r="CY194" s="3" t="n"/>
    </row>
    <row r="195" hidden="1" outlineLevel="1">
      <c r="C195" s="34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  <c r="AD195" s="3" t="n"/>
      <c r="AE195" s="3" t="n"/>
      <c r="AF195" s="3" t="n"/>
      <c r="AG195" s="3" t="n"/>
      <c r="AH195" s="3" t="n"/>
      <c r="AI195" s="3" t="n"/>
      <c r="AJ195" s="3" t="n"/>
      <c r="AK195" s="3" t="n"/>
      <c r="AL195" s="3" t="n"/>
      <c r="AM195" s="3" t="n"/>
      <c r="AN195" s="3" t="n"/>
      <c r="AO195" s="3" t="n"/>
      <c r="AP195" s="3" t="n"/>
      <c r="AQ195" s="3" t="n"/>
      <c r="AR195" s="3" t="n"/>
      <c r="AS195" s="3" t="n"/>
      <c r="AT195" s="3" t="n"/>
      <c r="AU195" s="3" t="n"/>
      <c r="AV195" s="3" t="n"/>
      <c r="AW195" s="3" t="n"/>
      <c r="AX195" s="3" t="n"/>
      <c r="AY195" s="3" t="n"/>
      <c r="AZ195" s="3" t="n"/>
      <c r="BA195" s="3" t="n"/>
      <c r="BB195" s="3" t="n"/>
      <c r="BC195" s="3" t="n"/>
      <c r="BD195" s="3" t="n"/>
      <c r="BE195" s="3" t="n"/>
      <c r="BF195" s="3" t="n"/>
      <c r="BG195" s="3" t="n"/>
      <c r="BH195" s="3" t="n"/>
      <c r="BI195" s="3" t="n"/>
      <c r="BJ195" s="3" t="n"/>
      <c r="BK195" s="3" t="n"/>
      <c r="BL195" s="3" t="n"/>
      <c r="BM195" s="3" t="n"/>
      <c r="BN195" s="3" t="n"/>
      <c r="BO195" s="3" t="n"/>
      <c r="BP195" s="3" t="n"/>
      <c r="BQ195" s="3" t="n"/>
      <c r="BR195" s="3" t="n"/>
      <c r="BS195" s="3" t="n"/>
      <c r="BT195" s="3" t="n"/>
      <c r="BU195" s="3" t="n"/>
      <c r="BV195" s="3" t="n"/>
      <c r="BW195" s="3" t="n"/>
      <c r="BX195" s="3" t="n"/>
      <c r="BY195" s="3" t="n"/>
      <c r="BZ195" s="3" t="n"/>
      <c r="CA195" s="3" t="n"/>
      <c r="CB195" s="3" t="n"/>
      <c r="CC195" s="3" t="n"/>
      <c r="CD195" s="3" t="n"/>
      <c r="CE195" s="3" t="n"/>
      <c r="CF195" s="3" t="n"/>
      <c r="CG195" s="3" t="n"/>
      <c r="CH195" s="3" t="n"/>
      <c r="CI195" s="3" t="n"/>
      <c r="CJ195" s="3" t="n"/>
      <c r="CK195" s="3" t="n"/>
      <c r="CL195" s="3" t="n"/>
      <c r="CM195" s="3" t="n"/>
      <c r="CN195" s="3" t="n"/>
      <c r="CO195" s="3" t="n"/>
      <c r="CP195" s="3" t="n"/>
      <c r="CQ195" s="3" t="n"/>
      <c r="CR195" s="3" t="n"/>
      <c r="CS195" s="3" t="n"/>
      <c r="CT195" s="3" t="n"/>
      <c r="CU195" s="3" t="n"/>
      <c r="CV195" s="3" t="n"/>
      <c r="CW195" s="3" t="n"/>
      <c r="CX195" s="3" t="n"/>
      <c r="CY195" s="3" t="n"/>
    </row>
    <row r="196" collapsed="1" customFormat="1" s="17">
      <c r="A196" s="13" t="n"/>
      <c r="B196" s="1" t="n"/>
      <c r="C196" s="14" t="inlineStr">
        <is>
          <t>Total Assets</t>
        </is>
      </c>
      <c r="D196" s="16">
        <f>(D143+D144+D148+D152+D153+D154+D160+D165+D175+D178+D179+D188)</f>
        <v>23254</v>
      </c>
      <c r="E196" s="16">
        <f>(E143+E144+E148+E152+E153+E154+E160+E165+E175+E178+E179+E188)</f>
        <v>25180</v>
      </c>
      <c r="F196" s="16">
        <f>(F143+F144+F148+F152+F153+F154+F160+F165+F175+F178+F179+F188)</f>
        <v>26881</v>
      </c>
      <c r="G196" s="16">
        <f>(G143+G144+G148+G152+G153+G154+G160+G165+G175+G178+G179+G188)</f>
        <v>28791</v>
      </c>
      <c r="H196" s="16">
        <f>SUM(H143,H144,H148,H152,H153,H154,H160,H175,H178,H179,H188,H165)</f>
        <v>28791</v>
      </c>
      <c r="I196" s="16">
        <f>(I143+I144+I148+I152+I153+I154+I160+I165+I175+I178+I179+I188)</f>
        <v>30796</v>
      </c>
      <c r="J196" s="16">
        <f>(J143+J144+J148+J152+J153+J154+J160+J165+J175+J178+J179+J188)</f>
        <v>38650</v>
      </c>
      <c r="K196" s="16">
        <f>(K143+K144+K148+K152+K153+K154+K160+K165+K175+K178+K179+K188)</f>
        <v>40632</v>
      </c>
      <c r="L196" s="16">
        <f>(L143+L144+L148+L152+L153+L154+L160+L165+L175+L178+L179+L188)</f>
        <v>44187</v>
      </c>
      <c r="M196" s="16">
        <f>SUM(M143,M144,M148,M152,M153,M154,M160,M175,M178,M179,M188,M165)</f>
        <v>44187</v>
      </c>
      <c r="N196" s="16">
        <f>(N143+N144+N148+N152+N153+N154+N160+N165+N175+N178+N179+N188)</f>
        <v>45212</v>
      </c>
      <c r="O196" s="16">
        <f>(O143+O144+O148+O152+O153+O154+O160+O165+O175+O178+O179+O188)</f>
        <v>43476</v>
      </c>
      <c r="P196" s="16">
        <f>(P143+P144+P148+P152+P153+P154+P160+P165+P175+P178+P179+P188)</f>
        <v>40488</v>
      </c>
      <c r="Q196" s="16">
        <f>(Q143+Q144+Q148+Q152+Q153+Q154+Q160+Q165+Q175+Q178+Q179+Q188)</f>
        <v>41182</v>
      </c>
      <c r="R196" s="16">
        <f>SUM(R143,R144,R148,R152,R153,R154,R160,R175,R178,R179,R188,R165)</f>
        <v>41182</v>
      </c>
      <c r="S196" s="16">
        <f>(S143+S144+S148+S152+S153+S154+S160+S165+S175+S178+S179+S188)</f>
        <v>44460</v>
      </c>
      <c r="T196" s="16">
        <f>(T143+T144+T148+T152+T153+T154+T160+T165+T175+T178+T179+T188)</f>
        <v>49555</v>
      </c>
      <c r="U196" s="16">
        <f>(U143+U144+U148+U152+U153+U154+U160+U165+U175+U178+U179+U188)</f>
        <v>54148</v>
      </c>
      <c r="V196" s="16">
        <f>(V143+V144+V148+V152+V153+V154+V160+V165+V175+V178+V179+V188)</f>
        <v>65728</v>
      </c>
      <c r="W196" s="16">
        <f>SUM(W143,W144,W148,W152,W153,W154,W160,W175,W178,W179,W188,W165)</f>
        <v>65728</v>
      </c>
      <c r="X196" s="16">
        <f>(X143+X144+X148+X152+X153+X154+X160+X165+X175+X178+X179+X188)</f>
        <v>77072</v>
      </c>
      <c r="Y196" s="16">
        <f>(Y143+Y144+Y148+Y152+Y153+Y154+Y160+Y165+Y175+Y178+Y179+Y188)</f>
        <v>85227</v>
      </c>
      <c r="Z196" s="16">
        <f>(Z143+Z144+Z148+Z152+Z153+Z154+Z160+Z165+Z175+Z178+Z179+Z188)</f>
        <v>96013</v>
      </c>
      <c r="AA196" s="16">
        <f>(AA143+AA144+AA148+AA152+AA153+AA154+AA160+AA165+AA175+AA178+AA179+AA188)</f>
        <v>111601</v>
      </c>
      <c r="AB196" s="16">
        <f>SUM(AB143,AB144,AB148,AB152,AB153,AB154,AB160,AB175,AB178,AB179,AB188,AB165)</f>
        <v>111601</v>
      </c>
      <c r="AC196" s="16">
        <f>(AC143+AC144+AC148+AC152+AC153+AC154+AC160+AC165+AC175+AC178+AC179+AC188)</f>
        <v>125254</v>
      </c>
      <c r="AD196" s="16">
        <f>(AD143+AD144+AD148+AD152+AD153+AD154+AD160+AD165+AD175+AD178+AD179+AD188)</f>
        <v>140740</v>
      </c>
      <c r="AE196" s="16">
        <f>(AE143+AE144+AE148+AE152+AE153+AE154+AE160+AE165+AE175+AE178+AE179+AE188)</f>
        <v>161148</v>
      </c>
      <c r="AF196" s="16">
        <f>(AF143+AF144+AF148+AF152+AF153+AF154+AF160+AF165+AF175+AF178+AF179+AF188)</f>
        <v>206803</v>
      </c>
      <c r="AG196" s="16">
        <f>SUM(AG143,AG144,AG148,AG152,AG153,AG154,AG160,AG175,AG178,AG179,AG188,AG165)</f>
        <v>206803</v>
      </c>
      <c r="AH196" s="16">
        <f>(AH143+AH144+AH148+AH152+AH153+AH154+AH160+AH165+AH175+AH178+AH179+AH188)</f>
        <v>259474</v>
      </c>
      <c r="AI196" s="16">
        <f>(AI143+AI144+AI148+AI152+AI153+AI154+AI160+AI165+AI175+AI178+AI179+AI188)</f>
        <v>320272</v>
      </c>
      <c r="AJ196" s="16">
        <f>(AJ143+AJ144+AJ148+AJ152+AJ153+AJ154+AJ160+AJ165+AJ175+AJ178+AJ179+AJ188)</f>
        <v>294722</v>
      </c>
      <c r="AK196" s="16">
        <f>(AK143+AK144+AK148+AK152+AK153+AK154+AK160+AK165+AK175+AK178+AK179+AK188)</f>
        <v>302722</v>
      </c>
      <c r="AL196" s="16">
        <f>SUM(AL143,AL144,AL148,AL152,AL153,AL154,AL160,AL175,AL178,AL179,AL188,AL165)</f>
        <v>302722</v>
      </c>
      <c r="AM196" s="16" t="e">
        <f>(AM143+AM144+AM148+AM152+AM153+AM154+AM160+AM165+AM175+AM178+AM179+AM188)</f>
        <v>#DIV/0!</v>
      </c>
      <c r="AN196" s="16" t="e">
        <f>(AN143+AN144+AN148+AN152+AN153+AN154+AN160+AN165+AN175+AN178+AN179+AN188)</f>
        <v>#DIV/0!</v>
      </c>
      <c r="AO196" s="16" t="e">
        <f>(AO143+AO144+AO148+AO152+AO153+AO154+AO160+AO165+AO175+AO178+AO179+AO188)</f>
        <v>#DIV/0!</v>
      </c>
      <c r="AP196" s="16" t="e">
        <f>(AP143+AP144+AP148+AP152+AP153+AP154+AP160+AP165+AP175+AP178+AP179+AP188)</f>
        <v>#DIV/0!</v>
      </c>
      <c r="AQ196" s="16" t="e">
        <f>SUM(AQ143,AQ144,AQ148,AQ152,AQ153,AQ154,AQ160,AQ175,AQ178,AQ179,AQ188,AQ165)</f>
        <v>#DIV/0!</v>
      </c>
      <c r="AR196" s="16" t="e">
        <f>(AR143+AR144+AR148+AR152+AR153+AR154+AR160+AR165+AR175+AR178+AR179+AR188)</f>
        <v>#DIV/0!</v>
      </c>
      <c r="AS196" s="16" t="e">
        <f>(AS143+AS144+AS148+AS152+AS153+AS154+AS160+AS165+AS175+AS178+AS179+AS188)</f>
        <v>#DIV/0!</v>
      </c>
      <c r="AT196" s="16" t="e">
        <f>(AT143+AT144+AT148+AT152+AT153+AT154+AT160+AT165+AT175+AT178+AT179+AT188)</f>
        <v>#DIV/0!</v>
      </c>
      <c r="AU196" s="16" t="e">
        <f>(AU143+AU144+AU148+AU152+AU153+AU154+AU160+AU165+AU175+AU178+AU179+AU188)</f>
        <v>#DIV/0!</v>
      </c>
      <c r="AV196" s="16" t="e">
        <f>SUM(AV143,AV144,AV148,AV152,AV153,AV154,AV160,AV175,AV178,AV179,AV188,AV165)</f>
        <v>#DIV/0!</v>
      </c>
      <c r="AW196" s="16" t="e">
        <f>(AW143+AW144+AW148+AW152+AW153+AW154+AW160+AW165+AW175+AW178+AW179+AW188)</f>
        <v>#DIV/0!</v>
      </c>
      <c r="AX196" s="16" t="e">
        <f>(AX143+AX144+AX148+AX152+AX153+AX154+AX160+AX165+AX175+AX178+AX179+AX188)</f>
        <v>#DIV/0!</v>
      </c>
      <c r="AY196" s="16" t="e">
        <f>(AY143+AY144+AY148+AY152+AY153+AY154+AY160+AY165+AY175+AY178+AY179+AY188)</f>
        <v>#DIV/0!</v>
      </c>
      <c r="AZ196" s="16" t="e">
        <f>(AZ143+AZ144+AZ148+AZ152+AZ153+AZ154+AZ160+AZ165+AZ175+AZ178+AZ179+AZ188)</f>
        <v>#DIV/0!</v>
      </c>
      <c r="BA196" s="16" t="e">
        <f>SUM(BA143,BA144,BA148,BA152,BA153,BA154,BA160,BA175,BA178,BA179,BA188,BA165)</f>
        <v>#DIV/0!</v>
      </c>
      <c r="BB196" s="16" t="e">
        <f>(BB143+BB144+BB148+BB152+BB153+BB154+BB160+BB165+BB175+BB178+BB179+BB188)</f>
        <v>#DIV/0!</v>
      </c>
      <c r="BC196" s="16" t="e">
        <f>(BC143+BC144+BC148+BC152+BC153+BC154+BC160+BC165+BC175+BC178+BC179+BC188)</f>
        <v>#DIV/0!</v>
      </c>
      <c r="BD196" s="16" t="e">
        <f>(BD143+BD144+BD148+BD152+BD153+BD154+BD160+BD165+BD175+BD178+BD179+BD188)</f>
        <v>#DIV/0!</v>
      </c>
      <c r="BE196" s="16" t="e">
        <f>(BE143+BE144+BE148+BE152+BE153+BE154+BE160+BE165+BE175+BE178+BE179+BE188)</f>
        <v>#DIV/0!</v>
      </c>
      <c r="BF196" s="16" t="e">
        <f>SUM(BF143,BF144,BF148,BF152,BF153,BF154,BF160,BF175,BF178,BF179,BF188,BF165)</f>
        <v>#DIV/0!</v>
      </c>
      <c r="BG196" s="16" t="e">
        <f>(BG143+BG144+BG148+BG152+BG153+BG154+BG160+BG165+BG175+BG178+BG179+BG188)</f>
        <v>#DIV/0!</v>
      </c>
      <c r="BH196" s="16" t="e">
        <f>(BH143+BH144+BH148+BH152+BH153+BH154+BH160+BH165+BH175+BH178+BH179+BH188)</f>
        <v>#DIV/0!</v>
      </c>
      <c r="BI196" s="16" t="e">
        <f>(BI143+BI144+BI148+BI152+BI153+BI154+BI160+BI165+BI175+BI178+BI179+BI188)</f>
        <v>#DIV/0!</v>
      </c>
      <c r="BJ196" s="16" t="e">
        <f>(BJ143+BJ144+BJ148+BJ152+BJ153+BJ154+BJ160+BJ165+BJ175+BJ178+BJ179+BJ188)</f>
        <v>#DIV/0!</v>
      </c>
      <c r="BK196" s="16" t="e">
        <f>SUM(BK143,BK144,BK148,BK152,BK153,BK154,BK160,BK175,BK178,BK179,BK188,BK165)</f>
        <v>#DIV/0!</v>
      </c>
      <c r="BL196" s="16" t="e">
        <f>(BL143+BL144+BL148+BL152+BL153+BL154+BL160+BL165+BL175+BL178+BL179+BL188)</f>
        <v>#DIV/0!</v>
      </c>
      <c r="BM196" s="16" t="e">
        <f>(BM143+BM144+BM148+BM152+BM153+BM154+BM160+BM165+BM175+BM178+BM179+BM188)</f>
        <v>#DIV/0!</v>
      </c>
      <c r="BN196" s="16" t="e">
        <f>(BN143+BN144+BN148+BN152+BN153+BN154+BN160+BN165+BN175+BN178+BN179+BN188)</f>
        <v>#DIV/0!</v>
      </c>
      <c r="BO196" s="16" t="e">
        <f>(BO143+BO144+BO148+BO152+BO153+BO154+BO160+BO165+BO175+BO178+BO179+BO188)</f>
        <v>#DIV/0!</v>
      </c>
      <c r="BP196" s="16" t="e">
        <f>SUM(BP143,BP144,BP148,BP152,BP153,BP154,BP160,BP175,BP178,BP179,BP188,BP165)</f>
        <v>#DIV/0!</v>
      </c>
      <c r="BQ196" s="16" t="e">
        <f>(BQ143+BQ144+BQ148+BQ152+BQ153+BQ154+BQ160+BQ165+BQ175+BQ178+BQ179+BQ188)</f>
        <v>#DIV/0!</v>
      </c>
      <c r="BR196" s="16" t="e">
        <f>(BR143+BR144+BR148+BR152+BR153+BR154+BR160+BR165+BR175+BR178+BR179+BR188)</f>
        <v>#DIV/0!</v>
      </c>
      <c r="BS196" s="16" t="e">
        <f>(BS143+BS144+BS148+BS152+BS153+BS154+BS160+BS165+BS175+BS178+BS179+BS188)</f>
        <v>#DIV/0!</v>
      </c>
      <c r="BT196" s="16" t="e">
        <f>(BT143+BT144+BT148+BT152+BT153+BT154+BT160+BT165+BT175+BT178+BT179+BT188)</f>
        <v>#DIV/0!</v>
      </c>
      <c r="BU196" s="16" t="e">
        <f>SUM(BU143,BU144,BU148,BU152,BU153,BU154,BU160,BU175,BU178,BU179,BU188,BU165)</f>
        <v>#DIV/0!</v>
      </c>
      <c r="BV196" s="16" t="e">
        <f>(BV143+BV144+BV148+BV152+BV153+BV154+BV160+BV165+BV175+BV178+BV179+BV188)</f>
        <v>#DIV/0!</v>
      </c>
      <c r="BW196" s="16" t="e">
        <f>(BW143+BW144+BW148+BW152+BW153+BW154+BW160+BW165+BW175+BW178+BW179+BW188)</f>
        <v>#DIV/0!</v>
      </c>
      <c r="BX196" s="16" t="e">
        <f>(BX143+BX144+BX148+BX152+BX153+BX154+BX160+BX165+BX175+BX178+BX179+BX188)</f>
        <v>#DIV/0!</v>
      </c>
      <c r="BY196" s="16" t="e">
        <f>(BY143+BY144+BY148+BY152+BY153+BY154+BY160+BY165+BY175+BY178+BY179+BY188)</f>
        <v>#DIV/0!</v>
      </c>
      <c r="BZ196" s="16" t="e">
        <f>SUM(BZ143,BZ144,BZ148,BZ152,BZ153,BZ154,BZ160,BZ175,BZ178,BZ179,BZ188,BZ165)</f>
        <v>#DIV/0!</v>
      </c>
      <c r="CA196" s="16" t="e">
        <f>(CA143+CA144+CA148+CA152+CA153+CA154+CA160+CA165+CA175+CA178+CA179+CA188)</f>
        <v>#DIV/0!</v>
      </c>
      <c r="CB196" s="16" t="e">
        <f>(CB143+CB144+CB148+CB152+CB153+CB154+CB160+CB165+CB175+CB178+CB179+CB188)</f>
        <v>#DIV/0!</v>
      </c>
      <c r="CC196" s="16" t="e">
        <f>(CC143+CC144+CC148+CC152+CC153+CC154+CC160+CC165+CC175+CC178+CC179+CC188)</f>
        <v>#DIV/0!</v>
      </c>
      <c r="CD196" s="16" t="e">
        <f>(CD143+CD144+CD148+CD152+CD153+CD154+CD160+CD165+CD175+CD178+CD179+CD188)</f>
        <v>#DIV/0!</v>
      </c>
      <c r="CE196" s="16" t="e">
        <f>SUM(CE143,CE144,CE148,CE152,CE153,CE154,CE160,CE175,CE178,CE179,CE188,CE165)</f>
        <v>#DIV/0!</v>
      </c>
      <c r="CF196" s="16" t="e">
        <f>(CF143+CF144+CF148+CF152+CF153+CF154+CF160+CF165+CF175+CF178+CF179+CF188)</f>
        <v>#DIV/0!</v>
      </c>
      <c r="CG196" s="16" t="e">
        <f>(CG143+CG144+CG148+CG152+CG153+CG154+CG160+CG165+CG175+CG178+CG179+CG188)</f>
        <v>#DIV/0!</v>
      </c>
      <c r="CH196" s="16" t="e">
        <f>(CH143+CH144+CH148+CH152+CH153+CH154+CH160+CH165+CH175+CH178+CH179+CH188)</f>
        <v>#DIV/0!</v>
      </c>
      <c r="CI196" s="16" t="e">
        <f>(CI143+CI144+CI148+CI152+CI153+CI154+CI160+CI165+CI175+CI178+CI179+CI188)</f>
        <v>#DIV/0!</v>
      </c>
      <c r="CJ196" s="16" t="e">
        <f>SUM(CJ143,CJ144,CJ148,CJ152,CJ153,CJ154,CJ160,CJ175,CJ178,CJ179,CJ188,CJ165)</f>
        <v>#DIV/0!</v>
      </c>
      <c r="CK196" s="16" t="e">
        <f>(CK143+CK144+CK148+CK152+CK153+CK154+CK160+CK165+CK175+CK178+CK179+CK188)</f>
        <v>#DIV/0!</v>
      </c>
      <c r="CL196" s="16" t="e">
        <f>(CL143+CL144+CL148+CL152+CL153+CL154+CL160+CL165+CL175+CL178+CL179+CL188)</f>
        <v>#DIV/0!</v>
      </c>
      <c r="CM196" s="16" t="e">
        <f>(CM143+CM144+CM148+CM152+CM153+CM154+CM160+CM165+CM175+CM178+CM179+CM188)</f>
        <v>#DIV/0!</v>
      </c>
      <c r="CN196" s="16" t="e">
        <f>(CN143+CN144+CN148+CN152+CN153+CN154+CN160+CN165+CN175+CN178+CN179+CN188)</f>
        <v>#DIV/0!</v>
      </c>
      <c r="CO196" s="16" t="e">
        <f>SUM(CO143,CO144,CO148,CO152,CO153,CO154,CO160,CO175,CO178,CO179,CO188,CO165)</f>
        <v>#DIV/0!</v>
      </c>
      <c r="CP196" s="16" t="e">
        <f>(CP143+CP144+CP148+CP152+CP153+CP154+CP160+CP165+CP175+CP178+CP179+CP188)</f>
        <v>#DIV/0!</v>
      </c>
      <c r="CQ196" s="16" t="e">
        <f>(CQ143+CQ144+CQ148+CQ152+CQ153+CQ154+CQ160+CQ165+CQ175+CQ178+CQ179+CQ188)</f>
        <v>#DIV/0!</v>
      </c>
      <c r="CR196" s="16" t="e">
        <f>(CR143+CR144+CR148+CR152+CR153+CR154+CR160+CR165+CR175+CR178+CR179+CR188)</f>
        <v>#DIV/0!</v>
      </c>
      <c r="CS196" s="16" t="e">
        <f>(CS143+CS144+CS148+CS152+CS153+CS154+CS160+CS165+CS175+CS178+CS179+CS188)</f>
        <v>#DIV/0!</v>
      </c>
      <c r="CT196" s="16" t="e">
        <f>SUM(CT143,CT144,CT148,CT152,CT153,CT154,CT160,CT175,CT178,CT179,CT188,CT165)</f>
        <v>#DIV/0!</v>
      </c>
      <c r="CU196" s="16" t="e">
        <f>(CU143+CU144+CU148+CU152+CU153+CU154+CU160+CU165+CU175+CU178+CU179+CU188)</f>
        <v>#DIV/0!</v>
      </c>
      <c r="CV196" s="16" t="e">
        <f>(CV143+CV144+CV148+CV152+CV153+CV154+CV160+CV165+CV175+CV178+CV179+CV188)</f>
        <v>#DIV/0!</v>
      </c>
      <c r="CW196" s="16" t="e">
        <f>(CW143+CW144+CW148+CW152+CW153+CW154+CW160+CW165+CW175+CW178+CW179+CW188)</f>
        <v>#DIV/0!</v>
      </c>
      <c r="CX196" s="16" t="e">
        <f>(CX143+CX144+CX148+CX152+CX153+CX154+CX160+CX165+CX175+CX178+CX179+CX188)</f>
        <v>#DIV/0!</v>
      </c>
      <c r="CY196" s="16" t="e">
        <f>SUM(CY143,CY144,CY148,CY152,CY153,CY154,CY160,CY175,CY178,CY179,CY188,CY165)</f>
        <v>#DIV/0!</v>
      </c>
    </row>
    <row r="197">
      <c r="C197" s="26" t="inlineStr">
        <is>
          <t>Accounts payable</t>
        </is>
      </c>
      <c r="D197" s="25">
        <f>INDEX('Inputs (2)'!$D$28:$AL$28,MATCH(D$7,'Inputs (2)'!$D$2:$AL$2,0))</f>
        <v>761</v>
      </c>
      <c r="E197" s="25">
        <f>INDEX('Inputs (2)'!$D$28:$AL$28,MATCH(E$7,'Inputs (2)'!$D$2:$AL$2,0))</f>
        <v>893</v>
      </c>
      <c r="F197" s="25">
        <f>INDEX('Inputs (2)'!$D$28:$AL$28,MATCH(F$7,'Inputs (2)'!$D$2:$AL$2,0))</f>
        <v>1097</v>
      </c>
      <c r="G197" s="25">
        <f>INDEX('Inputs (2)'!$D$28:$AL$28,MATCH(G$7,'Inputs (2)'!$D$2:$AL$2,0))</f>
        <v>1201</v>
      </c>
      <c r="H197" s="3">
        <f>G197</f>
        <v>1201</v>
      </c>
      <c r="I197" s="25">
        <f>INDEX('Inputs (2)'!$D$28:$AL$28,MATCH(I$7,'Inputs (2)'!$D$2:$AL$2,0))</f>
        <v>1218</v>
      </c>
      <c r="J197" s="25">
        <f>INDEX('Inputs (2)'!$D$28:$AL$28,MATCH(J$7,'Inputs (2)'!$D$2:$AL$2,0))</f>
        <v>1474</v>
      </c>
      <c r="K197" s="25">
        <f>INDEX('Inputs (2)'!$D$28:$AL$28,MATCH(K$7,'Inputs (2)'!$D$2:$AL$2,0))</f>
        <v>1664</v>
      </c>
      <c r="L197" s="25">
        <f>INDEX('Inputs (2)'!$D$28:$AL$28,MATCH(L$7,'Inputs (2)'!$D$2:$AL$2,0))</f>
        <v>1783</v>
      </c>
      <c r="M197" s="3">
        <f>L197</f>
        <v>1783</v>
      </c>
      <c r="N197" s="25">
        <f>INDEX('Inputs (2)'!$D$28:$AL$28,MATCH(N$7,'Inputs (2)'!$D$2:$AL$2,0))</f>
        <v>1999</v>
      </c>
      <c r="O197" s="25">
        <f>INDEX('Inputs (2)'!$D$28:$AL$28,MATCH(O$7,'Inputs (2)'!$D$2:$AL$2,0))</f>
        <v>2421</v>
      </c>
      <c r="P197" s="25">
        <f>INDEX('Inputs (2)'!$D$28:$AL$28,MATCH(P$7,'Inputs (2)'!$D$2:$AL$2,0))</f>
        <v>1491</v>
      </c>
      <c r="Q197" s="25">
        <f>INDEX('Inputs (2)'!$D$28:$AL$28,MATCH(Q$7,'Inputs (2)'!$D$2:$AL$2,0))</f>
        <v>1193</v>
      </c>
      <c r="R197" s="3">
        <f>Q197</f>
        <v>1193</v>
      </c>
      <c r="S197" s="25">
        <f>INDEX('Inputs (2)'!$D$28:$AL$28,MATCH(S$7,'Inputs (2)'!$D$2:$AL$2,0))</f>
        <v>1141</v>
      </c>
      <c r="T197" s="25">
        <f>INDEX('Inputs (2)'!$D$28:$AL$28,MATCH(T$7,'Inputs (2)'!$D$2:$AL$2,0))</f>
        <v>1929</v>
      </c>
      <c r="U197" s="25">
        <f>INDEX('Inputs (2)'!$D$28:$AL$28,MATCH(U$7,'Inputs (2)'!$D$2:$AL$2,0))</f>
        <v>2380</v>
      </c>
      <c r="V197" s="25">
        <f>INDEX('Inputs (2)'!$D$28:$AL$28,MATCH(V$7,'Inputs (2)'!$D$2:$AL$2,0))</f>
        <v>2699</v>
      </c>
      <c r="W197" s="3">
        <f>V197</f>
        <v>2699</v>
      </c>
      <c r="X197" s="25">
        <f>INDEX('Inputs (2)'!$D$28:$AL$28,MATCH(X$7,'Inputs (2)'!$D$2:$AL$2,0))</f>
        <v>2715</v>
      </c>
      <c r="Y197" s="25">
        <f>INDEX('Inputs (2)'!$D$28:$AL$28,MATCH(Y$7,'Inputs (2)'!$D$2:$AL$2,0))</f>
        <v>3680</v>
      </c>
      <c r="Z197" s="25">
        <f>INDEX('Inputs (2)'!$D$28:$AL$28,MATCH(Z$7,'Inputs (2)'!$D$2:$AL$2,0))</f>
        <v>5353</v>
      </c>
      <c r="AA197" s="25">
        <f>INDEX('Inputs (2)'!$D$28:$AL$28,MATCH(AA$7,'Inputs (2)'!$D$2:$AL$2,0))</f>
        <v>6310</v>
      </c>
      <c r="AB197" s="3">
        <f>AA197</f>
        <v>6310</v>
      </c>
      <c r="AC197" s="25">
        <f>INDEX('Inputs (2)'!$D$28:$AL$28,MATCH(AC$7,'Inputs (2)'!$D$2:$AL$2,0))</f>
        <v>7331</v>
      </c>
      <c r="AD197" s="25">
        <f>INDEX('Inputs (2)'!$D$28:$AL$28,MATCH(AD$7,'Inputs (2)'!$D$2:$AL$2,0))</f>
        <v>9064</v>
      </c>
      <c r="AE197" s="25">
        <f>INDEX('Inputs (2)'!$D$28:$AL$28,MATCH(AE$7,'Inputs (2)'!$D$2:$AL$2,0))</f>
        <v>8624</v>
      </c>
      <c r="AF197" s="25">
        <f>INDEX('Inputs (2)'!$D$28:$AL$28,MATCH(AF$7,'Inputs (2)'!$D$2:$AL$2,0))</f>
        <v>9812</v>
      </c>
      <c r="AG197" s="3">
        <f>AF197</f>
        <v>9812</v>
      </c>
      <c r="AH197" s="3">
        <f>INDEX('Inputs (2)'!$D$28:$AL$28,MATCH(AH$7,'Inputs (2)'!$D$2:$AL$2,0))</f>
        <v>13097</v>
      </c>
      <c r="AI197" s="3">
        <f>INDEX('Inputs (2)'!$D$28:$AL$28,MATCH(AI$7,'Inputs (2)'!$D$2:$AL$2,0))</f>
        <v>15059</v>
      </c>
      <c r="AJ197" s="3">
        <f>(AJ198/(AJ$5-AI$5))*-AJ53</f>
        <v>0</v>
      </c>
      <c r="AK197" s="3">
        <f>(AK198/(AK$5-AJ$5))*-AK53</f>
        <v>0</v>
      </c>
      <c r="AL197" s="3">
        <f>AK197</f>
        <v>0</v>
      </c>
      <c r="AM197" s="3">
        <f>(AM198/(AM$5-AL$5))*-AM53</f>
        <v>0</v>
      </c>
      <c r="AN197" s="3">
        <f>(AN198/(AN$5-AM$5))*-AN53</f>
        <v>0</v>
      </c>
      <c r="AO197" s="3">
        <f>(AO198/(AO$5-AN$5))*-AO53</f>
        <v>0</v>
      </c>
      <c r="AP197" s="3">
        <f>(AP198/(AP$5-AO$5))*-AP53</f>
        <v>0</v>
      </c>
      <c r="AQ197" s="3">
        <f>AP197</f>
        <v>0</v>
      </c>
      <c r="AR197" s="3">
        <f>(AR198/(AR$5-AQ$5))*-AR53</f>
        <v>0</v>
      </c>
      <c r="AS197" s="3">
        <f>(AS198/(AS$5-AR$5))*-AS53</f>
        <v>0</v>
      </c>
      <c r="AT197" s="3">
        <f>(AT198/(AT$5-AS$5))*-AT53</f>
        <v>0</v>
      </c>
      <c r="AU197" s="3">
        <f>(AU198/(AU$5-AT$5))*-AU53</f>
        <v>0</v>
      </c>
      <c r="AV197" s="3">
        <f>AU197</f>
        <v>0</v>
      </c>
      <c r="AW197" s="3">
        <f>(AW198/(AW$5-AV$5))*-AW53</f>
        <v>0</v>
      </c>
      <c r="AX197" s="3">
        <f>(AX198/(AX$5-AW$5))*-AX53</f>
        <v>0</v>
      </c>
      <c r="AY197" s="3">
        <f>(AY198/(AY$5-AX$5))*-AY53</f>
        <v>0</v>
      </c>
      <c r="AZ197" s="3">
        <f>(AZ198/(AZ$5-AY$5))*-AZ53</f>
        <v>0</v>
      </c>
      <c r="BA197" s="3">
        <f>AZ197</f>
        <v>0</v>
      </c>
      <c r="BB197" s="3">
        <f>(BB198/(BB$5-BA$5))*-BB53</f>
        <v>0</v>
      </c>
      <c r="BC197" s="3">
        <f>(BC198/(BC$5-BB$5))*-BC53</f>
        <v>0</v>
      </c>
      <c r="BD197" s="3">
        <f>(BD198/(BD$5-BC$5))*-BD53</f>
        <v>0</v>
      </c>
      <c r="BE197" s="3">
        <f>(BE198/(BE$5-BD$5))*-BE53</f>
        <v>0</v>
      </c>
      <c r="BF197" s="3">
        <f>BE197</f>
        <v>0</v>
      </c>
      <c r="BG197" s="3">
        <f>(BG198/(BG$5-BF$5))*-BG53</f>
        <v>0</v>
      </c>
      <c r="BH197" s="3">
        <f>(BH198/(BH$5-BG$5))*-BH53</f>
        <v>0</v>
      </c>
      <c r="BI197" s="3">
        <f>(BI198/(BI$5-BH$5))*-BI53</f>
        <v>0</v>
      </c>
      <c r="BJ197" s="3">
        <f>(BJ198/(BJ$5-BI$5))*-BJ53</f>
        <v>0</v>
      </c>
      <c r="BK197" s="3">
        <f>BJ197</f>
        <v>0</v>
      </c>
      <c r="BL197" s="3">
        <f>(BL198/(BL$5-BK$5))*-BL53</f>
        <v>0</v>
      </c>
      <c r="BM197" s="3">
        <f>(BM198/(BM$5-BL$5))*-BM53</f>
        <v>0</v>
      </c>
      <c r="BN197" s="3">
        <f>(BN198/(BN$5-BM$5))*-BN53</f>
        <v>0</v>
      </c>
      <c r="BO197" s="3">
        <f>(BO198/(BO$5-BN$5))*-BO53</f>
        <v>0</v>
      </c>
      <c r="BP197" s="3">
        <f>BO197</f>
        <v>0</v>
      </c>
      <c r="BQ197" s="3">
        <f>(BQ198/(BQ$5-BP$5))*-BQ53</f>
        <v>0</v>
      </c>
      <c r="BR197" s="3">
        <f>(BR198/(BR$5-BQ$5))*-BR53</f>
        <v>0</v>
      </c>
      <c r="BS197" s="3">
        <f>(BS198/(BS$5-BR$5))*-BS53</f>
        <v>0</v>
      </c>
      <c r="BT197" s="3">
        <f>(BT198/(BT$5-BS$5))*-BT53</f>
        <v>0</v>
      </c>
      <c r="BU197" s="3">
        <f>BT197</f>
        <v>0</v>
      </c>
      <c r="BV197" s="3">
        <f>(BV198/(BV$5-BU$5))*-BV53</f>
        <v>0</v>
      </c>
      <c r="BW197" s="3">
        <f>(BW198/(BW$5-BV$5))*-BW53</f>
        <v>0</v>
      </c>
      <c r="BX197" s="3">
        <f>(BX198/(BX$5-BW$5))*-BX53</f>
        <v>0</v>
      </c>
      <c r="BY197" s="3">
        <f>(BY198/(BY$5-BX$5))*-BY53</f>
        <v>0</v>
      </c>
      <c r="BZ197" s="3">
        <f>BY197</f>
        <v>0</v>
      </c>
      <c r="CA197" s="3">
        <f>(CA198/(CA$5-BZ$5))*-CA53</f>
        <v>0</v>
      </c>
      <c r="CB197" s="3">
        <f>(CB198/(CB$5-CA$5))*-CB53</f>
        <v>0</v>
      </c>
      <c r="CC197" s="3">
        <f>(CC198/(CC$5-CB$5))*-CC53</f>
        <v>0</v>
      </c>
      <c r="CD197" s="3">
        <f>(CD198/(CD$5-CC$5))*-CD53</f>
        <v>0</v>
      </c>
      <c r="CE197" s="3">
        <f>CD197</f>
        <v>0</v>
      </c>
      <c r="CF197" s="3">
        <f>(CF198/(CF$5-CE$5))*-CF53</f>
        <v>0</v>
      </c>
      <c r="CG197" s="3">
        <f>(CG198/(CG$5-CF$5))*-CG53</f>
        <v>0</v>
      </c>
      <c r="CH197" s="3">
        <f>(CH198/(CH$5-CG$5))*-CH53</f>
        <v>0</v>
      </c>
      <c r="CI197" s="3">
        <f>(CI198/(CI$5-CH$5))*-CI53</f>
        <v>0</v>
      </c>
      <c r="CJ197" s="3">
        <f>CI197</f>
        <v>0</v>
      </c>
      <c r="CK197" s="3">
        <f>(CK198/(CK$5-CJ$5))*-CK53</f>
        <v>0</v>
      </c>
      <c r="CL197" s="3">
        <f>(CL198/(CL$5-CK$5))*-CL53</f>
        <v>0</v>
      </c>
      <c r="CM197" s="3">
        <f>(CM198/(CM$5-CL$5))*-CM53</f>
        <v>0</v>
      </c>
      <c r="CN197" s="3">
        <f>(CN198/(CN$5-CM$5))*-CN53</f>
        <v>0</v>
      </c>
      <c r="CO197" s="3">
        <f>CN197</f>
        <v>0</v>
      </c>
      <c r="CP197" s="3">
        <f>(CP198/(CP$5-CO$5))*-CP53</f>
        <v>0</v>
      </c>
      <c r="CQ197" s="3">
        <f>(CQ198/(CQ$5-CP$5))*-CQ53</f>
        <v>0</v>
      </c>
      <c r="CR197" s="3">
        <f>(CR198/(CR$5-CQ$5))*-CR53</f>
        <v>0</v>
      </c>
      <c r="CS197" s="3">
        <f>(CS198/(CS$5-CR$5))*-CS53</f>
        <v>0</v>
      </c>
      <c r="CT197" s="3">
        <f>CS197</f>
        <v>0</v>
      </c>
      <c r="CU197" s="3">
        <f>(CU198/(CU$5-CT$5))*-CU53</f>
        <v>0</v>
      </c>
      <c r="CV197" s="3">
        <f>(CV198/(CV$5-CU$5))*-CV53</f>
        <v>0</v>
      </c>
      <c r="CW197" s="3">
        <f>(CW198/(CW$5-CV$5))*-CW53</f>
        <v>0</v>
      </c>
      <c r="CX197" s="3">
        <f>(CX198/(CX$5-CW$5))*-CX53</f>
        <v>0</v>
      </c>
      <c r="CY197" s="3">
        <f>CX197</f>
        <v>0</v>
      </c>
    </row>
    <row r="198" hidden="1" outlineLevel="1">
      <c r="C198" s="34" t="inlineStr">
        <is>
          <t>DPO</t>
        </is>
      </c>
      <c r="D198" s="3" t="n"/>
      <c r="E198" s="3">
        <f>-(E197/E$53)*(E$5-D$5)</f>
        <v>51.0766813324953</v>
      </c>
      <c r="F198" s="3">
        <f>-(F197/F$53)*(F$5-E$5)</f>
        <v>57.1483578708947</v>
      </c>
      <c r="G198" s="3">
        <f>-(G197/G$53)*(G$5-F$5)</f>
        <v>59.8224147265836</v>
      </c>
      <c r="H198" s="3" t="n"/>
      <c r="I198" s="3">
        <f>-(I197/I$53)*(I$5-H$5)</f>
        <v>53.9468503937008</v>
      </c>
      <c r="J198" s="3">
        <f>-(J197/J$53)*(J$5-I$5)</f>
        <v>58.522687609075</v>
      </c>
      <c r="K198" s="3">
        <f>-(K197/K$53)*(K$5-J$5)</f>
        <v>61.9288025889968</v>
      </c>
      <c r="L198" s="3">
        <f>-(L197/L$53)*(L$5-K$5)</f>
        <v>62.0408472012103</v>
      </c>
      <c r="M198" s="3" t="n"/>
      <c r="N198" s="3">
        <f>-(N197/N$53)*(N$5-M$5)</f>
        <v>62.9716485824291</v>
      </c>
      <c r="O198" s="3">
        <f>-(O197/O$53)*(O$5-N$5)</f>
        <v>58.144893111639</v>
      </c>
      <c r="P198" s="3">
        <f>-(P197/P$53)*(P$5-O$5)</f>
        <v>49.8082788671024</v>
      </c>
      <c r="Q198" s="3">
        <f>-(Q197/Q$53)*(Q$5-P$5)</f>
        <v>49.4842200180343</v>
      </c>
      <c r="R198" s="3" t="n"/>
      <c r="S198" s="3">
        <f>-(S197/S$53)*(S$5-R$5)</f>
        <v>40.3655660377358</v>
      </c>
      <c r="T198" s="3">
        <f>-(T197/T$53)*(T$5-S$5)</f>
        <v>43.3965389369592</v>
      </c>
      <c r="U198" s="3">
        <f>-(U197/U$53)*(U$5-T$5)</f>
        <v>46.3898305084746</v>
      </c>
      <c r="V198" s="3">
        <f>-(V197/V$53)*(V$5-U$5)</f>
        <v>46.7447289156627</v>
      </c>
      <c r="W198" s="3" t="n"/>
      <c r="X198" s="3">
        <f>-(X197/X$53)*(X$5-W$5)</f>
        <v>43.8213905640298</v>
      </c>
      <c r="Y198" s="3">
        <f>-(Y197/Y$53)*(Y$5-X$5)</f>
        <v>44.8540048218591</v>
      </c>
      <c r="Z198" s="3">
        <f>-(Z197/Z$53)*(Z$5-Y$5)</f>
        <v>55.1732018821421</v>
      </c>
      <c r="AA198" s="3">
        <f>-(AA197/AA$53)*(AA$5-Z$5)</f>
        <v>54.7247360482655</v>
      </c>
      <c r="AB198" s="3" t="n"/>
      <c r="AC198" s="3">
        <f>-(AC197/AC$53)*(AC$5-AB$5)</f>
        <v>37.9320455329424</v>
      </c>
      <c r="AD198" s="3">
        <f>-(AD197/AD$53)*(AD$5-AC$5)</f>
        <v>63.9894491854151</v>
      </c>
      <c r="AE198" s="3">
        <f>-(AE197/AE$53)*(AE$5-AD$5)</f>
        <v>52.3459787556904</v>
      </c>
      <c r="AF198" s="6">
        <f>-(AF197/AF$53)*(AF$5-AE$5)</f>
        <v>52.9942468005166</v>
      </c>
      <c r="AG198" s="3" t="n"/>
      <c r="AH198" s="6">
        <f>-(AH197/AH$53)*(AH$5-AG$5)</f>
        <v>57.6170691172158</v>
      </c>
      <c r="AI198" s="6">
        <f>-(AI197/AI$53)*(AI$5-AH$5)</f>
        <v>56.9113750571037</v>
      </c>
      <c r="AJ198" s="6" t="n"/>
      <c r="AK198" s="6" t="n"/>
      <c r="AL198" s="3" t="n"/>
      <c r="AM198" s="6" t="n"/>
      <c r="AN198" s="6" t="n"/>
      <c r="AO198" s="6" t="n"/>
      <c r="AP198" s="6" t="n"/>
      <c r="AQ198" s="3" t="n"/>
      <c r="AR198" s="6" t="n"/>
      <c r="AS198" s="6" t="n"/>
      <c r="AT198" s="6" t="n"/>
      <c r="AU198" s="6" t="n"/>
      <c r="AV198" s="3" t="n"/>
      <c r="AW198" s="6" t="n"/>
      <c r="AX198" s="6" t="n"/>
      <c r="AY198" s="6" t="n"/>
      <c r="AZ198" s="6" t="n"/>
      <c r="BA198" s="3" t="n"/>
      <c r="BB198" s="6" t="n"/>
      <c r="BC198" s="6" t="n"/>
      <c r="BD198" s="6" t="n"/>
      <c r="BE198" s="6" t="n"/>
      <c r="BF198" s="3" t="n"/>
      <c r="BG198" s="6" t="n"/>
      <c r="BH198" s="6" t="n"/>
      <c r="BI198" s="6" t="n"/>
      <c r="BJ198" s="6" t="n"/>
      <c r="BK198" s="3" t="n"/>
      <c r="BL198" s="6" t="n"/>
      <c r="BM198" s="6" t="n"/>
      <c r="BN198" s="6" t="n"/>
      <c r="BO198" s="6" t="n"/>
      <c r="BP198" s="3" t="n"/>
      <c r="BQ198" s="6" t="n"/>
      <c r="BR198" s="6" t="n"/>
      <c r="BS198" s="6" t="n"/>
      <c r="BT198" s="6" t="n"/>
      <c r="BU198" s="3" t="n"/>
      <c r="BV198" s="6" t="n"/>
      <c r="BW198" s="6" t="n"/>
      <c r="BX198" s="6" t="n"/>
      <c r="BY198" s="6" t="n"/>
      <c r="BZ198" s="3" t="n"/>
      <c r="CA198" s="6" t="n"/>
      <c r="CB198" s="6" t="n"/>
      <c r="CC198" s="6" t="n"/>
      <c r="CD198" s="6" t="n"/>
      <c r="CE198" s="3" t="n"/>
      <c r="CF198" s="6" t="n"/>
      <c r="CG198" s="6" t="n"/>
      <c r="CH198" s="6" t="n"/>
      <c r="CI198" s="6" t="n"/>
      <c r="CJ198" s="3" t="n"/>
      <c r="CK198" s="6" t="n"/>
      <c r="CL198" s="6" t="n"/>
      <c r="CM198" s="6" t="n"/>
      <c r="CN198" s="6" t="n"/>
      <c r="CO198" s="3" t="n"/>
      <c r="CP198" s="6" t="n"/>
      <c r="CQ198" s="6" t="n"/>
      <c r="CR198" s="6" t="n"/>
      <c r="CS198" s="6" t="n"/>
      <c r="CT198" s="3" t="n"/>
      <c r="CU198" s="6" t="n"/>
      <c r="CV198" s="6" t="n"/>
      <c r="CW198" s="6" t="n"/>
      <c r="CX198" s="6" t="n"/>
      <c r="CY198" s="3" t="n"/>
    </row>
    <row r="199" hidden="1" outlineLevel="1">
      <c r="C199" s="34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  <c r="AB199" s="3" t="n"/>
      <c r="AC199" s="3" t="n"/>
      <c r="AD199" s="3" t="n"/>
      <c r="AE199" s="3" t="n"/>
      <c r="AF199" s="3" t="n"/>
      <c r="AG199" s="3" t="n"/>
      <c r="AH199" s="3" t="n"/>
      <c r="AI199" s="3" t="n"/>
      <c r="AJ199" s="3" t="n"/>
      <c r="AK199" s="3" t="n"/>
      <c r="AL199" s="3" t="n"/>
      <c r="AM199" s="3" t="n"/>
      <c r="AN199" s="3" t="n"/>
      <c r="AO199" s="3" t="n"/>
      <c r="AP199" s="3" t="n"/>
      <c r="AQ199" s="3" t="n"/>
      <c r="AR199" s="3" t="n"/>
      <c r="AS199" s="3" t="n"/>
      <c r="AT199" s="3" t="n"/>
      <c r="AU199" s="3" t="n"/>
      <c r="AV199" s="3" t="n"/>
      <c r="AW199" s="3" t="n"/>
      <c r="AX199" s="3" t="n"/>
      <c r="AY199" s="3" t="n"/>
      <c r="AZ199" s="3" t="n"/>
      <c r="BA199" s="3" t="n"/>
      <c r="BB199" s="3" t="n"/>
      <c r="BC199" s="3" t="n"/>
      <c r="BD199" s="3" t="n"/>
      <c r="BE199" s="3" t="n"/>
      <c r="BF199" s="3" t="n"/>
      <c r="BG199" s="3" t="n"/>
      <c r="BH199" s="3" t="n"/>
      <c r="BI199" s="3" t="n"/>
      <c r="BJ199" s="3" t="n"/>
      <c r="BK199" s="3" t="n"/>
      <c r="BL199" s="3" t="n"/>
      <c r="BM199" s="3" t="n"/>
      <c r="BN199" s="3" t="n"/>
      <c r="BO199" s="3" t="n"/>
      <c r="BP199" s="3" t="n"/>
      <c r="BQ199" s="3" t="n"/>
      <c r="BR199" s="3" t="n"/>
      <c r="BS199" s="3" t="n"/>
      <c r="BT199" s="3" t="n"/>
      <c r="BU199" s="3" t="n"/>
      <c r="BV199" s="3" t="n"/>
      <c r="BW199" s="3" t="n"/>
      <c r="BX199" s="3" t="n"/>
      <c r="BY199" s="3" t="n"/>
      <c r="BZ199" s="3" t="n"/>
      <c r="CA199" s="3" t="n"/>
      <c r="CB199" s="3" t="n"/>
      <c r="CC199" s="3" t="n"/>
      <c r="CD199" s="3" t="n"/>
      <c r="CE199" s="3" t="n"/>
      <c r="CF199" s="3" t="n"/>
      <c r="CG199" s="3" t="n"/>
      <c r="CH199" s="3" t="n"/>
      <c r="CI199" s="3" t="n"/>
      <c r="CJ199" s="3" t="n"/>
      <c r="CK199" s="3" t="n"/>
      <c r="CL199" s="3" t="n"/>
      <c r="CM199" s="3" t="n"/>
      <c r="CN199" s="3" t="n"/>
      <c r="CO199" s="3" t="n"/>
      <c r="CP199" s="3" t="n"/>
      <c r="CQ199" s="3" t="n"/>
      <c r="CR199" s="3" t="n"/>
      <c r="CS199" s="3" t="n"/>
      <c r="CT199" s="3" t="n"/>
      <c r="CU199" s="3" t="n"/>
      <c r="CV199" s="3" t="n"/>
      <c r="CW199" s="3" t="n"/>
      <c r="CX199" s="3" t="n"/>
      <c r="CY199" s="3" t="n"/>
    </row>
    <row r="200" hidden="1" outlineLevel="1">
      <c r="C200" s="34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  <c r="AD200" s="3" t="n"/>
      <c r="AE200" s="3" t="n"/>
      <c r="AF200" s="3" t="n"/>
      <c r="AG200" s="3" t="n"/>
      <c r="AH200" s="3" t="n"/>
      <c r="AI200" s="3" t="n"/>
      <c r="AJ200" s="3" t="n"/>
      <c r="AK200" s="3" t="n"/>
      <c r="AL200" s="3" t="n"/>
      <c r="AM200" s="3" t="n"/>
      <c r="AN200" s="3" t="n"/>
      <c r="AO200" s="3" t="n"/>
      <c r="AP200" s="3" t="n"/>
      <c r="AQ200" s="3" t="n"/>
      <c r="AR200" s="3" t="n"/>
      <c r="AS200" s="3" t="n"/>
      <c r="AT200" s="3" t="n"/>
      <c r="AU200" s="3" t="n"/>
      <c r="AV200" s="3" t="n"/>
      <c r="AW200" s="3" t="n"/>
      <c r="AX200" s="3" t="n"/>
      <c r="AY200" s="3" t="n"/>
      <c r="AZ200" s="3" t="n"/>
      <c r="BA200" s="3" t="n"/>
      <c r="BB200" s="3" t="n"/>
      <c r="BC200" s="3" t="n"/>
      <c r="BD200" s="3" t="n"/>
      <c r="BE200" s="3" t="n"/>
      <c r="BF200" s="3" t="n"/>
      <c r="BG200" s="3" t="n"/>
      <c r="BH200" s="3" t="n"/>
      <c r="BI200" s="3" t="n"/>
      <c r="BJ200" s="3" t="n"/>
      <c r="BK200" s="3" t="n"/>
      <c r="BL200" s="3" t="n"/>
      <c r="BM200" s="3" t="n"/>
      <c r="BN200" s="3" t="n"/>
      <c r="BO200" s="3" t="n"/>
      <c r="BP200" s="3" t="n"/>
      <c r="BQ200" s="3" t="n"/>
      <c r="BR200" s="3" t="n"/>
      <c r="BS200" s="3" t="n"/>
      <c r="BT200" s="3" t="n"/>
      <c r="BU200" s="3" t="n"/>
      <c r="BV200" s="3" t="n"/>
      <c r="BW200" s="3" t="n"/>
      <c r="BX200" s="3" t="n"/>
      <c r="BY200" s="3" t="n"/>
      <c r="BZ200" s="3" t="n"/>
      <c r="CA200" s="3" t="n"/>
      <c r="CB200" s="3" t="n"/>
      <c r="CC200" s="3" t="n"/>
      <c r="CD200" s="3" t="n"/>
      <c r="CE200" s="3" t="n"/>
      <c r="CF200" s="3" t="n"/>
      <c r="CG200" s="3" t="n"/>
      <c r="CH200" s="3" t="n"/>
      <c r="CI200" s="3" t="n"/>
      <c r="CJ200" s="3" t="n"/>
      <c r="CK200" s="3" t="n"/>
      <c r="CL200" s="3" t="n"/>
      <c r="CM200" s="3" t="n"/>
      <c r="CN200" s="3" t="n"/>
      <c r="CO200" s="3" t="n"/>
      <c r="CP200" s="3" t="n"/>
      <c r="CQ200" s="3" t="n"/>
      <c r="CR200" s="3" t="n"/>
      <c r="CS200" s="3" t="n"/>
      <c r="CT200" s="3" t="n"/>
      <c r="CU200" s="3" t="n"/>
      <c r="CV200" s="3" t="n"/>
      <c r="CW200" s="3" t="n"/>
      <c r="CX200" s="3" t="n"/>
      <c r="CY200" s="3" t="n"/>
    </row>
    <row r="201" collapsed="1">
      <c r="C201" s="26" t="inlineStr">
        <is>
          <t>Accrued expenses</t>
        </is>
      </c>
      <c r="D201" s="25">
        <f>INDEX('Inputs (2)'!$D$29:$AL$29,MATCH(D$7,'Inputs (2)'!$D$2:$AL$2,0))</f>
        <v>1142</v>
      </c>
      <c r="E201" s="25">
        <f>INDEX('Inputs (2)'!$D$29:$AL$29,MATCH(E$7,'Inputs (2)'!$D$2:$AL$2,0))</f>
        <v>1517</v>
      </c>
      <c r="F201" s="25">
        <f>INDEX('Inputs (2)'!$D$29:$AL$29,MATCH(F$7,'Inputs (2)'!$D$2:$AL$2,0))</f>
        <v>1574</v>
      </c>
      <c r="G201" s="25">
        <f>INDEX('Inputs (2)'!$D$29:$AL$29,MATCH(G$7,'Inputs (2)'!$D$2:$AL$2,0))</f>
        <v>1725</v>
      </c>
      <c r="H201" s="3">
        <f>G201</f>
        <v>1725</v>
      </c>
      <c r="I201" s="25">
        <f>INDEX('Inputs (2)'!$D$29:$AL$29,MATCH(I$7,'Inputs (2)'!$D$2:$AL$2,0))</f>
        <v>1787</v>
      </c>
      <c r="J201" s="25">
        <f>INDEX('Inputs (2)'!$D$29:$AL$29,MATCH(J$7,'Inputs (2)'!$D$2:$AL$2,0))</f>
        <v>1974</v>
      </c>
      <c r="K201" s="25">
        <f>INDEX('Inputs (2)'!$D$29:$AL$29,MATCH(K$7,'Inputs (2)'!$D$2:$AL$2,0))</f>
        <v>1948</v>
      </c>
      <c r="L201" s="25">
        <f>INDEX('Inputs (2)'!$D$29:$AL$29,MATCH(L$7,'Inputs (2)'!$D$2:$AL$2,0))</f>
        <v>2552</v>
      </c>
      <c r="M201" s="3">
        <f>L201</f>
        <v>2552</v>
      </c>
      <c r="N201" s="25">
        <f>INDEX('Inputs (2)'!$D$29:$AL$29,MATCH(N$7,'Inputs (2)'!$D$2:$AL$2,0))</f>
        <v>3563</v>
      </c>
      <c r="O201" s="25">
        <f>INDEX('Inputs (2)'!$D$29:$AL$29,MATCH(O$7,'Inputs (2)'!$D$2:$AL$2,0))</f>
        <v>3903</v>
      </c>
      <c r="P201" s="25">
        <f>INDEX('Inputs (2)'!$D$29:$AL$29,MATCH(P$7,'Inputs (2)'!$D$2:$AL$2,0))</f>
        <v>4115</v>
      </c>
      <c r="Q201" s="25">
        <f>INDEX('Inputs (2)'!$D$29:$AL$29,MATCH(Q$7,'Inputs (2)'!$D$2:$AL$2,0))</f>
        <v>4120</v>
      </c>
      <c r="R201" s="3">
        <f>Q201</f>
        <v>4120</v>
      </c>
      <c r="S201" s="25">
        <f>INDEX('Inputs (2)'!$D$29:$AL$29,MATCH(S$7,'Inputs (2)'!$D$2:$AL$2,0))</f>
        <v>4869</v>
      </c>
      <c r="T201" s="25">
        <f>INDEX('Inputs (2)'!$D$29:$AL$29,MATCH(T$7,'Inputs (2)'!$D$2:$AL$2,0))</f>
        <v>7156</v>
      </c>
      <c r="U201" s="25">
        <f>INDEX('Inputs (2)'!$D$29:$AL$29,MATCH(U$7,'Inputs (2)'!$D$2:$AL$2,0))</f>
        <v>5472</v>
      </c>
      <c r="V201" s="25">
        <f>INDEX('Inputs (2)'!$D$29:$AL$29,MATCH(V$7,'Inputs (2)'!$D$2:$AL$2,0))</f>
        <v>6682</v>
      </c>
      <c r="W201" s="3">
        <f>V201</f>
        <v>6682</v>
      </c>
      <c r="X201" s="25">
        <f>INDEX('Inputs (2)'!$D$29:$AL$29,MATCH(X$7,'Inputs (2)'!$D$2:$AL$2,0))</f>
        <v>11258</v>
      </c>
      <c r="Y201" s="25">
        <f>INDEX('Inputs (2)'!$D$29:$AL$29,MATCH(Y$7,'Inputs (2)'!$D$2:$AL$2,0))</f>
        <v>10289</v>
      </c>
      <c r="Z201" s="25">
        <f>INDEX('Inputs (2)'!$D$29:$AL$29,MATCH(Z$7,'Inputs (2)'!$D$2:$AL$2,0))</f>
        <v>11126</v>
      </c>
      <c r="AA201" s="25">
        <f>INDEX('Inputs (2)'!$D$29:$AL$29,MATCH(AA$7,'Inputs (2)'!$D$2:$AL$2,0))</f>
        <v>11737</v>
      </c>
      <c r="AB201" s="3">
        <f>AA201</f>
        <v>11737</v>
      </c>
      <c r="AC201" s="25">
        <f>INDEX('Inputs (2)'!$D$29:$AL$29,MATCH(AC$7,'Inputs (2)'!$D$2:$AL$2,0))</f>
        <v>19211</v>
      </c>
      <c r="AD201" s="25">
        <f>INDEX('Inputs (2)'!$D$29:$AL$29,MATCH(AD$7,'Inputs (2)'!$D$2:$AL$2,0))</f>
        <v>15193</v>
      </c>
      <c r="AE201" s="25">
        <f>INDEX('Inputs (2)'!$D$29:$AL$29,MATCH(AE$7,'Inputs (2)'!$D$2:$AL$2,0))</f>
        <v>16452</v>
      </c>
      <c r="AF201" s="25">
        <f>INDEX('Inputs (2)'!$D$29:$AL$29,MATCH(AF$7,'Inputs (2)'!$D$2:$AL$2,0))</f>
        <v>21352</v>
      </c>
      <c r="AG201" s="3">
        <f>AF201</f>
        <v>21352</v>
      </c>
      <c r="AH201" s="3">
        <f>INDEX('Inputs (2)'!$D$29:$AL$29,MATCH(AH$7,'Inputs (2)'!$D$2:$AL$2,0))</f>
        <v>29787</v>
      </c>
      <c r="AI201" s="3">
        <f>INDEX('Inputs (2)'!$D$29:$AL$29,MATCH(AI$7,'Inputs (2)'!$D$2:$AL$2,0))</f>
        <v>26960</v>
      </c>
      <c r="AJ201" s="3">
        <f>AH201*AJ57/AH57</f>
        <v>0</v>
      </c>
      <c r="AK201" s="3">
        <f>AI201*AK57/AI57</f>
        <v>0</v>
      </c>
      <c r="AL201" s="3">
        <f>AK201</f>
        <v>0</v>
      </c>
      <c r="AM201" s="3" t="e">
        <f>AK201*AM57/AK57</f>
        <v>#DIV/0!</v>
      </c>
      <c r="AN201" s="3">
        <f>AL201*AN57/AL57</f>
        <v>0</v>
      </c>
      <c r="AO201" s="3" t="e">
        <f>AM201*AO57/AM57</f>
        <v>#DIV/0!</v>
      </c>
      <c r="AP201" s="3" t="e">
        <f>AN201*AP57/AN57</f>
        <v>#DIV/0!</v>
      </c>
      <c r="AQ201" s="3" t="e">
        <f>AP201</f>
        <v>#DIV/0!</v>
      </c>
      <c r="AR201" s="3" t="e">
        <f>AP201*AR57/AP57</f>
        <v>#DIV/0!</v>
      </c>
      <c r="AS201" s="3" t="e">
        <f>AQ201*AS57/AQ57</f>
        <v>#DIV/0!</v>
      </c>
      <c r="AT201" s="3" t="e">
        <f>AR201*AT57/AR57</f>
        <v>#DIV/0!</v>
      </c>
      <c r="AU201" s="3" t="e">
        <f>AS201*AU57/AS57</f>
        <v>#DIV/0!</v>
      </c>
      <c r="AV201" s="3" t="e">
        <f>AU201</f>
        <v>#DIV/0!</v>
      </c>
      <c r="AW201" s="3" t="e">
        <f>AU201*AW57/AU57</f>
        <v>#DIV/0!</v>
      </c>
      <c r="AX201" s="3" t="e">
        <f>AV201*AX57/AV57</f>
        <v>#DIV/0!</v>
      </c>
      <c r="AY201" s="3" t="e">
        <f>AW201*AY57/AW57</f>
        <v>#DIV/0!</v>
      </c>
      <c r="AZ201" s="3" t="e">
        <f>AX201*AZ57/AX57</f>
        <v>#DIV/0!</v>
      </c>
      <c r="BA201" s="3" t="e">
        <f>AZ201</f>
        <v>#DIV/0!</v>
      </c>
      <c r="BB201" s="3" t="e">
        <f>AZ201*BB57/AZ57</f>
        <v>#DIV/0!</v>
      </c>
      <c r="BC201" s="3" t="e">
        <f>BA201*BC57/BA57</f>
        <v>#DIV/0!</v>
      </c>
      <c r="BD201" s="3" t="e">
        <f>BB201*BD57/BB57</f>
        <v>#DIV/0!</v>
      </c>
      <c r="BE201" s="3" t="e">
        <f>BC201*BE57/BC57</f>
        <v>#DIV/0!</v>
      </c>
      <c r="BF201" s="3" t="e">
        <f>BE201</f>
        <v>#DIV/0!</v>
      </c>
      <c r="BG201" s="3" t="e">
        <f>BE201*BG57/BE57</f>
        <v>#DIV/0!</v>
      </c>
      <c r="BH201" s="3" t="e">
        <f>BF201*BH57/BF57</f>
        <v>#DIV/0!</v>
      </c>
      <c r="BI201" s="3" t="e">
        <f>BG201*BI57/BG57</f>
        <v>#DIV/0!</v>
      </c>
      <c r="BJ201" s="3" t="e">
        <f>BH201*BJ57/BH57</f>
        <v>#DIV/0!</v>
      </c>
      <c r="BK201" s="3" t="e">
        <f>BJ201</f>
        <v>#DIV/0!</v>
      </c>
      <c r="BL201" s="3" t="e">
        <f>BJ201*BL57/BJ57</f>
        <v>#DIV/0!</v>
      </c>
      <c r="BM201" s="3" t="e">
        <f>BK201*BM57/BK57</f>
        <v>#DIV/0!</v>
      </c>
      <c r="BN201" s="3" t="e">
        <f>BL201*BN57/BL57</f>
        <v>#DIV/0!</v>
      </c>
      <c r="BO201" s="3" t="e">
        <f>BM201*BO57/BM57</f>
        <v>#DIV/0!</v>
      </c>
      <c r="BP201" s="3" t="e">
        <f>BO201</f>
        <v>#DIV/0!</v>
      </c>
      <c r="BQ201" s="3" t="e">
        <f>BO201*BQ57/BO57</f>
        <v>#DIV/0!</v>
      </c>
      <c r="BR201" s="3" t="e">
        <f>BP201*BR57/BP57</f>
        <v>#DIV/0!</v>
      </c>
      <c r="BS201" s="3" t="e">
        <f>BQ201*BS57/BQ57</f>
        <v>#DIV/0!</v>
      </c>
      <c r="BT201" s="3" t="e">
        <f>BR201*BT57/BR57</f>
        <v>#DIV/0!</v>
      </c>
      <c r="BU201" s="3" t="e">
        <f>BT201</f>
        <v>#DIV/0!</v>
      </c>
      <c r="BV201" s="3" t="e">
        <f>BT201*BV57/BT57</f>
        <v>#DIV/0!</v>
      </c>
      <c r="BW201" s="3" t="e">
        <f>BU201*BW57/BU57</f>
        <v>#DIV/0!</v>
      </c>
      <c r="BX201" s="3" t="e">
        <f>BV201*BX57/BV57</f>
        <v>#DIV/0!</v>
      </c>
      <c r="BY201" s="3" t="e">
        <f>BW201*BY57/BW57</f>
        <v>#DIV/0!</v>
      </c>
      <c r="BZ201" s="3" t="e">
        <f>BY201</f>
        <v>#DIV/0!</v>
      </c>
      <c r="CA201" s="3" t="e">
        <f>BY201*CA57/BY57</f>
        <v>#DIV/0!</v>
      </c>
      <c r="CB201" s="3" t="e">
        <f>BZ201*CB57/BZ57</f>
        <v>#DIV/0!</v>
      </c>
      <c r="CC201" s="3" t="e">
        <f>CA201*CC57/CA57</f>
        <v>#DIV/0!</v>
      </c>
      <c r="CD201" s="3" t="e">
        <f>CB201*CD57/CB57</f>
        <v>#DIV/0!</v>
      </c>
      <c r="CE201" s="3" t="e">
        <f>CD201</f>
        <v>#DIV/0!</v>
      </c>
      <c r="CF201" s="3" t="e">
        <f>CD201*CF57/CD57</f>
        <v>#DIV/0!</v>
      </c>
      <c r="CG201" s="3" t="e">
        <f>CE201*CG57/CE57</f>
        <v>#DIV/0!</v>
      </c>
      <c r="CH201" s="3" t="e">
        <f>CF201*CH57/CF57</f>
        <v>#DIV/0!</v>
      </c>
      <c r="CI201" s="3" t="e">
        <f>CG201*CI57/CG57</f>
        <v>#DIV/0!</v>
      </c>
      <c r="CJ201" s="3" t="e">
        <f>CI201</f>
        <v>#DIV/0!</v>
      </c>
      <c r="CK201" s="3" t="e">
        <f>CI201*CK57/CI57</f>
        <v>#DIV/0!</v>
      </c>
      <c r="CL201" s="3" t="e">
        <f>CJ201*CL57/CJ57</f>
        <v>#DIV/0!</v>
      </c>
      <c r="CM201" s="3" t="e">
        <f>CK201*CM57/CK57</f>
        <v>#DIV/0!</v>
      </c>
      <c r="CN201" s="3" t="e">
        <f>CL201*CN57/CL57</f>
        <v>#DIV/0!</v>
      </c>
      <c r="CO201" s="3" t="e">
        <f>CN201</f>
        <v>#DIV/0!</v>
      </c>
      <c r="CP201" s="3" t="e">
        <f>CN201*CP57/CN57</f>
        <v>#DIV/0!</v>
      </c>
      <c r="CQ201" s="3" t="e">
        <f>CO201*CQ57/CO57</f>
        <v>#DIV/0!</v>
      </c>
      <c r="CR201" s="3" t="e">
        <f>CP201*CR57/CP57</f>
        <v>#DIV/0!</v>
      </c>
      <c r="CS201" s="3" t="e">
        <f>CQ201*CS57/CQ57</f>
        <v>#DIV/0!</v>
      </c>
      <c r="CT201" s="3" t="e">
        <f>CS201</f>
        <v>#DIV/0!</v>
      </c>
      <c r="CU201" s="3" t="e">
        <f>CS201*CU57/CS57</f>
        <v>#DIV/0!</v>
      </c>
      <c r="CV201" s="3" t="e">
        <f>CT201*CV57/CT57</f>
        <v>#DIV/0!</v>
      </c>
      <c r="CW201" s="3" t="e">
        <f>CU201*CW57/CU57</f>
        <v>#DIV/0!</v>
      </c>
      <c r="CX201" s="3" t="e">
        <f>CV201*CX57/CV57</f>
        <v>#DIV/0!</v>
      </c>
      <c r="CY201" s="3" t="e">
        <f>CX201</f>
        <v>#DIV/0!</v>
      </c>
    </row>
    <row r="202" hidden="1" outlineLevel="1">
      <c r="C202" s="38" t="inlineStr">
        <is>
          <t>%(Var.)</t>
        </is>
      </c>
      <c r="D202" s="3" t="n"/>
      <c r="E202" s="47">
        <f>(E201-D201)/D201</f>
        <v>0.328371278458844</v>
      </c>
      <c r="F202" s="47">
        <f>(F201-E201)/E201</f>
        <v>0.037574159525379</v>
      </c>
      <c r="G202" s="47">
        <f>(G201-F201)/F201</f>
        <v>0.0959339263024142</v>
      </c>
      <c r="H202" s="3" t="n"/>
      <c r="I202" s="47">
        <f>(I201-H201)/H201</f>
        <v>0.0359420289855072</v>
      </c>
      <c r="J202" s="47">
        <f>(J201-I201)/I201</f>
        <v>0.10464465584779</v>
      </c>
      <c r="K202" s="47">
        <f>(K201-J201)/J201</f>
        <v>-0.0131712259371834</v>
      </c>
      <c r="L202" s="47">
        <f>(L201-K201)/K201</f>
        <v>0.31006160164271</v>
      </c>
      <c r="M202" s="3" t="n"/>
      <c r="N202" s="47">
        <f>(N201-M201)/M201</f>
        <v>0.396159874608151</v>
      </c>
      <c r="O202" s="47">
        <f>(O201-N201)/N201</f>
        <v>0.0954252034802133</v>
      </c>
      <c r="P202" s="47">
        <f>(P201-O201)/O201</f>
        <v>0.0543171919036638</v>
      </c>
      <c r="Q202" s="47">
        <f>(Q201-P201)/P201</f>
        <v>0.00121506682867558</v>
      </c>
      <c r="R202" s="3" t="n"/>
      <c r="S202" s="47">
        <f>(S201-R201)/R201</f>
        <v>0.181796116504854</v>
      </c>
      <c r="T202" s="47">
        <f>(T201-S201)/S201</f>
        <v>0.469706305196139</v>
      </c>
      <c r="U202" s="47">
        <f>(U201-T201)/T201</f>
        <v>-0.235326998323086</v>
      </c>
      <c r="V202" s="47">
        <f>(V201-U201)/U201</f>
        <v>0.221125730994152</v>
      </c>
      <c r="W202" s="3" t="n"/>
      <c r="X202" s="47">
        <f>(X201-W201)/W201</f>
        <v>0.684824902723735</v>
      </c>
      <c r="Y202" s="47">
        <f>(Y201-X201)/X201</f>
        <v>-0.0860721264878309</v>
      </c>
      <c r="Z202" s="47">
        <f>(Z201-Y201)/Y201</f>
        <v>0.0813490135095733</v>
      </c>
      <c r="AA202" s="47">
        <f>(AA201-Z201)/Z201</f>
        <v>0.0549164120079094</v>
      </c>
      <c r="AB202" s="3" t="n"/>
      <c r="AC202" s="47">
        <f>(AC201-AB201)/AB201</f>
        <v>0.636789639601261</v>
      </c>
      <c r="AD202" s="47">
        <f>(AD201-AC201)/AC201</f>
        <v>-0.209151007235438</v>
      </c>
      <c r="AE202" s="47">
        <f>(AE201-AD201)/AD201</f>
        <v>0.0828671098532219</v>
      </c>
      <c r="AF202" s="218">
        <f>(AF201-AE201)/AE201</f>
        <v>0.297836129345976</v>
      </c>
      <c r="AG202" s="3" t="n"/>
      <c r="AH202" s="218">
        <f>(AH201-AG201)/AG201</f>
        <v>0.395044960659423</v>
      </c>
      <c r="AI202" s="218">
        <f>(AI201-AH201)/AH201</f>
        <v>-0.094907174270655</v>
      </c>
      <c r="AJ202" s="218" t="n"/>
      <c r="AK202" s="218" t="n"/>
      <c r="AL202" s="3" t="n"/>
      <c r="AM202" s="218" t="n"/>
      <c r="AN202" s="218" t="n"/>
      <c r="AO202" s="218" t="n"/>
      <c r="AP202" s="218" t="n"/>
      <c r="AQ202" s="3" t="n"/>
      <c r="AR202" s="218" t="n"/>
      <c r="AS202" s="218" t="n"/>
      <c r="AT202" s="218" t="n"/>
      <c r="AU202" s="218" t="n"/>
      <c r="AV202" s="3" t="n"/>
      <c r="AW202" s="218" t="n"/>
      <c r="AX202" s="218" t="n"/>
      <c r="AY202" s="218" t="n"/>
      <c r="AZ202" s="218" t="n"/>
      <c r="BA202" s="3" t="n"/>
      <c r="BB202" s="218" t="n"/>
      <c r="BC202" s="218" t="n"/>
      <c r="BD202" s="218" t="n"/>
      <c r="BE202" s="218" t="n"/>
      <c r="BF202" s="3" t="n"/>
      <c r="BG202" s="218" t="n"/>
      <c r="BH202" s="218" t="n"/>
      <c r="BI202" s="218" t="n"/>
      <c r="BJ202" s="218" t="n"/>
      <c r="BK202" s="3" t="n"/>
      <c r="BL202" s="218" t="n"/>
      <c r="BM202" s="218" t="n"/>
      <c r="BN202" s="218" t="n"/>
      <c r="BO202" s="218" t="n"/>
      <c r="BP202" s="3" t="n"/>
      <c r="BQ202" s="218" t="n"/>
      <c r="BR202" s="218" t="n"/>
      <c r="BS202" s="218" t="n"/>
      <c r="BT202" s="218" t="n"/>
      <c r="BU202" s="3" t="n"/>
      <c r="BV202" s="218" t="n"/>
      <c r="BW202" s="218" t="n"/>
      <c r="BX202" s="218" t="n"/>
      <c r="BY202" s="218" t="n"/>
      <c r="BZ202" s="3" t="n"/>
      <c r="CA202" s="218" t="n"/>
      <c r="CB202" s="218" t="n"/>
      <c r="CC202" s="218" t="n"/>
      <c r="CD202" s="218" t="n"/>
      <c r="CE202" s="3" t="n"/>
      <c r="CF202" s="218" t="n"/>
      <c r="CG202" s="218" t="n"/>
      <c r="CH202" s="218" t="n"/>
      <c r="CI202" s="218" t="n"/>
      <c r="CJ202" s="3" t="n"/>
      <c r="CK202" s="218" t="n"/>
      <c r="CL202" s="218" t="n"/>
      <c r="CM202" s="218" t="n"/>
      <c r="CN202" s="218" t="n"/>
      <c r="CO202" s="3" t="n"/>
      <c r="CP202" s="218" t="n"/>
      <c r="CQ202" s="218" t="n"/>
      <c r="CR202" s="218" t="n"/>
      <c r="CS202" s="218" t="n"/>
      <c r="CT202" s="3" t="n"/>
      <c r="CU202" s="218" t="n"/>
      <c r="CV202" s="218" t="n"/>
      <c r="CW202" s="218" t="n"/>
      <c r="CX202" s="218" t="n"/>
      <c r="CY202" s="3" t="n"/>
    </row>
    <row r="203" collapsed="1">
      <c r="C203" s="26" t="inlineStr">
        <is>
          <t>Taxes payable</t>
        </is>
      </c>
      <c r="D203" s="25" t="n"/>
      <c r="E203" s="25" t="n"/>
      <c r="F203" s="25" t="n"/>
      <c r="G203" s="25" t="n"/>
      <c r="H203" s="3">
        <f>G203</f>
        <v>0</v>
      </c>
      <c r="I203" s="25" t="n"/>
      <c r="J203" s="25" t="n"/>
      <c r="K203" s="25" t="n"/>
      <c r="L203" s="25" t="n"/>
      <c r="M203" s="3">
        <f>L203</f>
        <v>0</v>
      </c>
      <c r="N203" s="25" t="n"/>
      <c r="O203" s="25" t="n"/>
      <c r="P203" s="25" t="n"/>
      <c r="Q203" s="25" t="n"/>
      <c r="R203" s="3">
        <f>Q203</f>
        <v>0</v>
      </c>
      <c r="S203" s="25" t="n"/>
      <c r="T203" s="25" t="n"/>
      <c r="U203" s="25" t="n"/>
      <c r="V203" s="25" t="n"/>
      <c r="W203" s="3">
        <f>V203</f>
        <v>0</v>
      </c>
      <c r="X203" s="25" t="n"/>
      <c r="Y203" s="25" t="n"/>
      <c r="Z203" s="25" t="n"/>
      <c r="AA203" s="25" t="n"/>
      <c r="AB203" s="3">
        <f>AA203</f>
        <v>0</v>
      </c>
      <c r="AC203" s="25" t="n"/>
      <c r="AD203" s="25" t="n"/>
      <c r="AE203" s="25" t="n"/>
      <c r="AF203" s="25" t="n"/>
      <c r="AG203" s="3">
        <f>AF203</f>
        <v>0</v>
      </c>
      <c r="AH203" s="3">
        <f>AF203*AH130/AF130</f>
        <v>0</v>
      </c>
      <c r="AI203" s="3">
        <f>AG203*AI130/AG130</f>
        <v>0</v>
      </c>
      <c r="AJ203" s="3">
        <f>AH203*AJ130/AH130</f>
        <v>0</v>
      </c>
      <c r="AK203" s="3">
        <f>AI203*AK130/AI130</f>
        <v>0</v>
      </c>
      <c r="AL203" s="3">
        <f>AK203</f>
        <v>0</v>
      </c>
      <c r="AM203" s="3" t="e">
        <f>AK203*AM130/AK130</f>
        <v>#DIV/0!</v>
      </c>
      <c r="AN203" s="3">
        <f>AL203*AN130/AL130</f>
        <v>0</v>
      </c>
      <c r="AO203" s="3" t="e">
        <f>AM203*AO130/AM130</f>
        <v>#DIV/0!</v>
      </c>
      <c r="AP203" s="3" t="e">
        <f>AN203*AP130/AN130</f>
        <v>#DIV/0!</v>
      </c>
      <c r="AQ203" s="3" t="e">
        <f>AP203</f>
        <v>#DIV/0!</v>
      </c>
      <c r="AR203" s="3" t="e">
        <f>AP203*AR130/AP130</f>
        <v>#DIV/0!</v>
      </c>
      <c r="AS203" s="3" t="e">
        <f>AQ203*AS130/AQ130</f>
        <v>#DIV/0!</v>
      </c>
      <c r="AT203" s="3" t="e">
        <f>AR203*AT130/AR130</f>
        <v>#DIV/0!</v>
      </c>
      <c r="AU203" s="3" t="e">
        <f>AS203*AU130/AS130</f>
        <v>#DIV/0!</v>
      </c>
      <c r="AV203" s="3" t="e">
        <f>AU203</f>
        <v>#DIV/0!</v>
      </c>
      <c r="AW203" s="3" t="e">
        <f>AU203*AW130/AU130</f>
        <v>#DIV/0!</v>
      </c>
      <c r="AX203" s="3" t="e">
        <f>AV203*AX130/AV130</f>
        <v>#DIV/0!</v>
      </c>
      <c r="AY203" s="3" t="e">
        <f>AW203*AY130/AW130</f>
        <v>#DIV/0!</v>
      </c>
      <c r="AZ203" s="3" t="e">
        <f>AX203*AZ130/AX130</f>
        <v>#DIV/0!</v>
      </c>
      <c r="BA203" s="3" t="e">
        <f>AZ203</f>
        <v>#DIV/0!</v>
      </c>
      <c r="BB203" s="3" t="e">
        <f>AZ203*BB130/AZ130</f>
        <v>#DIV/0!</v>
      </c>
      <c r="BC203" s="3" t="e">
        <f>BA203*BC130/BA130</f>
        <v>#DIV/0!</v>
      </c>
      <c r="BD203" s="3" t="e">
        <f>BB203*BD130/BB130</f>
        <v>#DIV/0!</v>
      </c>
      <c r="BE203" s="3" t="e">
        <f>BC203*BE130/BC130</f>
        <v>#DIV/0!</v>
      </c>
      <c r="BF203" s="3" t="e">
        <f>BE203</f>
        <v>#DIV/0!</v>
      </c>
      <c r="BG203" s="3" t="e">
        <f>BE203*BG130/BE130</f>
        <v>#DIV/0!</v>
      </c>
      <c r="BH203" s="3" t="e">
        <f>BF203*BH130/BF130</f>
        <v>#DIV/0!</v>
      </c>
      <c r="BI203" s="3" t="e">
        <f>BG203*BI130/BG130</f>
        <v>#DIV/0!</v>
      </c>
      <c r="BJ203" s="3" t="e">
        <f>BH203*BJ130/BH130</f>
        <v>#DIV/0!</v>
      </c>
      <c r="BK203" s="3" t="e">
        <f>BJ203</f>
        <v>#DIV/0!</v>
      </c>
      <c r="BL203" s="3" t="e">
        <f>BJ203*BL130/BJ130</f>
        <v>#DIV/0!</v>
      </c>
      <c r="BM203" s="3" t="e">
        <f>BK203*BM130/BK130</f>
        <v>#DIV/0!</v>
      </c>
      <c r="BN203" s="3" t="e">
        <f>BL203*BN130/BL130</f>
        <v>#DIV/0!</v>
      </c>
      <c r="BO203" s="3" t="e">
        <f>BM203*BO130/BM130</f>
        <v>#DIV/0!</v>
      </c>
      <c r="BP203" s="3" t="e">
        <f>BO203</f>
        <v>#DIV/0!</v>
      </c>
      <c r="BQ203" s="3" t="e">
        <f>BO203*BQ130/BO130</f>
        <v>#DIV/0!</v>
      </c>
      <c r="BR203" s="3" t="e">
        <f>BP203*BR130/BP130</f>
        <v>#DIV/0!</v>
      </c>
      <c r="BS203" s="3" t="e">
        <f>BQ203*BS130/BQ130</f>
        <v>#DIV/0!</v>
      </c>
      <c r="BT203" s="3" t="e">
        <f>BR203*BT130/BR130</f>
        <v>#DIV/0!</v>
      </c>
      <c r="BU203" s="3" t="e">
        <f>BT203</f>
        <v>#DIV/0!</v>
      </c>
      <c r="BV203" s="3" t="e">
        <f>BT203*BV130/BT130</f>
        <v>#DIV/0!</v>
      </c>
      <c r="BW203" s="3" t="e">
        <f>BU203*BW130/BU130</f>
        <v>#DIV/0!</v>
      </c>
      <c r="BX203" s="3" t="e">
        <f>BV203*BX130/BV130</f>
        <v>#DIV/0!</v>
      </c>
      <c r="BY203" s="3" t="e">
        <f>BW203*BY130/BW130</f>
        <v>#DIV/0!</v>
      </c>
      <c r="BZ203" s="3" t="e">
        <f>BY203</f>
        <v>#DIV/0!</v>
      </c>
      <c r="CA203" s="3" t="e">
        <f>BY203*CA130/BY130</f>
        <v>#DIV/0!</v>
      </c>
      <c r="CB203" s="3" t="e">
        <f>BZ203*CB130/BZ130</f>
        <v>#DIV/0!</v>
      </c>
      <c r="CC203" s="3" t="e">
        <f>CA203*CC130/CA130</f>
        <v>#DIV/0!</v>
      </c>
      <c r="CD203" s="3" t="e">
        <f>CB203*CD130/CB130</f>
        <v>#DIV/0!</v>
      </c>
      <c r="CE203" s="3" t="e">
        <f>CD203</f>
        <v>#DIV/0!</v>
      </c>
      <c r="CF203" s="3" t="e">
        <f>CD203*CF130/CD130</f>
        <v>#DIV/0!</v>
      </c>
      <c r="CG203" s="3" t="e">
        <f>CE203*CG130/CE130</f>
        <v>#DIV/0!</v>
      </c>
      <c r="CH203" s="3" t="e">
        <f>CF203*CH130/CF130</f>
        <v>#DIV/0!</v>
      </c>
      <c r="CI203" s="3" t="e">
        <f>CG203*CI130/CG130</f>
        <v>#DIV/0!</v>
      </c>
      <c r="CJ203" s="3" t="e">
        <f>CI203</f>
        <v>#DIV/0!</v>
      </c>
      <c r="CK203" s="3" t="e">
        <f>CI203*CK130/CI130</f>
        <v>#DIV/0!</v>
      </c>
      <c r="CL203" s="3" t="e">
        <f>CJ203*CL130/CJ130</f>
        <v>#DIV/0!</v>
      </c>
      <c r="CM203" s="3" t="e">
        <f>CK203*CM130/CK130</f>
        <v>#DIV/0!</v>
      </c>
      <c r="CN203" s="3" t="e">
        <f>CL203*CN130/CL130</f>
        <v>#DIV/0!</v>
      </c>
      <c r="CO203" s="3" t="e">
        <f>CN203</f>
        <v>#DIV/0!</v>
      </c>
      <c r="CP203" s="3" t="e">
        <f>CN203*CP130/CN130</f>
        <v>#DIV/0!</v>
      </c>
      <c r="CQ203" s="3" t="e">
        <f>CO203*CQ130/CO130</f>
        <v>#DIV/0!</v>
      </c>
      <c r="CR203" s="3" t="e">
        <f>CP203*CR130/CP130</f>
        <v>#DIV/0!</v>
      </c>
      <c r="CS203" s="3" t="e">
        <f>CQ203*CS130/CQ130</f>
        <v>#DIV/0!</v>
      </c>
      <c r="CT203" s="3" t="e">
        <f>CS203</f>
        <v>#DIV/0!</v>
      </c>
      <c r="CU203" s="3" t="e">
        <f>CS203*CU130/CS130</f>
        <v>#DIV/0!</v>
      </c>
      <c r="CV203" s="3" t="e">
        <f>CT203*CV130/CT130</f>
        <v>#DIV/0!</v>
      </c>
      <c r="CW203" s="3" t="e">
        <f>CU203*CW130/CU130</f>
        <v>#DIV/0!</v>
      </c>
      <c r="CX203" s="3" t="e">
        <f>CV203*CX130/CV130</f>
        <v>#DIV/0!</v>
      </c>
      <c r="CY203" s="3" t="e">
        <f>CX203</f>
        <v>#DIV/0!</v>
      </c>
    </row>
    <row r="204">
      <c r="C204" s="26" t="inlineStr">
        <is>
          <t>Other current liabilities (non-debt)</t>
        </is>
      </c>
      <c r="D204" s="25" t="n"/>
      <c r="E204" s="25" t="n"/>
      <c r="F204" s="25" t="n"/>
      <c r="G204" s="25" t="n"/>
      <c r="H204" s="3">
        <f>G204</f>
        <v>0</v>
      </c>
      <c r="I204" s="25" t="n"/>
      <c r="J204" s="25" t="n"/>
      <c r="K204" s="25" t="n"/>
      <c r="L204" s="25" t="n"/>
      <c r="M204" s="3">
        <f>L204</f>
        <v>0</v>
      </c>
      <c r="N204" s="25" t="n"/>
      <c r="O204" s="25" t="n"/>
      <c r="P204" s="25" t="n"/>
      <c r="Q204" s="25" t="n"/>
      <c r="R204" s="3">
        <f>Q204</f>
        <v>0</v>
      </c>
      <c r="S204" s="25" t="n"/>
      <c r="T204" s="25" t="n"/>
      <c r="U204" s="25" t="n"/>
      <c r="V204" s="25" t="n"/>
      <c r="W204" s="3">
        <f>V204</f>
        <v>0</v>
      </c>
      <c r="X204" s="25" t="n"/>
      <c r="Y204" s="25" t="n"/>
      <c r="Z204" s="25" t="n"/>
      <c r="AA204" s="25" t="n"/>
      <c r="AB204" s="3">
        <f>AA204</f>
        <v>0</v>
      </c>
      <c r="AC204" s="25" t="n"/>
      <c r="AD204" s="25" t="n"/>
      <c r="AE204" s="25" t="n"/>
      <c r="AF204" s="25" t="n"/>
      <c r="AG204" s="3">
        <f>AF204</f>
        <v>0</v>
      </c>
      <c r="AH204" s="3">
        <f>AG204</f>
        <v>0</v>
      </c>
      <c r="AI204" s="3">
        <f>AH204</f>
        <v>0</v>
      </c>
      <c r="AJ204" s="3">
        <f>AI204</f>
        <v>0</v>
      </c>
      <c r="AK204" s="3">
        <f>AJ204</f>
        <v>0</v>
      </c>
      <c r="AL204" s="3">
        <f>AK204</f>
        <v>0</v>
      </c>
      <c r="AM204" s="3">
        <f>AL204</f>
        <v>0</v>
      </c>
      <c r="AN204" s="3">
        <f>AM204</f>
        <v>0</v>
      </c>
      <c r="AO204" s="3">
        <f>AN204</f>
        <v>0</v>
      </c>
      <c r="AP204" s="3">
        <f>AO204</f>
        <v>0</v>
      </c>
      <c r="AQ204" s="3">
        <f>AP204</f>
        <v>0</v>
      </c>
      <c r="AR204" s="3">
        <f>AQ204</f>
        <v>0</v>
      </c>
      <c r="AS204" s="3">
        <f>AR204</f>
        <v>0</v>
      </c>
      <c r="AT204" s="3">
        <f>AS204</f>
        <v>0</v>
      </c>
      <c r="AU204" s="3">
        <f>AT204</f>
        <v>0</v>
      </c>
      <c r="AV204" s="3">
        <f>AU204</f>
        <v>0</v>
      </c>
      <c r="AW204" s="3">
        <f>AV204</f>
        <v>0</v>
      </c>
      <c r="AX204" s="3">
        <f>AW204</f>
        <v>0</v>
      </c>
      <c r="AY204" s="3">
        <f>AX204</f>
        <v>0</v>
      </c>
      <c r="AZ204" s="3">
        <f>AY204</f>
        <v>0</v>
      </c>
      <c r="BA204" s="3">
        <f>AZ204</f>
        <v>0</v>
      </c>
      <c r="BB204" s="3">
        <f>BA204</f>
        <v>0</v>
      </c>
      <c r="BC204" s="3">
        <f>BB204</f>
        <v>0</v>
      </c>
      <c r="BD204" s="3">
        <f>BC204</f>
        <v>0</v>
      </c>
      <c r="BE204" s="3">
        <f>BD204</f>
        <v>0</v>
      </c>
      <c r="BF204" s="3">
        <f>BE204</f>
        <v>0</v>
      </c>
      <c r="BG204" s="3">
        <f>BF204</f>
        <v>0</v>
      </c>
      <c r="BH204" s="3">
        <f>BG204</f>
        <v>0</v>
      </c>
      <c r="BI204" s="3">
        <f>BH204</f>
        <v>0</v>
      </c>
      <c r="BJ204" s="3">
        <f>BI204</f>
        <v>0</v>
      </c>
      <c r="BK204" s="3">
        <f>BJ204</f>
        <v>0</v>
      </c>
      <c r="BL204" s="3">
        <f>BK204</f>
        <v>0</v>
      </c>
      <c r="BM204" s="3">
        <f>BL204</f>
        <v>0</v>
      </c>
      <c r="BN204" s="3">
        <f>BM204</f>
        <v>0</v>
      </c>
      <c r="BO204" s="3">
        <f>BN204</f>
        <v>0</v>
      </c>
      <c r="BP204" s="3">
        <f>BO204</f>
        <v>0</v>
      </c>
      <c r="BQ204" s="3">
        <f>BP204</f>
        <v>0</v>
      </c>
      <c r="BR204" s="3">
        <f>BQ204</f>
        <v>0</v>
      </c>
      <c r="BS204" s="3">
        <f>BR204</f>
        <v>0</v>
      </c>
      <c r="BT204" s="3">
        <f>BS204</f>
        <v>0</v>
      </c>
      <c r="BU204" s="3">
        <f>BT204</f>
        <v>0</v>
      </c>
      <c r="BV204" s="3">
        <f>BU204</f>
        <v>0</v>
      </c>
      <c r="BW204" s="3">
        <f>BV204</f>
        <v>0</v>
      </c>
      <c r="BX204" s="3">
        <f>BW204</f>
        <v>0</v>
      </c>
      <c r="BY204" s="3">
        <f>BX204</f>
        <v>0</v>
      </c>
      <c r="BZ204" s="3">
        <f>BY204</f>
        <v>0</v>
      </c>
      <c r="CA204" s="3">
        <f>BZ204</f>
        <v>0</v>
      </c>
      <c r="CB204" s="3">
        <f>CA204</f>
        <v>0</v>
      </c>
      <c r="CC204" s="3">
        <f>CB204</f>
        <v>0</v>
      </c>
      <c r="CD204" s="3">
        <f>CC204</f>
        <v>0</v>
      </c>
      <c r="CE204" s="3">
        <f>CD204</f>
        <v>0</v>
      </c>
      <c r="CF204" s="3">
        <f>CE204</f>
        <v>0</v>
      </c>
      <c r="CG204" s="3">
        <f>CF204</f>
        <v>0</v>
      </c>
      <c r="CH204" s="3">
        <f>CG204</f>
        <v>0</v>
      </c>
      <c r="CI204" s="3">
        <f>CH204</f>
        <v>0</v>
      </c>
      <c r="CJ204" s="3">
        <f>CI204</f>
        <v>0</v>
      </c>
      <c r="CK204" s="3">
        <f>CJ204</f>
        <v>0</v>
      </c>
      <c r="CL204" s="3">
        <f>CK204</f>
        <v>0</v>
      </c>
      <c r="CM204" s="3">
        <f>CL204</f>
        <v>0</v>
      </c>
      <c r="CN204" s="3">
        <f>CM204</f>
        <v>0</v>
      </c>
      <c r="CO204" s="3">
        <f>CN204</f>
        <v>0</v>
      </c>
      <c r="CP204" s="3">
        <f>CO204</f>
        <v>0</v>
      </c>
      <c r="CQ204" s="3">
        <f>CP204</f>
        <v>0</v>
      </c>
      <c r="CR204" s="3">
        <f>CQ204</f>
        <v>0</v>
      </c>
      <c r="CS204" s="3">
        <f>CR204</f>
        <v>0</v>
      </c>
      <c r="CT204" s="3">
        <f>CS204</f>
        <v>0</v>
      </c>
      <c r="CU204" s="3">
        <f>CT204</f>
        <v>0</v>
      </c>
      <c r="CV204" s="3">
        <f>CU204</f>
        <v>0</v>
      </c>
      <c r="CW204" s="3">
        <f>CV204</f>
        <v>0</v>
      </c>
      <c r="CX204" s="3">
        <f>CW204</f>
        <v>0</v>
      </c>
      <c r="CY204" s="3">
        <f>CX204</f>
        <v>0</v>
      </c>
    </row>
    <row r="205" hidden="1" outlineLevel="1">
      <c r="C205" s="38" t="inlineStr">
        <is>
          <t>%(Var.)</t>
        </is>
      </c>
      <c r="D205" s="3" t="n"/>
      <c r="E205" s="47" t="str">
        <f>IFERROR((E204-D204)/D204,"")</f>
        <v/>
      </c>
      <c r="F205" s="47" t="str">
        <f>IFERROR((F204-E204)/E204,"")</f>
        <v/>
      </c>
      <c r="G205" s="47" t="str">
        <f>IFERROR((G204-F204)/F204,"")</f>
        <v/>
      </c>
      <c r="H205" s="3" t="n"/>
      <c r="I205" s="47" t="str">
        <f>IFERROR((I204-H204)/H204,"")</f>
        <v/>
      </c>
      <c r="J205" s="47" t="str">
        <f>IFERROR((J204-I204)/I204,"")</f>
        <v/>
      </c>
      <c r="K205" s="47" t="str">
        <f>IFERROR((K204-J204)/J204,"")</f>
        <v/>
      </c>
      <c r="L205" s="47" t="str">
        <f>IFERROR((L204-K204)/K204,"")</f>
        <v/>
      </c>
      <c r="M205" s="3" t="n"/>
      <c r="N205" s="47" t="str">
        <f>IFERROR((N204-M204)/M204,"")</f>
        <v/>
      </c>
      <c r="O205" s="47" t="str">
        <f>IFERROR((O204-N204)/N204,"")</f>
        <v/>
      </c>
      <c r="P205" s="47" t="str">
        <f>IFERROR((P204-O204)/O204,"")</f>
        <v/>
      </c>
      <c r="Q205" s="47" t="str">
        <f>IFERROR((Q204-P204)/P204,"")</f>
        <v/>
      </c>
      <c r="R205" s="3" t="n"/>
      <c r="S205" s="47" t="str">
        <f>IFERROR((S204-R204)/R204,"")</f>
        <v/>
      </c>
      <c r="T205" s="47" t="str">
        <f>IFERROR((T204-S204)/S204,"")</f>
        <v/>
      </c>
      <c r="U205" s="47" t="str">
        <f>IFERROR((U204-T204)/T204,"")</f>
        <v/>
      </c>
      <c r="V205" s="47" t="str">
        <f>IFERROR((V204-U204)/U204,"")</f>
        <v/>
      </c>
      <c r="W205" s="3" t="n"/>
      <c r="X205" s="47" t="str">
        <f>IFERROR((X204-W204)/W204,"")</f>
        <v/>
      </c>
      <c r="Y205" s="47" t="str">
        <f>IFERROR((Y204-X204)/X204,"")</f>
        <v/>
      </c>
      <c r="Z205" s="47" t="str">
        <f>IFERROR((Z204-Y204)/Y204,"")</f>
        <v/>
      </c>
      <c r="AA205" s="47" t="str">
        <f>IFERROR((AA204-Z204)/Z204,"")</f>
        <v/>
      </c>
      <c r="AB205" s="3" t="n"/>
      <c r="AC205" s="47" t="str">
        <f>IFERROR((AC204-AB204)/AB204,"")</f>
        <v/>
      </c>
      <c r="AD205" s="47" t="str">
        <f>IFERROR((AD204-AC204)/AC204,"")</f>
        <v/>
      </c>
      <c r="AE205" s="47" t="str">
        <f>IFERROR((AE204-AD204)/AD204,"")</f>
        <v/>
      </c>
      <c r="AF205" s="218" t="str">
        <f>IFERROR((AF204-AE204)/AE204,"")</f>
        <v/>
      </c>
      <c r="AG205" s="3" t="n"/>
      <c r="AH205" s="218" t="str">
        <f>IFERROR((AH204-AG204)/AG204,"")</f>
        <v/>
      </c>
      <c r="AI205" s="218" t="str">
        <f>IFERROR((AI204-AH204)/AH204,"")</f>
        <v/>
      </c>
      <c r="AJ205" s="218" t="n"/>
      <c r="AK205" s="218" t="n"/>
      <c r="AL205" s="3" t="n"/>
      <c r="AM205" s="218" t="n"/>
      <c r="AN205" s="218" t="n"/>
      <c r="AO205" s="218" t="n"/>
      <c r="AP205" s="218" t="n"/>
      <c r="AQ205" s="3" t="n"/>
      <c r="AR205" s="218" t="n"/>
      <c r="AS205" s="218" t="n"/>
      <c r="AT205" s="218" t="n"/>
      <c r="AU205" s="218" t="n"/>
      <c r="AV205" s="3" t="n"/>
      <c r="AW205" s="218" t="n"/>
      <c r="AX205" s="218" t="n"/>
      <c r="AY205" s="218" t="n"/>
      <c r="AZ205" s="218" t="n"/>
      <c r="BA205" s="3" t="n"/>
      <c r="BB205" s="218" t="n"/>
      <c r="BC205" s="218" t="n"/>
      <c r="BD205" s="218" t="n"/>
      <c r="BE205" s="218" t="n"/>
      <c r="BF205" s="3" t="n"/>
      <c r="BG205" s="218" t="n"/>
      <c r="BH205" s="218" t="n"/>
      <c r="BI205" s="218" t="n"/>
      <c r="BJ205" s="218" t="n"/>
      <c r="BK205" s="3" t="n"/>
      <c r="BL205" s="218" t="n"/>
      <c r="BM205" s="218" t="n"/>
      <c r="BN205" s="218" t="n"/>
      <c r="BO205" s="218" t="n"/>
      <c r="BP205" s="3" t="n"/>
      <c r="BQ205" s="218" t="n"/>
      <c r="BR205" s="218" t="n"/>
      <c r="BS205" s="218" t="n"/>
      <c r="BT205" s="218" t="n"/>
      <c r="BU205" s="3" t="n"/>
      <c r="BV205" s="218" t="n"/>
      <c r="BW205" s="218" t="n"/>
      <c r="BX205" s="218" t="n"/>
      <c r="BY205" s="218" t="n"/>
      <c r="BZ205" s="3" t="n"/>
      <c r="CA205" s="218" t="n"/>
      <c r="CB205" s="218" t="n"/>
      <c r="CC205" s="218" t="n"/>
      <c r="CD205" s="218" t="n"/>
      <c r="CE205" s="3" t="n"/>
      <c r="CF205" s="218" t="n"/>
      <c r="CG205" s="218" t="n"/>
      <c r="CH205" s="218" t="n"/>
      <c r="CI205" s="218" t="n"/>
      <c r="CJ205" s="3" t="n"/>
      <c r="CK205" s="218" t="n"/>
      <c r="CL205" s="218" t="n"/>
      <c r="CM205" s="218" t="n"/>
      <c r="CN205" s="218" t="n"/>
      <c r="CO205" s="3" t="n"/>
      <c r="CP205" s="218" t="n"/>
      <c r="CQ205" s="218" t="n"/>
      <c r="CR205" s="218" t="n"/>
      <c r="CS205" s="218" t="n"/>
      <c r="CT205" s="3" t="n"/>
      <c r="CU205" s="218" t="n"/>
      <c r="CV205" s="218" t="n"/>
      <c r="CW205" s="218" t="n"/>
      <c r="CX205" s="218" t="n"/>
      <c r="CY205" s="3" t="n"/>
    </row>
    <row r="206" hidden="1" outlineLevel="1">
      <c r="C206" s="34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  <c r="AB206" s="3" t="n"/>
      <c r="AC206" s="3" t="n"/>
      <c r="AD206" s="3" t="n"/>
      <c r="AE206" s="3" t="n"/>
      <c r="AF206" s="3" t="n"/>
      <c r="AG206" s="3" t="n"/>
      <c r="AH206" s="3" t="n"/>
      <c r="AI206" s="3" t="n"/>
      <c r="AJ206" s="3" t="n"/>
      <c r="AK206" s="3" t="n"/>
      <c r="AL206" s="3" t="n"/>
      <c r="AM206" s="3" t="n"/>
      <c r="AN206" s="3" t="n"/>
      <c r="AO206" s="3" t="n"/>
      <c r="AP206" s="3" t="n"/>
      <c r="AQ206" s="3" t="n"/>
      <c r="AR206" s="3" t="n"/>
      <c r="AS206" s="3" t="n"/>
      <c r="AT206" s="3" t="n"/>
      <c r="AU206" s="3" t="n"/>
      <c r="AV206" s="3" t="n"/>
      <c r="AW206" s="3" t="n"/>
      <c r="AX206" s="3" t="n"/>
      <c r="AY206" s="3" t="n"/>
      <c r="AZ206" s="3" t="n"/>
      <c r="BA206" s="3" t="n"/>
      <c r="BB206" s="3" t="n"/>
      <c r="BC206" s="3" t="n"/>
      <c r="BD206" s="3" t="n"/>
      <c r="BE206" s="3" t="n"/>
      <c r="BF206" s="3" t="n"/>
      <c r="BG206" s="3" t="n"/>
      <c r="BH206" s="3" t="n"/>
      <c r="BI206" s="3" t="n"/>
      <c r="BJ206" s="3" t="n"/>
      <c r="BK206" s="3" t="n"/>
      <c r="BL206" s="3" t="n"/>
      <c r="BM206" s="3" t="n"/>
      <c r="BN206" s="3" t="n"/>
      <c r="BO206" s="3" t="n"/>
      <c r="BP206" s="3" t="n"/>
      <c r="BQ206" s="3" t="n"/>
      <c r="BR206" s="3" t="n"/>
      <c r="BS206" s="3" t="n"/>
      <c r="BT206" s="3" t="n"/>
      <c r="BU206" s="3" t="n"/>
      <c r="BV206" s="3" t="n"/>
      <c r="BW206" s="3" t="n"/>
      <c r="BX206" s="3" t="n"/>
      <c r="BY206" s="3" t="n"/>
      <c r="BZ206" s="3" t="n"/>
      <c r="CA206" s="3" t="n"/>
      <c r="CB206" s="3" t="n"/>
      <c r="CC206" s="3" t="n"/>
      <c r="CD206" s="3" t="n"/>
      <c r="CE206" s="3" t="n"/>
      <c r="CF206" s="3" t="n"/>
      <c r="CG206" s="3" t="n"/>
      <c r="CH206" s="3" t="n"/>
      <c r="CI206" s="3" t="n"/>
      <c r="CJ206" s="3" t="n"/>
      <c r="CK206" s="3" t="n"/>
      <c r="CL206" s="3" t="n"/>
      <c r="CM206" s="3" t="n"/>
      <c r="CN206" s="3" t="n"/>
      <c r="CO206" s="3" t="n"/>
      <c r="CP206" s="3" t="n"/>
      <c r="CQ206" s="3" t="n"/>
      <c r="CR206" s="3" t="n"/>
      <c r="CS206" s="3" t="n"/>
      <c r="CT206" s="3" t="n"/>
      <c r="CU206" s="3" t="n"/>
      <c r="CV206" s="3" t="n"/>
      <c r="CW206" s="3" t="n"/>
      <c r="CX206" s="3" t="n"/>
      <c r="CY206" s="3" t="n"/>
    </row>
    <row r="207" hidden="1" outlineLevel="1">
      <c r="C207" s="34" t="inlineStr">
        <is>
          <t xml:space="preserve">Dividendos a Pagar </t>
        </is>
      </c>
      <c r="D207" s="6" t="n"/>
      <c r="E207" s="6" t="n"/>
      <c r="F207" s="6" t="n"/>
      <c r="G207" s="6" t="n"/>
      <c r="H207" s="3" t="n"/>
      <c r="I207" s="6" t="n"/>
      <c r="J207" s="6" t="n"/>
      <c r="K207" s="6" t="n"/>
      <c r="L207" s="6" t="n"/>
      <c r="M207" s="3" t="n"/>
      <c r="N207" s="6" t="n"/>
      <c r="O207" s="6" t="n"/>
      <c r="P207" s="6" t="n"/>
      <c r="Q207" s="6" t="n"/>
      <c r="R207" s="3" t="n"/>
      <c r="S207" s="6" t="n"/>
      <c r="T207" s="6" t="n"/>
      <c r="U207" s="6" t="n"/>
      <c r="V207" s="6" t="n"/>
      <c r="W207" s="3" t="n"/>
      <c r="X207" s="6" t="n"/>
      <c r="Y207" s="6" t="n"/>
      <c r="Z207" s="6" t="n"/>
      <c r="AA207" s="6" t="n"/>
      <c r="AB207" s="3" t="n"/>
      <c r="AC207" s="6" t="n"/>
      <c r="AD207" s="6" t="n"/>
      <c r="AE207" s="6" t="n"/>
      <c r="AF207" s="6" t="n"/>
      <c r="AG207" s="3" t="n"/>
      <c r="AH207" s="6" t="n"/>
      <c r="AI207" s="6" t="n"/>
      <c r="AJ207" s="6" t="n"/>
      <c r="AK207" s="6" t="n"/>
      <c r="AL207" s="3" t="n"/>
      <c r="AM207" s="6" t="n"/>
      <c r="AN207" s="6" t="n"/>
      <c r="AO207" s="6" t="n"/>
      <c r="AP207" s="6" t="n"/>
      <c r="AQ207" s="3" t="n"/>
      <c r="AR207" s="6" t="n"/>
      <c r="AS207" s="6" t="n"/>
      <c r="AT207" s="6" t="n"/>
      <c r="AU207" s="6" t="n"/>
      <c r="AV207" s="3" t="n"/>
      <c r="AW207" s="6" t="n"/>
      <c r="AX207" s="6" t="n"/>
      <c r="AY207" s="6" t="n"/>
      <c r="AZ207" s="6" t="n"/>
      <c r="BA207" s="3" t="n"/>
      <c r="BB207" s="6" t="n"/>
      <c r="BC207" s="6" t="n"/>
      <c r="BD207" s="6" t="n"/>
      <c r="BE207" s="6" t="n"/>
      <c r="BF207" s="3" t="n"/>
      <c r="BG207" s="6" t="n"/>
      <c r="BH207" s="6" t="n"/>
      <c r="BI207" s="6" t="n"/>
      <c r="BJ207" s="6" t="n"/>
      <c r="BK207" s="3" t="n"/>
      <c r="BL207" s="6" t="n"/>
      <c r="BM207" s="6" t="n"/>
      <c r="BN207" s="6" t="n"/>
      <c r="BO207" s="6" t="n"/>
      <c r="BP207" s="3" t="n"/>
      <c r="BQ207" s="6" t="n"/>
      <c r="BR207" s="6" t="n"/>
      <c r="BS207" s="6" t="n"/>
      <c r="BT207" s="6" t="n"/>
      <c r="BU207" s="3" t="n"/>
      <c r="BV207" s="6" t="n"/>
      <c r="BW207" s="6" t="n"/>
      <c r="BX207" s="6" t="n"/>
      <c r="BY207" s="6" t="n"/>
      <c r="BZ207" s="3" t="n"/>
      <c r="CA207" s="6" t="n"/>
      <c r="CB207" s="6" t="n"/>
      <c r="CC207" s="6" t="n"/>
      <c r="CD207" s="6" t="n"/>
      <c r="CE207" s="3" t="n"/>
      <c r="CF207" s="6" t="n"/>
      <c r="CG207" s="6" t="n"/>
      <c r="CH207" s="6" t="n"/>
      <c r="CI207" s="6" t="n"/>
      <c r="CJ207" s="3" t="n"/>
      <c r="CK207" s="6" t="n"/>
      <c r="CL207" s="6" t="n"/>
      <c r="CM207" s="6" t="n"/>
      <c r="CN207" s="6" t="n"/>
      <c r="CO207" s="3" t="n"/>
      <c r="CP207" s="6" t="n"/>
      <c r="CQ207" s="6" t="n"/>
      <c r="CR207" s="6" t="n"/>
      <c r="CS207" s="6" t="n"/>
      <c r="CT207" s="3" t="n"/>
      <c r="CU207" s="6" t="n"/>
      <c r="CV207" s="6" t="n"/>
      <c r="CW207" s="6" t="n"/>
      <c r="CX207" s="6" t="n"/>
      <c r="CY207" s="3" t="n"/>
    </row>
    <row r="208" hidden="1" outlineLevel="1">
      <c r="C208" s="34" t="inlineStr">
        <is>
          <t>Contas a pagar pela aquisição de controladas</t>
        </is>
      </c>
      <c r="D208" s="6" t="n"/>
      <c r="E208" s="6" t="n"/>
      <c r="F208" s="6" t="n"/>
      <c r="G208" s="6" t="n"/>
      <c r="H208" s="3" t="n"/>
      <c r="I208" s="6" t="n"/>
      <c r="J208" s="6" t="n"/>
      <c r="K208" s="6" t="n"/>
      <c r="L208" s="6" t="n"/>
      <c r="M208" s="3" t="n"/>
      <c r="N208" s="6" t="n"/>
      <c r="O208" s="6" t="n"/>
      <c r="P208" s="6" t="n"/>
      <c r="Q208" s="6" t="n"/>
      <c r="R208" s="3" t="n"/>
      <c r="S208" s="6" t="n"/>
      <c r="T208" s="6" t="n"/>
      <c r="U208" s="6" t="n"/>
      <c r="V208" s="6" t="n"/>
      <c r="W208" s="3" t="n"/>
      <c r="X208" s="6" t="n"/>
      <c r="Y208" s="6" t="n"/>
      <c r="Z208" s="6" t="n"/>
      <c r="AA208" s="6" t="n"/>
      <c r="AB208" s="3" t="n"/>
      <c r="AC208" s="6" t="n"/>
      <c r="AD208" s="6" t="n"/>
      <c r="AE208" s="6" t="n"/>
      <c r="AF208" s="6" t="n"/>
      <c r="AG208" s="3" t="n"/>
      <c r="AH208" s="6" t="n"/>
      <c r="AI208" s="6" t="n"/>
      <c r="AJ208" s="6" t="n"/>
      <c r="AK208" s="6" t="n"/>
      <c r="AL208" s="3" t="n"/>
      <c r="AM208" s="6" t="n"/>
      <c r="AN208" s="6" t="n"/>
      <c r="AO208" s="6" t="n"/>
      <c r="AP208" s="6" t="n"/>
      <c r="AQ208" s="3" t="n"/>
      <c r="AR208" s="6" t="n"/>
      <c r="AS208" s="6" t="n"/>
      <c r="AT208" s="6" t="n"/>
      <c r="AU208" s="6" t="n"/>
      <c r="AV208" s="3" t="n"/>
      <c r="AW208" s="6" t="n"/>
      <c r="AX208" s="6" t="n"/>
      <c r="AY208" s="6" t="n"/>
      <c r="AZ208" s="6" t="n"/>
      <c r="BA208" s="3" t="n"/>
      <c r="BB208" s="6" t="n"/>
      <c r="BC208" s="6" t="n"/>
      <c r="BD208" s="6" t="n"/>
      <c r="BE208" s="6" t="n"/>
      <c r="BF208" s="3" t="n"/>
      <c r="BG208" s="6" t="n"/>
      <c r="BH208" s="6" t="n"/>
      <c r="BI208" s="6" t="n"/>
      <c r="BJ208" s="6" t="n"/>
      <c r="BK208" s="3" t="n"/>
      <c r="BL208" s="6" t="n"/>
      <c r="BM208" s="6" t="n"/>
      <c r="BN208" s="6" t="n"/>
      <c r="BO208" s="6" t="n"/>
      <c r="BP208" s="3" t="n"/>
      <c r="BQ208" s="6" t="n"/>
      <c r="BR208" s="6" t="n"/>
      <c r="BS208" s="6" t="n"/>
      <c r="BT208" s="6" t="n"/>
      <c r="BU208" s="3" t="n"/>
      <c r="BV208" s="6" t="n"/>
      <c r="BW208" s="6" t="n"/>
      <c r="BX208" s="6" t="n"/>
      <c r="BY208" s="6" t="n"/>
      <c r="BZ208" s="3" t="n"/>
      <c r="CA208" s="6" t="n"/>
      <c r="CB208" s="6" t="n"/>
      <c r="CC208" s="6" t="n"/>
      <c r="CD208" s="6" t="n"/>
      <c r="CE208" s="3" t="n"/>
      <c r="CF208" s="6" t="n"/>
      <c r="CG208" s="6" t="n"/>
      <c r="CH208" s="6" t="n"/>
      <c r="CI208" s="6" t="n"/>
      <c r="CJ208" s="3" t="n"/>
      <c r="CK208" s="6" t="n"/>
      <c r="CL208" s="6" t="n"/>
      <c r="CM208" s="6" t="n"/>
      <c r="CN208" s="6" t="n"/>
      <c r="CO208" s="3" t="n"/>
      <c r="CP208" s="6" t="n"/>
      <c r="CQ208" s="6" t="n"/>
      <c r="CR208" s="6" t="n"/>
      <c r="CS208" s="6" t="n"/>
      <c r="CT208" s="3" t="n"/>
      <c r="CU208" s="6" t="n"/>
      <c r="CV208" s="6" t="n"/>
      <c r="CW208" s="6" t="n"/>
      <c r="CX208" s="6" t="n"/>
      <c r="CY208" s="3" t="n"/>
    </row>
    <row r="209" hidden="1" outlineLevel="1">
      <c r="C209" s="34" t="inlineStr">
        <is>
          <t>Outros</t>
        </is>
      </c>
      <c r="D209" s="6" t="n"/>
      <c r="E209" s="6" t="n"/>
      <c r="F209" s="6" t="n"/>
      <c r="G209" s="6" t="n"/>
      <c r="H209" s="3" t="n"/>
      <c r="I209" s="6" t="n"/>
      <c r="J209" s="6" t="n"/>
      <c r="K209" s="6" t="n"/>
      <c r="L209" s="6" t="n"/>
      <c r="M209" s="3" t="n"/>
      <c r="N209" s="6" t="n"/>
      <c r="O209" s="6" t="n"/>
      <c r="P209" s="6" t="n"/>
      <c r="Q209" s="6" t="n"/>
      <c r="R209" s="3" t="n"/>
      <c r="S209" s="6" t="n"/>
      <c r="T209" s="6" t="n"/>
      <c r="U209" s="6" t="n"/>
      <c r="V209" s="6" t="n"/>
      <c r="W209" s="3" t="n"/>
      <c r="X209" s="6" t="n"/>
      <c r="Y209" s="6" t="n"/>
      <c r="Z209" s="6" t="n"/>
      <c r="AA209" s="6" t="n"/>
      <c r="AB209" s="3" t="n"/>
      <c r="AC209" s="6" t="n"/>
      <c r="AD209" s="6" t="n"/>
      <c r="AE209" s="6" t="n"/>
      <c r="AF209" s="6" t="n"/>
      <c r="AG209" s="3" t="n"/>
      <c r="AH209" s="6" t="n"/>
      <c r="AI209" s="6" t="n"/>
      <c r="AJ209" s="6" t="n"/>
      <c r="AK209" s="6" t="n"/>
      <c r="AL209" s="3" t="n"/>
      <c r="AM209" s="6" t="n"/>
      <c r="AN209" s="6" t="n"/>
      <c r="AO209" s="6" t="n"/>
      <c r="AP209" s="6" t="n"/>
      <c r="AQ209" s="3" t="n"/>
      <c r="AR209" s="6" t="n"/>
      <c r="AS209" s="6" t="n"/>
      <c r="AT209" s="6" t="n"/>
      <c r="AU209" s="6" t="n"/>
      <c r="AV209" s="3" t="n"/>
      <c r="AW209" s="6" t="n"/>
      <c r="AX209" s="6" t="n"/>
      <c r="AY209" s="6" t="n"/>
      <c r="AZ209" s="6" t="n"/>
      <c r="BA209" s="3" t="n"/>
      <c r="BB209" s="6" t="n"/>
      <c r="BC209" s="6" t="n"/>
      <c r="BD209" s="6" t="n"/>
      <c r="BE209" s="6" t="n"/>
      <c r="BF209" s="3" t="n"/>
      <c r="BG209" s="6" t="n"/>
      <c r="BH209" s="6" t="n"/>
      <c r="BI209" s="6" t="n"/>
      <c r="BJ209" s="6" t="n"/>
      <c r="BK209" s="3" t="n"/>
      <c r="BL209" s="6" t="n"/>
      <c r="BM209" s="6" t="n"/>
      <c r="BN209" s="6" t="n"/>
      <c r="BO209" s="6" t="n"/>
      <c r="BP209" s="3" t="n"/>
      <c r="BQ209" s="6" t="n"/>
      <c r="BR209" s="6" t="n"/>
      <c r="BS209" s="6" t="n"/>
      <c r="BT209" s="6" t="n"/>
      <c r="BU209" s="3" t="n"/>
      <c r="BV209" s="6" t="n"/>
      <c r="BW209" s="6" t="n"/>
      <c r="BX209" s="6" t="n"/>
      <c r="BY209" s="6" t="n"/>
      <c r="BZ209" s="3" t="n"/>
      <c r="CA209" s="6" t="n"/>
      <c r="CB209" s="6" t="n"/>
      <c r="CC209" s="6" t="n"/>
      <c r="CD209" s="6" t="n"/>
      <c r="CE209" s="3" t="n"/>
      <c r="CF209" s="6" t="n"/>
      <c r="CG209" s="6" t="n"/>
      <c r="CH209" s="6" t="n"/>
      <c r="CI209" s="6" t="n"/>
      <c r="CJ209" s="3" t="n"/>
      <c r="CK209" s="6" t="n"/>
      <c r="CL209" s="6" t="n"/>
      <c r="CM209" s="6" t="n"/>
      <c r="CN209" s="6" t="n"/>
      <c r="CO209" s="3" t="n"/>
      <c r="CP209" s="6" t="n"/>
      <c r="CQ209" s="6" t="n"/>
      <c r="CR209" s="6" t="n"/>
      <c r="CS209" s="6" t="n"/>
      <c r="CT209" s="3" t="n"/>
      <c r="CU209" s="6" t="n"/>
      <c r="CV209" s="6" t="n"/>
      <c r="CW209" s="6" t="n"/>
      <c r="CX209" s="6" t="n"/>
      <c r="CY209" s="3" t="n"/>
    </row>
    <row r="210" hidden="1" outlineLevel="1">
      <c r="C210" s="34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  <c r="AB210" s="3" t="n"/>
      <c r="AC210" s="3" t="n"/>
      <c r="AD210" s="3" t="n"/>
      <c r="AE210" s="3" t="n"/>
      <c r="AF210" s="3" t="n"/>
      <c r="AG210" s="3" t="n"/>
      <c r="AH210" s="3" t="n"/>
      <c r="AI210" s="3" t="n"/>
      <c r="AJ210" s="3" t="n"/>
      <c r="AK210" s="3" t="n"/>
      <c r="AL210" s="3" t="n"/>
      <c r="AM210" s="3" t="n"/>
      <c r="AN210" s="3" t="n"/>
      <c r="AO210" s="3" t="n"/>
      <c r="AP210" s="3" t="n"/>
      <c r="AQ210" s="3" t="n"/>
      <c r="AR210" s="3" t="n"/>
      <c r="AS210" s="3" t="n"/>
      <c r="AT210" s="3" t="n"/>
      <c r="AU210" s="3" t="n"/>
      <c r="AV210" s="3" t="n"/>
      <c r="AW210" s="3" t="n"/>
      <c r="AX210" s="3" t="n"/>
      <c r="AY210" s="3" t="n"/>
      <c r="AZ210" s="3" t="n"/>
      <c r="BA210" s="3" t="n"/>
      <c r="BB210" s="3" t="n"/>
      <c r="BC210" s="3" t="n"/>
      <c r="BD210" s="3" t="n"/>
      <c r="BE210" s="3" t="n"/>
      <c r="BF210" s="3" t="n"/>
      <c r="BG210" s="3" t="n"/>
      <c r="BH210" s="3" t="n"/>
      <c r="BI210" s="3" t="n"/>
      <c r="BJ210" s="3" t="n"/>
      <c r="BK210" s="3" t="n"/>
      <c r="BL210" s="3" t="n"/>
      <c r="BM210" s="3" t="n"/>
      <c r="BN210" s="3" t="n"/>
      <c r="BO210" s="3" t="n"/>
      <c r="BP210" s="3" t="n"/>
      <c r="BQ210" s="3" t="n"/>
      <c r="BR210" s="3" t="n"/>
      <c r="BS210" s="3" t="n"/>
      <c r="BT210" s="3" t="n"/>
      <c r="BU210" s="3" t="n"/>
      <c r="BV210" s="3" t="n"/>
      <c r="BW210" s="3" t="n"/>
      <c r="BX210" s="3" t="n"/>
      <c r="BY210" s="3" t="n"/>
      <c r="BZ210" s="3" t="n"/>
      <c r="CA210" s="3" t="n"/>
      <c r="CB210" s="3" t="n"/>
      <c r="CC210" s="3" t="n"/>
      <c r="CD210" s="3" t="n"/>
      <c r="CE210" s="3" t="n"/>
      <c r="CF210" s="3" t="n"/>
      <c r="CG210" s="3" t="n"/>
      <c r="CH210" s="3" t="n"/>
      <c r="CI210" s="3" t="n"/>
      <c r="CJ210" s="3" t="n"/>
      <c r="CK210" s="3" t="n"/>
      <c r="CL210" s="3" t="n"/>
      <c r="CM210" s="3" t="n"/>
      <c r="CN210" s="3" t="n"/>
      <c r="CO210" s="3" t="n"/>
      <c r="CP210" s="3" t="n"/>
      <c r="CQ210" s="3" t="n"/>
      <c r="CR210" s="3" t="n"/>
      <c r="CS210" s="3" t="n"/>
      <c r="CT210" s="3" t="n"/>
      <c r="CU210" s="3" t="n"/>
      <c r="CV210" s="3" t="n"/>
      <c r="CW210" s="3" t="n"/>
      <c r="CX210" s="3" t="n"/>
      <c r="CY210" s="3" t="n"/>
    </row>
    <row r="211" collapsed="1">
      <c r="C211" s="26" t="inlineStr">
        <is>
          <t>Current portion of long-term debt</t>
        </is>
      </c>
      <c r="D211" s="25">
        <f>INDEX('Inputs (2)'!$D$32:$AL$32,MATCH(D$7,'Inputs (2)'!$D$2:$AL$2,0))</f>
        <v>0</v>
      </c>
      <c r="E211" s="25">
        <f>INDEX('Inputs (2)'!$D$32:$AL$32,MATCH(E$7,'Inputs (2)'!$D$2:$AL$2,0))</f>
        <v>0</v>
      </c>
      <c r="F211" s="25">
        <f>INDEX('Inputs (2)'!$D$32:$AL$32,MATCH(F$7,'Inputs (2)'!$D$2:$AL$2,0))</f>
        <v>998</v>
      </c>
      <c r="G211" s="25">
        <f>INDEX('Inputs (2)'!$D$32:$AL$32,MATCH(G$7,'Inputs (2)'!$D$2:$AL$2,0))</f>
        <v>999</v>
      </c>
      <c r="H211" s="3">
        <f>G211</f>
        <v>999</v>
      </c>
      <c r="I211" s="25">
        <f>INDEX('Inputs (2)'!$D$32:$AL$32,MATCH(I$7,'Inputs (2)'!$D$2:$AL$2,0))</f>
        <v>999</v>
      </c>
      <c r="J211" s="25">
        <f>INDEX('Inputs (2)'!$D$32:$AL$32,MATCH(J$7,'Inputs (2)'!$D$2:$AL$2,0))</f>
        <v>1000</v>
      </c>
      <c r="K211" s="25">
        <f>INDEX('Inputs (2)'!$D$32:$AL$32,MATCH(K$7,'Inputs (2)'!$D$2:$AL$2,0))</f>
        <v>0</v>
      </c>
      <c r="L211" s="25">
        <f>INDEX('Inputs (2)'!$D$32:$AL$32,MATCH(L$7,'Inputs (2)'!$D$2:$AL$2,0))</f>
        <v>0</v>
      </c>
      <c r="M211" s="3">
        <f>L211</f>
        <v>0</v>
      </c>
      <c r="N211" s="25">
        <f>INDEX('Inputs (2)'!$D$32:$AL$32,MATCH(N$7,'Inputs (2)'!$D$2:$AL$2,0))</f>
        <v>0</v>
      </c>
      <c r="O211" s="25">
        <f>INDEX('Inputs (2)'!$D$32:$AL$32,MATCH(O$7,'Inputs (2)'!$D$2:$AL$2,0))</f>
        <v>1249</v>
      </c>
      <c r="P211" s="25">
        <f>INDEX('Inputs (2)'!$D$32:$AL$32,MATCH(P$7,'Inputs (2)'!$D$2:$AL$2,0))</f>
        <v>1249</v>
      </c>
      <c r="Q211" s="25">
        <f>INDEX('Inputs (2)'!$D$32:$AL$32,MATCH(Q$7,'Inputs (2)'!$D$2:$AL$2,0))</f>
        <v>1250</v>
      </c>
      <c r="R211" s="3">
        <f>Q211</f>
        <v>1250</v>
      </c>
      <c r="S211" s="25">
        <f>INDEX('Inputs (2)'!$D$32:$AL$32,MATCH(S$7,'Inputs (2)'!$D$2:$AL$2,0))</f>
        <v>1250</v>
      </c>
      <c r="T211" s="25">
        <f>INDEX('Inputs (2)'!$D$32:$AL$32,MATCH(T$7,'Inputs (2)'!$D$2:$AL$2,0))</f>
        <v>1249</v>
      </c>
      <c r="U211" s="25">
        <f>INDEX('Inputs (2)'!$D$32:$AL$32,MATCH(U$7,'Inputs (2)'!$D$2:$AL$2,0))</f>
        <v>1249</v>
      </c>
      <c r="V211" s="25">
        <f>INDEX('Inputs (2)'!$D$32:$AL$32,MATCH(V$7,'Inputs (2)'!$D$2:$AL$2,0))</f>
        <v>1250</v>
      </c>
      <c r="W211" s="3">
        <f>V211</f>
        <v>1250</v>
      </c>
      <c r="X211" s="25">
        <f>INDEX('Inputs (2)'!$D$32:$AL$32,MATCH(X$7,'Inputs (2)'!$D$2:$AL$2,0))</f>
        <v>1250</v>
      </c>
      <c r="Y211" s="25">
        <f>INDEX('Inputs (2)'!$D$32:$AL$32,MATCH(Y$7,'Inputs (2)'!$D$2:$AL$2,0))</f>
        <v>0</v>
      </c>
      <c r="Z211" s="25">
        <f>INDEX('Inputs (2)'!$D$32:$AL$32,MATCH(Z$7,'Inputs (2)'!$D$2:$AL$2,0))</f>
        <v>0</v>
      </c>
      <c r="AA211" s="25">
        <f>INDEX('Inputs (2)'!$D$32:$AL$32,MATCH(AA$7,'Inputs (2)'!$D$2:$AL$2,0))</f>
        <v>0</v>
      </c>
      <c r="AB211" s="3">
        <f>AA211</f>
        <v>0</v>
      </c>
      <c r="AC211" s="25">
        <f>INDEX('Inputs (2)'!$D$32:$AL$32,MATCH(AC$7,'Inputs (2)'!$D$2:$AL$2,0))</f>
        <v>0</v>
      </c>
      <c r="AD211" s="25">
        <f>INDEX('Inputs (2)'!$D$32:$AL$32,MATCH(AD$7,'Inputs (2)'!$D$2:$AL$2,0))</f>
        <v>0</v>
      </c>
      <c r="AE211" s="25">
        <f>INDEX('Inputs (2)'!$D$32:$AL$32,MATCH(AE$7,'Inputs (2)'!$D$2:$AL$2,0))</f>
        <v>999</v>
      </c>
      <c r="AF211" s="25">
        <f>INDEX('Inputs (2)'!$D$32:$AL$32,MATCH(AF$7,'Inputs (2)'!$D$2:$AL$2,0))</f>
        <v>999</v>
      </c>
      <c r="AG211" s="3">
        <f>AF211</f>
        <v>999</v>
      </c>
      <c r="AH211" s="3">
        <f>INDEX('Inputs (2)'!$D$32:$AL$32,MATCH(AH$7,'Inputs (2)'!$D$2:$AL$2,0))</f>
        <v>1000</v>
      </c>
      <c r="AI211" s="3">
        <f>INDEX('Inputs (2)'!$D$32:$AL$32,MATCH(AI$7,'Inputs (2)'!$D$2:$AL$2,0))</f>
        <v>1000</v>
      </c>
      <c r="AJ211" s="3">
        <f>AI211</f>
        <v>1000</v>
      </c>
      <c r="AK211" s="3">
        <f>AJ211</f>
        <v>1000</v>
      </c>
      <c r="AL211" s="3">
        <f>AK211</f>
        <v>1000</v>
      </c>
      <c r="AM211" s="3">
        <f>AL211</f>
        <v>1000</v>
      </c>
      <c r="AN211" s="3">
        <f>AM211</f>
        <v>1000</v>
      </c>
      <c r="AO211" s="3">
        <f>AN211</f>
        <v>1000</v>
      </c>
      <c r="AP211" s="3">
        <f>AO211</f>
        <v>1000</v>
      </c>
      <c r="AQ211" s="3">
        <f>AP211</f>
        <v>1000</v>
      </c>
      <c r="AR211" s="3">
        <f>AQ211</f>
        <v>1000</v>
      </c>
      <c r="AS211" s="3">
        <f>AR211</f>
        <v>1000</v>
      </c>
      <c r="AT211" s="3">
        <f>AS211</f>
        <v>1000</v>
      </c>
      <c r="AU211" s="3">
        <f>AT211</f>
        <v>1000</v>
      </c>
      <c r="AV211" s="3">
        <f>AU211</f>
        <v>1000</v>
      </c>
      <c r="AW211" s="3">
        <f>AV211</f>
        <v>1000</v>
      </c>
      <c r="AX211" s="3">
        <f>AW211</f>
        <v>1000</v>
      </c>
      <c r="AY211" s="3">
        <f>AX211</f>
        <v>1000</v>
      </c>
      <c r="AZ211" s="3">
        <f>AY211</f>
        <v>1000</v>
      </c>
      <c r="BA211" s="3">
        <f>AZ211</f>
        <v>1000</v>
      </c>
      <c r="BB211" s="3">
        <f>BA211</f>
        <v>1000</v>
      </c>
      <c r="BC211" s="3">
        <f>BB211</f>
        <v>1000</v>
      </c>
      <c r="BD211" s="3">
        <f>BC211</f>
        <v>1000</v>
      </c>
      <c r="BE211" s="3">
        <f>BD211</f>
        <v>1000</v>
      </c>
      <c r="BF211" s="3">
        <f>BE211</f>
        <v>1000</v>
      </c>
      <c r="BG211" s="3">
        <f>BF211</f>
        <v>1000</v>
      </c>
      <c r="BH211" s="3">
        <f>BG211</f>
        <v>1000</v>
      </c>
      <c r="BI211" s="3">
        <f>BH211</f>
        <v>1000</v>
      </c>
      <c r="BJ211" s="3">
        <f>BI211</f>
        <v>1000</v>
      </c>
      <c r="BK211" s="3">
        <f>BJ211</f>
        <v>1000</v>
      </c>
      <c r="BL211" s="3">
        <f>BK211</f>
        <v>1000</v>
      </c>
      <c r="BM211" s="3">
        <f>BL211</f>
        <v>1000</v>
      </c>
      <c r="BN211" s="3">
        <f>BM211</f>
        <v>1000</v>
      </c>
      <c r="BO211" s="3">
        <f>BN211</f>
        <v>1000</v>
      </c>
      <c r="BP211" s="3">
        <f>BO211</f>
        <v>1000</v>
      </c>
      <c r="BQ211" s="3">
        <f>BP211</f>
        <v>1000</v>
      </c>
      <c r="BR211" s="3">
        <f>BQ211</f>
        <v>1000</v>
      </c>
      <c r="BS211" s="3">
        <f>BR211</f>
        <v>1000</v>
      </c>
      <c r="BT211" s="3">
        <f>BS211</f>
        <v>1000</v>
      </c>
      <c r="BU211" s="3">
        <f>BT211</f>
        <v>1000</v>
      </c>
      <c r="BV211" s="3">
        <f>BU211</f>
        <v>1000</v>
      </c>
      <c r="BW211" s="3">
        <f>BV211</f>
        <v>1000</v>
      </c>
      <c r="BX211" s="3">
        <f>BW211</f>
        <v>1000</v>
      </c>
      <c r="BY211" s="3">
        <f>BX211</f>
        <v>1000</v>
      </c>
      <c r="BZ211" s="3">
        <f>BY211</f>
        <v>1000</v>
      </c>
      <c r="CA211" s="3">
        <f>BZ211</f>
        <v>1000</v>
      </c>
      <c r="CB211" s="3">
        <f>CA211</f>
        <v>1000</v>
      </c>
      <c r="CC211" s="3">
        <f>CB211</f>
        <v>1000</v>
      </c>
      <c r="CD211" s="3">
        <f>CC211</f>
        <v>1000</v>
      </c>
      <c r="CE211" s="3">
        <f>CD211</f>
        <v>1000</v>
      </c>
      <c r="CF211" s="3">
        <f>CE211</f>
        <v>1000</v>
      </c>
      <c r="CG211" s="3">
        <f>CF211</f>
        <v>1000</v>
      </c>
      <c r="CH211" s="3">
        <f>CG211</f>
        <v>1000</v>
      </c>
      <c r="CI211" s="3">
        <f>CH211</f>
        <v>1000</v>
      </c>
      <c r="CJ211" s="3">
        <f>CI211</f>
        <v>1000</v>
      </c>
      <c r="CK211" s="3">
        <f>CJ211</f>
        <v>1000</v>
      </c>
      <c r="CL211" s="3">
        <f>CK211</f>
        <v>1000</v>
      </c>
      <c r="CM211" s="3">
        <f>CL211</f>
        <v>1000</v>
      </c>
      <c r="CN211" s="3">
        <f>CM211</f>
        <v>1000</v>
      </c>
      <c r="CO211" s="3">
        <f>CN211</f>
        <v>1000</v>
      </c>
      <c r="CP211" s="3">
        <f>CO211</f>
        <v>1000</v>
      </c>
      <c r="CQ211" s="3">
        <f>CP211</f>
        <v>1000</v>
      </c>
      <c r="CR211" s="3">
        <f>CQ211</f>
        <v>1000</v>
      </c>
      <c r="CS211" s="3">
        <f>CR211</f>
        <v>1000</v>
      </c>
      <c r="CT211" s="3">
        <f>CS211</f>
        <v>1000</v>
      </c>
      <c r="CU211" s="3">
        <f>CT211</f>
        <v>1000</v>
      </c>
      <c r="CV211" s="3">
        <f>CU211</f>
        <v>1000</v>
      </c>
      <c r="CW211" s="3">
        <f>CV211</f>
        <v>1000</v>
      </c>
      <c r="CX211" s="3">
        <f>CW211</f>
        <v>1000</v>
      </c>
      <c r="CY211" s="3">
        <f>CX211</f>
        <v>1000</v>
      </c>
    </row>
    <row r="212">
      <c r="C212" s="26" t="inlineStr">
        <is>
          <t>Short term debt (Revolving credit facility)</t>
        </is>
      </c>
      <c r="D212" s="25" t="n"/>
      <c r="E212" s="25" t="n"/>
      <c r="F212" s="25" t="n"/>
      <c r="G212" s="25" t="n"/>
      <c r="H212" s="3">
        <f>G212</f>
        <v>0</v>
      </c>
      <c r="I212" s="25" t="n"/>
      <c r="J212" s="25" t="n"/>
      <c r="K212" s="25" t="n"/>
      <c r="L212" s="25" t="n"/>
      <c r="M212" s="3">
        <f>L212</f>
        <v>0</v>
      </c>
      <c r="N212" s="25" t="n"/>
      <c r="O212" s="25" t="n"/>
      <c r="P212" s="25" t="n"/>
      <c r="Q212" s="25" t="n"/>
      <c r="R212" s="3">
        <f>Q212</f>
        <v>0</v>
      </c>
      <c r="S212" s="25" t="n"/>
      <c r="T212" s="25" t="n"/>
      <c r="U212" s="25" t="n"/>
      <c r="V212" s="25" t="n"/>
      <c r="W212" s="3">
        <f>V212</f>
        <v>0</v>
      </c>
      <c r="X212" s="25" t="n"/>
      <c r="Y212" s="25" t="n"/>
      <c r="Z212" s="25" t="n"/>
      <c r="AA212" s="25" t="n"/>
      <c r="AB212" s="3">
        <f>AA212</f>
        <v>0</v>
      </c>
      <c r="AC212" s="25" t="n"/>
      <c r="AD212" s="25" t="n"/>
      <c r="AE212" s="25" t="n"/>
      <c r="AF212" s="25" t="n"/>
      <c r="AG212" s="3">
        <f>AF212</f>
        <v>0</v>
      </c>
      <c r="AH212" s="3">
        <f>AG212</f>
        <v>0</v>
      </c>
      <c r="AI212" s="3">
        <f>AH212</f>
        <v>0</v>
      </c>
      <c r="AJ212" s="3">
        <f>AI212</f>
        <v>0</v>
      </c>
      <c r="AK212" s="3">
        <f>AJ212</f>
        <v>0</v>
      </c>
      <c r="AL212" s="3">
        <f>AK212</f>
        <v>0</v>
      </c>
      <c r="AM212" s="3">
        <f>AL212</f>
        <v>0</v>
      </c>
      <c r="AN212" s="3">
        <f>AM212</f>
        <v>0</v>
      </c>
      <c r="AO212" s="3">
        <f>AN212</f>
        <v>0</v>
      </c>
      <c r="AP212" s="3">
        <f>AO212</f>
        <v>0</v>
      </c>
      <c r="AQ212" s="3">
        <f>AP212</f>
        <v>0</v>
      </c>
      <c r="AR212" s="3">
        <f>AQ212</f>
        <v>0</v>
      </c>
      <c r="AS212" s="3">
        <f>AR212</f>
        <v>0</v>
      </c>
      <c r="AT212" s="3">
        <f>AS212</f>
        <v>0</v>
      </c>
      <c r="AU212" s="3">
        <f>AT212</f>
        <v>0</v>
      </c>
      <c r="AV212" s="3">
        <f>AU212</f>
        <v>0</v>
      </c>
      <c r="AW212" s="3">
        <f>AV212</f>
        <v>0</v>
      </c>
      <c r="AX212" s="3">
        <f>AW212</f>
        <v>0</v>
      </c>
      <c r="AY212" s="3">
        <f>AX212</f>
        <v>0</v>
      </c>
      <c r="AZ212" s="3">
        <f>AY212</f>
        <v>0</v>
      </c>
      <c r="BA212" s="3">
        <f>AZ212</f>
        <v>0</v>
      </c>
      <c r="BB212" s="3">
        <f>BA212</f>
        <v>0</v>
      </c>
      <c r="BC212" s="3">
        <f>BB212</f>
        <v>0</v>
      </c>
      <c r="BD212" s="3">
        <f>BC212</f>
        <v>0</v>
      </c>
      <c r="BE212" s="3">
        <f>BD212</f>
        <v>0</v>
      </c>
      <c r="BF212" s="3">
        <f>BE212</f>
        <v>0</v>
      </c>
      <c r="BG212" s="3">
        <f>BF212</f>
        <v>0</v>
      </c>
      <c r="BH212" s="3">
        <f>BG212</f>
        <v>0</v>
      </c>
      <c r="BI212" s="3">
        <f>BH212</f>
        <v>0</v>
      </c>
      <c r="BJ212" s="3">
        <f>BI212</f>
        <v>0</v>
      </c>
      <c r="BK212" s="3">
        <f>BJ212</f>
        <v>0</v>
      </c>
      <c r="BL212" s="3">
        <f>BK212</f>
        <v>0</v>
      </c>
      <c r="BM212" s="3">
        <f>BL212</f>
        <v>0</v>
      </c>
      <c r="BN212" s="3">
        <f>BM212</f>
        <v>0</v>
      </c>
      <c r="BO212" s="3">
        <f>BN212</f>
        <v>0</v>
      </c>
      <c r="BP212" s="3">
        <f>BO212</f>
        <v>0</v>
      </c>
      <c r="BQ212" s="3">
        <f>BP212</f>
        <v>0</v>
      </c>
      <c r="BR212" s="3">
        <f>BQ212</f>
        <v>0</v>
      </c>
      <c r="BS212" s="3">
        <f>BR212</f>
        <v>0</v>
      </c>
      <c r="BT212" s="3">
        <f>BS212</f>
        <v>0</v>
      </c>
      <c r="BU212" s="3">
        <f>BT212</f>
        <v>0</v>
      </c>
      <c r="BV212" s="3">
        <f>BU212</f>
        <v>0</v>
      </c>
      <c r="BW212" s="3">
        <f>BV212</f>
        <v>0</v>
      </c>
      <c r="BX212" s="3">
        <f>BW212</f>
        <v>0</v>
      </c>
      <c r="BY212" s="3">
        <f>BX212</f>
        <v>0</v>
      </c>
      <c r="BZ212" s="3">
        <f>BY212</f>
        <v>0</v>
      </c>
      <c r="CA212" s="3">
        <f>BZ212</f>
        <v>0</v>
      </c>
      <c r="CB212" s="3">
        <f>CA212</f>
        <v>0</v>
      </c>
      <c r="CC212" s="3">
        <f>CB212</f>
        <v>0</v>
      </c>
      <c r="CD212" s="3">
        <f>CC212</f>
        <v>0</v>
      </c>
      <c r="CE212" s="3">
        <f>CD212</f>
        <v>0</v>
      </c>
      <c r="CF212" s="3">
        <f>CE212</f>
        <v>0</v>
      </c>
      <c r="CG212" s="3">
        <f>CF212</f>
        <v>0</v>
      </c>
      <c r="CH212" s="3">
        <f>CG212</f>
        <v>0</v>
      </c>
      <c r="CI212" s="3">
        <f>CH212</f>
        <v>0</v>
      </c>
      <c r="CJ212" s="3">
        <f>CI212</f>
        <v>0</v>
      </c>
      <c r="CK212" s="3">
        <f>CJ212</f>
        <v>0</v>
      </c>
      <c r="CL212" s="3">
        <f>CK212</f>
        <v>0</v>
      </c>
      <c r="CM212" s="3">
        <f>CL212</f>
        <v>0</v>
      </c>
      <c r="CN212" s="3">
        <f>CM212</f>
        <v>0</v>
      </c>
      <c r="CO212" s="3">
        <f>CN212</f>
        <v>0</v>
      </c>
      <c r="CP212" s="3">
        <f>CO212</f>
        <v>0</v>
      </c>
      <c r="CQ212" s="3">
        <f>CP212</f>
        <v>0</v>
      </c>
      <c r="CR212" s="3">
        <f>CQ212</f>
        <v>0</v>
      </c>
      <c r="CS212" s="3">
        <f>CR212</f>
        <v>0</v>
      </c>
      <c r="CT212" s="3">
        <f>CS212</f>
        <v>0</v>
      </c>
      <c r="CU212" s="3">
        <f>CT212</f>
        <v>0</v>
      </c>
      <c r="CV212" s="3">
        <f>CU212</f>
        <v>0</v>
      </c>
      <c r="CW212" s="3">
        <f>CV212</f>
        <v>0</v>
      </c>
      <c r="CX212" s="3">
        <f>CW212</f>
        <v>0</v>
      </c>
      <c r="CY212" s="3">
        <f>CX212</f>
        <v>0</v>
      </c>
    </row>
    <row r="213">
      <c r="C213" s="26" t="inlineStr">
        <is>
          <t>Short term operating leases</t>
        </is>
      </c>
      <c r="D213" s="25" t="n"/>
      <c r="E213" s="25" t="n"/>
      <c r="F213" s="25" t="n"/>
      <c r="G213" s="25" t="n"/>
      <c r="H213" s="3">
        <f>G213</f>
        <v>0</v>
      </c>
      <c r="I213" s="25" t="n"/>
      <c r="J213" s="25" t="n"/>
      <c r="K213" s="25" t="n"/>
      <c r="L213" s="25" t="n"/>
      <c r="M213" s="3">
        <f>L213</f>
        <v>0</v>
      </c>
      <c r="N213" s="25" t="n"/>
      <c r="O213" s="25" t="n"/>
      <c r="P213" s="25" t="n"/>
      <c r="Q213" s="25" t="n"/>
      <c r="R213" s="3">
        <f>Q213</f>
        <v>0</v>
      </c>
      <c r="S213" s="25" t="n"/>
      <c r="T213" s="25" t="n"/>
      <c r="U213" s="25" t="n"/>
      <c r="V213" s="25" t="n"/>
      <c r="W213" s="3">
        <f>V213</f>
        <v>0</v>
      </c>
      <c r="X213" s="25" t="n"/>
      <c r="Y213" s="25" t="n"/>
      <c r="Z213" s="25" t="n"/>
      <c r="AA213" s="25" t="n"/>
      <c r="AB213" s="3">
        <f>AA213</f>
        <v>0</v>
      </c>
      <c r="AC213" s="25" t="n"/>
      <c r="AD213" s="25" t="n"/>
      <c r="AE213" s="25" t="n"/>
      <c r="AF213" s="25" t="n"/>
      <c r="AG213" s="3">
        <f>AF213</f>
        <v>0</v>
      </c>
      <c r="AH213" s="3">
        <f>AG213</f>
        <v>0</v>
      </c>
      <c r="AI213" s="3">
        <f>AH213</f>
        <v>0</v>
      </c>
      <c r="AJ213" s="3">
        <f>AI213</f>
        <v>0</v>
      </c>
      <c r="AK213" s="3">
        <f>AJ213</f>
        <v>0</v>
      </c>
      <c r="AL213" s="3">
        <f>AK213</f>
        <v>0</v>
      </c>
      <c r="AM213" s="3">
        <f>AL213</f>
        <v>0</v>
      </c>
      <c r="AN213" s="3">
        <f>AM213</f>
        <v>0</v>
      </c>
      <c r="AO213" s="3">
        <f>AN213</f>
        <v>0</v>
      </c>
      <c r="AP213" s="3">
        <f>AO213</f>
        <v>0</v>
      </c>
      <c r="AQ213" s="3">
        <f>AP213</f>
        <v>0</v>
      </c>
      <c r="AR213" s="3">
        <f>AQ213</f>
        <v>0</v>
      </c>
      <c r="AS213" s="3">
        <f>AR213</f>
        <v>0</v>
      </c>
      <c r="AT213" s="3">
        <f>AS213</f>
        <v>0</v>
      </c>
      <c r="AU213" s="3">
        <f>AT213</f>
        <v>0</v>
      </c>
      <c r="AV213" s="3">
        <f>AU213</f>
        <v>0</v>
      </c>
      <c r="AW213" s="3">
        <f>AV213</f>
        <v>0</v>
      </c>
      <c r="AX213" s="3">
        <f>AW213</f>
        <v>0</v>
      </c>
      <c r="AY213" s="3">
        <f>AX213</f>
        <v>0</v>
      </c>
      <c r="AZ213" s="3">
        <f>AY213</f>
        <v>0</v>
      </c>
      <c r="BA213" s="3">
        <f>AZ213</f>
        <v>0</v>
      </c>
      <c r="BB213" s="3">
        <f>BA213</f>
        <v>0</v>
      </c>
      <c r="BC213" s="3">
        <f>BB213</f>
        <v>0</v>
      </c>
      <c r="BD213" s="3">
        <f>BC213</f>
        <v>0</v>
      </c>
      <c r="BE213" s="3">
        <f>BD213</f>
        <v>0</v>
      </c>
      <c r="BF213" s="3">
        <f>BE213</f>
        <v>0</v>
      </c>
      <c r="BG213" s="3">
        <f>BF213</f>
        <v>0</v>
      </c>
      <c r="BH213" s="3">
        <f>BG213</f>
        <v>0</v>
      </c>
      <c r="BI213" s="3">
        <f>BH213</f>
        <v>0</v>
      </c>
      <c r="BJ213" s="3">
        <f>BI213</f>
        <v>0</v>
      </c>
      <c r="BK213" s="3">
        <f>BJ213</f>
        <v>0</v>
      </c>
      <c r="BL213" s="3">
        <f>BK213</f>
        <v>0</v>
      </c>
      <c r="BM213" s="3">
        <f>BL213</f>
        <v>0</v>
      </c>
      <c r="BN213" s="3">
        <f>BM213</f>
        <v>0</v>
      </c>
      <c r="BO213" s="3">
        <f>BN213</f>
        <v>0</v>
      </c>
      <c r="BP213" s="3">
        <f>BO213</f>
        <v>0</v>
      </c>
      <c r="BQ213" s="3">
        <f>BP213</f>
        <v>0</v>
      </c>
      <c r="BR213" s="3">
        <f>BQ213</f>
        <v>0</v>
      </c>
      <c r="BS213" s="3">
        <f>BR213</f>
        <v>0</v>
      </c>
      <c r="BT213" s="3">
        <f>BS213</f>
        <v>0</v>
      </c>
      <c r="BU213" s="3">
        <f>BT213</f>
        <v>0</v>
      </c>
      <c r="BV213" s="3">
        <f>BU213</f>
        <v>0</v>
      </c>
      <c r="BW213" s="3">
        <f>BV213</f>
        <v>0</v>
      </c>
      <c r="BX213" s="3">
        <f>BW213</f>
        <v>0</v>
      </c>
      <c r="BY213" s="3">
        <f>BX213</f>
        <v>0</v>
      </c>
      <c r="BZ213" s="3">
        <f>BY213</f>
        <v>0</v>
      </c>
      <c r="CA213" s="3">
        <f>BZ213</f>
        <v>0</v>
      </c>
      <c r="CB213" s="3">
        <f>CA213</f>
        <v>0</v>
      </c>
      <c r="CC213" s="3">
        <f>CB213</f>
        <v>0</v>
      </c>
      <c r="CD213" s="3">
        <f>CC213</f>
        <v>0</v>
      </c>
      <c r="CE213" s="3">
        <f>CD213</f>
        <v>0</v>
      </c>
      <c r="CF213" s="3">
        <f>CE213</f>
        <v>0</v>
      </c>
      <c r="CG213" s="3">
        <f>CF213</f>
        <v>0</v>
      </c>
      <c r="CH213" s="3">
        <f>CG213</f>
        <v>0</v>
      </c>
      <c r="CI213" s="3">
        <f>CH213</f>
        <v>0</v>
      </c>
      <c r="CJ213" s="3">
        <f>CI213</f>
        <v>0</v>
      </c>
      <c r="CK213" s="3">
        <f>CJ213</f>
        <v>0</v>
      </c>
      <c r="CL213" s="3">
        <f>CK213</f>
        <v>0</v>
      </c>
      <c r="CM213" s="3">
        <f>CL213</f>
        <v>0</v>
      </c>
      <c r="CN213" s="3">
        <f>CM213</f>
        <v>0</v>
      </c>
      <c r="CO213" s="3">
        <f>CN213</f>
        <v>0</v>
      </c>
      <c r="CP213" s="3">
        <f>CO213</f>
        <v>0</v>
      </c>
      <c r="CQ213" s="3">
        <f>CP213</f>
        <v>0</v>
      </c>
      <c r="CR213" s="3">
        <f>CQ213</f>
        <v>0</v>
      </c>
      <c r="CS213" s="3">
        <f>CR213</f>
        <v>0</v>
      </c>
      <c r="CT213" s="3">
        <f>CS213</f>
        <v>0</v>
      </c>
      <c r="CU213" s="3">
        <f>CT213</f>
        <v>0</v>
      </c>
      <c r="CV213" s="3">
        <f>CU213</f>
        <v>0</v>
      </c>
      <c r="CW213" s="3">
        <f>CV213</f>
        <v>0</v>
      </c>
      <c r="CX213" s="3">
        <f>CW213</f>
        <v>0</v>
      </c>
      <c r="CY213" s="3">
        <f>CX213</f>
        <v>0</v>
      </c>
    </row>
    <row r="214" hidden="1" outlineLevel="1">
      <c r="C214" s="38" t="inlineStr">
        <is>
          <t>%(Var.)</t>
        </is>
      </c>
      <c r="D214" s="3" t="n"/>
      <c r="E214" s="47">
        <f>IFERROR((E213-D213)/D213,0)</f>
        <v>0</v>
      </c>
      <c r="F214" s="47">
        <f>IFERROR((F213-E213)/E213,0)</f>
        <v>0</v>
      </c>
      <c r="G214" s="47">
        <f>IFERROR((G213-F213)/F213,0)</f>
        <v>0</v>
      </c>
      <c r="H214" s="3" t="n"/>
      <c r="I214" s="47">
        <f>IFERROR((I213-H213)/H213,0)</f>
        <v>0</v>
      </c>
      <c r="J214" s="47">
        <f>IFERROR((J213-I213)/I213,0)</f>
        <v>0</v>
      </c>
      <c r="K214" s="47">
        <f>IFERROR((K213-J213)/J213,0)</f>
        <v>0</v>
      </c>
      <c r="L214" s="47">
        <f>IFERROR((L213-K213)/K213,0)</f>
        <v>0</v>
      </c>
      <c r="M214" s="3" t="n"/>
      <c r="N214" s="47">
        <f>IFERROR((N213-M213)/M213,0)</f>
        <v>0</v>
      </c>
      <c r="O214" s="47">
        <f>IFERROR((O213-N213)/N213,0)</f>
        <v>0</v>
      </c>
      <c r="P214" s="47">
        <f>IFERROR((P213-O213)/O213,0)</f>
        <v>0</v>
      </c>
      <c r="Q214" s="47">
        <f>IFERROR((Q213-P213)/P213,0)</f>
        <v>0</v>
      </c>
      <c r="R214" s="3" t="n"/>
      <c r="S214" s="47">
        <f>IFERROR((S213-R213)/R213,0)</f>
        <v>0</v>
      </c>
      <c r="T214" s="47">
        <f>IFERROR((T213-S213)/S213,0)</f>
        <v>0</v>
      </c>
      <c r="U214" s="47">
        <f>IFERROR((U213-T213)/T213,0)</f>
        <v>0</v>
      </c>
      <c r="V214" s="47">
        <f>IFERROR((V213-U213)/U213,0)</f>
        <v>0</v>
      </c>
      <c r="W214" s="3" t="n"/>
      <c r="X214" s="47">
        <f>IFERROR((X213-W213)/W213,0)</f>
        <v>0</v>
      </c>
      <c r="Y214" s="47">
        <f>IFERROR((Y213-X213)/X213,0)</f>
        <v>0</v>
      </c>
      <c r="Z214" s="47">
        <f>IFERROR((Z213-Y213)/Y213,0)</f>
        <v>0</v>
      </c>
      <c r="AA214" s="47">
        <f>IFERROR((AA213-Z213)/Z213,0)</f>
        <v>0</v>
      </c>
      <c r="AB214" s="3" t="n"/>
      <c r="AC214" s="47">
        <f>IFERROR((AC213-AB213)/AB213,0)</f>
        <v>0</v>
      </c>
      <c r="AD214" s="47">
        <f>IFERROR((AD213-AC213)/AC213,0)</f>
        <v>0</v>
      </c>
      <c r="AE214" s="47">
        <f>IFERROR((AE213-AD213)/AD213,0)</f>
        <v>0</v>
      </c>
      <c r="AF214" s="6">
        <f>IFERROR((AF213-AE213)/AE213,0)</f>
        <v>0</v>
      </c>
      <c r="AG214" s="3" t="n"/>
      <c r="AH214" s="6">
        <f>IFERROR((AH213-AG213)/AG213,0)</f>
        <v>0</v>
      </c>
      <c r="AI214" s="6">
        <f>IFERROR((AI213-AH213)/AH213,0)</f>
        <v>0</v>
      </c>
      <c r="AJ214" s="6" t="n"/>
      <c r="AK214" s="6" t="n"/>
      <c r="AL214" s="3" t="n"/>
      <c r="AM214" s="6" t="n"/>
      <c r="AN214" s="6" t="n"/>
      <c r="AO214" s="6" t="n"/>
      <c r="AP214" s="6" t="n"/>
      <c r="AQ214" s="3" t="n"/>
      <c r="AR214" s="6" t="n"/>
      <c r="AS214" s="6" t="n"/>
      <c r="AT214" s="6" t="n"/>
      <c r="AU214" s="6" t="n"/>
      <c r="AV214" s="3" t="n"/>
      <c r="AW214" s="6" t="n"/>
      <c r="AX214" s="6" t="n"/>
      <c r="AY214" s="6" t="n"/>
      <c r="AZ214" s="6" t="n"/>
      <c r="BA214" s="3" t="n"/>
      <c r="BB214" s="6" t="n"/>
      <c r="BC214" s="6" t="n"/>
      <c r="BD214" s="6" t="n"/>
      <c r="BE214" s="6" t="n"/>
      <c r="BF214" s="3" t="n"/>
      <c r="BG214" s="6" t="n"/>
      <c r="BH214" s="6" t="n"/>
      <c r="BI214" s="6" t="n"/>
      <c r="BJ214" s="6" t="n"/>
      <c r="BK214" s="3" t="n"/>
      <c r="BL214" s="6" t="n"/>
      <c r="BM214" s="6" t="n"/>
      <c r="BN214" s="6" t="n"/>
      <c r="BO214" s="6" t="n"/>
      <c r="BP214" s="3" t="n"/>
      <c r="BQ214" s="6" t="n"/>
      <c r="BR214" s="6" t="n"/>
      <c r="BS214" s="6" t="n"/>
      <c r="BT214" s="6" t="n"/>
      <c r="BU214" s="3" t="n"/>
      <c r="BV214" s="6" t="n"/>
      <c r="BW214" s="6" t="n"/>
      <c r="BX214" s="6" t="n"/>
      <c r="BY214" s="6" t="n"/>
      <c r="BZ214" s="3" t="n"/>
      <c r="CA214" s="6" t="n"/>
      <c r="CB214" s="6" t="n"/>
      <c r="CC214" s="6" t="n"/>
      <c r="CD214" s="6" t="n"/>
      <c r="CE214" s="3" t="n"/>
      <c r="CF214" s="6" t="n"/>
      <c r="CG214" s="6" t="n"/>
      <c r="CH214" s="6" t="n"/>
      <c r="CI214" s="6" t="n"/>
      <c r="CJ214" s="3" t="n"/>
      <c r="CK214" s="6" t="n"/>
      <c r="CL214" s="6" t="n"/>
      <c r="CM214" s="6" t="n"/>
      <c r="CN214" s="6" t="n"/>
      <c r="CO214" s="3" t="n"/>
      <c r="CP214" s="6" t="n"/>
      <c r="CQ214" s="6" t="n"/>
      <c r="CR214" s="6" t="n"/>
      <c r="CS214" s="6" t="n"/>
      <c r="CT214" s="3" t="n"/>
      <c r="CU214" s="6" t="n"/>
      <c r="CV214" s="6" t="n"/>
      <c r="CW214" s="6" t="n"/>
      <c r="CX214" s="6" t="n"/>
      <c r="CY214" s="3" t="n"/>
    </row>
    <row r="215" hidden="1" outlineLevel="1">
      <c r="C215" s="34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/>
      <c r="AC215" s="3" t="n"/>
      <c r="AD215" s="3" t="n"/>
      <c r="AE215" s="3" t="n"/>
      <c r="AF215" s="3" t="n"/>
      <c r="AG215" s="3" t="n"/>
      <c r="AH215" s="3" t="n"/>
      <c r="AI215" s="3" t="n"/>
      <c r="AJ215" s="3" t="n"/>
      <c r="AK215" s="3" t="n"/>
      <c r="AL215" s="3" t="n"/>
      <c r="AM215" s="3" t="n"/>
      <c r="AN215" s="3" t="n"/>
      <c r="AO215" s="3" t="n"/>
      <c r="AP215" s="3" t="n"/>
      <c r="AQ215" s="3" t="n"/>
      <c r="AR215" s="3" t="n"/>
      <c r="AS215" s="3" t="n"/>
      <c r="AT215" s="3" t="n"/>
      <c r="AU215" s="3" t="n"/>
      <c r="AV215" s="3" t="n"/>
      <c r="AW215" s="3" t="n"/>
      <c r="AX215" s="3" t="n"/>
      <c r="AY215" s="3" t="n"/>
      <c r="AZ215" s="3" t="n"/>
      <c r="BA215" s="3" t="n"/>
      <c r="BB215" s="3" t="n"/>
      <c r="BC215" s="3" t="n"/>
      <c r="BD215" s="3" t="n"/>
      <c r="BE215" s="3" t="n"/>
      <c r="BF215" s="3" t="n"/>
      <c r="BG215" s="3" t="n"/>
      <c r="BH215" s="3" t="n"/>
      <c r="BI215" s="3" t="n"/>
      <c r="BJ215" s="3" t="n"/>
      <c r="BK215" s="3" t="n"/>
      <c r="BL215" s="3" t="n"/>
      <c r="BM215" s="3" t="n"/>
      <c r="BN215" s="3" t="n"/>
      <c r="BO215" s="3" t="n"/>
      <c r="BP215" s="3" t="n"/>
      <c r="BQ215" s="3" t="n"/>
      <c r="BR215" s="3" t="n"/>
      <c r="BS215" s="3" t="n"/>
      <c r="BT215" s="3" t="n"/>
      <c r="BU215" s="3" t="n"/>
      <c r="BV215" s="3" t="n"/>
      <c r="BW215" s="3" t="n"/>
      <c r="BX215" s="3" t="n"/>
      <c r="BY215" s="3" t="n"/>
      <c r="BZ215" s="3" t="n"/>
      <c r="CA215" s="3" t="n"/>
      <c r="CB215" s="3" t="n"/>
      <c r="CC215" s="3" t="n"/>
      <c r="CD215" s="3" t="n"/>
      <c r="CE215" s="3" t="n"/>
      <c r="CF215" s="3" t="n"/>
      <c r="CG215" s="3" t="n"/>
      <c r="CH215" s="3" t="n"/>
      <c r="CI215" s="3" t="n"/>
      <c r="CJ215" s="3" t="n"/>
      <c r="CK215" s="3" t="n"/>
      <c r="CL215" s="3" t="n"/>
      <c r="CM215" s="3" t="n"/>
      <c r="CN215" s="3" t="n"/>
      <c r="CO215" s="3" t="n"/>
      <c r="CP215" s="3" t="n"/>
      <c r="CQ215" s="3" t="n"/>
      <c r="CR215" s="3" t="n"/>
      <c r="CS215" s="3" t="n"/>
      <c r="CT215" s="3" t="n"/>
      <c r="CU215" s="3" t="n"/>
      <c r="CV215" s="3" t="n"/>
      <c r="CW215" s="3" t="n"/>
      <c r="CX215" s="3" t="n"/>
      <c r="CY215" s="3" t="n"/>
    </row>
    <row r="216" collapsed="1">
      <c r="C216" s="26" t="inlineStr">
        <is>
          <t>Long term debt</t>
        </is>
      </c>
      <c r="D216" s="25">
        <f>INDEX('Inputs (2)'!$D$35:$AL$35,MATCH(D$7,'Inputs (2)'!$D$2:$AL$2,0))</f>
        <v>6959</v>
      </c>
      <c r="E216" s="25">
        <f>INDEX('Inputs (2)'!$D$35:$AL$35,MATCH(E$7,'Inputs (2)'!$D$2:$AL$2,0))</f>
        <v>6960</v>
      </c>
      <c r="F216" s="25">
        <f>INDEX('Inputs (2)'!$D$35:$AL$35,MATCH(F$7,'Inputs (2)'!$D$2:$AL$2,0))</f>
        <v>5963</v>
      </c>
      <c r="G216" s="25">
        <f>INDEX('Inputs (2)'!$D$35:$AL$35,MATCH(G$7,'Inputs (2)'!$D$2:$AL$2,0))</f>
        <v>5964</v>
      </c>
      <c r="H216" s="3">
        <f>G216</f>
        <v>5964</v>
      </c>
      <c r="I216" s="25">
        <f>INDEX('Inputs (2)'!$D$35:$AL$35,MATCH(I$7,'Inputs (2)'!$D$2:$AL$2,0))</f>
        <v>5964</v>
      </c>
      <c r="J216" s="25">
        <f>INDEX('Inputs (2)'!$D$35:$AL$35,MATCH(J$7,'Inputs (2)'!$D$2:$AL$2,0))</f>
        <v>10943</v>
      </c>
      <c r="K216" s="25">
        <f>INDEX('Inputs (2)'!$D$35:$AL$35,MATCH(K$7,'Inputs (2)'!$D$2:$AL$2,0))</f>
        <v>10944</v>
      </c>
      <c r="L216" s="25">
        <f>INDEX('Inputs (2)'!$D$35:$AL$35,MATCH(L$7,'Inputs (2)'!$D$2:$AL$2,0))</f>
        <v>10946</v>
      </c>
      <c r="M216" s="3">
        <f>L216</f>
        <v>10946</v>
      </c>
      <c r="N216" s="25">
        <f>INDEX('Inputs (2)'!$D$35:$AL$35,MATCH(N$7,'Inputs (2)'!$D$2:$AL$2,0))</f>
        <v>10947</v>
      </c>
      <c r="O216" s="25">
        <f>INDEX('Inputs (2)'!$D$35:$AL$35,MATCH(O$7,'Inputs (2)'!$D$2:$AL$2,0))</f>
        <v>9700</v>
      </c>
      <c r="P216" s="25">
        <f>INDEX('Inputs (2)'!$D$35:$AL$35,MATCH(P$7,'Inputs (2)'!$D$2:$AL$2,0))</f>
        <v>9701</v>
      </c>
      <c r="Q216" s="25">
        <f>INDEX('Inputs (2)'!$D$35:$AL$35,MATCH(Q$7,'Inputs (2)'!$D$2:$AL$2,0))</f>
        <v>9703</v>
      </c>
      <c r="R216" s="3">
        <f>Q216</f>
        <v>9703</v>
      </c>
      <c r="S216" s="25">
        <f>INDEX('Inputs (2)'!$D$35:$AL$35,MATCH(S$7,'Inputs (2)'!$D$2:$AL$2,0))</f>
        <v>9704</v>
      </c>
      <c r="T216" s="25">
        <f>INDEX('Inputs (2)'!$D$35:$AL$35,MATCH(T$7,'Inputs (2)'!$D$2:$AL$2,0))</f>
        <v>8456</v>
      </c>
      <c r="U216" s="25">
        <f>INDEX('Inputs (2)'!$D$35:$AL$35,MATCH(U$7,'Inputs (2)'!$D$2:$AL$2,0))</f>
        <v>8457</v>
      </c>
      <c r="V216" s="25">
        <f>INDEX('Inputs (2)'!$D$35:$AL$35,MATCH(V$7,'Inputs (2)'!$D$2:$AL$2,0))</f>
        <v>8459</v>
      </c>
      <c r="W216" s="3">
        <f>V216</f>
        <v>8459</v>
      </c>
      <c r="X216" s="25">
        <f>INDEX('Inputs (2)'!$D$35:$AL$35,MATCH(X$7,'Inputs (2)'!$D$2:$AL$2,0))</f>
        <v>8460</v>
      </c>
      <c r="Y216" s="25">
        <f>INDEX('Inputs (2)'!$D$35:$AL$35,MATCH(Y$7,'Inputs (2)'!$D$2:$AL$2,0))</f>
        <v>8461</v>
      </c>
      <c r="Z216" s="25">
        <f>INDEX('Inputs (2)'!$D$35:$AL$35,MATCH(Z$7,'Inputs (2)'!$D$2:$AL$2,0))</f>
        <v>8462</v>
      </c>
      <c r="AA216" s="25">
        <f>INDEX('Inputs (2)'!$D$35:$AL$35,MATCH(AA$7,'Inputs (2)'!$D$2:$AL$2,0))</f>
        <v>8463</v>
      </c>
      <c r="AB216" s="3">
        <f>AA216</f>
        <v>8463</v>
      </c>
      <c r="AC216" s="25">
        <f>INDEX('Inputs (2)'!$D$35:$AL$35,MATCH(AC$7,'Inputs (2)'!$D$2:$AL$2,0))</f>
        <v>8464</v>
      </c>
      <c r="AD216" s="25">
        <f>INDEX('Inputs (2)'!$D$35:$AL$35,MATCH(AD$7,'Inputs (2)'!$D$2:$AL$2,0))</f>
        <v>8466</v>
      </c>
      <c r="AE216" s="25">
        <f>INDEX('Inputs (2)'!$D$35:$AL$35,MATCH(AE$7,'Inputs (2)'!$D$2:$AL$2,0))</f>
        <v>7468</v>
      </c>
      <c r="AF216" s="25">
        <f>INDEX('Inputs (2)'!$D$35:$AL$35,MATCH(AF$7,'Inputs (2)'!$D$2:$AL$2,0))</f>
        <v>7469</v>
      </c>
      <c r="AG216" s="3">
        <f>AF216</f>
        <v>7469</v>
      </c>
      <c r="AH216" s="3">
        <f>INDEX('Inputs (2)'!$D$35:$AL$35,MATCH(AH$7,'Inputs (2)'!$D$2:$AL$2,0))</f>
        <v>7470</v>
      </c>
      <c r="AI216" s="3">
        <f>INDEX('Inputs (2)'!$D$35:$AL$35,MATCH(AI$7,'Inputs (2)'!$D$2:$AL$2,0))</f>
        <v>32366</v>
      </c>
      <c r="AJ216" s="3">
        <f>AJ222</f>
        <v>32366</v>
      </c>
      <c r="AK216" s="3">
        <f>AK222</f>
        <v>32366</v>
      </c>
      <c r="AL216" s="3">
        <f>AK216</f>
        <v>32366</v>
      </c>
      <c r="AM216" s="3">
        <f>AM222</f>
        <v>32366</v>
      </c>
      <c r="AN216" s="3">
        <f>AN222</f>
        <v>32366</v>
      </c>
      <c r="AO216" s="3">
        <f>AO222</f>
        <v>32366</v>
      </c>
      <c r="AP216" s="3">
        <f>AP222</f>
        <v>32366</v>
      </c>
      <c r="AQ216" s="3">
        <f>AP216</f>
        <v>32366</v>
      </c>
      <c r="AR216" s="3">
        <f>AR222</f>
        <v>32366</v>
      </c>
      <c r="AS216" s="3">
        <f>AS222</f>
        <v>32366</v>
      </c>
      <c r="AT216" s="3">
        <f>AT222</f>
        <v>32366</v>
      </c>
      <c r="AU216" s="3">
        <f>AU222</f>
        <v>32366</v>
      </c>
      <c r="AV216" s="3">
        <f>AU216</f>
        <v>32366</v>
      </c>
      <c r="AW216" s="3">
        <f>AW222</f>
        <v>32366</v>
      </c>
      <c r="AX216" s="3">
        <f>AX222</f>
        <v>32366</v>
      </c>
      <c r="AY216" s="3">
        <f>AY222</f>
        <v>32366</v>
      </c>
      <c r="AZ216" s="3">
        <f>AZ222</f>
        <v>32366</v>
      </c>
      <c r="BA216" s="3">
        <f>AZ216</f>
        <v>32366</v>
      </c>
      <c r="BB216" s="3">
        <f>BB222</f>
        <v>32366</v>
      </c>
      <c r="BC216" s="3">
        <f>BC222</f>
        <v>32366</v>
      </c>
      <c r="BD216" s="3">
        <f>BD222</f>
        <v>32366</v>
      </c>
      <c r="BE216" s="3">
        <f>BE222</f>
        <v>32366</v>
      </c>
      <c r="BF216" s="3">
        <f>BE216</f>
        <v>32366</v>
      </c>
      <c r="BG216" s="3">
        <f>BG222</f>
        <v>32366</v>
      </c>
      <c r="BH216" s="3">
        <f>BH222</f>
        <v>32366</v>
      </c>
      <c r="BI216" s="3">
        <f>BI222</f>
        <v>32366</v>
      </c>
      <c r="BJ216" s="3">
        <f>BJ222</f>
        <v>32366</v>
      </c>
      <c r="BK216" s="3">
        <f>BJ216</f>
        <v>32366</v>
      </c>
      <c r="BL216" s="3">
        <f>BL222</f>
        <v>32366</v>
      </c>
      <c r="BM216" s="3">
        <f>BM222</f>
        <v>32366</v>
      </c>
      <c r="BN216" s="3">
        <f>BN222</f>
        <v>32366</v>
      </c>
      <c r="BO216" s="3">
        <f>BO222</f>
        <v>32366</v>
      </c>
      <c r="BP216" s="3">
        <f>BO216</f>
        <v>32366</v>
      </c>
      <c r="BQ216" s="3">
        <f>BQ222</f>
        <v>32366</v>
      </c>
      <c r="BR216" s="3">
        <f>BR222</f>
        <v>32366</v>
      </c>
      <c r="BS216" s="3">
        <f>BS222</f>
        <v>32366</v>
      </c>
      <c r="BT216" s="3">
        <f>BT222</f>
        <v>32366</v>
      </c>
      <c r="BU216" s="3">
        <f>BT216</f>
        <v>32366</v>
      </c>
      <c r="BV216" s="3">
        <f>BV222</f>
        <v>32366</v>
      </c>
      <c r="BW216" s="3">
        <f>BW222</f>
        <v>32366</v>
      </c>
      <c r="BX216" s="3">
        <f>BX222</f>
        <v>32366</v>
      </c>
      <c r="BY216" s="3">
        <f>BY222</f>
        <v>32366</v>
      </c>
      <c r="BZ216" s="3">
        <f>BY216</f>
        <v>32366</v>
      </c>
      <c r="CA216" s="3">
        <f>CA222</f>
        <v>32366</v>
      </c>
      <c r="CB216" s="3">
        <f>CB222</f>
        <v>32366</v>
      </c>
      <c r="CC216" s="3">
        <f>CC222</f>
        <v>32366</v>
      </c>
      <c r="CD216" s="3">
        <f>CD222</f>
        <v>32366</v>
      </c>
      <c r="CE216" s="3">
        <f>CD216</f>
        <v>32366</v>
      </c>
      <c r="CF216" s="3">
        <f>CF222</f>
        <v>32366</v>
      </c>
      <c r="CG216" s="3">
        <f>CG222</f>
        <v>32366</v>
      </c>
      <c r="CH216" s="3">
        <f>CH222</f>
        <v>32366</v>
      </c>
      <c r="CI216" s="3">
        <f>CI222</f>
        <v>32366</v>
      </c>
      <c r="CJ216" s="3">
        <f>CI216</f>
        <v>32366</v>
      </c>
      <c r="CK216" s="3">
        <f>CK222</f>
        <v>32366</v>
      </c>
      <c r="CL216" s="3">
        <f>CL222</f>
        <v>32366</v>
      </c>
      <c r="CM216" s="3">
        <f>CM222</f>
        <v>32366</v>
      </c>
      <c r="CN216" s="3">
        <f>CN222</f>
        <v>32366</v>
      </c>
      <c r="CO216" s="3">
        <f>CN216</f>
        <v>32366</v>
      </c>
      <c r="CP216" s="3">
        <f>CP222</f>
        <v>32366</v>
      </c>
      <c r="CQ216" s="3">
        <f>CQ222</f>
        <v>32366</v>
      </c>
      <c r="CR216" s="3">
        <f>CR222</f>
        <v>32366</v>
      </c>
      <c r="CS216" s="3">
        <f>CS222</f>
        <v>32366</v>
      </c>
      <c r="CT216" s="3">
        <f>CS216</f>
        <v>32366</v>
      </c>
      <c r="CU216" s="3">
        <f>CU222</f>
        <v>32366</v>
      </c>
      <c r="CV216" s="3">
        <f>CV222</f>
        <v>32366</v>
      </c>
      <c r="CW216" s="3">
        <f>CW222</f>
        <v>32366</v>
      </c>
      <c r="CX216" s="3">
        <f>CX222</f>
        <v>32366</v>
      </c>
      <c r="CY216" s="3">
        <f>CX216</f>
        <v>32366</v>
      </c>
    </row>
    <row r="217" hidden="1" outlineLevel="1">
      <c r="C217" s="34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  <c r="AC217" s="3" t="n"/>
      <c r="AD217" s="3" t="n"/>
      <c r="AE217" s="3" t="n"/>
      <c r="AF217" s="3" t="n"/>
      <c r="AG217" s="3" t="n"/>
      <c r="AH217" s="3" t="n"/>
      <c r="AI217" s="3" t="n"/>
      <c r="AJ217" s="3" t="n"/>
      <c r="AK217" s="3" t="n"/>
      <c r="AL217" s="3" t="n"/>
      <c r="AM217" s="3" t="n"/>
      <c r="AN217" s="3" t="n"/>
      <c r="AO217" s="3" t="n"/>
      <c r="AP217" s="3" t="n"/>
      <c r="AQ217" s="3" t="n"/>
      <c r="AR217" s="3" t="n"/>
      <c r="AS217" s="3" t="n"/>
      <c r="AT217" s="3" t="n"/>
      <c r="AU217" s="3" t="n"/>
      <c r="AV217" s="3" t="n"/>
      <c r="AW217" s="3" t="n"/>
      <c r="AX217" s="3" t="n"/>
      <c r="AY217" s="3" t="n"/>
      <c r="AZ217" s="3" t="n"/>
      <c r="BA217" s="3" t="n"/>
      <c r="BB217" s="3" t="n"/>
      <c r="BC217" s="3" t="n"/>
      <c r="BD217" s="3" t="n"/>
      <c r="BE217" s="3" t="n"/>
      <c r="BF217" s="3" t="n"/>
      <c r="BG217" s="3" t="n"/>
      <c r="BH217" s="3" t="n"/>
      <c r="BI217" s="3" t="n"/>
      <c r="BJ217" s="3" t="n"/>
      <c r="BK217" s="3" t="n"/>
      <c r="BL217" s="3" t="n"/>
      <c r="BM217" s="3" t="n"/>
      <c r="BN217" s="3" t="n"/>
      <c r="BO217" s="3" t="n"/>
      <c r="BP217" s="3" t="n"/>
      <c r="BQ217" s="3" t="n"/>
      <c r="BR217" s="3" t="n"/>
      <c r="BS217" s="3" t="n"/>
      <c r="BT217" s="3" t="n"/>
      <c r="BU217" s="3" t="n"/>
      <c r="BV217" s="3" t="n"/>
      <c r="BW217" s="3" t="n"/>
      <c r="BX217" s="3" t="n"/>
      <c r="BY217" s="3" t="n"/>
      <c r="BZ217" s="3" t="n"/>
      <c r="CA217" s="3" t="n"/>
      <c r="CB217" s="3" t="n"/>
      <c r="CC217" s="3" t="n"/>
      <c r="CD217" s="3" t="n"/>
      <c r="CE217" s="3" t="n"/>
      <c r="CF217" s="3" t="n"/>
      <c r="CG217" s="3" t="n"/>
      <c r="CH217" s="3" t="n"/>
      <c r="CI217" s="3" t="n"/>
      <c r="CJ217" s="3" t="n"/>
      <c r="CK217" s="3" t="n"/>
      <c r="CL217" s="3" t="n"/>
      <c r="CM217" s="3" t="n"/>
      <c r="CN217" s="3" t="n"/>
      <c r="CO217" s="3" t="n"/>
      <c r="CP217" s="3" t="n"/>
      <c r="CQ217" s="3" t="n"/>
      <c r="CR217" s="3" t="n"/>
      <c r="CS217" s="3" t="n"/>
      <c r="CT217" s="3" t="n"/>
      <c r="CU217" s="3" t="n"/>
      <c r="CV217" s="3" t="n"/>
      <c r="CW217" s="3" t="n"/>
      <c r="CX217" s="3" t="n"/>
      <c r="CY217" s="3" t="n"/>
    </row>
    <row r="218" hidden="1" outlineLevel="1">
      <c r="C218" s="34" t="inlineStr">
        <is>
          <t>Current portion of LTD</t>
        </is>
      </c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  <c r="AB218" s="3" t="n"/>
      <c r="AC218" s="3" t="n"/>
      <c r="AD218" s="3" t="n"/>
      <c r="AE218" s="3" t="n"/>
      <c r="AF218" s="3" t="n"/>
      <c r="AG218" s="3" t="n"/>
      <c r="AH218" s="3">
        <f>AF211</f>
        <v>999</v>
      </c>
      <c r="AI218" s="35" t="n"/>
      <c r="AJ218" s="35" t="n"/>
      <c r="AK218" s="35" t="n"/>
      <c r="AL218" s="3" t="n"/>
      <c r="AM218" s="3">
        <f>AK211</f>
        <v>1000</v>
      </c>
      <c r="AN218" s="35" t="n"/>
      <c r="AO218" s="35" t="n"/>
      <c r="AP218" s="35" t="n"/>
      <c r="AQ218" s="3" t="n"/>
      <c r="AR218" s="3">
        <f>AP211</f>
        <v>1000</v>
      </c>
      <c r="AS218" s="35" t="n"/>
      <c r="AT218" s="35" t="n"/>
      <c r="AU218" s="35" t="n"/>
      <c r="AV218" s="3" t="n"/>
      <c r="AW218" s="3">
        <f>AU211</f>
        <v>1000</v>
      </c>
      <c r="AX218" s="35" t="n"/>
      <c r="AY218" s="35" t="n"/>
      <c r="AZ218" s="35" t="n"/>
      <c r="BA218" s="3" t="n"/>
      <c r="BB218" s="3">
        <f>AZ211</f>
        <v>1000</v>
      </c>
      <c r="BC218" s="35" t="n"/>
      <c r="BD218" s="35" t="n"/>
      <c r="BE218" s="35" t="n"/>
      <c r="BF218" s="3" t="n"/>
      <c r="BG218" s="3">
        <f>BE211</f>
        <v>1000</v>
      </c>
      <c r="BH218" s="35" t="n"/>
      <c r="BI218" s="35" t="n"/>
      <c r="BJ218" s="35" t="n"/>
      <c r="BK218" s="3" t="n"/>
      <c r="BL218" s="3">
        <f>BJ211</f>
        <v>1000</v>
      </c>
      <c r="BM218" s="35" t="n"/>
      <c r="BN218" s="35" t="n"/>
      <c r="BO218" s="35" t="n"/>
      <c r="BP218" s="3" t="n"/>
      <c r="BQ218" s="3">
        <f>BO211</f>
        <v>1000</v>
      </c>
      <c r="BR218" s="35" t="n"/>
      <c r="BS218" s="35" t="n"/>
      <c r="BT218" s="35" t="n"/>
      <c r="BU218" s="3" t="n"/>
      <c r="BV218" s="3">
        <f>BT211</f>
        <v>1000</v>
      </c>
      <c r="BW218" s="35" t="n"/>
      <c r="BX218" s="35" t="n"/>
      <c r="BY218" s="35" t="n"/>
      <c r="BZ218" s="3" t="n"/>
      <c r="CA218" s="3">
        <f>BY211</f>
        <v>1000</v>
      </c>
      <c r="CB218" s="35" t="n"/>
      <c r="CC218" s="35" t="n"/>
      <c r="CD218" s="35" t="n"/>
      <c r="CE218" s="3" t="n"/>
      <c r="CF218" s="3">
        <f>CD211</f>
        <v>1000</v>
      </c>
      <c r="CG218" s="35" t="n"/>
      <c r="CH218" s="35" t="n"/>
      <c r="CI218" s="35" t="n"/>
      <c r="CJ218" s="3" t="n"/>
      <c r="CK218" s="3">
        <f>CI211</f>
        <v>1000</v>
      </c>
      <c r="CL218" s="35" t="n"/>
      <c r="CM218" s="35" t="n"/>
      <c r="CN218" s="35" t="n"/>
      <c r="CO218" s="3" t="n"/>
      <c r="CP218" s="3">
        <f>CN211</f>
        <v>1000</v>
      </c>
      <c r="CQ218" s="35" t="n"/>
      <c r="CR218" s="35" t="n"/>
      <c r="CS218" s="35" t="n"/>
      <c r="CT218" s="3" t="n"/>
      <c r="CU218" s="3">
        <f>CS211</f>
        <v>1000</v>
      </c>
      <c r="CV218" s="35" t="n"/>
      <c r="CW218" s="35" t="n"/>
      <c r="CX218" s="35" t="n"/>
      <c r="CY218" s="3" t="n"/>
    </row>
    <row r="219" hidden="1" outlineLevel="1">
      <c r="C219" s="34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  <c r="AB219" s="3" t="n"/>
      <c r="AC219" s="3" t="n"/>
      <c r="AD219" s="3" t="n"/>
      <c r="AE219" s="3" t="n"/>
      <c r="AF219" s="3" t="n"/>
      <c r="AG219" s="3" t="n"/>
      <c r="AH219" s="3" t="n"/>
      <c r="AI219" s="3" t="n"/>
      <c r="AJ219" s="3" t="n"/>
      <c r="AK219" s="3" t="n"/>
      <c r="AL219" s="3" t="n"/>
      <c r="AM219" s="3" t="n"/>
      <c r="AN219" s="3" t="n"/>
      <c r="AO219" s="3" t="n"/>
      <c r="AP219" s="3" t="n"/>
      <c r="AQ219" s="3" t="n"/>
      <c r="AR219" s="3" t="n"/>
      <c r="AS219" s="3" t="n"/>
      <c r="AT219" s="3" t="n"/>
      <c r="AU219" s="3" t="n"/>
      <c r="AV219" s="3" t="n"/>
      <c r="AW219" s="3" t="n"/>
      <c r="AX219" s="3" t="n"/>
      <c r="AY219" s="3" t="n"/>
      <c r="AZ219" s="3" t="n"/>
      <c r="BA219" s="3" t="n"/>
      <c r="BB219" s="3" t="n"/>
      <c r="BC219" s="3" t="n"/>
      <c r="BD219" s="3" t="n"/>
      <c r="BE219" s="3" t="n"/>
      <c r="BF219" s="3" t="n"/>
      <c r="BG219" s="3" t="n"/>
      <c r="BH219" s="3" t="n"/>
      <c r="BI219" s="3" t="n"/>
      <c r="BJ219" s="3" t="n"/>
      <c r="BK219" s="3" t="n"/>
      <c r="BL219" s="3" t="n"/>
      <c r="BM219" s="3" t="n"/>
      <c r="BN219" s="3" t="n"/>
      <c r="BO219" s="3" t="n"/>
      <c r="BP219" s="3" t="n"/>
      <c r="BQ219" s="3" t="n"/>
      <c r="BR219" s="3" t="n"/>
      <c r="BS219" s="3" t="n"/>
      <c r="BT219" s="3" t="n"/>
      <c r="BU219" s="3" t="n"/>
      <c r="BV219" s="3" t="n"/>
      <c r="BW219" s="3" t="n"/>
      <c r="BX219" s="3" t="n"/>
      <c r="BY219" s="3" t="n"/>
      <c r="BZ219" s="3" t="n"/>
      <c r="CA219" s="3" t="n"/>
      <c r="CB219" s="3" t="n"/>
      <c r="CC219" s="3" t="n"/>
      <c r="CD219" s="3" t="n"/>
      <c r="CE219" s="3" t="n"/>
      <c r="CF219" s="3" t="n"/>
      <c r="CG219" s="3" t="n"/>
      <c r="CH219" s="3" t="n"/>
      <c r="CI219" s="3" t="n"/>
      <c r="CJ219" s="3" t="n"/>
      <c r="CK219" s="3" t="n"/>
      <c r="CL219" s="3" t="n"/>
      <c r="CM219" s="3" t="n"/>
      <c r="CN219" s="3" t="n"/>
      <c r="CO219" s="3" t="n"/>
      <c r="CP219" s="3" t="n"/>
      <c r="CQ219" s="3" t="n"/>
      <c r="CR219" s="3" t="n"/>
      <c r="CS219" s="3" t="n"/>
      <c r="CT219" s="3" t="n"/>
      <c r="CU219" s="3" t="n"/>
      <c r="CV219" s="3" t="n"/>
      <c r="CW219" s="3" t="n"/>
      <c r="CX219" s="3" t="n"/>
      <c r="CY219" s="3" t="n"/>
    </row>
    <row r="220" hidden="1" outlineLevel="1">
      <c r="C220" s="34" t="inlineStr">
        <is>
          <t>Reclassification of LTD to CP of LTD</t>
        </is>
      </c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/>
      <c r="AC220" s="3" t="n"/>
      <c r="AD220" s="3" t="n"/>
      <c r="AE220" s="3" t="n"/>
      <c r="AF220" s="3" t="n"/>
      <c r="AG220" s="3" t="n"/>
      <c r="AH220" s="3" t="n"/>
      <c r="AI220" s="3">
        <f>-AI218</f>
        <v>0</v>
      </c>
      <c r="AJ220" s="3">
        <f>-AJ218</f>
        <v>0</v>
      </c>
      <c r="AK220" s="3">
        <f>-AK218</f>
        <v>0</v>
      </c>
      <c r="AL220" s="3" t="n"/>
      <c r="AM220" s="3" t="n"/>
      <c r="AN220" s="3">
        <f>-AN218</f>
        <v>0</v>
      </c>
      <c r="AO220" s="3">
        <f>-AO218</f>
        <v>0</v>
      </c>
      <c r="AP220" s="3">
        <f>-AP218</f>
        <v>0</v>
      </c>
      <c r="AQ220" s="3" t="n"/>
      <c r="AR220" s="3" t="n"/>
      <c r="AS220" s="3">
        <f>-AS218</f>
        <v>0</v>
      </c>
      <c r="AT220" s="3">
        <f>-AT218</f>
        <v>0</v>
      </c>
      <c r="AU220" s="3">
        <f>-AU218</f>
        <v>0</v>
      </c>
      <c r="AV220" s="3" t="n"/>
      <c r="AW220" s="3" t="n"/>
      <c r="AX220" s="3">
        <f>-AX218</f>
        <v>0</v>
      </c>
      <c r="AY220" s="3">
        <f>-AY218</f>
        <v>0</v>
      </c>
      <c r="AZ220" s="3">
        <f>-AZ218</f>
        <v>0</v>
      </c>
      <c r="BA220" s="3" t="n"/>
      <c r="BB220" s="3" t="n"/>
      <c r="BC220" s="3">
        <f>-BC218</f>
        <v>0</v>
      </c>
      <c r="BD220" s="3">
        <f>-BD218</f>
        <v>0</v>
      </c>
      <c r="BE220" s="3">
        <f>-BE218</f>
        <v>0</v>
      </c>
      <c r="BF220" s="3" t="n"/>
      <c r="BG220" s="3" t="n"/>
      <c r="BH220" s="3">
        <f>-BH218</f>
        <v>0</v>
      </c>
      <c r="BI220" s="3">
        <f>-BI218</f>
        <v>0</v>
      </c>
      <c r="BJ220" s="3">
        <f>-BJ218</f>
        <v>0</v>
      </c>
      <c r="BK220" s="3" t="n"/>
      <c r="BL220" s="3" t="n"/>
      <c r="BM220" s="3">
        <f>-BM218</f>
        <v>0</v>
      </c>
      <c r="BN220" s="3">
        <f>-BN218</f>
        <v>0</v>
      </c>
      <c r="BO220" s="3">
        <f>-BO218</f>
        <v>0</v>
      </c>
      <c r="BP220" s="3" t="n"/>
      <c r="BQ220" s="3" t="n"/>
      <c r="BR220" s="3">
        <f>-BR218</f>
        <v>0</v>
      </c>
      <c r="BS220" s="3">
        <f>-BS218</f>
        <v>0</v>
      </c>
      <c r="BT220" s="3">
        <f>-BT218</f>
        <v>0</v>
      </c>
      <c r="BU220" s="3" t="n"/>
      <c r="BV220" s="3" t="n"/>
      <c r="BW220" s="3">
        <f>-BW218</f>
        <v>0</v>
      </c>
      <c r="BX220" s="3">
        <f>-BX218</f>
        <v>0</v>
      </c>
      <c r="BY220" s="3">
        <f>-BY218</f>
        <v>0</v>
      </c>
      <c r="BZ220" s="3" t="n"/>
      <c r="CA220" s="3" t="n"/>
      <c r="CB220" s="3">
        <f>-CB218</f>
        <v>0</v>
      </c>
      <c r="CC220" s="3">
        <f>-CC218</f>
        <v>0</v>
      </c>
      <c r="CD220" s="3">
        <f>-CD218</f>
        <v>0</v>
      </c>
      <c r="CE220" s="3" t="n"/>
      <c r="CF220" s="3" t="n"/>
      <c r="CG220" s="3">
        <f>-CG218</f>
        <v>0</v>
      </c>
      <c r="CH220" s="3">
        <f>-CH218</f>
        <v>0</v>
      </c>
      <c r="CI220" s="3">
        <f>-CI218</f>
        <v>0</v>
      </c>
      <c r="CJ220" s="3" t="n"/>
      <c r="CK220" s="3" t="n"/>
      <c r="CL220" s="3">
        <f>-CL218</f>
        <v>0</v>
      </c>
      <c r="CM220" s="3">
        <f>-CM218</f>
        <v>0</v>
      </c>
      <c r="CN220" s="3">
        <f>-CN218</f>
        <v>0</v>
      </c>
      <c r="CO220" s="3" t="n"/>
      <c r="CP220" s="3" t="n"/>
      <c r="CQ220" s="3">
        <f>-CQ218</f>
        <v>0</v>
      </c>
      <c r="CR220" s="3">
        <f>-CR218</f>
        <v>0</v>
      </c>
      <c r="CS220" s="3">
        <f>-CS218</f>
        <v>0</v>
      </c>
      <c r="CT220" s="3" t="n"/>
      <c r="CU220" s="3" t="n"/>
      <c r="CV220" s="3">
        <f>-CV218</f>
        <v>0</v>
      </c>
      <c r="CW220" s="3">
        <f>-CW218</f>
        <v>0</v>
      </c>
      <c r="CX220" s="3">
        <f>-CX218</f>
        <v>0</v>
      </c>
      <c r="CY220" s="3" t="n"/>
    </row>
    <row r="221" hidden="1" outlineLevel="1">
      <c r="C221" s="34" t="inlineStr">
        <is>
          <t>Discretionary (paydown)/borrowing of long term debt</t>
        </is>
      </c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3" t="n"/>
      <c r="AC221" s="3" t="n"/>
      <c r="AD221" s="3" t="n"/>
      <c r="AE221" s="3" t="n"/>
      <c r="AF221" s="3" t="n"/>
      <c r="AG221" s="3" t="n"/>
      <c r="AH221" s="35" t="n"/>
      <c r="AI221" s="35" t="n"/>
      <c r="AJ221" s="35" t="n"/>
      <c r="AK221" s="35" t="n"/>
      <c r="AL221" s="3" t="n"/>
      <c r="AM221" s="35" t="n"/>
      <c r="AN221" s="35" t="n"/>
      <c r="AO221" s="35" t="n"/>
      <c r="AP221" s="35" t="n"/>
      <c r="AQ221" s="3" t="n"/>
      <c r="AR221" s="35" t="n"/>
      <c r="AS221" s="35" t="n"/>
      <c r="AT221" s="35" t="n"/>
      <c r="AU221" s="35" t="n"/>
      <c r="AV221" s="3" t="n"/>
      <c r="AW221" s="35" t="n"/>
      <c r="AX221" s="35" t="n"/>
      <c r="AY221" s="35" t="n"/>
      <c r="AZ221" s="35" t="n"/>
      <c r="BA221" s="3" t="n"/>
      <c r="BB221" s="35" t="n"/>
      <c r="BC221" s="35" t="n"/>
      <c r="BD221" s="35" t="n"/>
      <c r="BE221" s="35" t="n"/>
      <c r="BF221" s="3" t="n"/>
      <c r="BG221" s="35" t="n"/>
      <c r="BH221" s="35" t="n"/>
      <c r="BI221" s="35" t="n"/>
      <c r="BJ221" s="35" t="n"/>
      <c r="BK221" s="3" t="n"/>
      <c r="BL221" s="35" t="n"/>
      <c r="BM221" s="35" t="n"/>
      <c r="BN221" s="35" t="n"/>
      <c r="BO221" s="35" t="n"/>
      <c r="BP221" s="3" t="n"/>
      <c r="BQ221" s="35" t="n"/>
      <c r="BR221" s="35" t="n"/>
      <c r="BS221" s="35" t="n"/>
      <c r="BT221" s="35" t="n"/>
      <c r="BU221" s="3" t="n"/>
      <c r="BV221" s="35" t="n"/>
      <c r="BW221" s="35" t="n"/>
      <c r="BX221" s="35" t="n"/>
      <c r="BY221" s="35" t="n"/>
      <c r="BZ221" s="3" t="n"/>
      <c r="CA221" s="35" t="n"/>
      <c r="CB221" s="35" t="n"/>
      <c r="CC221" s="35" t="n"/>
      <c r="CD221" s="35" t="n"/>
      <c r="CE221" s="3" t="n"/>
      <c r="CF221" s="35" t="n"/>
      <c r="CG221" s="35" t="n"/>
      <c r="CH221" s="35" t="n"/>
      <c r="CI221" s="35" t="n"/>
      <c r="CJ221" s="3" t="n"/>
      <c r="CK221" s="35" t="n"/>
      <c r="CL221" s="35" t="n"/>
      <c r="CM221" s="35" t="n"/>
      <c r="CN221" s="35" t="n"/>
      <c r="CO221" s="3" t="n"/>
      <c r="CP221" s="35" t="n"/>
      <c r="CQ221" s="35" t="n"/>
      <c r="CR221" s="35" t="n"/>
      <c r="CS221" s="35" t="n"/>
      <c r="CT221" s="3" t="n"/>
      <c r="CU221" s="35" t="n"/>
      <c r="CV221" s="35" t="n"/>
      <c r="CW221" s="35" t="n"/>
      <c r="CX221" s="35" t="n"/>
      <c r="CY221" s="3" t="n"/>
    </row>
    <row r="222" hidden="1" outlineLevel="1">
      <c r="C222" s="34" t="inlineStr">
        <is>
          <t>Long term debt</t>
        </is>
      </c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  <c r="AB222" s="3" t="n"/>
      <c r="AC222" s="3" t="n"/>
      <c r="AD222" s="3" t="n"/>
      <c r="AE222" s="3" t="n"/>
      <c r="AF222" s="3" t="n"/>
      <c r="AG222" s="3" t="n"/>
      <c r="AH222" s="3">
        <f>AF216+SUM(AH220:AH221)</f>
        <v>7469</v>
      </c>
      <c r="AI222" s="3">
        <f>AH222+SUM(AI220:AI221)</f>
        <v>7469</v>
      </c>
      <c r="AJ222" s="3">
        <f>AI216+SUM(AJ220:AJ221)</f>
        <v>32366</v>
      </c>
      <c r="AK222" s="3">
        <f>AJ222+SUM(AK220:AK221)</f>
        <v>32366</v>
      </c>
      <c r="AL222" s="3" t="n"/>
      <c r="AM222" s="3">
        <f>AK222+SUM(AM220:AM221)</f>
        <v>32366</v>
      </c>
      <c r="AN222" s="3">
        <f>AM222+SUM(AN220:AN221)</f>
        <v>32366</v>
      </c>
      <c r="AO222" s="3">
        <f>AN222+SUM(AO220:AO221)</f>
        <v>32366</v>
      </c>
      <c r="AP222" s="3">
        <f>AO222+SUM(AP220:AP221)</f>
        <v>32366</v>
      </c>
      <c r="AQ222" s="3" t="n"/>
      <c r="AR222" s="3">
        <f>AP222+SUM(AR220:AR221)</f>
        <v>32366</v>
      </c>
      <c r="AS222" s="3">
        <f>AR222+SUM(AS220:AS221)</f>
        <v>32366</v>
      </c>
      <c r="AT222" s="3">
        <f>AS222+SUM(AT220:AT221)</f>
        <v>32366</v>
      </c>
      <c r="AU222" s="3">
        <f>AT222+SUM(AU220:AU221)</f>
        <v>32366</v>
      </c>
      <c r="AV222" s="3" t="n"/>
      <c r="AW222" s="3">
        <f>AU222+SUM(AW220:AW221)</f>
        <v>32366</v>
      </c>
      <c r="AX222" s="3">
        <f>AW222+SUM(AX220:AX221)</f>
        <v>32366</v>
      </c>
      <c r="AY222" s="3">
        <f>AX222+SUM(AY220:AY221)</f>
        <v>32366</v>
      </c>
      <c r="AZ222" s="3">
        <f>AY222+SUM(AZ220:AZ221)</f>
        <v>32366</v>
      </c>
      <c r="BA222" s="3" t="n"/>
      <c r="BB222" s="3">
        <f>AZ222+SUM(BB220:BB221)</f>
        <v>32366</v>
      </c>
      <c r="BC222" s="3">
        <f>BB222+SUM(BC220:BC221)</f>
        <v>32366</v>
      </c>
      <c r="BD222" s="3">
        <f>BC222+SUM(BD220:BD221)</f>
        <v>32366</v>
      </c>
      <c r="BE222" s="3">
        <f>BD222+SUM(BE220:BE221)</f>
        <v>32366</v>
      </c>
      <c r="BF222" s="3" t="n"/>
      <c r="BG222" s="3">
        <f>BE222+SUM(BG220:BG221)</f>
        <v>32366</v>
      </c>
      <c r="BH222" s="3">
        <f>BG222+SUM(BH220:BH221)</f>
        <v>32366</v>
      </c>
      <c r="BI222" s="3">
        <f>BH222+SUM(BI220:BI221)</f>
        <v>32366</v>
      </c>
      <c r="BJ222" s="3">
        <f>BI222+SUM(BJ220:BJ221)</f>
        <v>32366</v>
      </c>
      <c r="BK222" s="3" t="n"/>
      <c r="BL222" s="3">
        <f>BJ222+SUM(BL220:BL221)</f>
        <v>32366</v>
      </c>
      <c r="BM222" s="3">
        <f>BL222+SUM(BM220:BM221)</f>
        <v>32366</v>
      </c>
      <c r="BN222" s="3">
        <f>BM222+SUM(BN220:BN221)</f>
        <v>32366</v>
      </c>
      <c r="BO222" s="3">
        <f>BN222+SUM(BO220:BO221)</f>
        <v>32366</v>
      </c>
      <c r="BP222" s="3" t="n"/>
      <c r="BQ222" s="3">
        <f>BO222+SUM(BQ220:BQ221)</f>
        <v>32366</v>
      </c>
      <c r="BR222" s="3">
        <f>BQ222+SUM(BR220:BR221)</f>
        <v>32366</v>
      </c>
      <c r="BS222" s="3">
        <f>BR222+SUM(BS220:BS221)</f>
        <v>32366</v>
      </c>
      <c r="BT222" s="3">
        <f>BS222+SUM(BT220:BT221)</f>
        <v>32366</v>
      </c>
      <c r="BU222" s="3" t="n"/>
      <c r="BV222" s="3">
        <f>BT222+SUM(BV220:BV221)</f>
        <v>32366</v>
      </c>
      <c r="BW222" s="3">
        <f>BV222+SUM(BW220:BW221)</f>
        <v>32366</v>
      </c>
      <c r="BX222" s="3">
        <f>BW222+SUM(BX220:BX221)</f>
        <v>32366</v>
      </c>
      <c r="BY222" s="3">
        <f>BX222+SUM(BY220:BY221)</f>
        <v>32366</v>
      </c>
      <c r="BZ222" s="3" t="n"/>
      <c r="CA222" s="3">
        <f>BY222+SUM(CA220:CA221)</f>
        <v>32366</v>
      </c>
      <c r="CB222" s="3">
        <f>CA222+SUM(CB220:CB221)</f>
        <v>32366</v>
      </c>
      <c r="CC222" s="3">
        <f>CB222+SUM(CC220:CC221)</f>
        <v>32366</v>
      </c>
      <c r="CD222" s="3">
        <f>CC222+SUM(CD220:CD221)</f>
        <v>32366</v>
      </c>
      <c r="CE222" s="3" t="n"/>
      <c r="CF222" s="3">
        <f>CD222+SUM(CF220:CF221)</f>
        <v>32366</v>
      </c>
      <c r="CG222" s="3">
        <f>CF222+SUM(CG220:CG221)</f>
        <v>32366</v>
      </c>
      <c r="CH222" s="3">
        <f>CG222+SUM(CH220:CH221)</f>
        <v>32366</v>
      </c>
      <c r="CI222" s="3">
        <f>CH222+SUM(CI220:CI221)</f>
        <v>32366</v>
      </c>
      <c r="CJ222" s="3" t="n"/>
      <c r="CK222" s="3">
        <f>CI222+SUM(CK220:CK221)</f>
        <v>32366</v>
      </c>
      <c r="CL222" s="3">
        <f>CK222+SUM(CL220:CL221)</f>
        <v>32366</v>
      </c>
      <c r="CM222" s="3">
        <f>CL222+SUM(CM220:CM221)</f>
        <v>32366</v>
      </c>
      <c r="CN222" s="3">
        <f>CM222+SUM(CN220:CN221)</f>
        <v>32366</v>
      </c>
      <c r="CO222" s="3" t="n"/>
      <c r="CP222" s="3">
        <f>CN222+SUM(CP220:CP221)</f>
        <v>32366</v>
      </c>
      <c r="CQ222" s="3">
        <f>CP222+SUM(CQ220:CQ221)</f>
        <v>32366</v>
      </c>
      <c r="CR222" s="3">
        <f>CQ222+SUM(CR220:CR221)</f>
        <v>32366</v>
      </c>
      <c r="CS222" s="3">
        <f>CR222+SUM(CS220:CS221)</f>
        <v>32366</v>
      </c>
      <c r="CT222" s="3" t="n"/>
      <c r="CU222" s="3">
        <f>CS222+SUM(CU220:CU221)</f>
        <v>32366</v>
      </c>
      <c r="CV222" s="3">
        <f>CU222+SUM(CV220:CV221)</f>
        <v>32366</v>
      </c>
      <c r="CW222" s="3">
        <f>CV222+SUM(CW220:CW221)</f>
        <v>32366</v>
      </c>
      <c r="CX222" s="3">
        <f>CW222+SUM(CX220:CX221)</f>
        <v>32366</v>
      </c>
      <c r="CY222" s="3" t="n"/>
      <c r="CZ222">
        <f>CX222+SUM(CZ220:CZ221)</f>
        <v>32366</v>
      </c>
      <c r="DA222">
        <f>CZ222+SUM(DA220:DA221)</f>
        <v>32366</v>
      </c>
      <c r="DB222">
        <f>DA222+SUM(DB220:DB221)</f>
        <v>32366</v>
      </c>
      <c r="DC222">
        <f>DB222+SUM(DC220:DC221)</f>
        <v>32366</v>
      </c>
    </row>
    <row r="223" hidden="1" outlineLevel="1">
      <c r="C223" s="34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  <c r="AB223" s="3" t="n"/>
      <c r="AC223" s="3" t="n"/>
      <c r="AD223" s="3" t="n"/>
      <c r="AE223" s="3" t="n"/>
      <c r="AF223" s="3" t="n"/>
      <c r="AG223" s="3" t="n"/>
      <c r="AH223" s="3" t="n"/>
      <c r="AI223" s="3" t="n"/>
      <c r="AJ223" s="3" t="n"/>
      <c r="AK223" s="3" t="n"/>
      <c r="AL223" s="3" t="n"/>
      <c r="AM223" s="3" t="n"/>
      <c r="AN223" s="3" t="n"/>
      <c r="AO223" s="3" t="n"/>
      <c r="AP223" s="3" t="n"/>
      <c r="AQ223" s="3" t="n"/>
      <c r="AR223" s="3" t="n"/>
      <c r="AS223" s="3" t="n"/>
      <c r="AT223" s="3" t="n"/>
      <c r="AU223" s="3" t="n"/>
      <c r="AV223" s="3" t="n"/>
      <c r="AW223" s="3" t="n"/>
      <c r="AX223" s="3" t="n"/>
      <c r="AY223" s="3" t="n"/>
      <c r="AZ223" s="3" t="n"/>
      <c r="BA223" s="3" t="n"/>
      <c r="BB223" s="3" t="n"/>
      <c r="BC223" s="3" t="n"/>
      <c r="BD223" s="3" t="n"/>
      <c r="BE223" s="3" t="n"/>
      <c r="BF223" s="3" t="n"/>
      <c r="BG223" s="3" t="n"/>
      <c r="BH223" s="3" t="n"/>
      <c r="BI223" s="3" t="n"/>
      <c r="BJ223" s="3" t="n"/>
      <c r="BK223" s="3" t="n"/>
      <c r="BL223" s="3" t="n"/>
      <c r="BM223" s="3" t="n"/>
      <c r="BN223" s="3" t="n"/>
      <c r="BO223" s="3" t="n"/>
      <c r="BP223" s="3" t="n"/>
      <c r="BQ223" s="3" t="n"/>
      <c r="BR223" s="3" t="n"/>
      <c r="BS223" s="3" t="n"/>
      <c r="BT223" s="3" t="n"/>
      <c r="BU223" s="3" t="n"/>
      <c r="BV223" s="3" t="n"/>
      <c r="BW223" s="3" t="n"/>
      <c r="BX223" s="3" t="n"/>
      <c r="BY223" s="3" t="n"/>
      <c r="BZ223" s="3" t="n"/>
      <c r="CA223" s="3" t="n"/>
      <c r="CB223" s="3" t="n"/>
      <c r="CC223" s="3" t="n"/>
      <c r="CD223" s="3" t="n"/>
      <c r="CE223" s="3" t="n"/>
      <c r="CF223" s="3" t="n"/>
      <c r="CG223" s="3" t="n"/>
      <c r="CH223" s="3" t="n"/>
      <c r="CI223" s="3" t="n"/>
      <c r="CJ223" s="3" t="n"/>
      <c r="CK223" s="3" t="n"/>
      <c r="CL223" s="3" t="n"/>
      <c r="CM223" s="3" t="n"/>
      <c r="CN223" s="3" t="n"/>
      <c r="CO223" s="3" t="n"/>
      <c r="CP223" s="3" t="n"/>
      <c r="CQ223" s="3" t="n"/>
      <c r="CR223" s="3" t="n"/>
      <c r="CS223" s="3" t="n"/>
      <c r="CT223" s="3" t="n"/>
      <c r="CU223" s="3" t="n"/>
      <c r="CV223" s="3" t="n"/>
      <c r="CW223" s="3" t="n"/>
      <c r="CX223" s="3" t="n"/>
      <c r="CY223" s="3" t="n"/>
    </row>
    <row r="224" hidden="1" outlineLevel="1">
      <c r="C224" s="34" t="inlineStr">
        <is>
          <t>Discretionary (paydown)/borrowing of convertible debt</t>
        </is>
      </c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  <c r="AB224" s="3" t="n"/>
      <c r="AC224" s="3" t="n"/>
      <c r="AD224" s="3" t="n"/>
      <c r="AE224" s="3" t="n"/>
      <c r="AF224" s="3" t="n"/>
      <c r="AG224" s="3" t="n"/>
      <c r="AH224" s="35" t="n"/>
      <c r="AI224" s="35" t="n"/>
      <c r="AJ224" s="35" t="n"/>
      <c r="AK224" s="35" t="n"/>
      <c r="AL224" s="3" t="n"/>
      <c r="AM224" s="35" t="n"/>
      <c r="AN224" s="35" t="n"/>
      <c r="AO224" s="35" t="n"/>
      <c r="AP224" s="35" t="n"/>
      <c r="AQ224" s="3" t="n"/>
      <c r="AR224" s="35" t="n"/>
      <c r="AS224" s="35" t="n"/>
      <c r="AT224" s="35" t="n"/>
      <c r="AU224" s="35" t="n"/>
      <c r="AV224" s="3" t="n"/>
      <c r="AW224" s="35" t="n"/>
      <c r="AX224" s="35" t="n"/>
      <c r="AY224" s="35" t="n"/>
      <c r="AZ224" s="35" t="n"/>
      <c r="BA224" s="3" t="n"/>
      <c r="BB224" s="35" t="n"/>
      <c r="BC224" s="35" t="n"/>
      <c r="BD224" s="35" t="n"/>
      <c r="BE224" s="35" t="n"/>
      <c r="BF224" s="3" t="n"/>
      <c r="BG224" s="35" t="n"/>
      <c r="BH224" s="35" t="n"/>
      <c r="BI224" s="35" t="n"/>
      <c r="BJ224" s="35" t="n"/>
      <c r="BK224" s="3" t="n"/>
      <c r="BL224" s="35" t="n"/>
      <c r="BM224" s="35" t="n"/>
      <c r="BN224" s="35" t="n"/>
      <c r="BO224" s="35" t="n"/>
      <c r="BP224" s="3" t="n"/>
      <c r="BQ224" s="35" t="n"/>
      <c r="BR224" s="35" t="n"/>
      <c r="BS224" s="35" t="n"/>
      <c r="BT224" s="35" t="n"/>
      <c r="BU224" s="3" t="n"/>
      <c r="BV224" s="35" t="n"/>
      <c r="BW224" s="35" t="n"/>
      <c r="BX224" s="35" t="n"/>
      <c r="BY224" s="35" t="n"/>
      <c r="BZ224" s="3" t="n"/>
      <c r="CA224" s="35" t="n"/>
      <c r="CB224" s="35" t="n"/>
      <c r="CC224" s="35" t="n"/>
      <c r="CD224" s="35" t="n"/>
      <c r="CE224" s="3" t="n"/>
      <c r="CF224" s="35" t="n"/>
      <c r="CG224" s="35" t="n"/>
      <c r="CH224" s="35" t="n"/>
      <c r="CI224" s="35" t="n"/>
      <c r="CJ224" s="3" t="n"/>
      <c r="CK224" s="35" t="n"/>
      <c r="CL224" s="35" t="n"/>
      <c r="CM224" s="35" t="n"/>
      <c r="CN224" s="35" t="n"/>
      <c r="CO224" s="3" t="n"/>
      <c r="CP224" s="35" t="n"/>
      <c r="CQ224" s="35" t="n"/>
      <c r="CR224" s="35" t="n"/>
      <c r="CS224" s="35" t="n"/>
      <c r="CT224" s="3" t="n"/>
      <c r="CU224" s="35" t="n"/>
      <c r="CV224" s="35" t="n"/>
      <c r="CW224" s="35" t="n"/>
      <c r="CX224" s="35" t="n"/>
      <c r="CY224" s="3" t="n"/>
    </row>
    <row r="225" hidden="1" outlineLevel="1">
      <c r="C225" s="34" t="inlineStr">
        <is>
          <t>Convertible debt</t>
        </is>
      </c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  <c r="AC225" s="3" t="n"/>
      <c r="AD225" s="3" t="n"/>
      <c r="AE225" s="3" t="n"/>
      <c r="AF225" s="3" t="n"/>
      <c r="AG225" s="3" t="n"/>
      <c r="AH225" s="3">
        <f>AH237</f>
        <v>0</v>
      </c>
      <c r="AI225" s="3">
        <f>AH225+SUM(AI224)</f>
        <v>0</v>
      </c>
      <c r="AJ225" s="3">
        <f>AI225+SUM(AJ224)</f>
        <v>0</v>
      </c>
      <c r="AK225" s="3">
        <f>AJ225+SUM(AK224)</f>
        <v>0</v>
      </c>
      <c r="AL225" s="3" t="n"/>
      <c r="AM225" s="3">
        <f>AM237</f>
        <v>0</v>
      </c>
      <c r="AN225" s="3">
        <f>AM225+SUM(AN224)</f>
        <v>0</v>
      </c>
      <c r="AO225" s="3">
        <f>AN225+SUM(AO224)</f>
        <v>0</v>
      </c>
      <c r="AP225" s="3">
        <f>AO225+SUM(AP224)</f>
        <v>0</v>
      </c>
      <c r="AQ225" s="3" t="n"/>
      <c r="AR225" s="3">
        <f>AR237</f>
        <v>0</v>
      </c>
      <c r="AS225" s="3">
        <f>AR225+SUM(AS224)</f>
        <v>0</v>
      </c>
      <c r="AT225" s="3">
        <f>AS225+SUM(AT224)</f>
        <v>0</v>
      </c>
      <c r="AU225" s="3">
        <f>AT225+SUM(AU224)</f>
        <v>0</v>
      </c>
      <c r="AV225" s="3" t="n"/>
      <c r="AW225" s="3">
        <f>AW237</f>
        <v>0</v>
      </c>
      <c r="AX225" s="3">
        <f>AW225+SUM(AX224)</f>
        <v>0</v>
      </c>
      <c r="AY225" s="3">
        <f>AX225+SUM(AY224)</f>
        <v>0</v>
      </c>
      <c r="AZ225" s="3">
        <f>AY225+SUM(AZ224)</f>
        <v>0</v>
      </c>
      <c r="BA225" s="3" t="n"/>
      <c r="BB225" s="3">
        <f>BB237</f>
        <v>0</v>
      </c>
      <c r="BC225" s="3">
        <f>BB225+SUM(BC224)</f>
        <v>0</v>
      </c>
      <c r="BD225" s="3">
        <f>BC225+SUM(BD224)</f>
        <v>0</v>
      </c>
      <c r="BE225" s="3">
        <f>BD225+SUM(BE224)</f>
        <v>0</v>
      </c>
      <c r="BF225" s="3" t="n"/>
      <c r="BG225" s="3">
        <f>BG237</f>
        <v>0</v>
      </c>
      <c r="BH225" s="3">
        <f>BG225+SUM(BH224)</f>
        <v>0</v>
      </c>
      <c r="BI225" s="3">
        <f>BH225+SUM(BI224)</f>
        <v>0</v>
      </c>
      <c r="BJ225" s="3">
        <f>BI225+SUM(BJ224)</f>
        <v>0</v>
      </c>
      <c r="BK225" s="3" t="n"/>
      <c r="BL225" s="3">
        <f>BL237</f>
        <v>0</v>
      </c>
      <c r="BM225" s="3">
        <f>BL225+SUM(BM224)</f>
        <v>0</v>
      </c>
      <c r="BN225" s="3">
        <f>BM225+SUM(BN224)</f>
        <v>0</v>
      </c>
      <c r="BO225" s="3">
        <f>BN225+SUM(BO224)</f>
        <v>0</v>
      </c>
      <c r="BP225" s="3" t="n"/>
      <c r="BQ225" s="3">
        <f>BQ237</f>
        <v>0</v>
      </c>
      <c r="BR225" s="3">
        <f>BQ225+SUM(BR224)</f>
        <v>0</v>
      </c>
      <c r="BS225" s="3">
        <f>BR225+SUM(BS224)</f>
        <v>0</v>
      </c>
      <c r="BT225" s="3">
        <f>BS225+SUM(BT224)</f>
        <v>0</v>
      </c>
      <c r="BU225" s="3" t="n"/>
      <c r="BV225" s="3">
        <f>BV237</f>
        <v>0</v>
      </c>
      <c r="BW225" s="3">
        <f>BV225+SUM(BW224)</f>
        <v>0</v>
      </c>
      <c r="BX225" s="3">
        <f>BW225+SUM(BX224)</f>
        <v>0</v>
      </c>
      <c r="BY225" s="3">
        <f>BX225+SUM(BY224)</f>
        <v>0</v>
      </c>
      <c r="BZ225" s="3" t="n"/>
      <c r="CA225" s="3">
        <f>CA237</f>
        <v>0</v>
      </c>
      <c r="CB225" s="3">
        <f>CA225+SUM(CB224)</f>
        <v>0</v>
      </c>
      <c r="CC225" s="3">
        <f>CB225+SUM(CC224)</f>
        <v>0</v>
      </c>
      <c r="CD225" s="3">
        <f>CC225+SUM(CD224)</f>
        <v>0</v>
      </c>
      <c r="CE225" s="3" t="n"/>
      <c r="CF225" s="3">
        <f>CF237</f>
        <v>0</v>
      </c>
      <c r="CG225" s="3">
        <f>CF225+SUM(CG224)</f>
        <v>0</v>
      </c>
      <c r="CH225" s="3">
        <f>CG225+SUM(CH224)</f>
        <v>0</v>
      </c>
      <c r="CI225" s="3">
        <f>CH225+SUM(CI224)</f>
        <v>0</v>
      </c>
      <c r="CJ225" s="3" t="n"/>
      <c r="CK225" s="3">
        <f>CK237</f>
        <v>0</v>
      </c>
      <c r="CL225" s="3">
        <f>CK225+SUM(CL224)</f>
        <v>0</v>
      </c>
      <c r="CM225" s="3">
        <f>CL225+SUM(CM224)</f>
        <v>0</v>
      </c>
      <c r="CN225" s="3">
        <f>CM225+SUM(CN224)</f>
        <v>0</v>
      </c>
      <c r="CO225" s="3" t="n"/>
      <c r="CP225" s="3">
        <f>CP237</f>
        <v>0</v>
      </c>
      <c r="CQ225" s="3">
        <f>CP225+SUM(CQ224)</f>
        <v>0</v>
      </c>
      <c r="CR225" s="3">
        <f>CQ225+SUM(CR224)</f>
        <v>0</v>
      </c>
      <c r="CS225" s="3">
        <f>CR225+SUM(CS224)</f>
        <v>0</v>
      </c>
      <c r="CT225" s="3" t="n"/>
      <c r="CU225" s="3">
        <f>CU237</f>
        <v>0</v>
      </c>
      <c r="CV225" s="3">
        <f>CU225+SUM(CV224)</f>
        <v>0</v>
      </c>
      <c r="CW225" s="3">
        <f>CV225+SUM(CW224)</f>
        <v>0</v>
      </c>
      <c r="CX225" s="3">
        <f>CW225+SUM(CX224)</f>
        <v>0</v>
      </c>
      <c r="CY225" s="3" t="n"/>
    </row>
    <row r="226" hidden="1" outlineLevel="1">
      <c r="C226" s="34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  <c r="AB226" s="3" t="n"/>
      <c r="AC226" s="3" t="n"/>
      <c r="AD226" s="3" t="n"/>
      <c r="AE226" s="3" t="n"/>
      <c r="AF226" s="3" t="n"/>
      <c r="AG226" s="3" t="n"/>
      <c r="AI226" s="3" t="n"/>
      <c r="AJ226" s="3" t="n"/>
      <c r="AK226" s="3" t="n"/>
      <c r="AL226" s="3" t="n"/>
      <c r="AN226" s="3" t="n"/>
      <c r="AO226" s="3" t="n"/>
      <c r="AP226" s="3" t="n"/>
      <c r="AQ226" s="3" t="n"/>
      <c r="AS226" s="3" t="n"/>
      <c r="AT226" s="3" t="n"/>
      <c r="AU226" s="3" t="n"/>
      <c r="AV226" s="3" t="n"/>
      <c r="AX226" s="3" t="n"/>
      <c r="AY226" s="3" t="n"/>
      <c r="AZ226" s="3" t="n"/>
      <c r="BA226" s="3" t="n"/>
      <c r="BC226" s="3" t="n"/>
      <c r="BD226" s="3" t="n"/>
      <c r="BE226" s="3" t="n"/>
      <c r="BF226" s="3" t="n"/>
      <c r="BH226" s="3" t="n"/>
      <c r="BI226" s="3" t="n"/>
      <c r="BJ226" s="3" t="n"/>
      <c r="BK226" s="3" t="n"/>
      <c r="BM226" s="3" t="n"/>
      <c r="BN226" s="3" t="n"/>
      <c r="BO226" s="3" t="n"/>
      <c r="BP226" s="3" t="n"/>
      <c r="BR226" s="3" t="n"/>
      <c r="BS226" s="3" t="n"/>
      <c r="BT226" s="3" t="n"/>
      <c r="BU226" s="3" t="n"/>
      <c r="BW226" s="3" t="n"/>
      <c r="BX226" s="3" t="n"/>
      <c r="BY226" s="3" t="n"/>
      <c r="BZ226" s="3" t="n"/>
      <c r="CB226" s="3" t="n"/>
      <c r="CC226" s="3" t="n"/>
      <c r="CD226" s="3" t="n"/>
      <c r="CE226" s="3" t="n"/>
      <c r="CG226" s="3" t="n"/>
      <c r="CH226" s="3" t="n"/>
      <c r="CI226" s="3" t="n"/>
      <c r="CJ226" s="3" t="n"/>
      <c r="CL226" s="3" t="n"/>
      <c r="CM226" s="3" t="n"/>
      <c r="CN226" s="3" t="n"/>
      <c r="CO226" s="3" t="n"/>
      <c r="CQ226" s="3" t="n"/>
      <c r="CR226" s="3" t="n"/>
      <c r="CS226" s="3" t="n"/>
      <c r="CT226" s="3" t="n"/>
      <c r="CV226" s="3" t="n"/>
      <c r="CW226" s="3" t="n"/>
      <c r="CX226" s="3" t="n"/>
      <c r="CY226" s="3" t="n"/>
    </row>
    <row r="227" hidden="1" outlineLevel="1">
      <c r="C227" s="34" t="inlineStr">
        <is>
          <t>Calculation of short term debt</t>
        </is>
      </c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  <c r="AB227" s="3" t="n"/>
      <c r="AC227" s="3" t="n"/>
      <c r="AD227" s="3" t="n"/>
      <c r="AE227" s="3" t="n"/>
      <c r="AF227" s="3" t="n"/>
      <c r="AG227" s="3" t="n"/>
      <c r="AH227" s="3" t="n"/>
      <c r="AI227" s="3" t="n"/>
      <c r="AJ227" s="3" t="n"/>
      <c r="AK227" s="3" t="n"/>
      <c r="AL227" s="3" t="n"/>
      <c r="AM227" s="3" t="n"/>
      <c r="AN227" s="3" t="n"/>
      <c r="AO227" s="3" t="n"/>
      <c r="AP227" s="3" t="n"/>
      <c r="AQ227" s="3" t="n"/>
      <c r="AR227" s="3" t="n"/>
      <c r="AS227" s="3" t="n"/>
      <c r="AT227" s="3" t="n"/>
      <c r="AU227" s="3" t="n"/>
      <c r="AV227" s="3" t="n"/>
      <c r="AW227" s="3" t="n"/>
      <c r="AX227" s="3" t="n"/>
      <c r="AY227" s="3" t="n"/>
      <c r="AZ227" s="3" t="n"/>
      <c r="BA227" s="3" t="n"/>
      <c r="BB227" s="3" t="n"/>
      <c r="BC227" s="3" t="n"/>
      <c r="BD227" s="3" t="n"/>
      <c r="BE227" s="3" t="n"/>
      <c r="BF227" s="3" t="n"/>
      <c r="BG227" s="3" t="n"/>
      <c r="BH227" s="3" t="n"/>
      <c r="BI227" s="3" t="n"/>
      <c r="BJ227" s="3" t="n"/>
      <c r="BK227" s="3" t="n"/>
      <c r="BL227" s="3" t="n"/>
      <c r="BM227" s="3" t="n"/>
      <c r="BN227" s="3" t="n"/>
      <c r="BO227" s="3" t="n"/>
      <c r="BP227" s="3" t="n"/>
      <c r="BQ227" s="3" t="n"/>
      <c r="BR227" s="3" t="n"/>
      <c r="BS227" s="3" t="n"/>
      <c r="BT227" s="3" t="n"/>
      <c r="BU227" s="3" t="n"/>
      <c r="BV227" s="3" t="n"/>
      <c r="BW227" s="3" t="n"/>
      <c r="BX227" s="3" t="n"/>
      <c r="BY227" s="3" t="n"/>
      <c r="BZ227" s="3" t="n"/>
      <c r="CA227" s="3" t="n"/>
      <c r="CB227" s="3" t="n"/>
      <c r="CC227" s="3" t="n"/>
      <c r="CD227" s="3" t="n"/>
      <c r="CE227" s="3" t="n"/>
      <c r="CF227" s="3" t="n"/>
      <c r="CG227" s="3" t="n"/>
      <c r="CH227" s="3" t="n"/>
      <c r="CI227" s="3" t="n"/>
      <c r="CJ227" s="3" t="n"/>
      <c r="CK227" s="3" t="n"/>
      <c r="CL227" s="3" t="n"/>
      <c r="CM227" s="3" t="n"/>
      <c r="CN227" s="3" t="n"/>
      <c r="CO227" s="3" t="n"/>
      <c r="CP227" s="3" t="n"/>
      <c r="CQ227" s="3" t="n"/>
      <c r="CR227" s="3" t="n"/>
      <c r="CS227" s="3" t="n"/>
      <c r="CT227" s="3" t="n"/>
      <c r="CU227" s="3" t="n"/>
      <c r="CV227" s="3" t="n"/>
      <c r="CW227" s="3" t="n"/>
      <c r="CX227" s="3" t="n"/>
      <c r="CY227" s="3" t="n"/>
    </row>
    <row r="228" hidden="1" outlineLevel="1">
      <c r="C228" s="34" t="inlineStr">
        <is>
          <t>Cash @ beginning of the period (end of last period)</t>
        </is>
      </c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  <c r="AB228" s="3" t="n"/>
      <c r="AC228" s="3" t="n"/>
      <c r="AD228" s="3" t="n"/>
      <c r="AE228" s="3" t="n"/>
      <c r="AF228" s="3" t="n"/>
      <c r="AG228" s="3" t="n"/>
      <c r="AH228" s="36">
        <f>AG143</f>
        <v>49670</v>
      </c>
      <c r="AI228" s="3" t="n"/>
      <c r="AJ228" s="3" t="n"/>
      <c r="AK228" s="3" t="n"/>
      <c r="AL228" s="3" t="n"/>
      <c r="AM228" s="36">
        <f>AL143</f>
        <v>136668</v>
      </c>
      <c r="AN228" s="3" t="n"/>
      <c r="AO228" s="3" t="n"/>
      <c r="AP228" s="3" t="n"/>
      <c r="AQ228" s="3" t="n"/>
      <c r="AR228" s="36" t="e">
        <f>AQ143</f>
        <v>#DIV/0!</v>
      </c>
      <c r="AS228" s="3" t="n"/>
      <c r="AT228" s="3" t="n"/>
      <c r="AU228" s="3" t="n"/>
      <c r="AV228" s="3" t="n"/>
      <c r="AW228" s="36" t="e">
        <f>AV143</f>
        <v>#DIV/0!</v>
      </c>
      <c r="AX228" s="3" t="n"/>
      <c r="AY228" s="3" t="n"/>
      <c r="AZ228" s="3" t="n"/>
      <c r="BA228" s="3" t="n"/>
      <c r="BB228" s="36" t="e">
        <f>BA143</f>
        <v>#DIV/0!</v>
      </c>
      <c r="BC228" s="3" t="n"/>
      <c r="BD228" s="3" t="n"/>
      <c r="BE228" s="3" t="n"/>
      <c r="BF228" s="3" t="n"/>
      <c r="BG228" s="36" t="e">
        <f>BF143</f>
        <v>#DIV/0!</v>
      </c>
      <c r="BH228" s="3" t="n"/>
      <c r="BI228" s="3" t="n"/>
      <c r="BJ228" s="3" t="n"/>
      <c r="BK228" s="3" t="n"/>
      <c r="BL228" s="36" t="e">
        <f>BK143</f>
        <v>#DIV/0!</v>
      </c>
      <c r="BM228" s="3" t="n"/>
      <c r="BN228" s="3" t="n"/>
      <c r="BO228" s="3" t="n"/>
      <c r="BP228" s="3" t="n"/>
      <c r="BQ228" s="36" t="e">
        <f>BP143</f>
        <v>#DIV/0!</v>
      </c>
      <c r="BR228" s="3" t="n"/>
      <c r="BS228" s="3" t="n"/>
      <c r="BT228" s="3" t="n"/>
      <c r="BU228" s="3" t="n"/>
      <c r="BV228" s="36" t="e">
        <f>BU143</f>
        <v>#DIV/0!</v>
      </c>
      <c r="BW228" s="3" t="n"/>
      <c r="BX228" s="3" t="n"/>
      <c r="BY228" s="3" t="n"/>
      <c r="BZ228" s="3" t="n"/>
      <c r="CA228" s="36" t="e">
        <f>BZ143</f>
        <v>#DIV/0!</v>
      </c>
      <c r="CB228" s="3" t="n"/>
      <c r="CC228" s="3" t="n"/>
      <c r="CD228" s="3" t="n"/>
      <c r="CE228" s="3" t="n"/>
      <c r="CF228" s="36" t="e">
        <f>CE143</f>
        <v>#DIV/0!</v>
      </c>
      <c r="CG228" s="3" t="n"/>
      <c r="CH228" s="3" t="n"/>
      <c r="CI228" s="3" t="n"/>
      <c r="CJ228" s="3" t="n"/>
      <c r="CK228" s="36" t="e">
        <f>CJ143</f>
        <v>#DIV/0!</v>
      </c>
      <c r="CL228" s="3" t="n"/>
      <c r="CM228" s="3" t="n"/>
      <c r="CN228" s="3" t="n"/>
      <c r="CO228" s="3" t="n"/>
      <c r="CP228" s="36" t="e">
        <f>CO143</f>
        <v>#DIV/0!</v>
      </c>
      <c r="CQ228" s="3" t="n"/>
      <c r="CR228" s="3" t="n"/>
      <c r="CS228" s="3" t="n"/>
      <c r="CT228" s="3" t="n"/>
      <c r="CU228" s="36" t="e">
        <f>CT143</f>
        <v>#DIV/0!</v>
      </c>
      <c r="CV228" s="3" t="n"/>
      <c r="CW228" s="3" t="n"/>
      <c r="CX228" s="3" t="n"/>
      <c r="CY228" s="3" t="n"/>
    </row>
    <row r="229" hidden="1" outlineLevel="1">
      <c r="C229" s="34" t="inlineStr">
        <is>
          <t>Plus: Free cash flows prior to debt during period</t>
        </is>
      </c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  <c r="AB229" s="3" t="n"/>
      <c r="AC229" s="3" t="n"/>
      <c r="AD229" s="3" t="n"/>
      <c r="AE229" s="3" t="n"/>
      <c r="AF229" s="3" t="n"/>
      <c r="AG229" s="3" t="inlineStr">
        <is>
          <t>% of sales</t>
        </is>
      </c>
      <c r="AH229" s="37">
        <f>SUM(AH292,AH299)+SUM(AH301:AH307)</f>
        <v>-643</v>
      </c>
      <c r="AI229" s="37">
        <f>SUM(AI292,AI299)+SUM(AI301:AI307)</f>
        <v>-19752</v>
      </c>
      <c r="AJ229" s="37">
        <f>SUM(AJ292,AJ299)+SUM(AJ301:AJ307)</f>
        <v>72082</v>
      </c>
      <c r="AK229" s="37">
        <f>SUM(AK292,AK299)+SUM(AK301:AK307)</f>
        <v>8000</v>
      </c>
      <c r="AL229" s="3" t="n"/>
      <c r="AM229" s="37" t="e">
        <f>SUM(AM292,AM299)+SUM(AM301:AM307)</f>
        <v>#DIV/0!</v>
      </c>
      <c r="AN229" s="37" t="e">
        <f>SUM(AN292,AN299)+SUM(AN301:AN307)</f>
        <v>#DIV/0!</v>
      </c>
      <c r="AO229" s="37" t="e">
        <f>SUM(AO292,AO299)+SUM(AO301:AO307)</f>
        <v>#DIV/0!</v>
      </c>
      <c r="AP229" s="37" t="e">
        <f>SUM(AP292,AP299)+SUM(AP301:AP307)</f>
        <v>#DIV/0!</v>
      </c>
      <c r="AQ229" s="3" t="n"/>
      <c r="AR229" s="37" t="e">
        <f>SUM(AR292,AR299)+SUM(AR301:AR307)</f>
        <v>#DIV/0!</v>
      </c>
      <c r="AS229" s="37" t="e">
        <f>SUM(AS292,AS299)+SUM(AS301:AS307)</f>
        <v>#DIV/0!</v>
      </c>
      <c r="AT229" s="37" t="e">
        <f>SUM(AT292,AT299)+SUM(AT301:AT307)</f>
        <v>#DIV/0!</v>
      </c>
      <c r="AU229" s="37" t="e">
        <f>SUM(AU292,AU299)+SUM(AU301:AU307)</f>
        <v>#DIV/0!</v>
      </c>
      <c r="AV229" s="3" t="n"/>
      <c r="AW229" s="37" t="e">
        <f>SUM(AW292,AW299)+SUM(AW301:AW307)</f>
        <v>#DIV/0!</v>
      </c>
      <c r="AX229" s="37" t="e">
        <f>SUM(AX292,AX299)+SUM(AX301:AX307)</f>
        <v>#DIV/0!</v>
      </c>
      <c r="AY229" s="37" t="e">
        <f>SUM(AY292,AY299)+SUM(AY301:AY307)</f>
        <v>#DIV/0!</v>
      </c>
      <c r="AZ229" s="37" t="e">
        <f>SUM(AZ292,AZ299)+SUM(AZ301:AZ307)</f>
        <v>#DIV/0!</v>
      </c>
      <c r="BA229" s="3" t="n"/>
      <c r="BB229" s="37" t="e">
        <f>SUM(BB292,BB299)+SUM(BB301:BB307)</f>
        <v>#DIV/0!</v>
      </c>
      <c r="BC229" s="37" t="e">
        <f>SUM(BC292,BC299)+SUM(BC301:BC307)</f>
        <v>#DIV/0!</v>
      </c>
      <c r="BD229" s="37" t="e">
        <f>SUM(BD292,BD299)+SUM(BD301:BD307)</f>
        <v>#DIV/0!</v>
      </c>
      <c r="BE229" s="37" t="e">
        <f>SUM(BE292,BE299)+SUM(BE301:BE307)</f>
        <v>#DIV/0!</v>
      </c>
      <c r="BF229" s="3" t="n"/>
      <c r="BG229" s="37" t="e">
        <f>SUM(BG292,BG299)+SUM(BG301:BG307)</f>
        <v>#DIV/0!</v>
      </c>
      <c r="BH229" s="37" t="e">
        <f>SUM(BH292,BH299)+SUM(BH301:BH307)</f>
        <v>#DIV/0!</v>
      </c>
      <c r="BI229" s="37" t="e">
        <f>SUM(BI292,BI299)+SUM(BI301:BI307)</f>
        <v>#DIV/0!</v>
      </c>
      <c r="BJ229" s="37" t="e">
        <f>SUM(BJ292,BJ299)+SUM(BJ301:BJ307)</f>
        <v>#DIV/0!</v>
      </c>
      <c r="BK229" s="3" t="n"/>
      <c r="BL229" s="37" t="e">
        <f>SUM(BL292,BL299)+SUM(BL301:BL307)</f>
        <v>#DIV/0!</v>
      </c>
      <c r="BM229" s="37" t="e">
        <f>SUM(BM292,BM299)+SUM(BM301:BM307)</f>
        <v>#DIV/0!</v>
      </c>
      <c r="BN229" s="37" t="e">
        <f>SUM(BN292,BN299)+SUM(BN301:BN307)</f>
        <v>#DIV/0!</v>
      </c>
      <c r="BO229" s="37" t="e">
        <f>SUM(BO292,BO299)+SUM(BO301:BO307)</f>
        <v>#DIV/0!</v>
      </c>
      <c r="BP229" s="3" t="n"/>
      <c r="BQ229" s="37" t="e">
        <f>SUM(BQ292,BQ299)+SUM(BQ301:BQ307)</f>
        <v>#DIV/0!</v>
      </c>
      <c r="BR229" s="37" t="e">
        <f>SUM(BR292,BR299)+SUM(BR301:BR307)</f>
        <v>#DIV/0!</v>
      </c>
      <c r="BS229" s="37" t="e">
        <f>SUM(BS292,BS299)+SUM(BS301:BS307)</f>
        <v>#DIV/0!</v>
      </c>
      <c r="BT229" s="37" t="e">
        <f>SUM(BT292,BT299)+SUM(BT301:BT307)</f>
        <v>#DIV/0!</v>
      </c>
      <c r="BU229" s="3" t="n"/>
      <c r="BV229" s="37" t="e">
        <f>SUM(BV292,BV299)+SUM(BV301:BV307)</f>
        <v>#DIV/0!</v>
      </c>
      <c r="BW229" s="37" t="e">
        <f>SUM(BW292,BW299)+SUM(BW301:BW307)</f>
        <v>#DIV/0!</v>
      </c>
      <c r="BX229" s="37" t="e">
        <f>SUM(BX292,BX299)+SUM(BX301:BX307)</f>
        <v>#DIV/0!</v>
      </c>
      <c r="BY229" s="37" t="e">
        <f>SUM(BY292,BY299)+SUM(BY301:BY307)</f>
        <v>#DIV/0!</v>
      </c>
      <c r="BZ229" s="3" t="n"/>
      <c r="CA229" s="37" t="e">
        <f>SUM(CA292,CA299)+SUM(CA301:CA307)</f>
        <v>#DIV/0!</v>
      </c>
      <c r="CB229" s="37" t="e">
        <f>SUM(CB292,CB299)+SUM(CB301:CB307)</f>
        <v>#DIV/0!</v>
      </c>
      <c r="CC229" s="37" t="e">
        <f>SUM(CC292,CC299)+SUM(CC301:CC307)</f>
        <v>#DIV/0!</v>
      </c>
      <c r="CD229" s="37" t="e">
        <f>SUM(CD292,CD299)+SUM(CD301:CD307)</f>
        <v>#DIV/0!</v>
      </c>
      <c r="CE229" s="3" t="n"/>
      <c r="CF229" s="37" t="e">
        <f>SUM(CF292,CF299)+SUM(CF301:CF307)</f>
        <v>#DIV/0!</v>
      </c>
      <c r="CG229" s="37" t="e">
        <f>SUM(CG292,CG299)+SUM(CG301:CG307)</f>
        <v>#DIV/0!</v>
      </c>
      <c r="CH229" s="37" t="e">
        <f>SUM(CH292,CH299)+SUM(CH301:CH307)</f>
        <v>#DIV/0!</v>
      </c>
      <c r="CI229" s="37" t="e">
        <f>SUM(CI292,CI299)+SUM(CI301:CI307)</f>
        <v>#DIV/0!</v>
      </c>
      <c r="CJ229" s="3" t="n"/>
      <c r="CK229" s="37" t="e">
        <f>SUM(CK292,CK299)+SUM(CK301:CK307)</f>
        <v>#DIV/0!</v>
      </c>
      <c r="CL229" s="37" t="e">
        <f>SUM(CL292,CL299)+SUM(CL301:CL307)</f>
        <v>#DIV/0!</v>
      </c>
      <c r="CM229" s="37" t="e">
        <f>SUM(CM292,CM299)+SUM(CM301:CM307)</f>
        <v>#DIV/0!</v>
      </c>
      <c r="CN229" s="37" t="e">
        <f>SUM(CN292,CN299)+SUM(CN301:CN307)</f>
        <v>#DIV/0!</v>
      </c>
      <c r="CO229" s="3" t="n"/>
      <c r="CP229" s="37" t="e">
        <f>SUM(CP292,CP299)+SUM(CP301:CP307)</f>
        <v>#DIV/0!</v>
      </c>
      <c r="CQ229" s="37" t="e">
        <f>SUM(CQ292,CQ299)+SUM(CQ301:CQ307)</f>
        <v>#DIV/0!</v>
      </c>
      <c r="CR229" s="37" t="e">
        <f>SUM(CR292,CR299)+SUM(CR301:CR307)</f>
        <v>#DIV/0!</v>
      </c>
      <c r="CS229" s="37" t="e">
        <f>SUM(CS292,CS299)+SUM(CS301:CS307)</f>
        <v>#DIV/0!</v>
      </c>
      <c r="CT229" s="3" t="n"/>
      <c r="CU229" s="37" t="e">
        <f>SUM(CU292,CU299)+SUM(CU301:CU307)</f>
        <v>#DIV/0!</v>
      </c>
      <c r="CV229" s="37" t="e">
        <f>SUM(CV292,CV299)+SUM(CV301:CV307)</f>
        <v>#DIV/0!</v>
      </c>
      <c r="CW229" s="37" t="e">
        <f>SUM(CW292,CW299)+SUM(CW301:CW307)</f>
        <v>#DIV/0!</v>
      </c>
      <c r="CX229" s="37" t="e">
        <f>SUM(CX292,CX299)+SUM(CX301:CX307)</f>
        <v>#DIV/0!</v>
      </c>
      <c r="CY229" s="3" t="n"/>
    </row>
    <row r="230" hidden="1" outlineLevel="1">
      <c r="C230" s="34" t="inlineStr">
        <is>
          <t>Less: Minimum cash balance</t>
        </is>
      </c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  <c r="AB230" s="3" t="n"/>
      <c r="AC230" s="3" t="n"/>
      <c r="AD230" s="3" t="n"/>
      <c r="AE230" s="3" t="n"/>
      <c r="AF230" s="3" t="n"/>
      <c r="AG230" s="250" t="n"/>
      <c r="AH230" s="3">
        <f>($AG$230*AH15)</f>
        <v>0</v>
      </c>
      <c r="AI230" s="3">
        <f>($AG$230*AI15)</f>
        <v>0</v>
      </c>
      <c r="AJ230" s="3">
        <f>($AG$230*AJ15)</f>
        <v>0</v>
      </c>
      <c r="AK230" s="3">
        <f>($AG$230*AK15)</f>
        <v>0</v>
      </c>
      <c r="AL230" s="3" t="n"/>
      <c r="AM230" s="3">
        <f>($AG$230*AM15)</f>
        <v>0</v>
      </c>
      <c r="AN230" s="3">
        <f>($AG$230*AN15)</f>
        <v>0</v>
      </c>
      <c r="AO230" s="3">
        <f>($AG$230*AO15)</f>
        <v>0</v>
      </c>
      <c r="AP230" s="3">
        <f>($AG$230*AP15)</f>
        <v>0</v>
      </c>
      <c r="AQ230" s="3" t="n"/>
      <c r="AR230" s="3">
        <f>($AG$230*AR15)</f>
        <v>0</v>
      </c>
      <c r="AS230" s="3">
        <f>($AG$230*AS15)</f>
        <v>0</v>
      </c>
      <c r="AT230" s="3">
        <f>($AG$230*AT15)</f>
        <v>0</v>
      </c>
      <c r="AU230" s="3">
        <f>($AG$230*AU15)</f>
        <v>0</v>
      </c>
      <c r="AV230" s="3" t="n"/>
      <c r="AW230" s="3">
        <f>($AG$230*AW15)</f>
        <v>0</v>
      </c>
      <c r="AX230" s="3">
        <f>($AG$230*AX15)</f>
        <v>0</v>
      </c>
      <c r="AY230" s="3">
        <f>($AG$230*AY15)</f>
        <v>0</v>
      </c>
      <c r="AZ230" s="3">
        <f>($AG$230*AZ15)</f>
        <v>0</v>
      </c>
      <c r="BA230" s="3" t="n"/>
      <c r="BB230" s="3">
        <f>($AG$230*BB15)</f>
        <v>0</v>
      </c>
      <c r="BC230" s="3">
        <f>($AG$230*BC15)</f>
        <v>0</v>
      </c>
      <c r="BD230" s="3">
        <f>($AG$230*BD15)</f>
        <v>0</v>
      </c>
      <c r="BE230" s="3">
        <f>($AG$230*BE15)</f>
        <v>0</v>
      </c>
      <c r="BF230" s="3" t="n"/>
      <c r="BG230" s="3">
        <f>($AG$230*BG15)</f>
        <v>0</v>
      </c>
      <c r="BH230" s="3">
        <f>($AG$230*BH15)</f>
        <v>0</v>
      </c>
      <c r="BI230" s="3">
        <f>($AG$230*BI15)</f>
        <v>0</v>
      </c>
      <c r="BJ230" s="3">
        <f>($AG$230*BJ15)</f>
        <v>0</v>
      </c>
      <c r="BK230" s="3" t="n"/>
      <c r="BL230" s="3">
        <f>($AG$230*BL15)</f>
        <v>0</v>
      </c>
      <c r="BM230" s="3">
        <f>($AG$230*BM15)</f>
        <v>0</v>
      </c>
      <c r="BN230" s="3">
        <f>($AG$230*BN15)</f>
        <v>0</v>
      </c>
      <c r="BO230" s="3">
        <f>($AG$230*BO15)</f>
        <v>0</v>
      </c>
      <c r="BP230" s="3" t="n"/>
      <c r="BQ230" s="3">
        <f>($AG$230*BQ15)</f>
        <v>0</v>
      </c>
      <c r="BR230" s="3">
        <f>($AG$230*BR15)</f>
        <v>0</v>
      </c>
      <c r="BS230" s="3">
        <f>($AG$230*BS15)</f>
        <v>0</v>
      </c>
      <c r="BT230" s="3">
        <f>($AG$230*BT15)</f>
        <v>0</v>
      </c>
      <c r="BU230" s="3" t="n"/>
      <c r="BV230" s="3">
        <f>($AG$230*BV15)</f>
        <v>0</v>
      </c>
      <c r="BW230" s="3">
        <f>($AG$230*BW15)</f>
        <v>0</v>
      </c>
      <c r="BX230" s="3">
        <f>($AG$230*BX15)</f>
        <v>0</v>
      </c>
      <c r="BY230" s="3">
        <f>($AG$230*BY15)</f>
        <v>0</v>
      </c>
      <c r="BZ230" s="3" t="n"/>
      <c r="CA230" s="3">
        <f>($AG$230*CA15)</f>
        <v>0</v>
      </c>
      <c r="CB230" s="3">
        <f>($AG$230*CB15)</f>
        <v>0</v>
      </c>
      <c r="CC230" s="3">
        <f>($AG$230*CC15)</f>
        <v>0</v>
      </c>
      <c r="CD230" s="3">
        <f>($AG$230*CD15)</f>
        <v>0</v>
      </c>
      <c r="CE230" s="3" t="n"/>
      <c r="CF230" s="3">
        <f>($AG$230*CF15)</f>
        <v>0</v>
      </c>
      <c r="CG230" s="3">
        <f>($AG$230*CG15)</f>
        <v>0</v>
      </c>
      <c r="CH230" s="3">
        <f>($AG$230*CH15)</f>
        <v>0</v>
      </c>
      <c r="CI230" s="3">
        <f>($AG$230*CI15)</f>
        <v>0</v>
      </c>
      <c r="CJ230" s="3" t="n"/>
      <c r="CK230" s="3">
        <f>($AG$230*CK15)</f>
        <v>0</v>
      </c>
      <c r="CL230" s="3">
        <f>($AG$230*CL15)</f>
        <v>0</v>
      </c>
      <c r="CM230" s="3">
        <f>($AG$230*CM15)</f>
        <v>0</v>
      </c>
      <c r="CN230" s="3">
        <f>($AG$230*CN15)</f>
        <v>0</v>
      </c>
      <c r="CO230" s="3" t="n"/>
      <c r="CP230" s="3">
        <f>($AG$230*CP15)</f>
        <v>0</v>
      </c>
      <c r="CQ230" s="3">
        <f>($AG$230*CQ15)</f>
        <v>0</v>
      </c>
      <c r="CR230" s="3">
        <f>($AG$230*CR15)</f>
        <v>0</v>
      </c>
      <c r="CS230" s="3">
        <f>($AG$230*CS15)</f>
        <v>0</v>
      </c>
      <c r="CT230" s="3" t="n"/>
      <c r="CU230" s="3">
        <f>($AG$230*CU15)</f>
        <v>0</v>
      </c>
      <c r="CV230" s="3">
        <f>($AG$230*CV15)</f>
        <v>0</v>
      </c>
      <c r="CW230" s="3">
        <f>($AG$230*CW15)</f>
        <v>0</v>
      </c>
      <c r="CX230" s="3">
        <f>($AG$230*CX15)</f>
        <v>0</v>
      </c>
      <c r="CY230" s="3" t="n"/>
    </row>
    <row r="231" hidden="1" outlineLevel="1">
      <c r="C231" s="34" t="inlineStr">
        <is>
          <t>Total cash available / (debt required) for short term debt paydown</t>
        </is>
      </c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  <c r="AB231" s="3" t="n"/>
      <c r="AC231" s="3" t="n"/>
      <c r="AD231" s="3" t="n"/>
      <c r="AE231" s="3" t="n"/>
      <c r="AF231" s="3" t="n"/>
      <c r="AG231" s="3" t="n"/>
      <c r="AH231" s="1">
        <f>AH228+AH229-AH230-AF218+AH220+AH224</f>
        <v>49027</v>
      </c>
      <c r="AI231" s="1">
        <f>AI228+AI229-AI230-AG218+AI220+AI224</f>
        <v>-19752</v>
      </c>
      <c r="AJ231" s="1">
        <f>AJ228+AJ229-AJ230-AH218+AJ220+AJ224</f>
        <v>71083</v>
      </c>
      <c r="AK231" s="1">
        <f>AK228+AK229-AK230-AI218+AK220+AK224</f>
        <v>8000</v>
      </c>
      <c r="AL231" s="3" t="n"/>
      <c r="AM231" s="1" t="e">
        <f>AM228+AM229-AM230-AK218+AM220+AM224</f>
        <v>#DIV/0!</v>
      </c>
      <c r="AN231" s="1" t="e">
        <f>AN228+AN229-AN230-AL218+AN220+AN224</f>
        <v>#DIV/0!</v>
      </c>
      <c r="AO231" s="1" t="e">
        <f>AO228+AO229-AO230-AM218+AO220+AO224</f>
        <v>#DIV/0!</v>
      </c>
      <c r="AP231" s="1" t="e">
        <f>AP228+AP229-AP230-AN218+AP220+AP224</f>
        <v>#DIV/0!</v>
      </c>
      <c r="AQ231" s="3" t="n"/>
      <c r="AR231" s="1" t="e">
        <f>AR228+AR229-AR230-AP218+AR220+AR224</f>
        <v>#DIV/0!</v>
      </c>
      <c r="AS231" s="1" t="e">
        <f>AS228+AS229-AS230-AQ218+AS220+AS224</f>
        <v>#DIV/0!</v>
      </c>
      <c r="AT231" s="1" t="e">
        <f>AT228+AT229-AT230-AR218+AT220+AT224</f>
        <v>#DIV/0!</v>
      </c>
      <c r="AU231" s="1" t="e">
        <f>AU228+AU229-AU230-AS218+AU220+AU224</f>
        <v>#DIV/0!</v>
      </c>
      <c r="AV231" s="3" t="n"/>
      <c r="AW231" s="1" t="e">
        <f>AW228+AW229-AW230-AU218+AW220+AW224</f>
        <v>#DIV/0!</v>
      </c>
      <c r="AX231" s="1" t="e">
        <f>AX228+AX229-AX230-AV218+AX220+AX224</f>
        <v>#DIV/0!</v>
      </c>
      <c r="AY231" s="1" t="e">
        <f>AY228+AY229-AY230-AW218+AY220+AY224</f>
        <v>#DIV/0!</v>
      </c>
      <c r="AZ231" s="1" t="e">
        <f>AZ228+AZ229-AZ230-AX218+AZ220+AZ224</f>
        <v>#DIV/0!</v>
      </c>
      <c r="BA231" s="3" t="n"/>
      <c r="BB231" s="1" t="e">
        <f>BB228+BB229-BB230-AZ218+BB220+BB224</f>
        <v>#DIV/0!</v>
      </c>
      <c r="BC231" s="1" t="e">
        <f>BC228+BC229-BC230-BA218+BC220+BC224</f>
        <v>#DIV/0!</v>
      </c>
      <c r="BD231" s="1" t="e">
        <f>BD228+BD229-BD230-BB218+BD220+BD224</f>
        <v>#DIV/0!</v>
      </c>
      <c r="BE231" s="1" t="e">
        <f>BE228+BE229-BE230-BC218+BE220+BE224</f>
        <v>#DIV/0!</v>
      </c>
      <c r="BF231" s="3" t="n"/>
      <c r="BG231" s="1" t="e">
        <f>BG228+BG229-BG230-BE218+BG220+BG224</f>
        <v>#DIV/0!</v>
      </c>
      <c r="BH231" s="1" t="e">
        <f>BH228+BH229-BH230-BF218+BH220+BH224</f>
        <v>#DIV/0!</v>
      </c>
      <c r="BI231" s="1" t="e">
        <f>BI228+BI229-BI230-BG218+BI220+BI224</f>
        <v>#DIV/0!</v>
      </c>
      <c r="BJ231" s="1" t="e">
        <f>BJ228+BJ229-BJ230-BH218+BJ220+BJ224</f>
        <v>#DIV/0!</v>
      </c>
      <c r="BK231" s="3" t="n"/>
      <c r="BL231" s="1" t="e">
        <f>BL228+BL229-BL230-BJ218+BL220+BL224</f>
        <v>#DIV/0!</v>
      </c>
      <c r="BM231" s="1" t="e">
        <f>BM228+BM229-BM230-BK218+BM220+BM224</f>
        <v>#DIV/0!</v>
      </c>
      <c r="BN231" s="1" t="e">
        <f>BN228+BN229-BN230-BL218+BN220+BN224</f>
        <v>#DIV/0!</v>
      </c>
      <c r="BO231" s="1" t="e">
        <f>BO228+BO229-BO230-BM218+BO220+BO224</f>
        <v>#DIV/0!</v>
      </c>
      <c r="BP231" s="3" t="n"/>
      <c r="BQ231" s="1" t="e">
        <f>BQ228+BQ229-BQ230-BO218+BQ220+BQ224</f>
        <v>#DIV/0!</v>
      </c>
      <c r="BR231" s="1" t="e">
        <f>BR228+BR229-BR230-BP218+BR220+BR224</f>
        <v>#DIV/0!</v>
      </c>
      <c r="BS231" s="1" t="e">
        <f>BS228+BS229-BS230-BQ218+BS220+BS224</f>
        <v>#DIV/0!</v>
      </c>
      <c r="BT231" s="1" t="e">
        <f>BT228+BT229-BT230-BR218+BT220+BT224</f>
        <v>#DIV/0!</v>
      </c>
      <c r="BU231" s="3" t="n"/>
      <c r="BV231" s="1" t="e">
        <f>BV228+BV229-BV230-BT218+BV220+BV224</f>
        <v>#DIV/0!</v>
      </c>
      <c r="BW231" s="1" t="e">
        <f>BW228+BW229-BW230-BU218+BW220+BW224</f>
        <v>#DIV/0!</v>
      </c>
      <c r="BX231" s="1" t="e">
        <f>BX228+BX229-BX230-BV218+BX220+BX224</f>
        <v>#DIV/0!</v>
      </c>
      <c r="BY231" s="1" t="e">
        <f>BY228+BY229-BY230-BW218+BY220+BY224</f>
        <v>#DIV/0!</v>
      </c>
      <c r="BZ231" s="3" t="n"/>
      <c r="CA231" s="1" t="e">
        <f>CA228+CA229-CA230-BY218+CA220+CA224</f>
        <v>#DIV/0!</v>
      </c>
      <c r="CB231" s="1" t="e">
        <f>CB228+CB229-CB230-BZ218+CB220+CB224</f>
        <v>#DIV/0!</v>
      </c>
      <c r="CC231" s="1" t="e">
        <f>CC228+CC229-CC230-CA218+CC220+CC224</f>
        <v>#DIV/0!</v>
      </c>
      <c r="CD231" s="1" t="e">
        <f>CD228+CD229-CD230-CB218+CD220+CD224</f>
        <v>#DIV/0!</v>
      </c>
      <c r="CE231" s="3" t="n"/>
      <c r="CF231" s="1" t="e">
        <f>CF228+CF229-CF230-CD218+CF220+CF224</f>
        <v>#DIV/0!</v>
      </c>
      <c r="CG231" s="1" t="e">
        <f>CG228+CG229-CG230-CE218+CG220+CG224</f>
        <v>#DIV/0!</v>
      </c>
      <c r="CH231" s="1" t="e">
        <f>CH228+CH229-CH230-CF218+CH220+CH224</f>
        <v>#DIV/0!</v>
      </c>
      <c r="CI231" s="1" t="e">
        <f>CI228+CI229-CI230-CG218+CI220+CI224</f>
        <v>#DIV/0!</v>
      </c>
      <c r="CJ231" s="3" t="n"/>
      <c r="CK231" s="1" t="e">
        <f>CK228+CK229-CK230-CI218+CK220+CK224</f>
        <v>#DIV/0!</v>
      </c>
      <c r="CL231" s="1" t="e">
        <f>CL228+CL229-CL230-CJ218+CL220+CL224</f>
        <v>#DIV/0!</v>
      </c>
      <c r="CM231" s="1" t="e">
        <f>CM228+CM229-CM230-CK218+CM220+CM224</f>
        <v>#DIV/0!</v>
      </c>
      <c r="CN231" s="1" t="e">
        <f>CN228+CN229-CN230-CL218+CN220+CN224</f>
        <v>#DIV/0!</v>
      </c>
      <c r="CO231" s="3" t="n"/>
      <c r="CP231" s="1" t="e">
        <f>CP228+CP229-CP230-CN218+CP220+CP224</f>
        <v>#DIV/0!</v>
      </c>
      <c r="CQ231" s="1" t="e">
        <f>CQ228+CQ229-CQ230-CO218+CQ220+CQ224</f>
        <v>#DIV/0!</v>
      </c>
      <c r="CR231" s="1" t="e">
        <f>CR228+CR229-CR230-CP218+CR220+CR224</f>
        <v>#DIV/0!</v>
      </c>
      <c r="CS231" s="1" t="e">
        <f>CS228+CS229-CS230-CQ218+CS220+CS224</f>
        <v>#DIV/0!</v>
      </c>
      <c r="CT231" s="3" t="n"/>
      <c r="CU231" s="1" t="e">
        <f>CU228+CU229-CU230-CS218+CU220+CU224</f>
        <v>#DIV/0!</v>
      </c>
      <c r="CV231" s="1" t="e">
        <f>CV228+CV229-CV230-CT218+CV220+CV224</f>
        <v>#DIV/0!</v>
      </c>
      <c r="CW231" s="1" t="e">
        <f>CW228+CW229-CW230-CU218+CW220+CW224</f>
        <v>#DIV/0!</v>
      </c>
      <c r="CX231" s="1" t="e">
        <f>CX228+CX229-CX230-CV218+CX220+CX224</f>
        <v>#DIV/0!</v>
      </c>
      <c r="CY231" s="3" t="n"/>
    </row>
    <row r="232" hidden="1" outlineLevel="1">
      <c r="C232" s="34" t="inlineStr">
        <is>
          <t>Short term debt</t>
        </is>
      </c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  <c r="AB232" s="3" t="n"/>
      <c r="AC232" s="3" t="n"/>
      <c r="AD232" s="3" t="n"/>
      <c r="AE232" s="3" t="n"/>
      <c r="AF232" s="3" t="n"/>
      <c r="AG232" s="3" t="n"/>
      <c r="AH232" s="3">
        <f>AH212</f>
        <v>0</v>
      </c>
      <c r="AI232" s="3">
        <f>MAX(0,AH232-AI231)</f>
        <v>19752</v>
      </c>
      <c r="AJ232" s="3">
        <f>MAX(0,AI232-AJ231)</f>
        <v>0</v>
      </c>
      <c r="AK232" s="3">
        <f>MAX(0,AJ232-AK231)</f>
        <v>0</v>
      </c>
      <c r="AL232" s="3" t="n"/>
      <c r="AM232" s="3">
        <f>AM212</f>
        <v>0</v>
      </c>
      <c r="AN232" s="3" t="e">
        <f>MAX(0,AM232-AN231)</f>
        <v>#DIV/0!</v>
      </c>
      <c r="AO232" s="3" t="e">
        <f>MAX(0,AN232-AO231)</f>
        <v>#DIV/0!</v>
      </c>
      <c r="AP232" s="3" t="e">
        <f>MAX(0,AO232-AP231)</f>
        <v>#DIV/0!</v>
      </c>
      <c r="AQ232" s="3" t="n"/>
      <c r="AR232" s="3">
        <f>AR212</f>
        <v>0</v>
      </c>
      <c r="AS232" s="3" t="e">
        <f>MAX(0,AR232-AS231)</f>
        <v>#DIV/0!</v>
      </c>
      <c r="AT232" s="3" t="e">
        <f>MAX(0,AS232-AT231)</f>
        <v>#DIV/0!</v>
      </c>
      <c r="AU232" s="3" t="e">
        <f>MAX(0,AT232-AU231)</f>
        <v>#DIV/0!</v>
      </c>
      <c r="AV232" s="3" t="n"/>
      <c r="AW232" s="3">
        <f>AW212</f>
        <v>0</v>
      </c>
      <c r="AX232" s="3" t="e">
        <f>MAX(0,AW232-AX231)</f>
        <v>#DIV/0!</v>
      </c>
      <c r="AY232" s="3" t="e">
        <f>MAX(0,AX232-AY231)</f>
        <v>#DIV/0!</v>
      </c>
      <c r="AZ232" s="3" t="e">
        <f>MAX(0,AY232-AZ231)</f>
        <v>#DIV/0!</v>
      </c>
      <c r="BA232" s="3" t="n"/>
      <c r="BB232" s="3">
        <f>BB212</f>
        <v>0</v>
      </c>
      <c r="BC232" s="3" t="e">
        <f>MAX(0,BB232-BC231)</f>
        <v>#DIV/0!</v>
      </c>
      <c r="BD232" s="3" t="e">
        <f>MAX(0,BC232-BD231)</f>
        <v>#DIV/0!</v>
      </c>
      <c r="BE232" s="3" t="e">
        <f>MAX(0,BD232-BE231)</f>
        <v>#DIV/0!</v>
      </c>
      <c r="BF232" s="3" t="n"/>
      <c r="BG232" s="3">
        <f>BG212</f>
        <v>0</v>
      </c>
      <c r="BH232" s="3" t="e">
        <f>MAX(0,BG232-BH231)</f>
        <v>#DIV/0!</v>
      </c>
      <c r="BI232" s="3" t="e">
        <f>MAX(0,BH232-BI231)</f>
        <v>#DIV/0!</v>
      </c>
      <c r="BJ232" s="3" t="e">
        <f>MAX(0,BI232-BJ231)</f>
        <v>#DIV/0!</v>
      </c>
      <c r="BK232" s="3" t="n"/>
      <c r="BL232" s="3">
        <f>BL212</f>
        <v>0</v>
      </c>
      <c r="BM232" s="3" t="e">
        <f>MAX(0,BL232-BM231)</f>
        <v>#DIV/0!</v>
      </c>
      <c r="BN232" s="3" t="e">
        <f>MAX(0,BM232-BN231)</f>
        <v>#DIV/0!</v>
      </c>
      <c r="BO232" s="3" t="e">
        <f>MAX(0,BN232-BO231)</f>
        <v>#DIV/0!</v>
      </c>
      <c r="BP232" s="3" t="n"/>
      <c r="BQ232" s="3">
        <f>BQ212</f>
        <v>0</v>
      </c>
      <c r="BR232" s="3" t="e">
        <f>MAX(0,BQ232-BR231)</f>
        <v>#DIV/0!</v>
      </c>
      <c r="BS232" s="3" t="e">
        <f>MAX(0,BR232-BS231)</f>
        <v>#DIV/0!</v>
      </c>
      <c r="BT232" s="3" t="e">
        <f>MAX(0,BS232-BT231)</f>
        <v>#DIV/0!</v>
      </c>
      <c r="BU232" s="3" t="n"/>
      <c r="BV232" s="3">
        <f>BV212</f>
        <v>0</v>
      </c>
      <c r="BW232" s="3" t="e">
        <f>MAX(0,BV232-BW231)</f>
        <v>#DIV/0!</v>
      </c>
      <c r="BX232" s="3" t="e">
        <f>MAX(0,BW232-BX231)</f>
        <v>#DIV/0!</v>
      </c>
      <c r="BY232" s="3" t="e">
        <f>MAX(0,BX232-BY231)</f>
        <v>#DIV/0!</v>
      </c>
      <c r="BZ232" s="3" t="n"/>
      <c r="CA232" s="3">
        <f>CA212</f>
        <v>0</v>
      </c>
      <c r="CB232" s="3" t="e">
        <f>MAX(0,CA232-CB231)</f>
        <v>#DIV/0!</v>
      </c>
      <c r="CC232" s="3" t="e">
        <f>MAX(0,CB232-CC231)</f>
        <v>#DIV/0!</v>
      </c>
      <c r="CD232" s="3" t="e">
        <f>MAX(0,CC232-CD231)</f>
        <v>#DIV/0!</v>
      </c>
      <c r="CE232" s="3" t="n"/>
      <c r="CF232" s="3">
        <f>CF212</f>
        <v>0</v>
      </c>
      <c r="CG232" s="3" t="e">
        <f>MAX(0,CF232-CG231)</f>
        <v>#DIV/0!</v>
      </c>
      <c r="CH232" s="3" t="e">
        <f>MAX(0,CG232-CH231)</f>
        <v>#DIV/0!</v>
      </c>
      <c r="CI232" s="3" t="e">
        <f>MAX(0,CH232-CI231)</f>
        <v>#DIV/0!</v>
      </c>
      <c r="CJ232" s="3" t="n"/>
      <c r="CK232" s="3">
        <f>CK212</f>
        <v>0</v>
      </c>
      <c r="CL232" s="3" t="e">
        <f>MAX(0,CK232-CL231)</f>
        <v>#DIV/0!</v>
      </c>
      <c r="CM232" s="3" t="e">
        <f>MAX(0,CL232-CM231)</f>
        <v>#DIV/0!</v>
      </c>
      <c r="CN232" s="3" t="e">
        <f>MAX(0,CM232-CN231)</f>
        <v>#DIV/0!</v>
      </c>
      <c r="CO232" s="3" t="n"/>
      <c r="CP232" s="3">
        <f>CP212</f>
        <v>0</v>
      </c>
      <c r="CQ232" s="3" t="e">
        <f>MAX(0,CP232-CQ231)</f>
        <v>#DIV/0!</v>
      </c>
      <c r="CR232" s="3" t="e">
        <f>MAX(0,CQ232-CR231)</f>
        <v>#DIV/0!</v>
      </c>
      <c r="CS232" s="3" t="e">
        <f>MAX(0,CR232-CS231)</f>
        <v>#DIV/0!</v>
      </c>
      <c r="CT232" s="3" t="n"/>
      <c r="CU232" s="3">
        <f>CU212</f>
        <v>0</v>
      </c>
      <c r="CV232" s="3" t="e">
        <f>MAX(0,CU232-CV231)</f>
        <v>#DIV/0!</v>
      </c>
      <c r="CW232" s="3" t="e">
        <f>MAX(0,CV232-CW231)</f>
        <v>#DIV/0!</v>
      </c>
      <c r="CX232" s="3" t="e">
        <f>MAX(0,CW232-CX231)</f>
        <v>#DIV/0!</v>
      </c>
      <c r="CY232" s="3" t="n"/>
    </row>
    <row r="233" hidden="1" outlineLevel="1">
      <c r="C233" s="34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  <c r="AB233" s="3" t="n"/>
      <c r="AC233" s="3" t="n"/>
      <c r="AD233" s="3" t="n"/>
      <c r="AE233" s="3" t="n"/>
      <c r="AF233" s="3" t="n"/>
      <c r="AG233" s="3" t="n"/>
      <c r="AH233" s="3" t="n"/>
      <c r="AI233" s="3" t="n"/>
      <c r="AJ233" s="3" t="n"/>
      <c r="AK233" s="3" t="n"/>
      <c r="AL233" s="3" t="n"/>
      <c r="AM233" s="3" t="n"/>
      <c r="AN233" s="3" t="n"/>
      <c r="AO233" s="3" t="n"/>
      <c r="AP233" s="3" t="n"/>
      <c r="AQ233" s="3" t="n"/>
      <c r="AR233" s="3" t="n"/>
      <c r="AS233" s="3" t="n"/>
      <c r="AT233" s="3" t="n"/>
      <c r="AU233" s="3" t="n"/>
      <c r="AV233" s="3" t="n"/>
      <c r="AW233" s="3" t="n"/>
      <c r="AX233" s="3" t="n"/>
      <c r="AY233" s="3" t="n"/>
      <c r="AZ233" s="3" t="n"/>
      <c r="BA233" s="3" t="n"/>
      <c r="BB233" s="3" t="n"/>
      <c r="BC233" s="3" t="n"/>
      <c r="BD233" s="3" t="n"/>
      <c r="BE233" s="3" t="n"/>
      <c r="BF233" s="3" t="n"/>
      <c r="BG233" s="3" t="n"/>
      <c r="BH233" s="3" t="n"/>
      <c r="BI233" s="3" t="n"/>
      <c r="BJ233" s="3" t="n"/>
      <c r="BK233" s="3" t="n"/>
      <c r="BL233" s="3" t="n"/>
      <c r="BM233" s="3" t="n"/>
      <c r="BN233" s="3" t="n"/>
      <c r="BO233" s="3" t="n"/>
      <c r="BP233" s="3" t="n"/>
      <c r="BQ233" s="3" t="n"/>
      <c r="BR233" s="3" t="n"/>
      <c r="BS233" s="3" t="n"/>
      <c r="BT233" s="3" t="n"/>
      <c r="BU233" s="3" t="n"/>
      <c r="BV233" s="3" t="n"/>
      <c r="BW233" s="3" t="n"/>
      <c r="BX233" s="3" t="n"/>
      <c r="BY233" s="3" t="n"/>
      <c r="BZ233" s="3" t="n"/>
      <c r="CA233" s="3" t="n"/>
      <c r="CB233" s="3" t="n"/>
      <c r="CC233" s="3" t="n"/>
      <c r="CD233" s="3" t="n"/>
      <c r="CE233" s="3" t="n"/>
      <c r="CF233" s="3" t="n"/>
      <c r="CG233" s="3" t="n"/>
      <c r="CH233" s="3" t="n"/>
      <c r="CI233" s="3" t="n"/>
      <c r="CJ233" s="3" t="n"/>
      <c r="CK233" s="3" t="n"/>
      <c r="CL233" s="3" t="n"/>
      <c r="CM233" s="3" t="n"/>
      <c r="CN233" s="3" t="n"/>
      <c r="CO233" s="3" t="n"/>
      <c r="CP233" s="3" t="n"/>
      <c r="CQ233" s="3" t="n"/>
      <c r="CR233" s="3" t="n"/>
      <c r="CS233" s="3" t="n"/>
      <c r="CT233" s="3" t="n"/>
      <c r="CU233" s="3" t="n"/>
      <c r="CV233" s="3" t="n"/>
      <c r="CW233" s="3" t="n"/>
      <c r="CX233" s="3" t="n"/>
      <c r="CY233" s="3" t="n"/>
    </row>
    <row r="234" collapsed="1">
      <c r="C234" s="26" t="inlineStr">
        <is>
          <t>Long term operating leases</t>
        </is>
      </c>
      <c r="D234" s="25">
        <f>INDEX('Inputs (2)'!$D$36:$AL$36,MATCH(D$7,'Inputs (2)'!$D$2:$AL$2,0))</f>
        <v>519</v>
      </c>
      <c r="E234" s="25">
        <f>INDEX('Inputs (2)'!$D$36:$AL$36,MATCH(E$7,'Inputs (2)'!$D$2:$AL$2,0))</f>
        <v>611</v>
      </c>
      <c r="F234" s="25">
        <f>INDEX('Inputs (2)'!$D$36:$AL$36,MATCH(F$7,'Inputs (2)'!$D$2:$AL$2,0))</f>
        <v>604</v>
      </c>
      <c r="G234" s="25">
        <f>INDEX('Inputs (2)'!$D$36:$AL$36,MATCH(G$7,'Inputs (2)'!$D$2:$AL$2,0))</f>
        <v>634</v>
      </c>
      <c r="H234" s="3">
        <f>G234</f>
        <v>634</v>
      </c>
      <c r="I234" s="25">
        <f>INDEX('Inputs (2)'!$D$36:$AL$36,MATCH(I$7,'Inputs (2)'!$D$2:$AL$2,0))</f>
        <v>640</v>
      </c>
      <c r="J234" s="25">
        <f>INDEX('Inputs (2)'!$D$36:$AL$36,MATCH(J$7,'Inputs (2)'!$D$2:$AL$2,0))</f>
        <v>716</v>
      </c>
      <c r="K234" s="25">
        <f>INDEX('Inputs (2)'!$D$36:$AL$36,MATCH(K$7,'Inputs (2)'!$D$2:$AL$2,0))</f>
        <v>743</v>
      </c>
      <c r="L234" s="25">
        <f>INDEX('Inputs (2)'!$D$36:$AL$36,MATCH(L$7,'Inputs (2)'!$D$2:$AL$2,0))</f>
        <v>741</v>
      </c>
      <c r="M234" s="3">
        <f>L234</f>
        <v>741</v>
      </c>
      <c r="N234" s="25">
        <f>INDEX('Inputs (2)'!$D$36:$AL$36,MATCH(N$7,'Inputs (2)'!$D$2:$AL$2,0))</f>
        <v>752</v>
      </c>
      <c r="O234" s="25">
        <f>INDEX('Inputs (2)'!$D$36:$AL$36,MATCH(O$7,'Inputs (2)'!$D$2:$AL$2,0))</f>
        <v>743</v>
      </c>
      <c r="P234" s="25">
        <f>INDEX('Inputs (2)'!$D$36:$AL$36,MATCH(P$7,'Inputs (2)'!$D$2:$AL$2,0))</f>
        <v>798</v>
      </c>
      <c r="Q234" s="25">
        <f>INDEX('Inputs (2)'!$D$36:$AL$36,MATCH(Q$7,'Inputs (2)'!$D$2:$AL$2,0))</f>
        <v>902</v>
      </c>
      <c r="R234" s="3">
        <f>Q234</f>
        <v>902</v>
      </c>
      <c r="S234" s="25">
        <f>INDEX('Inputs (2)'!$D$36:$AL$36,MATCH(S$7,'Inputs (2)'!$D$2:$AL$2,0))</f>
        <v>939</v>
      </c>
      <c r="T234" s="25">
        <f>INDEX('Inputs (2)'!$D$36:$AL$36,MATCH(T$7,'Inputs (2)'!$D$2:$AL$2,0))</f>
        <v>1041</v>
      </c>
      <c r="U234" s="25">
        <f>INDEX('Inputs (2)'!$D$36:$AL$36,MATCH(U$7,'Inputs (2)'!$D$2:$AL$2,0))</f>
        <v>1091</v>
      </c>
      <c r="V234" s="25">
        <f>INDEX('Inputs (2)'!$D$36:$AL$36,MATCH(V$7,'Inputs (2)'!$D$2:$AL$2,0))</f>
        <v>1119</v>
      </c>
      <c r="W234" s="3">
        <f>V234</f>
        <v>1119</v>
      </c>
      <c r="X234" s="25">
        <f>INDEX('Inputs (2)'!$D$36:$AL$36,MATCH(X$7,'Inputs (2)'!$D$2:$AL$2,0))</f>
        <v>1281</v>
      </c>
      <c r="Y234" s="25">
        <f>INDEX('Inputs (2)'!$D$36:$AL$36,MATCH(Y$7,'Inputs (2)'!$D$2:$AL$2,0))</f>
        <v>1304</v>
      </c>
      <c r="Z234" s="25">
        <f>INDEX('Inputs (2)'!$D$36:$AL$36,MATCH(Z$7,'Inputs (2)'!$D$2:$AL$2,0))</f>
        <v>1490</v>
      </c>
      <c r="AA234" s="25">
        <f>INDEX('Inputs (2)'!$D$36:$AL$36,MATCH(AA$7,'Inputs (2)'!$D$2:$AL$2,0))</f>
        <v>1519</v>
      </c>
      <c r="AB234" s="3">
        <f>AA234</f>
        <v>1519</v>
      </c>
      <c r="AC234" s="25">
        <f>INDEX('Inputs (2)'!$D$36:$AL$36,MATCH(AC$7,'Inputs (2)'!$D$2:$AL$2,0))</f>
        <v>1521</v>
      </c>
      <c r="AD234" s="25">
        <f>INDEX('Inputs (2)'!$D$36:$AL$36,MATCH(AD$7,'Inputs (2)'!$D$2:$AL$2,0))</f>
        <v>1831</v>
      </c>
      <c r="AE234" s="25">
        <f>INDEX('Inputs (2)'!$D$36:$AL$36,MATCH(AE$7,'Inputs (2)'!$D$2:$AL$2,0))</f>
        <v>2014</v>
      </c>
      <c r="AF234" s="25">
        <f>INDEX('Inputs (2)'!$D$36:$AL$36,MATCH(AF$7,'Inputs (2)'!$D$2:$AL$2,0))</f>
        <v>2572</v>
      </c>
      <c r="AG234" s="3">
        <f>AF234</f>
        <v>2572</v>
      </c>
      <c r="AH234" s="3">
        <f>INDEX('Inputs (2)'!$D$36:$AL$36,MATCH(AH$7,'Inputs (2)'!$D$2:$AL$2,0))</f>
        <v>3878</v>
      </c>
      <c r="AI234" s="3">
        <f>INDEX('Inputs (2)'!$D$36:$AL$36,MATCH(AI$7,'Inputs (2)'!$D$2:$AL$2,0))</f>
        <v>4985</v>
      </c>
      <c r="AJ234" s="3">
        <f>AI234</f>
        <v>4985</v>
      </c>
      <c r="AK234" s="3">
        <f>AJ234</f>
        <v>4985</v>
      </c>
      <c r="AL234" s="3">
        <f>AK234</f>
        <v>4985</v>
      </c>
      <c r="AM234" s="3">
        <f>AL234</f>
        <v>4985</v>
      </c>
      <c r="AN234" s="3">
        <f>AM234</f>
        <v>4985</v>
      </c>
      <c r="AO234" s="3">
        <f>AN234</f>
        <v>4985</v>
      </c>
      <c r="AP234" s="3">
        <f>AO234</f>
        <v>4985</v>
      </c>
      <c r="AQ234" s="3">
        <f>AP234</f>
        <v>4985</v>
      </c>
      <c r="AR234" s="3">
        <f>AQ234</f>
        <v>4985</v>
      </c>
      <c r="AS234" s="3">
        <f>AR234</f>
        <v>4985</v>
      </c>
      <c r="AT234" s="3">
        <f>AS234</f>
        <v>4985</v>
      </c>
      <c r="AU234" s="3">
        <f>AT234</f>
        <v>4985</v>
      </c>
      <c r="AV234" s="3">
        <f>AU234</f>
        <v>4985</v>
      </c>
      <c r="AW234" s="3">
        <f>AV234</f>
        <v>4985</v>
      </c>
      <c r="AX234" s="3">
        <f>AW234</f>
        <v>4985</v>
      </c>
      <c r="AY234" s="3">
        <f>AX234</f>
        <v>4985</v>
      </c>
      <c r="AZ234" s="3">
        <f>AY234</f>
        <v>4985</v>
      </c>
      <c r="BA234" s="3">
        <f>AZ234</f>
        <v>4985</v>
      </c>
      <c r="BB234" s="3">
        <f>BA234</f>
        <v>4985</v>
      </c>
      <c r="BC234" s="3">
        <f>BB234</f>
        <v>4985</v>
      </c>
      <c r="BD234" s="3">
        <f>BC234</f>
        <v>4985</v>
      </c>
      <c r="BE234" s="3">
        <f>BD234</f>
        <v>4985</v>
      </c>
      <c r="BF234" s="3">
        <f>BE234</f>
        <v>4985</v>
      </c>
      <c r="BG234" s="3">
        <f>BF234</f>
        <v>4985</v>
      </c>
      <c r="BH234" s="3">
        <f>BG234</f>
        <v>4985</v>
      </c>
      <c r="BI234" s="3">
        <f>BH234</f>
        <v>4985</v>
      </c>
      <c r="BJ234" s="3">
        <f>BI234</f>
        <v>4985</v>
      </c>
      <c r="BK234" s="3">
        <f>BJ234</f>
        <v>4985</v>
      </c>
      <c r="BL234" s="3">
        <f>BK234</f>
        <v>4985</v>
      </c>
      <c r="BM234" s="3">
        <f>BL234</f>
        <v>4985</v>
      </c>
      <c r="BN234" s="3">
        <f>BM234</f>
        <v>4985</v>
      </c>
      <c r="BO234" s="3">
        <f>BN234</f>
        <v>4985</v>
      </c>
      <c r="BP234" s="3">
        <f>BO234</f>
        <v>4985</v>
      </c>
      <c r="BQ234" s="3">
        <f>BP234</f>
        <v>4985</v>
      </c>
      <c r="BR234" s="3">
        <f>BQ234</f>
        <v>4985</v>
      </c>
      <c r="BS234" s="3">
        <f>BR234</f>
        <v>4985</v>
      </c>
      <c r="BT234" s="3">
        <f>BS234</f>
        <v>4985</v>
      </c>
      <c r="BU234" s="3">
        <f>BT234</f>
        <v>4985</v>
      </c>
      <c r="BV234" s="3">
        <f>BU234</f>
        <v>4985</v>
      </c>
      <c r="BW234" s="3">
        <f>BV234</f>
        <v>4985</v>
      </c>
      <c r="BX234" s="3">
        <f>BW234</f>
        <v>4985</v>
      </c>
      <c r="BY234" s="3">
        <f>BX234</f>
        <v>4985</v>
      </c>
      <c r="BZ234" s="3">
        <f>BY234</f>
        <v>4985</v>
      </c>
      <c r="CA234" s="3">
        <f>BZ234</f>
        <v>4985</v>
      </c>
      <c r="CB234" s="3">
        <f>CA234</f>
        <v>4985</v>
      </c>
      <c r="CC234" s="3">
        <f>CB234</f>
        <v>4985</v>
      </c>
      <c r="CD234" s="3">
        <f>CC234</f>
        <v>4985</v>
      </c>
      <c r="CE234" s="3">
        <f>CD234</f>
        <v>4985</v>
      </c>
      <c r="CF234" s="3">
        <f>CE234</f>
        <v>4985</v>
      </c>
      <c r="CG234" s="3">
        <f>CF234</f>
        <v>4985</v>
      </c>
      <c r="CH234" s="3">
        <f>CG234</f>
        <v>4985</v>
      </c>
      <c r="CI234" s="3">
        <f>CH234</f>
        <v>4985</v>
      </c>
      <c r="CJ234" s="3">
        <f>CI234</f>
        <v>4985</v>
      </c>
      <c r="CK234" s="3">
        <f>CJ234</f>
        <v>4985</v>
      </c>
      <c r="CL234" s="3">
        <f>CK234</f>
        <v>4985</v>
      </c>
      <c r="CM234" s="3">
        <f>CL234</f>
        <v>4985</v>
      </c>
      <c r="CN234" s="3">
        <f>CM234</f>
        <v>4985</v>
      </c>
      <c r="CO234" s="3">
        <f>CN234</f>
        <v>4985</v>
      </c>
      <c r="CP234" s="3">
        <f>CO234</f>
        <v>4985</v>
      </c>
      <c r="CQ234" s="3">
        <f>CP234</f>
        <v>4985</v>
      </c>
      <c r="CR234" s="3">
        <f>CQ234</f>
        <v>4985</v>
      </c>
      <c r="CS234" s="3">
        <f>CR234</f>
        <v>4985</v>
      </c>
      <c r="CT234" s="3">
        <f>CS234</f>
        <v>4985</v>
      </c>
      <c r="CU234" s="3">
        <f>CT234</f>
        <v>4985</v>
      </c>
      <c r="CV234" s="3">
        <f>CU234</f>
        <v>4985</v>
      </c>
      <c r="CW234" s="3">
        <f>CV234</f>
        <v>4985</v>
      </c>
      <c r="CX234" s="3">
        <f>CW234</f>
        <v>4985</v>
      </c>
      <c r="CY234" s="3">
        <f>CX234</f>
        <v>4985</v>
      </c>
    </row>
    <row r="235" hidden="1" outlineLevel="1">
      <c r="C235" s="38" t="inlineStr">
        <is>
          <t>%(Var.)</t>
        </is>
      </c>
      <c r="D235" s="3" t="n"/>
      <c r="E235" s="47">
        <f>IFERROR((E234-D234)/D234,0)</f>
        <v>0.177263969171484</v>
      </c>
      <c r="F235" s="47">
        <f>IFERROR((F234-E234)/E234,0)</f>
        <v>-0.0114566284779051</v>
      </c>
      <c r="G235" s="47">
        <f>IFERROR((G234-F234)/F234,0)</f>
        <v>0.0496688741721854</v>
      </c>
      <c r="H235" s="3" t="n"/>
      <c r="I235" s="47">
        <f>IFERROR((I234-H234)/H234,0)</f>
        <v>0.00946372239747634</v>
      </c>
      <c r="J235" s="47">
        <f>IFERROR((J234-I234)/I234,0)</f>
        <v>0.11875</v>
      </c>
      <c r="K235" s="47">
        <f>IFERROR((K234-J234)/J234,0)</f>
        <v>0.0377094972067039</v>
      </c>
      <c r="L235" s="47">
        <f>IFERROR((L234-K234)/K234,0)</f>
        <v>-0.00269179004037685</v>
      </c>
      <c r="M235" s="3" t="n"/>
      <c r="N235" s="47">
        <f>IFERROR((N234-M234)/M234,0)</f>
        <v>0.0148448043184885</v>
      </c>
      <c r="O235" s="47">
        <f>IFERROR((O234-N234)/N234,0)</f>
        <v>-0.011968085106383</v>
      </c>
      <c r="P235" s="47">
        <f>IFERROR((P234-O234)/O234,0)</f>
        <v>0.0740242261103634</v>
      </c>
      <c r="Q235" s="47">
        <f>IFERROR((Q234-P234)/P234,0)</f>
        <v>0.130325814536341</v>
      </c>
      <c r="R235" s="3" t="n"/>
      <c r="S235" s="47">
        <f>IFERROR((S234-R234)/R234,0)</f>
        <v>0.041019955654102</v>
      </c>
      <c r="T235" s="47">
        <f>IFERROR((T234-S234)/S234,0)</f>
        <v>0.108626198083067</v>
      </c>
      <c r="U235" s="47">
        <f>IFERROR((U234-T234)/T234,0)</f>
        <v>0.048030739673391</v>
      </c>
      <c r="V235" s="47">
        <f>IFERROR((V234-U234)/U234,0)</f>
        <v>0.0256645279560037</v>
      </c>
      <c r="W235" s="3" t="n"/>
      <c r="X235" s="47">
        <f>IFERROR((X234-W234)/W234,0)</f>
        <v>0.144772117962467</v>
      </c>
      <c r="Y235" s="47">
        <f>IFERROR((Y234-X234)/X234,0)</f>
        <v>0.0179547228727557</v>
      </c>
      <c r="Z235" s="47">
        <f>IFERROR((Z234-Y234)/Y234,0)</f>
        <v>0.142638036809816</v>
      </c>
      <c r="AA235" s="47">
        <f>IFERROR((AA234-Z234)/Z234,0)</f>
        <v>0.0194630872483221</v>
      </c>
      <c r="AB235" s="3" t="n"/>
      <c r="AC235" s="47">
        <f>IFERROR((AC234-AB234)/AB234,0)</f>
        <v>0.00131665569453588</v>
      </c>
      <c r="AD235" s="47">
        <f>IFERROR((AD234-AC234)/AC234,0)</f>
        <v>0.203813280736358</v>
      </c>
      <c r="AE235" s="47">
        <f>IFERROR((AE234-AD234)/AD234,0)</f>
        <v>0.0999453850354997</v>
      </c>
      <c r="AF235" s="230">
        <f>IFERROR((AF234-AE234)/AE234,0)</f>
        <v>0.277060575968222</v>
      </c>
      <c r="AG235" s="3" t="n"/>
      <c r="AH235" s="6">
        <f>IFERROR((AH234-AG234)/AG234,0)</f>
        <v>0.507776049766719</v>
      </c>
      <c r="AI235" s="6">
        <f>IFERROR((AI234-AH234)/AH234,0)</f>
        <v>0.285456420835482</v>
      </c>
      <c r="AJ235" s="6" t="n"/>
      <c r="AK235" s="6" t="n"/>
      <c r="AL235" s="3" t="n"/>
      <c r="AM235" s="6" t="n"/>
      <c r="AN235" s="6" t="n"/>
      <c r="AO235" s="6" t="n"/>
      <c r="AP235" s="6" t="n"/>
      <c r="AQ235" s="3" t="n"/>
      <c r="AR235" s="6" t="n"/>
      <c r="AS235" s="6" t="n"/>
      <c r="AT235" s="6" t="n"/>
      <c r="AU235" s="6" t="n"/>
      <c r="AV235" s="3" t="n"/>
      <c r="AW235" s="6" t="n"/>
      <c r="AX235" s="6" t="n"/>
      <c r="AY235" s="6" t="n"/>
      <c r="AZ235" s="6" t="n"/>
      <c r="BA235" s="3" t="n"/>
      <c r="BB235" s="6" t="n"/>
      <c r="BC235" s="6" t="n"/>
      <c r="BD235" s="6" t="n"/>
      <c r="BE235" s="6" t="n"/>
      <c r="BF235" s="3" t="n"/>
      <c r="BG235" s="6" t="n"/>
      <c r="BH235" s="6" t="n"/>
      <c r="BI235" s="6" t="n"/>
      <c r="BJ235" s="6" t="n"/>
      <c r="BK235" s="3" t="n"/>
      <c r="BL235" s="6" t="n"/>
      <c r="BM235" s="6" t="n"/>
      <c r="BN235" s="6" t="n"/>
      <c r="BO235" s="6" t="n"/>
      <c r="BP235" s="3" t="n"/>
      <c r="BQ235" s="6" t="n"/>
      <c r="BR235" s="6" t="n"/>
      <c r="BS235" s="6" t="n"/>
      <c r="BT235" s="6" t="n"/>
      <c r="BU235" s="3" t="n"/>
      <c r="BV235" s="6" t="n"/>
      <c r="BW235" s="6" t="n"/>
      <c r="BX235" s="6" t="n"/>
      <c r="BY235" s="6" t="n"/>
      <c r="BZ235" s="3" t="n"/>
      <c r="CA235" s="6" t="n"/>
      <c r="CB235" s="6" t="n"/>
      <c r="CC235" s="6" t="n"/>
      <c r="CD235" s="6" t="n"/>
      <c r="CE235" s="3" t="n"/>
      <c r="CF235" s="6" t="n"/>
      <c r="CG235" s="6" t="n"/>
      <c r="CH235" s="6" t="n"/>
      <c r="CI235" s="6" t="n"/>
      <c r="CJ235" s="3" t="n"/>
      <c r="CK235" s="6" t="n"/>
      <c r="CL235" s="6" t="n"/>
      <c r="CM235" s="6" t="n"/>
      <c r="CN235" s="6" t="n"/>
      <c r="CO235" s="3" t="n"/>
      <c r="CP235" s="6" t="n"/>
      <c r="CQ235" s="6" t="n"/>
      <c r="CR235" s="6" t="n"/>
      <c r="CS235" s="6" t="n"/>
      <c r="CT235" s="3" t="n"/>
      <c r="CU235" s="6" t="n"/>
      <c r="CV235" s="6" t="n"/>
      <c r="CW235" s="6" t="n"/>
      <c r="CX235" s="6" t="n"/>
      <c r="CY235" s="3" t="n"/>
    </row>
    <row r="236" hidden="1" outlineLevel="1">
      <c r="C236" s="34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  <c r="AC236" s="3" t="n"/>
      <c r="AD236" s="3" t="n"/>
      <c r="AE236" s="3" t="n"/>
      <c r="AF236" s="3" t="n"/>
      <c r="AG236" s="3" t="n"/>
      <c r="AH236" s="3" t="n"/>
      <c r="AI236" s="3" t="n"/>
      <c r="AJ236" s="3" t="n"/>
      <c r="AK236" s="3" t="n"/>
      <c r="AL236" s="3" t="n"/>
      <c r="AM236" s="3" t="n"/>
      <c r="AN236" s="3" t="n"/>
      <c r="AO236" s="3" t="n"/>
      <c r="AP236" s="3" t="n"/>
      <c r="AQ236" s="3" t="n"/>
      <c r="AR236" s="3" t="n"/>
      <c r="AS236" s="3" t="n"/>
      <c r="AT236" s="3" t="n"/>
      <c r="AU236" s="3" t="n"/>
      <c r="AV236" s="3" t="n"/>
      <c r="AW236" s="3" t="n"/>
      <c r="AX236" s="3" t="n"/>
      <c r="AY236" s="3" t="n"/>
      <c r="AZ236" s="3" t="n"/>
      <c r="BA236" s="3" t="n"/>
      <c r="BB236" s="3" t="n"/>
      <c r="BC236" s="3" t="n"/>
      <c r="BD236" s="3" t="n"/>
      <c r="BE236" s="3" t="n"/>
      <c r="BF236" s="3" t="n"/>
      <c r="BG236" s="3" t="n"/>
      <c r="BH236" s="3" t="n"/>
      <c r="BI236" s="3" t="n"/>
      <c r="BJ236" s="3" t="n"/>
      <c r="BK236" s="3" t="n"/>
      <c r="BL236" s="3" t="n"/>
      <c r="BM236" s="3" t="n"/>
      <c r="BN236" s="3" t="n"/>
      <c r="BO236" s="3" t="n"/>
      <c r="BP236" s="3" t="n"/>
      <c r="BQ236" s="3" t="n"/>
      <c r="BR236" s="3" t="n"/>
      <c r="BS236" s="3" t="n"/>
      <c r="BT236" s="3" t="n"/>
      <c r="BU236" s="3" t="n"/>
      <c r="BV236" s="3" t="n"/>
      <c r="BW236" s="3" t="n"/>
      <c r="BX236" s="3" t="n"/>
      <c r="BY236" s="3" t="n"/>
      <c r="BZ236" s="3" t="n"/>
      <c r="CA236" s="3" t="n"/>
      <c r="CB236" s="3" t="n"/>
      <c r="CC236" s="3" t="n"/>
      <c r="CD236" s="3" t="n"/>
      <c r="CE236" s="3" t="n"/>
      <c r="CF236" s="3" t="n"/>
      <c r="CG236" s="3" t="n"/>
      <c r="CH236" s="3" t="n"/>
      <c r="CI236" s="3" t="n"/>
      <c r="CJ236" s="3" t="n"/>
      <c r="CK236" s="3" t="n"/>
      <c r="CL236" s="3" t="n"/>
      <c r="CM236" s="3" t="n"/>
      <c r="CN236" s="3" t="n"/>
      <c r="CO236" s="3" t="n"/>
      <c r="CP236" s="3" t="n"/>
      <c r="CQ236" s="3" t="n"/>
      <c r="CR236" s="3" t="n"/>
      <c r="CS236" s="3" t="n"/>
      <c r="CT236" s="3" t="n"/>
      <c r="CU236" s="3" t="n"/>
      <c r="CV236" s="3" t="n"/>
      <c r="CW236" s="3" t="n"/>
      <c r="CX236" s="3" t="n"/>
      <c r="CY236" s="3" t="n"/>
    </row>
    <row r="237" collapsed="1">
      <c r="C237" s="26" t="inlineStr">
        <is>
          <t>Convertible debt</t>
        </is>
      </c>
      <c r="D237" s="25" t="n"/>
      <c r="E237" s="25" t="n"/>
      <c r="F237" s="25" t="n"/>
      <c r="G237" s="25" t="n"/>
      <c r="H237" s="3">
        <f>G237</f>
        <v>0</v>
      </c>
      <c r="I237" s="25" t="n"/>
      <c r="J237" s="25" t="n"/>
      <c r="K237" s="25" t="n"/>
      <c r="L237" s="25" t="n"/>
      <c r="M237" s="3">
        <f>L237</f>
        <v>0</v>
      </c>
      <c r="N237" s="25" t="n"/>
      <c r="O237" s="25" t="n"/>
      <c r="P237" s="25" t="n"/>
      <c r="Q237" s="25" t="n"/>
      <c r="R237" s="3">
        <f>Q237</f>
        <v>0</v>
      </c>
      <c r="S237" s="25" t="n"/>
      <c r="T237" s="25" t="n"/>
      <c r="U237" s="25" t="n"/>
      <c r="V237" s="25" t="n"/>
      <c r="W237" s="3">
        <f>V237</f>
        <v>0</v>
      </c>
      <c r="X237" s="25" t="n"/>
      <c r="Y237" s="25" t="n"/>
      <c r="Z237" s="25" t="n"/>
      <c r="AA237" s="25" t="n"/>
      <c r="AB237" s="3">
        <f>AA237</f>
        <v>0</v>
      </c>
      <c r="AC237" s="25" t="n"/>
      <c r="AD237" s="25" t="n"/>
      <c r="AE237" s="25" t="n"/>
      <c r="AF237" s="25" t="n"/>
      <c r="AG237" s="3">
        <f>AF237</f>
        <v>0</v>
      </c>
      <c r="AH237" s="3">
        <f>AG237</f>
        <v>0</v>
      </c>
      <c r="AI237" s="3">
        <f>AH237</f>
        <v>0</v>
      </c>
      <c r="AJ237" s="3">
        <f>AI237</f>
        <v>0</v>
      </c>
      <c r="AK237" s="3">
        <f>AJ237</f>
        <v>0</v>
      </c>
      <c r="AL237" s="3">
        <f>AK237</f>
        <v>0</v>
      </c>
      <c r="AM237" s="3">
        <f>AL237</f>
        <v>0</v>
      </c>
      <c r="AN237" s="3">
        <f>AM237</f>
        <v>0</v>
      </c>
      <c r="AO237" s="3">
        <f>AN237</f>
        <v>0</v>
      </c>
      <c r="AP237" s="3">
        <f>AO237</f>
        <v>0</v>
      </c>
      <c r="AQ237" s="3">
        <f>AP237</f>
        <v>0</v>
      </c>
      <c r="AR237" s="3">
        <f>AQ237</f>
        <v>0</v>
      </c>
      <c r="AS237" s="3">
        <f>AR237</f>
        <v>0</v>
      </c>
      <c r="AT237" s="3">
        <f>AS237</f>
        <v>0</v>
      </c>
      <c r="AU237" s="3">
        <f>AT237</f>
        <v>0</v>
      </c>
      <c r="AV237" s="3">
        <f>AU237</f>
        <v>0</v>
      </c>
      <c r="AW237" s="3">
        <f>AV237</f>
        <v>0</v>
      </c>
      <c r="AX237" s="3">
        <f>AW237</f>
        <v>0</v>
      </c>
      <c r="AY237" s="3">
        <f>AX237</f>
        <v>0</v>
      </c>
      <c r="AZ237" s="3">
        <f>AY237</f>
        <v>0</v>
      </c>
      <c r="BA237" s="3">
        <f>AZ237</f>
        <v>0</v>
      </c>
      <c r="BB237" s="3">
        <f>BA237</f>
        <v>0</v>
      </c>
      <c r="BC237" s="3">
        <f>BB237</f>
        <v>0</v>
      </c>
      <c r="BD237" s="3">
        <f>BC237</f>
        <v>0</v>
      </c>
      <c r="BE237" s="3">
        <f>BD237</f>
        <v>0</v>
      </c>
      <c r="BF237" s="3">
        <f>BE237</f>
        <v>0</v>
      </c>
      <c r="BG237" s="3">
        <f>BF237</f>
        <v>0</v>
      </c>
      <c r="BH237" s="3">
        <f>BG237</f>
        <v>0</v>
      </c>
      <c r="BI237" s="3">
        <f>BH237</f>
        <v>0</v>
      </c>
      <c r="BJ237" s="3">
        <f>BI237</f>
        <v>0</v>
      </c>
      <c r="BK237" s="3">
        <f>BJ237</f>
        <v>0</v>
      </c>
      <c r="BL237" s="3">
        <f>BK237</f>
        <v>0</v>
      </c>
      <c r="BM237" s="3">
        <f>BL237</f>
        <v>0</v>
      </c>
      <c r="BN237" s="3">
        <f>BM237</f>
        <v>0</v>
      </c>
      <c r="BO237" s="3">
        <f>BN237</f>
        <v>0</v>
      </c>
      <c r="BP237" s="3">
        <f>BO237</f>
        <v>0</v>
      </c>
      <c r="BQ237" s="3">
        <f>BP237</f>
        <v>0</v>
      </c>
      <c r="BR237" s="3">
        <f>BQ237</f>
        <v>0</v>
      </c>
      <c r="BS237" s="3">
        <f>BR237</f>
        <v>0</v>
      </c>
      <c r="BT237" s="3">
        <f>BS237</f>
        <v>0</v>
      </c>
      <c r="BU237" s="3">
        <f>BT237</f>
        <v>0</v>
      </c>
      <c r="BV237" s="3">
        <f>BU237</f>
        <v>0</v>
      </c>
      <c r="BW237" s="3">
        <f>BV237</f>
        <v>0</v>
      </c>
      <c r="BX237" s="3">
        <f>BW237</f>
        <v>0</v>
      </c>
      <c r="BY237" s="3">
        <f>BX237</f>
        <v>0</v>
      </c>
      <c r="BZ237" s="3">
        <f>BY237</f>
        <v>0</v>
      </c>
      <c r="CA237" s="3">
        <f>BZ237</f>
        <v>0</v>
      </c>
      <c r="CB237" s="3">
        <f>CA237</f>
        <v>0</v>
      </c>
      <c r="CC237" s="3">
        <f>CB237</f>
        <v>0</v>
      </c>
      <c r="CD237" s="3">
        <f>CC237</f>
        <v>0</v>
      </c>
      <c r="CE237" s="3">
        <f>CD237</f>
        <v>0</v>
      </c>
      <c r="CF237" s="3">
        <f>CE237</f>
        <v>0</v>
      </c>
      <c r="CG237" s="3">
        <f>CF237</f>
        <v>0</v>
      </c>
      <c r="CH237" s="3">
        <f>CG237</f>
        <v>0</v>
      </c>
      <c r="CI237" s="3">
        <f>CH237</f>
        <v>0</v>
      </c>
      <c r="CJ237" s="3">
        <f>CI237</f>
        <v>0</v>
      </c>
      <c r="CK237" s="3">
        <f>CJ237</f>
        <v>0</v>
      </c>
      <c r="CL237" s="3">
        <f>CK237</f>
        <v>0</v>
      </c>
      <c r="CM237" s="3">
        <f>CL237</f>
        <v>0</v>
      </c>
      <c r="CN237" s="3">
        <f>CM237</f>
        <v>0</v>
      </c>
      <c r="CO237" s="3">
        <f>CN237</f>
        <v>0</v>
      </c>
      <c r="CP237" s="3">
        <f>CO237</f>
        <v>0</v>
      </c>
      <c r="CQ237" s="3">
        <f>CP237</f>
        <v>0</v>
      </c>
      <c r="CR237" s="3">
        <f>CQ237</f>
        <v>0</v>
      </c>
      <c r="CS237" s="3">
        <f>CR237</f>
        <v>0</v>
      </c>
      <c r="CT237" s="3">
        <f>CS237</f>
        <v>0</v>
      </c>
      <c r="CU237" s="3">
        <f>CT237</f>
        <v>0</v>
      </c>
      <c r="CV237" s="3">
        <f>CU237</f>
        <v>0</v>
      </c>
      <c r="CW237" s="3">
        <f>CV237</f>
        <v>0</v>
      </c>
      <c r="CX237" s="3">
        <f>CW237</f>
        <v>0</v>
      </c>
      <c r="CY237" s="3">
        <f>CX237</f>
        <v>0</v>
      </c>
    </row>
    <row r="238">
      <c r="C238" s="26" t="inlineStr">
        <is>
          <t>Deferred income taxes</t>
        </is>
      </c>
      <c r="D238" s="25" t="n"/>
      <c r="E238" s="25" t="n"/>
      <c r="F238" s="25" t="n"/>
      <c r="G238" s="25" t="n"/>
      <c r="H238" s="3">
        <f>G238</f>
        <v>0</v>
      </c>
      <c r="I238" s="25" t="n"/>
      <c r="J238" s="25" t="n"/>
      <c r="K238" s="25" t="n"/>
      <c r="L238" s="25" t="n"/>
      <c r="M238" s="3">
        <f>L238</f>
        <v>0</v>
      </c>
      <c r="N238" s="25" t="n"/>
      <c r="O238" s="25" t="n"/>
      <c r="P238" s="25" t="n"/>
      <c r="Q238" s="25" t="n"/>
      <c r="R238" s="3">
        <f>Q238</f>
        <v>0</v>
      </c>
      <c r="S238" s="25" t="n"/>
      <c r="T238" s="25" t="n"/>
      <c r="U238" s="25" t="n"/>
      <c r="V238" s="25" t="n"/>
      <c r="W238" s="3">
        <f>V238</f>
        <v>0</v>
      </c>
      <c r="X238" s="25" t="n"/>
      <c r="Y238" s="25" t="n"/>
      <c r="Z238" s="25" t="n"/>
      <c r="AA238" s="25" t="n"/>
      <c r="AB238" s="3">
        <f>AA238</f>
        <v>0</v>
      </c>
      <c r="AC238" s="25" t="n"/>
      <c r="AD238" s="25" t="n"/>
      <c r="AE238" s="25" t="n"/>
      <c r="AF238" s="25" t="n"/>
      <c r="AG238" s="3">
        <f>AF238</f>
        <v>0</v>
      </c>
      <c r="AH238" s="3">
        <f>AG238</f>
        <v>0</v>
      </c>
      <c r="AI238" s="3">
        <f>AH238</f>
        <v>0</v>
      </c>
      <c r="AJ238" s="3">
        <f>AI238</f>
        <v>0</v>
      </c>
      <c r="AK238" s="3">
        <f>AJ238</f>
        <v>0</v>
      </c>
      <c r="AL238" s="3">
        <f>AK238</f>
        <v>0</v>
      </c>
      <c r="AM238" s="3">
        <f>AL238</f>
        <v>0</v>
      </c>
      <c r="AN238" s="3">
        <f>AM238</f>
        <v>0</v>
      </c>
      <c r="AO238" s="3">
        <f>AN238</f>
        <v>0</v>
      </c>
      <c r="AP238" s="3">
        <f>AO238</f>
        <v>0</v>
      </c>
      <c r="AQ238" s="3">
        <f>AP238</f>
        <v>0</v>
      </c>
      <c r="AR238" s="3">
        <f>AQ238</f>
        <v>0</v>
      </c>
      <c r="AS238" s="3">
        <f>AR238</f>
        <v>0</v>
      </c>
      <c r="AT238" s="3">
        <f>AS238</f>
        <v>0</v>
      </c>
      <c r="AU238" s="3">
        <f>AT238</f>
        <v>0</v>
      </c>
      <c r="AV238" s="3">
        <f>AU238</f>
        <v>0</v>
      </c>
      <c r="AW238" s="3">
        <f>AV238</f>
        <v>0</v>
      </c>
      <c r="AX238" s="3">
        <f>AW238</f>
        <v>0</v>
      </c>
      <c r="AY238" s="3">
        <f>AX238</f>
        <v>0</v>
      </c>
      <c r="AZ238" s="3">
        <f>AY238</f>
        <v>0</v>
      </c>
      <c r="BA238" s="3">
        <f>AZ238</f>
        <v>0</v>
      </c>
      <c r="BB238" s="3">
        <f>BA238</f>
        <v>0</v>
      </c>
      <c r="BC238" s="3">
        <f>BB238</f>
        <v>0</v>
      </c>
      <c r="BD238" s="3">
        <f>BC238</f>
        <v>0</v>
      </c>
      <c r="BE238" s="3">
        <f>BD238</f>
        <v>0</v>
      </c>
      <c r="BF238" s="3">
        <f>BE238</f>
        <v>0</v>
      </c>
      <c r="BG238" s="3">
        <f>BF238</f>
        <v>0</v>
      </c>
      <c r="BH238" s="3">
        <f>BG238</f>
        <v>0</v>
      </c>
      <c r="BI238" s="3">
        <f>BH238</f>
        <v>0</v>
      </c>
      <c r="BJ238" s="3">
        <f>BI238</f>
        <v>0</v>
      </c>
      <c r="BK238" s="3">
        <f>BJ238</f>
        <v>0</v>
      </c>
      <c r="BL238" s="3">
        <f>BK238</f>
        <v>0</v>
      </c>
      <c r="BM238" s="3">
        <f>BL238</f>
        <v>0</v>
      </c>
      <c r="BN238" s="3">
        <f>BM238</f>
        <v>0</v>
      </c>
      <c r="BO238" s="3">
        <f>BN238</f>
        <v>0</v>
      </c>
      <c r="BP238" s="3">
        <f>BO238</f>
        <v>0</v>
      </c>
      <c r="BQ238" s="3">
        <f>BP238</f>
        <v>0</v>
      </c>
      <c r="BR238" s="3">
        <f>BQ238</f>
        <v>0</v>
      </c>
      <c r="BS238" s="3">
        <f>BR238</f>
        <v>0</v>
      </c>
      <c r="BT238" s="3">
        <f>BS238</f>
        <v>0</v>
      </c>
      <c r="BU238" s="3">
        <f>BT238</f>
        <v>0</v>
      </c>
      <c r="BV238" s="3">
        <f>BU238</f>
        <v>0</v>
      </c>
      <c r="BW238" s="3">
        <f>BV238</f>
        <v>0</v>
      </c>
      <c r="BX238" s="3">
        <f>BW238</f>
        <v>0</v>
      </c>
      <c r="BY238" s="3">
        <f>BX238</f>
        <v>0</v>
      </c>
      <c r="BZ238" s="3">
        <f>BY238</f>
        <v>0</v>
      </c>
      <c r="CA238" s="3">
        <f>BZ238</f>
        <v>0</v>
      </c>
      <c r="CB238" s="3">
        <f>CA238</f>
        <v>0</v>
      </c>
      <c r="CC238" s="3">
        <f>CB238</f>
        <v>0</v>
      </c>
      <c r="CD238" s="3">
        <f>CC238</f>
        <v>0</v>
      </c>
      <c r="CE238" s="3">
        <f>CD238</f>
        <v>0</v>
      </c>
      <c r="CF238" s="3">
        <f>CE238</f>
        <v>0</v>
      </c>
      <c r="CG238" s="3">
        <f>CF238</f>
        <v>0</v>
      </c>
      <c r="CH238" s="3">
        <f>CG238</f>
        <v>0</v>
      </c>
      <c r="CI238" s="3">
        <f>CH238</f>
        <v>0</v>
      </c>
      <c r="CJ238" s="3">
        <f>CI238</f>
        <v>0</v>
      </c>
      <c r="CK238" s="3">
        <f>CJ238</f>
        <v>0</v>
      </c>
      <c r="CL238" s="3">
        <f>CK238</f>
        <v>0</v>
      </c>
      <c r="CM238" s="3">
        <f>CL238</f>
        <v>0</v>
      </c>
      <c r="CN238" s="3">
        <f>CM238</f>
        <v>0</v>
      </c>
      <c r="CO238" s="3">
        <f>CN238</f>
        <v>0</v>
      </c>
      <c r="CP238" s="3">
        <f>CO238</f>
        <v>0</v>
      </c>
      <c r="CQ238" s="3">
        <f>CP238</f>
        <v>0</v>
      </c>
      <c r="CR238" s="3">
        <f>CQ238</f>
        <v>0</v>
      </c>
      <c r="CS238" s="3">
        <f>CR238</f>
        <v>0</v>
      </c>
      <c r="CT238" s="3">
        <f>CS238</f>
        <v>0</v>
      </c>
      <c r="CU238" s="3">
        <f>CT238</f>
        <v>0</v>
      </c>
      <c r="CV238" s="3">
        <f>CU238</f>
        <v>0</v>
      </c>
      <c r="CW238" s="3">
        <f>CV238</f>
        <v>0</v>
      </c>
      <c r="CX238" s="3">
        <f>CW238</f>
        <v>0</v>
      </c>
      <c r="CY238" s="3">
        <f>CX238</f>
        <v>0</v>
      </c>
    </row>
    <row r="239">
      <c r="C239" s="26" t="inlineStr">
        <is>
          <t>Other non-current liabilities</t>
        </is>
      </c>
      <c r="D239" s="25">
        <f>INDEX('Inputs (2)'!$D$39:$AL$39,MATCH(D$7,'Inputs (2)'!$D$2:$AL$2,0))</f>
        <v>774</v>
      </c>
      <c r="E239" s="25">
        <f>INDEX('Inputs (2)'!$D$39:$AL$39,MATCH(E$7,'Inputs (2)'!$D$2:$AL$2,0))</f>
        <v>1285</v>
      </c>
      <c r="F239" s="25">
        <f>INDEX('Inputs (2)'!$D$39:$AL$39,MATCH(F$7,'Inputs (2)'!$D$2:$AL$2,0))</f>
        <v>1311</v>
      </c>
      <c r="G239" s="25">
        <f>INDEX('Inputs (2)'!$D$39:$AL$39,MATCH(G$7,'Inputs (2)'!$D$2:$AL$2,0))</f>
        <v>1375</v>
      </c>
      <c r="H239" s="3">
        <f>G239</f>
        <v>1375</v>
      </c>
      <c r="I239" s="25">
        <f>INDEX('Inputs (2)'!$D$39:$AL$39,MATCH(I$7,'Inputs (2)'!$D$2:$AL$2,0))</f>
        <v>1414</v>
      </c>
      <c r="J239" s="25">
        <f>INDEX('Inputs (2)'!$D$39:$AL$39,MATCH(J$7,'Inputs (2)'!$D$2:$AL$2,0))</f>
        <v>1396</v>
      </c>
      <c r="K239" s="25">
        <f>INDEX('Inputs (2)'!$D$39:$AL$39,MATCH(K$7,'Inputs (2)'!$D$2:$AL$2,0))</f>
        <v>1535</v>
      </c>
      <c r="L239" s="25">
        <f>INDEX('Inputs (2)'!$D$39:$AL$39,MATCH(L$7,'Inputs (2)'!$D$2:$AL$2,0))</f>
        <v>1553</v>
      </c>
      <c r="M239" s="3">
        <f>L239</f>
        <v>1553</v>
      </c>
      <c r="N239" s="25">
        <f>INDEX('Inputs (2)'!$D$39:$AL$39,MATCH(N$7,'Inputs (2)'!$D$2:$AL$2,0))</f>
        <v>1631</v>
      </c>
      <c r="O239" s="25">
        <f>INDEX('Inputs (2)'!$D$39:$AL$39,MATCH(O$7,'Inputs (2)'!$D$2:$AL$2,0))</f>
        <v>1609</v>
      </c>
      <c r="P239" s="25">
        <f>INDEX('Inputs (2)'!$D$39:$AL$39,MATCH(P$7,'Inputs (2)'!$D$2:$AL$2,0))</f>
        <v>1785</v>
      </c>
      <c r="Q239" s="25">
        <f>INDEX('Inputs (2)'!$D$39:$AL$39,MATCH(Q$7,'Inputs (2)'!$D$2:$AL$2,0))</f>
        <v>1913</v>
      </c>
      <c r="R239" s="3">
        <f>Q239</f>
        <v>1913</v>
      </c>
      <c r="S239" s="25">
        <f>INDEX('Inputs (2)'!$D$39:$AL$39,MATCH(S$7,'Inputs (2)'!$D$2:$AL$2,0))</f>
        <v>2037</v>
      </c>
      <c r="T239" s="25">
        <f>INDEX('Inputs (2)'!$D$39:$AL$39,MATCH(T$7,'Inputs (2)'!$D$2:$AL$2,0))</f>
        <v>2223</v>
      </c>
      <c r="U239" s="25">
        <f>INDEX('Inputs (2)'!$D$39:$AL$39,MATCH(U$7,'Inputs (2)'!$D$2:$AL$2,0))</f>
        <v>2234</v>
      </c>
      <c r="V239" s="25">
        <f>INDEX('Inputs (2)'!$D$39:$AL$39,MATCH(V$7,'Inputs (2)'!$D$2:$AL$2,0))</f>
        <v>2541</v>
      </c>
      <c r="W239" s="3">
        <f>V239</f>
        <v>2541</v>
      </c>
      <c r="X239" s="25">
        <f>INDEX('Inputs (2)'!$D$39:$AL$39,MATCH(X$7,'Inputs (2)'!$D$2:$AL$2,0))</f>
        <v>2966</v>
      </c>
      <c r="Y239" s="25">
        <f>INDEX('Inputs (2)'!$D$39:$AL$39,MATCH(Y$7,'Inputs (2)'!$D$2:$AL$2,0))</f>
        <v>3336</v>
      </c>
      <c r="Z239" s="25">
        <f>INDEX('Inputs (2)'!$D$39:$AL$39,MATCH(Z$7,'Inputs (2)'!$D$2:$AL$2,0))</f>
        <v>3683</v>
      </c>
      <c r="AA239" s="25">
        <f>INDEX('Inputs (2)'!$D$39:$AL$39,MATCH(AA$7,'Inputs (2)'!$D$2:$AL$2,0))</f>
        <v>4245</v>
      </c>
      <c r="AB239" s="3">
        <f>AA239</f>
        <v>4245</v>
      </c>
      <c r="AC239" s="25">
        <f>INDEX('Inputs (2)'!$D$39:$AL$39,MATCH(AC$7,'Inputs (2)'!$D$2:$AL$2,0))</f>
        <v>4884</v>
      </c>
      <c r="AD239" s="25">
        <f>INDEX('Inputs (2)'!$D$39:$AL$39,MATCH(AD$7,'Inputs (2)'!$D$2:$AL$2,0))</f>
        <v>6055</v>
      </c>
      <c r="AE239" s="25">
        <f>INDEX('Inputs (2)'!$D$39:$AL$39,MATCH(AE$7,'Inputs (2)'!$D$2:$AL$2,0))</f>
        <v>6694</v>
      </c>
      <c r="AF239" s="25">
        <f>INDEX('Inputs (2)'!$D$39:$AL$39,MATCH(AF$7,'Inputs (2)'!$D$2:$AL$2,0))</f>
        <v>7306</v>
      </c>
      <c r="AG239" s="3">
        <f>AF239</f>
        <v>7306</v>
      </c>
      <c r="AH239" s="3">
        <f>INDEX('Inputs (2)'!$D$39:$AL$39,MATCH(AH$7,'Inputs (2)'!$D$2:$AL$2,0))</f>
        <v>8768</v>
      </c>
      <c r="AI239" s="3">
        <f>INDEX('Inputs (2)'!$D$39:$AL$39,MATCH(AI$7,'Inputs (2)'!$D$2:$AL$2,0))</f>
        <v>10918</v>
      </c>
      <c r="AJ239" s="3">
        <f>AI239</f>
        <v>10918</v>
      </c>
      <c r="AK239" s="3">
        <f>AJ239</f>
        <v>10918</v>
      </c>
      <c r="AL239" s="3">
        <f>AK239</f>
        <v>10918</v>
      </c>
      <c r="AM239" s="3">
        <f>AL239</f>
        <v>10918</v>
      </c>
      <c r="AN239" s="3">
        <f>AM239</f>
        <v>10918</v>
      </c>
      <c r="AO239" s="3">
        <f>AN239</f>
        <v>10918</v>
      </c>
      <c r="AP239" s="3">
        <f>AO239</f>
        <v>10918</v>
      </c>
      <c r="AQ239" s="3">
        <f>AP239</f>
        <v>10918</v>
      </c>
      <c r="AR239" s="3">
        <f>AQ239</f>
        <v>10918</v>
      </c>
      <c r="AS239" s="3">
        <f>AR239</f>
        <v>10918</v>
      </c>
      <c r="AT239" s="3">
        <f>AS239</f>
        <v>10918</v>
      </c>
      <c r="AU239" s="3">
        <f>AT239</f>
        <v>10918</v>
      </c>
      <c r="AV239" s="3">
        <f>AU239</f>
        <v>10918</v>
      </c>
      <c r="AW239" s="3">
        <f>AV239</f>
        <v>10918</v>
      </c>
      <c r="AX239" s="3">
        <f>AW239</f>
        <v>10918</v>
      </c>
      <c r="AY239" s="3">
        <f>AX239</f>
        <v>10918</v>
      </c>
      <c r="AZ239" s="3">
        <f>AY239</f>
        <v>10918</v>
      </c>
      <c r="BA239" s="3">
        <f>AZ239</f>
        <v>10918</v>
      </c>
      <c r="BB239" s="3">
        <f>BA239</f>
        <v>10918</v>
      </c>
      <c r="BC239" s="3">
        <f>BB239</f>
        <v>10918</v>
      </c>
      <c r="BD239" s="3">
        <f>BC239</f>
        <v>10918</v>
      </c>
      <c r="BE239" s="3">
        <f>BD239</f>
        <v>10918</v>
      </c>
      <c r="BF239" s="3">
        <f>BE239</f>
        <v>10918</v>
      </c>
      <c r="BG239" s="3">
        <f>BF239</f>
        <v>10918</v>
      </c>
      <c r="BH239" s="3">
        <f>BG239</f>
        <v>10918</v>
      </c>
      <c r="BI239" s="3">
        <f>BH239</f>
        <v>10918</v>
      </c>
      <c r="BJ239" s="3">
        <f>BI239</f>
        <v>10918</v>
      </c>
      <c r="BK239" s="3">
        <f>BJ239</f>
        <v>10918</v>
      </c>
      <c r="BL239" s="3">
        <f>BK239</f>
        <v>10918</v>
      </c>
      <c r="BM239" s="3">
        <f>BL239</f>
        <v>10918</v>
      </c>
      <c r="BN239" s="3">
        <f>BM239</f>
        <v>10918</v>
      </c>
      <c r="BO239" s="3">
        <f>BN239</f>
        <v>10918</v>
      </c>
      <c r="BP239" s="3">
        <f>BO239</f>
        <v>10918</v>
      </c>
      <c r="BQ239" s="3">
        <f>BP239</f>
        <v>10918</v>
      </c>
      <c r="BR239" s="3">
        <f>BQ239</f>
        <v>10918</v>
      </c>
      <c r="BS239" s="3">
        <f>BR239</f>
        <v>10918</v>
      </c>
      <c r="BT239" s="3">
        <f>BS239</f>
        <v>10918</v>
      </c>
      <c r="BU239" s="3">
        <f>BT239</f>
        <v>10918</v>
      </c>
      <c r="BV239" s="3">
        <f>BU239</f>
        <v>10918</v>
      </c>
      <c r="BW239" s="3">
        <f>BV239</f>
        <v>10918</v>
      </c>
      <c r="BX239" s="3">
        <f>BW239</f>
        <v>10918</v>
      </c>
      <c r="BY239" s="3">
        <f>BX239</f>
        <v>10918</v>
      </c>
      <c r="BZ239" s="3">
        <f>BY239</f>
        <v>10918</v>
      </c>
      <c r="CA239" s="3">
        <f>BZ239</f>
        <v>10918</v>
      </c>
      <c r="CB239" s="3">
        <f>CA239</f>
        <v>10918</v>
      </c>
      <c r="CC239" s="3">
        <f>CB239</f>
        <v>10918</v>
      </c>
      <c r="CD239" s="3">
        <f>CC239</f>
        <v>10918</v>
      </c>
      <c r="CE239" s="3">
        <f>CD239</f>
        <v>10918</v>
      </c>
      <c r="CF239" s="3">
        <f>CE239</f>
        <v>10918</v>
      </c>
      <c r="CG239" s="3">
        <f>CF239</f>
        <v>10918</v>
      </c>
      <c r="CH239" s="3">
        <f>CG239</f>
        <v>10918</v>
      </c>
      <c r="CI239" s="3">
        <f>CH239</f>
        <v>10918</v>
      </c>
      <c r="CJ239" s="3">
        <f>CI239</f>
        <v>10918</v>
      </c>
      <c r="CK239" s="3">
        <f>CJ239</f>
        <v>10918</v>
      </c>
      <c r="CL239" s="3">
        <f>CK239</f>
        <v>10918</v>
      </c>
      <c r="CM239" s="3">
        <f>CL239</f>
        <v>10918</v>
      </c>
      <c r="CN239" s="3">
        <f>CM239</f>
        <v>10918</v>
      </c>
      <c r="CO239" s="3">
        <f>CN239</f>
        <v>10918</v>
      </c>
      <c r="CP239" s="3">
        <f>CO239</f>
        <v>10918</v>
      </c>
      <c r="CQ239" s="3">
        <f>CP239</f>
        <v>10918</v>
      </c>
      <c r="CR239" s="3">
        <f>CQ239</f>
        <v>10918</v>
      </c>
      <c r="CS239" s="3">
        <f>CR239</f>
        <v>10918</v>
      </c>
      <c r="CT239" s="3">
        <f>CS239</f>
        <v>10918</v>
      </c>
      <c r="CU239" s="3">
        <f>CT239</f>
        <v>10918</v>
      </c>
      <c r="CV239" s="3">
        <f>CU239</f>
        <v>10918</v>
      </c>
      <c r="CW239" s="3">
        <f>CV239</f>
        <v>10918</v>
      </c>
      <c r="CX239" s="3">
        <f>CW239</f>
        <v>10918</v>
      </c>
      <c r="CY239" s="3">
        <f>CX239</f>
        <v>10918</v>
      </c>
    </row>
    <row r="240" hidden="1" outlineLevel="1" ht="12" customHeight="1">
      <c r="C240" s="38" t="inlineStr">
        <is>
          <t>%(Var.)</t>
        </is>
      </c>
      <c r="D240" s="3" t="n"/>
      <c r="E240" s="47">
        <f>(E239-D239)/D239</f>
        <v>0.660206718346253</v>
      </c>
      <c r="F240" s="47">
        <f>(F239-E239)/E239</f>
        <v>0.0202334630350195</v>
      </c>
      <c r="G240" s="47">
        <f>(G239-F239)/F239</f>
        <v>0.0488176964149504</v>
      </c>
      <c r="H240" s="3" t="n"/>
      <c r="I240" s="47">
        <f>(I239-H239)/H239</f>
        <v>0.0283636363636364</v>
      </c>
      <c r="J240" s="47">
        <f>(J239-I239)/I239</f>
        <v>-0.0127298444130127</v>
      </c>
      <c r="K240" s="47">
        <f>(K239-J239)/J239</f>
        <v>0.0995702005730659</v>
      </c>
      <c r="L240" s="47">
        <f>(L239-K239)/K239</f>
        <v>0.0117263843648208</v>
      </c>
      <c r="M240" s="3" t="n"/>
      <c r="N240" s="47">
        <f>(N239-M239)/M239</f>
        <v>0.0502253702511269</v>
      </c>
      <c r="O240" s="47">
        <f>(O239-N239)/N239</f>
        <v>-0.0134886572654813</v>
      </c>
      <c r="P240" s="47">
        <f>(P239-O239)/O239</f>
        <v>0.109384711000622</v>
      </c>
      <c r="Q240" s="47">
        <f>(Q239-P239)/P239</f>
        <v>0.0717086834733894</v>
      </c>
      <c r="R240" s="3" t="n"/>
      <c r="S240" s="47">
        <f>(S239-R239)/R239</f>
        <v>0.0648196549921589</v>
      </c>
      <c r="T240" s="47">
        <f>(T239-S239)/S239</f>
        <v>0.0913107511045655</v>
      </c>
      <c r="U240" s="47">
        <f>(U239-T239)/T239</f>
        <v>0.00494826810616284</v>
      </c>
      <c r="V240" s="47">
        <f>(V239-U239)/U239</f>
        <v>0.137421665174575</v>
      </c>
      <c r="W240" s="3" t="n"/>
      <c r="X240" s="47">
        <f>(X239-W239)/W239</f>
        <v>0.167256985438804</v>
      </c>
      <c r="Y240" s="47">
        <f>(Y239-X239)/X239</f>
        <v>0.124747134187458</v>
      </c>
      <c r="Z240" s="47">
        <f>(Z239-Y239)/Y239</f>
        <v>0.104016786570743</v>
      </c>
      <c r="AA240" s="47">
        <f>(AA239-Z239)/Z239</f>
        <v>0.152592994841162</v>
      </c>
      <c r="AB240" s="3" t="n"/>
      <c r="AC240" s="47">
        <f>(AC239-AB239)/AB239</f>
        <v>0.150530035335689</v>
      </c>
      <c r="AD240" s="47">
        <f>(AD239-AC239)/AC239</f>
        <v>0.23976248976249</v>
      </c>
      <c r="AE240" s="47">
        <f>(AE239-AD239)/AD239</f>
        <v>0.105532617671346</v>
      </c>
      <c r="AF240" s="230">
        <f>(AF239-AE239)/AE239</f>
        <v>0.0914251568568868</v>
      </c>
      <c r="AG240" s="3" t="n"/>
      <c r="AH240" s="230">
        <f>(AH239-AG239)/AG239</f>
        <v>0.200109499041883</v>
      </c>
      <c r="AI240" s="230">
        <f>(AI239-AH239)/AH239</f>
        <v>0.245209854014599</v>
      </c>
      <c r="AJ240" s="230" t="n"/>
      <c r="AK240" s="230" t="n"/>
      <c r="AL240" s="3" t="n"/>
      <c r="AM240" s="230" t="n"/>
      <c r="AN240" s="230" t="n"/>
      <c r="AO240" s="230" t="n"/>
      <c r="AP240" s="230" t="n"/>
      <c r="AQ240" s="3" t="n"/>
      <c r="AR240" s="230" t="n"/>
      <c r="AS240" s="230" t="n"/>
      <c r="AT240" s="230" t="n"/>
      <c r="AU240" s="230" t="n"/>
      <c r="AV240" s="3" t="n"/>
      <c r="AW240" s="230" t="n"/>
      <c r="AX240" s="230" t="n"/>
      <c r="AY240" s="230" t="n"/>
      <c r="AZ240" s="230" t="n"/>
      <c r="BA240" s="3" t="n"/>
      <c r="BB240" s="230" t="n"/>
      <c r="BC240" s="230" t="n"/>
      <c r="BD240" s="230" t="n"/>
      <c r="BE240" s="230" t="n"/>
      <c r="BF240" s="3" t="n"/>
      <c r="BG240" s="230" t="n"/>
      <c r="BH240" s="230" t="n"/>
      <c r="BI240" s="230" t="n"/>
      <c r="BJ240" s="230" t="n"/>
      <c r="BK240" s="3" t="n"/>
      <c r="BL240" s="230" t="n"/>
      <c r="BM240" s="230" t="n"/>
      <c r="BN240" s="230" t="n"/>
      <c r="BO240" s="230" t="n"/>
      <c r="BP240" s="3" t="n"/>
      <c r="BQ240" s="230" t="n"/>
      <c r="BR240" s="230" t="n"/>
      <c r="BS240" s="230" t="n"/>
      <c r="BT240" s="230" t="n"/>
      <c r="BU240" s="3" t="n"/>
      <c r="BV240" s="230" t="n"/>
      <c r="BW240" s="230" t="n"/>
      <c r="BX240" s="230" t="n"/>
      <c r="BY240" s="230" t="n"/>
      <c r="BZ240" s="3" t="n"/>
      <c r="CA240" s="230" t="n"/>
      <c r="CB240" s="230" t="n"/>
      <c r="CC240" s="230" t="n"/>
      <c r="CD240" s="230" t="n"/>
      <c r="CE240" s="3" t="n"/>
      <c r="CF240" s="230" t="n"/>
      <c r="CG240" s="230" t="n"/>
      <c r="CH240" s="230" t="n"/>
      <c r="CI240" s="230" t="n"/>
      <c r="CJ240" s="3" t="n"/>
      <c r="CK240" s="230" t="n"/>
      <c r="CL240" s="230" t="n"/>
      <c r="CM240" s="230" t="n"/>
      <c r="CN240" s="230" t="n"/>
      <c r="CO240" s="3" t="n"/>
      <c r="CP240" s="230" t="n"/>
      <c r="CQ240" s="230" t="n"/>
      <c r="CR240" s="230" t="n"/>
      <c r="CS240" s="230" t="n"/>
      <c r="CT240" s="3" t="n"/>
      <c r="CU240" s="230" t="n"/>
      <c r="CV240" s="230" t="n"/>
      <c r="CW240" s="230" t="n"/>
      <c r="CX240" s="230" t="n"/>
      <c r="CY240" s="3" t="n"/>
    </row>
    <row r="241" hidden="1" outlineLevel="1" ht="12" customHeight="1">
      <c r="C241" s="38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  <c r="AB241" s="3" t="n"/>
      <c r="AC241" s="3" t="n"/>
      <c r="AD241" s="3" t="n"/>
      <c r="AE241" s="3" t="n"/>
      <c r="AF241" s="3" t="n"/>
      <c r="AG241" s="3" t="n"/>
      <c r="AH241" s="3" t="n"/>
      <c r="AI241" s="3" t="n"/>
      <c r="AJ241" s="3" t="n"/>
      <c r="AK241" s="3" t="n"/>
      <c r="AL241" s="3" t="n"/>
      <c r="AM241" s="3" t="n"/>
      <c r="AN241" s="3" t="n"/>
      <c r="AO241" s="3" t="n"/>
      <c r="AP241" s="3" t="n"/>
      <c r="AQ241" s="3" t="n"/>
      <c r="AR241" s="3" t="n"/>
      <c r="AS241" s="3" t="n"/>
      <c r="AT241" s="3" t="n"/>
      <c r="AU241" s="3" t="n"/>
      <c r="AV241" s="3" t="n"/>
      <c r="AW241" s="3" t="n"/>
      <c r="AX241" s="3" t="n"/>
      <c r="AY241" s="3" t="n"/>
      <c r="AZ241" s="3" t="n"/>
      <c r="BA241" s="3" t="n"/>
      <c r="BB241" s="3" t="n"/>
      <c r="BC241" s="3" t="n"/>
      <c r="BD241" s="3" t="n"/>
      <c r="BE241" s="3" t="n"/>
      <c r="BF241" s="3" t="n"/>
      <c r="BG241" s="3" t="n"/>
      <c r="BH241" s="3" t="n"/>
      <c r="BI241" s="3" t="n"/>
      <c r="BJ241" s="3" t="n"/>
      <c r="BK241" s="3" t="n"/>
      <c r="BL241" s="3" t="n"/>
      <c r="BM241" s="3" t="n"/>
      <c r="BN241" s="3" t="n"/>
      <c r="BO241" s="3" t="n"/>
      <c r="BP241" s="3" t="n"/>
      <c r="BQ241" s="3" t="n"/>
      <c r="BR241" s="3" t="n"/>
      <c r="BS241" s="3" t="n"/>
      <c r="BT241" s="3" t="n"/>
      <c r="BU241" s="3" t="n"/>
      <c r="BV241" s="3" t="n"/>
      <c r="BW241" s="3" t="n"/>
      <c r="BX241" s="3" t="n"/>
      <c r="BY241" s="3" t="n"/>
      <c r="BZ241" s="3" t="n"/>
      <c r="CA241" s="3" t="n"/>
      <c r="CB241" s="3" t="n"/>
      <c r="CC241" s="3" t="n"/>
      <c r="CD241" s="3" t="n"/>
      <c r="CE241" s="3" t="n"/>
      <c r="CF241" s="3" t="n"/>
      <c r="CG241" s="3" t="n"/>
      <c r="CH241" s="3" t="n"/>
      <c r="CI241" s="3" t="n"/>
      <c r="CJ241" s="3" t="n"/>
      <c r="CK241" s="3" t="n"/>
      <c r="CL241" s="3" t="n"/>
      <c r="CM241" s="3" t="n"/>
      <c r="CN241" s="3" t="n"/>
      <c r="CO241" s="3" t="n"/>
      <c r="CP241" s="3" t="n"/>
      <c r="CQ241" s="3" t="n"/>
      <c r="CR241" s="3" t="n"/>
      <c r="CS241" s="3" t="n"/>
      <c r="CT241" s="3" t="n"/>
      <c r="CU241" s="3" t="n"/>
      <c r="CV241" s="3" t="n"/>
      <c r="CW241" s="3" t="n"/>
      <c r="CX241" s="3" t="n"/>
      <c r="CY241" s="3" t="n"/>
    </row>
    <row r="242" hidden="1" outlineLevel="1">
      <c r="C242" s="34" t="inlineStr">
        <is>
          <t>Contas a pagar pela aquisição de controladas</t>
        </is>
      </c>
      <c r="D242" s="6" t="n"/>
      <c r="E242" s="6" t="n"/>
      <c r="F242" s="6" t="n"/>
      <c r="G242" s="6" t="n"/>
      <c r="H242" s="3" t="n"/>
      <c r="I242" s="6" t="n"/>
      <c r="J242" s="6" t="n"/>
      <c r="K242" s="6" t="n"/>
      <c r="L242" s="6" t="n"/>
      <c r="M242" s="3" t="n"/>
      <c r="N242" s="6" t="n"/>
      <c r="O242" s="6" t="n"/>
      <c r="P242" s="6" t="n"/>
      <c r="Q242" s="6" t="n"/>
      <c r="R242" s="3" t="n"/>
      <c r="S242" s="6" t="n"/>
      <c r="T242" s="6" t="n"/>
      <c r="U242" s="6" t="n"/>
      <c r="V242" s="6" t="n"/>
      <c r="W242" s="3" t="n"/>
      <c r="X242" s="6" t="n"/>
      <c r="Y242" s="6" t="n"/>
      <c r="Z242" s="6" t="n"/>
      <c r="AA242" s="6" t="n"/>
      <c r="AB242" s="3" t="n"/>
      <c r="AC242" s="6" t="n"/>
      <c r="AD242" s="6" t="n"/>
      <c r="AE242" s="6" t="n"/>
      <c r="AF242" s="6" t="n"/>
      <c r="AG242" s="3" t="n"/>
      <c r="AH242" s="3" t="n"/>
      <c r="AI242" s="3" t="n"/>
      <c r="AJ242" s="3" t="n"/>
      <c r="AK242" s="3" t="n"/>
      <c r="AL242" s="3" t="n"/>
      <c r="AM242" s="3" t="n"/>
      <c r="AN242" s="3" t="n"/>
      <c r="AO242" s="3" t="n"/>
      <c r="AP242" s="3" t="n"/>
      <c r="AQ242" s="3" t="n"/>
      <c r="AR242" s="3" t="n"/>
      <c r="AS242" s="3" t="n"/>
      <c r="AT242" s="3" t="n"/>
      <c r="AU242" s="3" t="n"/>
      <c r="AV242" s="3" t="n"/>
      <c r="AW242" s="3" t="n"/>
      <c r="AX242" s="3" t="n"/>
      <c r="AY242" s="3" t="n"/>
      <c r="AZ242" s="3" t="n"/>
      <c r="BA242" s="3" t="n"/>
      <c r="BB242" s="3" t="n"/>
      <c r="BC242" s="3" t="n"/>
      <c r="BD242" s="3" t="n"/>
      <c r="BE242" s="3" t="n"/>
      <c r="BF242" s="3" t="n"/>
      <c r="BG242" s="3" t="n"/>
      <c r="BH242" s="3" t="n"/>
      <c r="BI242" s="3" t="n"/>
      <c r="BJ242" s="3" t="n"/>
      <c r="BK242" s="3" t="n"/>
      <c r="BL242" s="3" t="n"/>
      <c r="BM242" s="3" t="n"/>
      <c r="BN242" s="3" t="n"/>
      <c r="BO242" s="3" t="n"/>
      <c r="BP242" s="3" t="n"/>
      <c r="BQ242" s="3" t="n"/>
      <c r="BR242" s="3" t="n"/>
      <c r="BS242" s="3" t="n"/>
      <c r="BT242" s="3" t="n"/>
      <c r="BU242" s="3" t="n"/>
      <c r="BV242" s="3" t="n"/>
      <c r="BW242" s="3" t="n"/>
      <c r="BX242" s="3" t="n"/>
      <c r="BY242" s="3" t="n"/>
      <c r="BZ242" s="3" t="n"/>
      <c r="CA242" s="3" t="n"/>
      <c r="CB242" s="3" t="n"/>
      <c r="CC242" s="3" t="n"/>
      <c r="CD242" s="3" t="n"/>
      <c r="CE242" s="3" t="n"/>
      <c r="CF242" s="3" t="n"/>
      <c r="CG242" s="3" t="n"/>
      <c r="CH242" s="3" t="n"/>
      <c r="CI242" s="3" t="n"/>
      <c r="CJ242" s="3" t="n"/>
      <c r="CK242" s="3" t="n"/>
      <c r="CL242" s="3" t="n"/>
      <c r="CM242" s="3" t="n"/>
      <c r="CN242" s="3" t="n"/>
      <c r="CO242" s="3" t="n"/>
      <c r="CP242" s="3" t="n"/>
      <c r="CQ242" s="3" t="n"/>
      <c r="CR242" s="3" t="n"/>
      <c r="CS242" s="3" t="n"/>
      <c r="CT242" s="3" t="n"/>
      <c r="CU242" s="3" t="n"/>
      <c r="CV242" s="3" t="n"/>
      <c r="CW242" s="3" t="n"/>
      <c r="CX242" s="3" t="n"/>
      <c r="CY242" s="3" t="n"/>
    </row>
    <row r="243" hidden="1" outlineLevel="1">
      <c r="C243" s="34" t="inlineStr">
        <is>
          <t xml:space="preserve">Outras Obrigações </t>
        </is>
      </c>
      <c r="D243" s="6" t="n"/>
      <c r="E243" s="6" t="n"/>
      <c r="F243" s="6" t="n"/>
      <c r="G243" s="6" t="n"/>
      <c r="H243" s="3" t="n"/>
      <c r="I243" s="6" t="n"/>
      <c r="J243" s="6" t="n"/>
      <c r="K243" s="6" t="n"/>
      <c r="L243" s="6" t="n"/>
      <c r="M243" s="3" t="n"/>
      <c r="N243" s="6" t="n"/>
      <c r="O243" s="6" t="n"/>
      <c r="P243" s="6" t="n"/>
      <c r="Q243" s="6" t="n"/>
      <c r="R243" s="3" t="n"/>
      <c r="S243" s="6" t="n"/>
      <c r="T243" s="6" t="n"/>
      <c r="U243" s="6" t="n"/>
      <c r="V243" s="6" t="n"/>
      <c r="W243" s="3" t="n"/>
      <c r="X243" s="6" t="n"/>
      <c r="Y243" s="6" t="n"/>
      <c r="Z243" s="6" t="n"/>
      <c r="AA243" s="6" t="n"/>
      <c r="AB243" s="3" t="n"/>
      <c r="AC243" s="6" t="n"/>
      <c r="AD243" s="6" t="n"/>
      <c r="AE243" s="6" t="n"/>
      <c r="AF243" s="6" t="n"/>
      <c r="AG243" s="3" t="n"/>
      <c r="AH243" s="3" t="n"/>
      <c r="AI243" s="3" t="n"/>
      <c r="AJ243" s="3" t="n"/>
      <c r="AK243" s="3" t="n"/>
      <c r="AL243" s="3" t="n"/>
      <c r="AM243" s="3" t="n"/>
      <c r="AN243" s="3" t="n"/>
      <c r="AO243" s="3" t="n"/>
      <c r="AP243" s="3" t="n"/>
      <c r="AQ243" s="3" t="n"/>
      <c r="AR243" s="3" t="n"/>
      <c r="AS243" s="3" t="n"/>
      <c r="AT243" s="3" t="n"/>
      <c r="AU243" s="3" t="n"/>
      <c r="AV243" s="3" t="n"/>
      <c r="AW243" s="3" t="n"/>
      <c r="AX243" s="3" t="n"/>
      <c r="AY243" s="3" t="n"/>
      <c r="AZ243" s="3" t="n"/>
      <c r="BA243" s="3" t="n"/>
      <c r="BB243" s="3" t="n"/>
      <c r="BC243" s="3" t="n"/>
      <c r="BD243" s="3" t="n"/>
      <c r="BE243" s="3" t="n"/>
      <c r="BF243" s="3" t="n"/>
      <c r="BG243" s="3" t="n"/>
      <c r="BH243" s="3" t="n"/>
      <c r="BI243" s="3" t="n"/>
      <c r="BJ243" s="3" t="n"/>
      <c r="BK243" s="3" t="n"/>
      <c r="BL243" s="3" t="n"/>
      <c r="BM243" s="3" t="n"/>
      <c r="BN243" s="3" t="n"/>
      <c r="BO243" s="3" t="n"/>
      <c r="BP243" s="3" t="n"/>
      <c r="BQ243" s="3" t="n"/>
      <c r="BR243" s="3" t="n"/>
      <c r="BS243" s="3" t="n"/>
      <c r="BT243" s="3" t="n"/>
      <c r="BU243" s="3" t="n"/>
      <c r="BV243" s="3" t="n"/>
      <c r="BW243" s="3" t="n"/>
      <c r="BX243" s="3" t="n"/>
      <c r="BY243" s="3" t="n"/>
      <c r="BZ243" s="3" t="n"/>
      <c r="CA243" s="3" t="n"/>
      <c r="CB243" s="3" t="n"/>
      <c r="CC243" s="3" t="n"/>
      <c r="CD243" s="3" t="n"/>
      <c r="CE243" s="3" t="n"/>
      <c r="CF243" s="3" t="n"/>
      <c r="CG243" s="3" t="n"/>
      <c r="CH243" s="3" t="n"/>
      <c r="CI243" s="3" t="n"/>
      <c r="CJ243" s="3" t="n"/>
      <c r="CK243" s="3" t="n"/>
      <c r="CL243" s="3" t="n"/>
      <c r="CM243" s="3" t="n"/>
      <c r="CN243" s="3" t="n"/>
      <c r="CO243" s="3" t="n"/>
      <c r="CP243" s="3" t="n"/>
      <c r="CQ243" s="3" t="n"/>
      <c r="CR243" s="3" t="n"/>
      <c r="CS243" s="3" t="n"/>
      <c r="CT243" s="3" t="n"/>
      <c r="CU243" s="3" t="n"/>
      <c r="CV243" s="3" t="n"/>
      <c r="CW243" s="3" t="n"/>
      <c r="CX243" s="3" t="n"/>
      <c r="CY243" s="3" t="n"/>
    </row>
    <row r="244" hidden="1" outlineLevel="1">
      <c r="C244" s="34" t="inlineStr">
        <is>
          <t xml:space="preserve">Provisão de Risco Cíveis, Trabalhistas e Tributários </t>
        </is>
      </c>
      <c r="D244" s="6" t="n"/>
      <c r="E244" s="6" t="n"/>
      <c r="F244" s="6" t="n"/>
      <c r="G244" s="6" t="n"/>
      <c r="H244" s="3" t="n"/>
      <c r="I244" s="6" t="n"/>
      <c r="J244" s="6" t="n"/>
      <c r="K244" s="6" t="n"/>
      <c r="L244" s="6" t="n"/>
      <c r="M244" s="3" t="n"/>
      <c r="N244" s="6" t="n"/>
      <c r="O244" s="6" t="n"/>
      <c r="P244" s="6" t="n"/>
      <c r="Q244" s="6" t="n"/>
      <c r="R244" s="3" t="n"/>
      <c r="S244" s="6" t="n"/>
      <c r="T244" s="6" t="n"/>
      <c r="U244" s="6" t="n"/>
      <c r="V244" s="6" t="n"/>
      <c r="W244" s="3" t="n"/>
      <c r="X244" s="6" t="n"/>
      <c r="Y244" s="6" t="n"/>
      <c r="Z244" s="6" t="n"/>
      <c r="AA244" s="6" t="n"/>
      <c r="AB244" s="3" t="n"/>
      <c r="AC244" s="6" t="n"/>
      <c r="AD244" s="6" t="n"/>
      <c r="AE244" s="6" t="n"/>
      <c r="AF244" s="6" t="n"/>
      <c r="AG244" s="3" t="n"/>
      <c r="AH244" s="3" t="n"/>
      <c r="AI244" s="3" t="n"/>
      <c r="AJ244" s="3" t="n"/>
      <c r="AK244" s="3" t="n"/>
      <c r="AL244" s="3" t="n"/>
      <c r="AM244" s="3" t="n"/>
      <c r="AN244" s="3" t="n"/>
      <c r="AO244" s="3" t="n"/>
      <c r="AP244" s="3" t="n"/>
      <c r="AQ244" s="3" t="n"/>
      <c r="AR244" s="3" t="n"/>
      <c r="AS244" s="3" t="n"/>
      <c r="AT244" s="3" t="n"/>
      <c r="AU244" s="3" t="n"/>
      <c r="AV244" s="3" t="n"/>
      <c r="AW244" s="3" t="n"/>
      <c r="AX244" s="3" t="n"/>
      <c r="AY244" s="3" t="n"/>
      <c r="AZ244" s="3" t="n"/>
      <c r="BA244" s="3" t="n"/>
      <c r="BB244" s="3" t="n"/>
      <c r="BC244" s="3" t="n"/>
      <c r="BD244" s="3" t="n"/>
      <c r="BE244" s="3" t="n"/>
      <c r="BF244" s="3" t="n"/>
      <c r="BG244" s="3" t="n"/>
      <c r="BH244" s="3" t="n"/>
      <c r="BI244" s="3" t="n"/>
      <c r="BJ244" s="3" t="n"/>
      <c r="BK244" s="3" t="n"/>
      <c r="BL244" s="3" t="n"/>
      <c r="BM244" s="3" t="n"/>
      <c r="BN244" s="3" t="n"/>
      <c r="BO244" s="3" t="n"/>
      <c r="BP244" s="3" t="n"/>
      <c r="BQ244" s="3" t="n"/>
      <c r="BR244" s="3" t="n"/>
      <c r="BS244" s="3" t="n"/>
      <c r="BT244" s="3" t="n"/>
      <c r="BU244" s="3" t="n"/>
      <c r="BV244" s="3" t="n"/>
      <c r="BW244" s="3" t="n"/>
      <c r="BX244" s="3" t="n"/>
      <c r="BY244" s="3" t="n"/>
      <c r="BZ244" s="3" t="n"/>
      <c r="CA244" s="3" t="n"/>
      <c r="CB244" s="3" t="n"/>
      <c r="CC244" s="3" t="n"/>
      <c r="CD244" s="3" t="n"/>
      <c r="CE244" s="3" t="n"/>
      <c r="CF244" s="3" t="n"/>
      <c r="CG244" s="3" t="n"/>
      <c r="CH244" s="3" t="n"/>
      <c r="CI244" s="3" t="n"/>
      <c r="CJ244" s="3" t="n"/>
      <c r="CK244" s="3" t="n"/>
      <c r="CL244" s="3" t="n"/>
      <c r="CM244" s="3" t="n"/>
      <c r="CN244" s="3" t="n"/>
      <c r="CO244" s="3" t="n"/>
      <c r="CP244" s="3" t="n"/>
      <c r="CQ244" s="3" t="n"/>
      <c r="CR244" s="3" t="n"/>
      <c r="CS244" s="3" t="n"/>
      <c r="CT244" s="3" t="n"/>
      <c r="CU244" s="3" t="n"/>
      <c r="CV244" s="3" t="n"/>
      <c r="CW244" s="3" t="n"/>
      <c r="CX244" s="3" t="n"/>
      <c r="CY244" s="3" t="n"/>
    </row>
    <row r="245" hidden="1" outlineLevel="1">
      <c r="C245" s="34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  <c r="AB245" s="3" t="n"/>
      <c r="AC245" s="3" t="n"/>
      <c r="AD245" s="3" t="n"/>
      <c r="AE245" s="3" t="n"/>
      <c r="AF245" s="3" t="n"/>
      <c r="AG245" s="3" t="n"/>
      <c r="AH245" s="3" t="n"/>
      <c r="AI245" s="3" t="n"/>
      <c r="AJ245" s="3" t="n"/>
      <c r="AK245" s="3" t="n"/>
      <c r="AL245" s="3" t="n"/>
      <c r="AM245" s="3" t="n"/>
      <c r="AN245" s="3" t="n"/>
      <c r="AO245" s="3" t="n"/>
      <c r="AP245" s="3" t="n"/>
      <c r="AQ245" s="3" t="n"/>
      <c r="AR245" s="3" t="n"/>
      <c r="AS245" s="3" t="n"/>
      <c r="AT245" s="3" t="n"/>
      <c r="AU245" s="3" t="n"/>
      <c r="AV245" s="3" t="n"/>
      <c r="AW245" s="3" t="n"/>
      <c r="AX245" s="3" t="n"/>
      <c r="AY245" s="3" t="n"/>
      <c r="AZ245" s="3" t="n"/>
      <c r="BA245" s="3" t="n"/>
      <c r="BB245" s="3" t="n"/>
      <c r="BC245" s="3" t="n"/>
      <c r="BD245" s="3" t="n"/>
      <c r="BE245" s="3" t="n"/>
      <c r="BF245" s="3" t="n"/>
      <c r="BG245" s="3" t="n"/>
      <c r="BH245" s="3" t="n"/>
      <c r="BI245" s="3" t="n"/>
      <c r="BJ245" s="3" t="n"/>
      <c r="BK245" s="3" t="n"/>
      <c r="BL245" s="3" t="n"/>
      <c r="BM245" s="3" t="n"/>
      <c r="BN245" s="3" t="n"/>
      <c r="BO245" s="3" t="n"/>
      <c r="BP245" s="3" t="n"/>
      <c r="BQ245" s="3" t="n"/>
      <c r="BR245" s="3" t="n"/>
      <c r="BS245" s="3" t="n"/>
      <c r="BT245" s="3" t="n"/>
      <c r="BU245" s="3" t="n"/>
      <c r="BV245" s="3" t="n"/>
      <c r="BW245" s="3" t="n"/>
      <c r="BX245" s="3" t="n"/>
      <c r="BY245" s="3" t="n"/>
      <c r="BZ245" s="3" t="n"/>
      <c r="CA245" s="3" t="n"/>
      <c r="CB245" s="3" t="n"/>
      <c r="CC245" s="3" t="n"/>
      <c r="CD245" s="3" t="n"/>
      <c r="CE245" s="3" t="n"/>
      <c r="CF245" s="3" t="n"/>
      <c r="CG245" s="3" t="n"/>
      <c r="CH245" s="3" t="n"/>
      <c r="CI245" s="3" t="n"/>
      <c r="CJ245" s="3" t="n"/>
      <c r="CK245" s="3" t="n"/>
      <c r="CL245" s="3" t="n"/>
      <c r="CM245" s="3" t="n"/>
      <c r="CN245" s="3" t="n"/>
      <c r="CO245" s="3" t="n"/>
      <c r="CP245" s="3" t="n"/>
      <c r="CQ245" s="3" t="n"/>
      <c r="CR245" s="3" t="n"/>
      <c r="CS245" s="3" t="n"/>
      <c r="CT245" s="3" t="n"/>
      <c r="CU245" s="3" t="n"/>
      <c r="CV245" s="3" t="n"/>
      <c r="CW245" s="3" t="n"/>
      <c r="CX245" s="3" t="n"/>
      <c r="CY245" s="3" t="n"/>
    </row>
    <row r="246" collapsed="1" customFormat="1" s="17">
      <c r="A246" s="13" t="n"/>
      <c r="B246" s="13" t="n"/>
      <c r="C246" s="27" t="inlineStr">
        <is>
          <t>Total Liabilities</t>
        </is>
      </c>
      <c r="D246" s="16">
        <f>SUM(D197+D201+D203+D204+D211+D212+D213+D216+D234+D237+D238+D239)</f>
        <v>10155</v>
      </c>
      <c r="E246" s="16">
        <f>SUM(E197+E201+E203+E204+E211+E212+E213+E216+E234+E237+E238+E239)</f>
        <v>11266</v>
      </c>
      <c r="F246" s="16">
        <f>SUM(F197+F201+F203+F204+F211+F212+F213+F216+F234+F237+F238+F239)</f>
        <v>11547</v>
      </c>
      <c r="G246" s="16">
        <f>SUM(G197+G201+G203+G204+G211+G212+G213+G216+G234+G237+G238+G239)</f>
        <v>11898</v>
      </c>
      <c r="H246" s="16">
        <f>SUM(H197,H201,H203,H204,H211,H212,H216,H213,H234,H237,H238,H239)</f>
        <v>11898</v>
      </c>
      <c r="I246" s="16">
        <f>SUM(I197+I201+I203+I204+I211+I212+I213+I216+I234+I237+I238+I239)</f>
        <v>12022</v>
      </c>
      <c r="J246" s="16">
        <f>SUM(J197+J201+J203+J204+J211+J212+J213+J216+J234+J237+J238+J239)</f>
        <v>17503</v>
      </c>
      <c r="K246" s="16">
        <f>SUM(K197+K201+K203+K204+K211+K212+K213+K216+K234+K237+K238+K239)</f>
        <v>16834</v>
      </c>
      <c r="L246" s="16">
        <f>SUM(L197+L201+L203+L204+L211+L212+L213+L216+L234+L237+L238+L239)</f>
        <v>17575</v>
      </c>
      <c r="M246" s="16">
        <f>SUM(M197,M201,M203,M204,M211,M212,M216,M213,M234,M237,M238,M239)</f>
        <v>17575</v>
      </c>
      <c r="N246" s="16">
        <f>SUM(N197+N201+N203+N204+N211+N212+N213+N216+N234+N237+N238+N239)</f>
        <v>18892</v>
      </c>
      <c r="O246" s="16">
        <f>SUM(O197+O201+O203+O204+O211+O212+O213+O216+O234+O237+O238+O239)</f>
        <v>19625</v>
      </c>
      <c r="P246" s="16">
        <f>SUM(P197+P201+P203+P204+P211+P212+P213+P216+P234+P237+P238+P239)</f>
        <v>19139</v>
      </c>
      <c r="Q246" s="16">
        <f>SUM(Q197+Q201+Q203+Q204+Q211+Q212+Q213+Q216+Q234+Q237+Q238+Q239)</f>
        <v>19081</v>
      </c>
      <c r="R246" s="16">
        <f>SUM(R197,R201,R203,R204,R211,R212,R216,R213,R234,R237,R238,R239)</f>
        <v>19081</v>
      </c>
      <c r="S246" s="16">
        <f>SUM(S197+S201+S203+S204+S211+S212+S213+S216+S234+S237+S238+S239)</f>
        <v>19940</v>
      </c>
      <c r="T246" s="16">
        <f>SUM(T197+T201+T203+T204+T211+T212+T213+T216+T234+T237+T238+T239)</f>
        <v>22054</v>
      </c>
      <c r="U246" s="16">
        <f>SUM(U197+U201+U203+U204+U211+U212+U213+U216+U234+U237+U238+U239)</f>
        <v>20883</v>
      </c>
      <c r="V246" s="16">
        <f>SUM(V197+V201+V203+V204+V211+V212+V213+V216+V234+V237+V238+V239)</f>
        <v>22750</v>
      </c>
      <c r="W246" s="16">
        <f>SUM(W197,W201,W203,W204,W211,W212,W216,W213,W234,W237,W238,W239)</f>
        <v>22750</v>
      </c>
      <c r="X246" s="16">
        <f>SUM(X197+X201+X203+X204+X211+X212+X213+X216+X234+X237+X238+X239)</f>
        <v>27930</v>
      </c>
      <c r="Y246" s="16">
        <f>SUM(Y197+Y201+Y203+Y204+Y211+Y212+Y213+Y216+Y234+Y237+Y238+Y239)</f>
        <v>27070</v>
      </c>
      <c r="Z246" s="16">
        <f>SUM(Z197+Z201+Z203+Z204+Z211+Z212+Z213+Z216+Z234+Z237+Z238+Z239)</f>
        <v>30114</v>
      </c>
      <c r="AA246" s="16">
        <f>SUM(AA197+AA201+AA203+AA204+AA211+AA212+AA213+AA216+AA234+AA237+AA238+AA239)</f>
        <v>32274</v>
      </c>
      <c r="AB246" s="16">
        <f>SUM(AB197,AB201,AB203,AB204,AB211,AB212,AB216,AB213,AB234,AB237,AB238,AB239)</f>
        <v>32274</v>
      </c>
      <c r="AC246" s="16">
        <f>SUM(AC197+AC201+AC203+AC204+AC211+AC212+AC213+AC216+AC234+AC237+AC238+AC239)</f>
        <v>41411</v>
      </c>
      <c r="AD246" s="16">
        <f>SUM(AD197+AD201+AD203+AD204+AD211+AD212+AD213+AD216+AD234+AD237+AD238+AD239)</f>
        <v>40609</v>
      </c>
      <c r="AE246" s="16">
        <f>SUM(AE197+AE201+AE203+AE204+AE211+AE212+AE213+AE216+AE234+AE237+AE238+AE239)</f>
        <v>42251</v>
      </c>
      <c r="AF246" s="16">
        <f>SUM(AF197+AF201+AF203+AF204+AF211+AF212+AF213+AF216+AF234+AF237+AF238+AF239)</f>
        <v>49510</v>
      </c>
      <c r="AG246" s="16">
        <f>SUM(AG197,AG201,AG203,AG204,AG211,AG212,AG216,AG213,AG234,AG237,AG238,AG239)</f>
        <v>49510</v>
      </c>
      <c r="AH246" s="16">
        <f>SUM(AH197+AH201+AH203+AH204+AH211+AH212+AH213+AH216+AH234+AH237+AH238+AH239)</f>
        <v>64000</v>
      </c>
      <c r="AI246" s="16">
        <f>SUM(AI197+AI201+AI203+AI204+AI211+AI212+AI213+AI216+AI234+AI237+AI238+AI239)</f>
        <v>91288</v>
      </c>
      <c r="AJ246" s="16">
        <f>SUM(AJ197+AJ201+AJ203+AJ204+AJ211+AJ212+AJ213+AJ216+AJ234+AJ237+AJ238+AJ239)</f>
        <v>49269</v>
      </c>
      <c r="AK246" s="16">
        <f>SUM(AK197+AK201+AK203+AK204+AK211+AK212+AK213+AK216+AK234+AK237+AK238+AK239)</f>
        <v>49269</v>
      </c>
      <c r="AL246" s="16">
        <f>SUM(AL197,AL201,AL203,AL204,AL211,AL212,AL216,AL213,AL234,AL237,AL238,AL239)</f>
        <v>49269</v>
      </c>
      <c r="AM246" s="16" t="e">
        <f>SUM(AM197+AM201+AM203+AM204+AM211+AM212+AM213+AM216+AM234+AM237+AM238+AM239)</f>
        <v>#DIV/0!</v>
      </c>
      <c r="AN246" s="16">
        <f>SUM(AN197+AN201+AN203+AN204+AN211+AN212+AN213+AN216+AN234+AN237+AN238+AN239)</f>
        <v>49269</v>
      </c>
      <c r="AO246" s="16" t="e">
        <f>SUM(AO197+AO201+AO203+AO204+AO211+AO212+AO213+AO216+AO234+AO237+AO238+AO239)</f>
        <v>#DIV/0!</v>
      </c>
      <c r="AP246" s="16" t="e">
        <f>SUM(AP197+AP201+AP203+AP204+AP211+AP212+AP213+AP216+AP234+AP237+AP238+AP239)</f>
        <v>#DIV/0!</v>
      </c>
      <c r="AQ246" s="16" t="e">
        <f>SUM(AQ197,AQ201,AQ203,AQ204,AQ211,AQ212,AQ216,AQ213,AQ234,AQ237,AQ238,AQ239)</f>
        <v>#DIV/0!</v>
      </c>
      <c r="AR246" s="16" t="e">
        <f>SUM(AR197+AR201+AR203+AR204+AR211+AR212+AR213+AR216+AR234+AR237+AR238+AR239)</f>
        <v>#DIV/0!</v>
      </c>
      <c r="AS246" s="16" t="e">
        <f>SUM(AS197+AS201+AS203+AS204+AS211+AS212+AS213+AS216+AS234+AS237+AS238+AS239)</f>
        <v>#DIV/0!</v>
      </c>
      <c r="AT246" s="16" t="e">
        <f>SUM(AT197+AT201+AT203+AT204+AT211+AT212+AT213+AT216+AT234+AT237+AT238+AT239)</f>
        <v>#DIV/0!</v>
      </c>
      <c r="AU246" s="16" t="e">
        <f>SUM(AU197+AU201+AU203+AU204+AU211+AU212+AU213+AU216+AU234+AU237+AU238+AU239)</f>
        <v>#DIV/0!</v>
      </c>
      <c r="AV246" s="16" t="e">
        <f>SUM(AV197,AV201,AV203,AV204,AV211,AV212,AV216,AV213,AV234,AV237,AV238,AV239)</f>
        <v>#DIV/0!</v>
      </c>
      <c r="AW246" s="16" t="e">
        <f>SUM(AW197+AW201+AW203+AW204+AW211+AW212+AW213+AW216+AW234+AW237+AW238+AW239)</f>
        <v>#DIV/0!</v>
      </c>
      <c r="AX246" s="16" t="e">
        <f>SUM(AX197+AX201+AX203+AX204+AX211+AX212+AX213+AX216+AX234+AX237+AX238+AX239)</f>
        <v>#DIV/0!</v>
      </c>
      <c r="AY246" s="16" t="e">
        <f>SUM(AY197+AY201+AY203+AY204+AY211+AY212+AY213+AY216+AY234+AY237+AY238+AY239)</f>
        <v>#DIV/0!</v>
      </c>
      <c r="AZ246" s="16" t="e">
        <f>SUM(AZ197+AZ201+AZ203+AZ204+AZ211+AZ212+AZ213+AZ216+AZ234+AZ237+AZ238+AZ239)</f>
        <v>#DIV/0!</v>
      </c>
      <c r="BA246" s="16" t="e">
        <f>SUM(BA197,BA201,BA203,BA204,BA211,BA212,BA216,BA213,BA234,BA237,BA238,BA239)</f>
        <v>#DIV/0!</v>
      </c>
      <c r="BB246" s="16" t="e">
        <f>SUM(BB197+BB201+BB203+BB204+BB211+BB212+BB213+BB216+BB234+BB237+BB238+BB239)</f>
        <v>#DIV/0!</v>
      </c>
      <c r="BC246" s="16" t="e">
        <f>SUM(BC197+BC201+BC203+BC204+BC211+BC212+BC213+BC216+BC234+BC237+BC238+BC239)</f>
        <v>#DIV/0!</v>
      </c>
      <c r="BD246" s="16" t="e">
        <f>SUM(BD197+BD201+BD203+BD204+BD211+BD212+BD213+BD216+BD234+BD237+BD238+BD239)</f>
        <v>#DIV/0!</v>
      </c>
      <c r="BE246" s="16" t="e">
        <f>SUM(BE197+BE201+BE203+BE204+BE211+BE212+BE213+BE216+BE234+BE237+BE238+BE239)</f>
        <v>#DIV/0!</v>
      </c>
      <c r="BF246" s="16" t="e">
        <f>SUM(BF197,BF201,BF203,BF204,BF211,BF212,BF216,BF213,BF234,BF237,BF238,BF239)</f>
        <v>#DIV/0!</v>
      </c>
      <c r="BG246" s="16" t="e">
        <f>SUM(BG197+BG201+BG203+BG204+BG211+BG212+BG213+BG216+BG234+BG237+BG238+BG239)</f>
        <v>#DIV/0!</v>
      </c>
      <c r="BH246" s="16" t="e">
        <f>SUM(BH197+BH201+BH203+BH204+BH211+BH212+BH213+BH216+BH234+BH237+BH238+BH239)</f>
        <v>#DIV/0!</v>
      </c>
      <c r="BI246" s="16" t="e">
        <f>SUM(BI197+BI201+BI203+BI204+BI211+BI212+BI213+BI216+BI234+BI237+BI238+BI239)</f>
        <v>#DIV/0!</v>
      </c>
      <c r="BJ246" s="16" t="e">
        <f>SUM(BJ197+BJ201+BJ203+BJ204+BJ211+BJ212+BJ213+BJ216+BJ234+BJ237+BJ238+BJ239)</f>
        <v>#DIV/0!</v>
      </c>
      <c r="BK246" s="16" t="e">
        <f>SUM(BK197,BK201,BK203,BK204,BK211,BK212,BK216,BK213,BK234,BK237,BK238,BK239)</f>
        <v>#DIV/0!</v>
      </c>
      <c r="BL246" s="16" t="e">
        <f>SUM(BL197+BL201+BL203+BL204+BL211+BL212+BL213+BL216+BL234+BL237+BL238+BL239)</f>
        <v>#DIV/0!</v>
      </c>
      <c r="BM246" s="16" t="e">
        <f>SUM(BM197+BM201+BM203+BM204+BM211+BM212+BM213+BM216+BM234+BM237+BM238+BM239)</f>
        <v>#DIV/0!</v>
      </c>
      <c r="BN246" s="16" t="e">
        <f>SUM(BN197+BN201+BN203+BN204+BN211+BN212+BN213+BN216+BN234+BN237+BN238+BN239)</f>
        <v>#DIV/0!</v>
      </c>
      <c r="BO246" s="16" t="e">
        <f>SUM(BO197+BO201+BO203+BO204+BO211+BO212+BO213+BO216+BO234+BO237+BO238+BO239)</f>
        <v>#DIV/0!</v>
      </c>
      <c r="BP246" s="16" t="e">
        <f>SUM(BP197,BP201,BP203,BP204,BP211,BP212,BP216,BP213,BP234,BP237,BP238,BP239)</f>
        <v>#DIV/0!</v>
      </c>
      <c r="BQ246" s="16" t="e">
        <f>SUM(BQ197+BQ201+BQ203+BQ204+BQ211+BQ212+BQ213+BQ216+BQ234+BQ237+BQ238+BQ239)</f>
        <v>#DIV/0!</v>
      </c>
      <c r="BR246" s="16" t="e">
        <f>SUM(BR197+BR201+BR203+BR204+BR211+BR212+BR213+BR216+BR234+BR237+BR238+BR239)</f>
        <v>#DIV/0!</v>
      </c>
      <c r="BS246" s="16" t="e">
        <f>SUM(BS197+BS201+BS203+BS204+BS211+BS212+BS213+BS216+BS234+BS237+BS238+BS239)</f>
        <v>#DIV/0!</v>
      </c>
      <c r="BT246" s="16" t="e">
        <f>SUM(BT197+BT201+BT203+BT204+BT211+BT212+BT213+BT216+BT234+BT237+BT238+BT239)</f>
        <v>#DIV/0!</v>
      </c>
      <c r="BU246" s="16" t="e">
        <f>SUM(BU197,BU201,BU203,BU204,BU211,BU212,BU216,BU213,BU234,BU237,BU238,BU239)</f>
        <v>#DIV/0!</v>
      </c>
      <c r="BV246" s="16" t="e">
        <f>SUM(BV197+BV201+BV203+BV204+BV211+BV212+BV213+BV216+BV234+BV237+BV238+BV239)</f>
        <v>#DIV/0!</v>
      </c>
      <c r="BW246" s="16" t="e">
        <f>SUM(BW197+BW201+BW203+BW204+BW211+BW212+BW213+BW216+BW234+BW237+BW238+BW239)</f>
        <v>#DIV/0!</v>
      </c>
      <c r="BX246" s="16" t="e">
        <f>SUM(BX197+BX201+BX203+BX204+BX211+BX212+BX213+BX216+BX234+BX237+BX238+BX239)</f>
        <v>#DIV/0!</v>
      </c>
      <c r="BY246" s="16" t="e">
        <f>SUM(BY197+BY201+BY203+BY204+BY211+BY212+BY213+BY216+BY234+BY237+BY238+BY239)</f>
        <v>#DIV/0!</v>
      </c>
      <c r="BZ246" s="16" t="e">
        <f>SUM(BZ197,BZ201,BZ203,BZ204,BZ211,BZ212,BZ216,BZ213,BZ234,BZ237,BZ238,BZ239)</f>
        <v>#DIV/0!</v>
      </c>
      <c r="CA246" s="16" t="e">
        <f>SUM(CA197+CA201+CA203+CA204+CA211+CA212+CA213+CA216+CA234+CA237+CA238+CA239)</f>
        <v>#DIV/0!</v>
      </c>
      <c r="CB246" s="16" t="e">
        <f>SUM(CB197+CB201+CB203+CB204+CB211+CB212+CB213+CB216+CB234+CB237+CB238+CB239)</f>
        <v>#DIV/0!</v>
      </c>
      <c r="CC246" s="16" t="e">
        <f>SUM(CC197+CC201+CC203+CC204+CC211+CC212+CC213+CC216+CC234+CC237+CC238+CC239)</f>
        <v>#DIV/0!</v>
      </c>
      <c r="CD246" s="16" t="e">
        <f>SUM(CD197+CD201+CD203+CD204+CD211+CD212+CD213+CD216+CD234+CD237+CD238+CD239)</f>
        <v>#DIV/0!</v>
      </c>
      <c r="CE246" s="16" t="e">
        <f>SUM(CE197,CE201,CE203,CE204,CE211,CE212,CE216,CE213,CE234,CE237,CE238,CE239)</f>
        <v>#DIV/0!</v>
      </c>
      <c r="CF246" s="16" t="e">
        <f>SUM(CF197+CF201+CF203+CF204+CF211+CF212+CF213+CF216+CF234+CF237+CF238+CF239)</f>
        <v>#DIV/0!</v>
      </c>
      <c r="CG246" s="16" t="e">
        <f>SUM(CG197+CG201+CG203+CG204+CG211+CG212+CG213+CG216+CG234+CG237+CG238+CG239)</f>
        <v>#DIV/0!</v>
      </c>
      <c r="CH246" s="16" t="e">
        <f>SUM(CH197+CH201+CH203+CH204+CH211+CH212+CH213+CH216+CH234+CH237+CH238+CH239)</f>
        <v>#DIV/0!</v>
      </c>
      <c r="CI246" s="16" t="e">
        <f>SUM(CI197+CI201+CI203+CI204+CI211+CI212+CI213+CI216+CI234+CI237+CI238+CI239)</f>
        <v>#DIV/0!</v>
      </c>
      <c r="CJ246" s="16" t="e">
        <f>SUM(CJ197,CJ201,CJ203,CJ204,CJ211,CJ212,CJ216,CJ213,CJ234,CJ237,CJ238,CJ239)</f>
        <v>#DIV/0!</v>
      </c>
      <c r="CK246" s="16" t="e">
        <f>SUM(CK197+CK201+CK203+CK204+CK211+CK212+CK213+CK216+CK234+CK237+CK238+CK239)</f>
        <v>#DIV/0!</v>
      </c>
      <c r="CL246" s="16" t="e">
        <f>SUM(CL197+CL201+CL203+CL204+CL211+CL212+CL213+CL216+CL234+CL237+CL238+CL239)</f>
        <v>#DIV/0!</v>
      </c>
      <c r="CM246" s="16" t="e">
        <f>SUM(CM197+CM201+CM203+CM204+CM211+CM212+CM213+CM216+CM234+CM237+CM238+CM239)</f>
        <v>#DIV/0!</v>
      </c>
      <c r="CN246" s="16" t="e">
        <f>SUM(CN197+CN201+CN203+CN204+CN211+CN212+CN213+CN216+CN234+CN237+CN238+CN239)</f>
        <v>#DIV/0!</v>
      </c>
      <c r="CO246" s="16" t="e">
        <f>SUM(CO197,CO201,CO203,CO204,CO211,CO212,CO216,CO213,CO234,CO237,CO238,CO239)</f>
        <v>#DIV/0!</v>
      </c>
      <c r="CP246" s="16" t="e">
        <f>SUM(CP197+CP201+CP203+CP204+CP211+CP212+CP213+CP216+CP234+CP237+CP238+CP239)</f>
        <v>#DIV/0!</v>
      </c>
      <c r="CQ246" s="16" t="e">
        <f>SUM(CQ197+CQ201+CQ203+CQ204+CQ211+CQ212+CQ213+CQ216+CQ234+CQ237+CQ238+CQ239)</f>
        <v>#DIV/0!</v>
      </c>
      <c r="CR246" s="16" t="e">
        <f>SUM(CR197+CR201+CR203+CR204+CR211+CR212+CR213+CR216+CR234+CR237+CR238+CR239)</f>
        <v>#DIV/0!</v>
      </c>
      <c r="CS246" s="16" t="e">
        <f>SUM(CS197+CS201+CS203+CS204+CS211+CS212+CS213+CS216+CS234+CS237+CS238+CS239)</f>
        <v>#DIV/0!</v>
      </c>
      <c r="CT246" s="16" t="e">
        <f>SUM(CT197,CT201,CT203,CT204,CT211,CT212,CT216,CT213,CT234,CT237,CT238,CT239)</f>
        <v>#DIV/0!</v>
      </c>
      <c r="CU246" s="16" t="e">
        <f>SUM(CU197+CU201+CU203+CU204+CU211+CU212+CU213+CU216+CU234+CU237+CU238+CU239)</f>
        <v>#DIV/0!</v>
      </c>
      <c r="CV246" s="16" t="e">
        <f>SUM(CV197+CV201+CV203+CV204+CV211+CV212+CV213+CV216+CV234+CV237+CV238+CV239)</f>
        <v>#DIV/0!</v>
      </c>
      <c r="CW246" s="16" t="e">
        <f>SUM(CW197+CW201+CW203+CW204+CW211+CW212+CW213+CW216+CW234+CW237+CW238+CW239)</f>
        <v>#DIV/0!</v>
      </c>
      <c r="CX246" s="16" t="e">
        <f>SUM(CX197+CX201+CX203+CX204+CX211+CX212+CX213+CX216+CX234+CX237+CX238+CX239)</f>
        <v>#DIV/0!</v>
      </c>
      <c r="CY246" s="16" t="e">
        <f>SUM(CY197,CY201,CY203,CY204,CY211,CY212,CY216,CY213,CY234,CY237,CY238,CY239)</f>
        <v>#DIV/0!</v>
      </c>
    </row>
    <row r="247">
      <c r="C247" s="26" t="inlineStr">
        <is>
          <t>Minority interest</t>
        </is>
      </c>
      <c r="D247" s="25" t="n"/>
      <c r="E247" s="25" t="n"/>
      <c r="F247" s="25" t="n"/>
      <c r="G247" s="25" t="n"/>
      <c r="H247" s="3">
        <f>G247</f>
        <v>0</v>
      </c>
      <c r="I247" s="25" t="n"/>
      <c r="J247" s="25" t="n"/>
      <c r="K247" s="25" t="n"/>
      <c r="L247" s="25" t="n"/>
      <c r="M247" s="3">
        <f>L247</f>
        <v>0</v>
      </c>
      <c r="N247" s="25" t="n"/>
      <c r="O247" s="25" t="n"/>
      <c r="P247" s="25" t="n"/>
      <c r="Q247" s="25" t="n"/>
      <c r="R247" s="3">
        <f>Q247</f>
        <v>0</v>
      </c>
      <c r="S247" s="25" t="n"/>
      <c r="T247" s="25" t="n"/>
      <c r="U247" s="25" t="n"/>
      <c r="V247" s="25" t="n"/>
      <c r="W247" s="3">
        <f>V247</f>
        <v>0</v>
      </c>
      <c r="X247" s="25" t="n"/>
      <c r="Y247" s="25" t="n"/>
      <c r="Z247" s="25" t="n"/>
      <c r="AA247" s="25" t="n"/>
      <c r="AB247" s="3">
        <f>AA247</f>
        <v>0</v>
      </c>
      <c r="AC247" s="25" t="n"/>
      <c r="AD247" s="25" t="n"/>
      <c r="AE247" s="25" t="n"/>
      <c r="AF247" s="25" t="n"/>
      <c r="AG247" s="3">
        <f>AF247</f>
        <v>0</v>
      </c>
      <c r="AH247" s="3">
        <f>AG247-AH135+AH250</f>
        <v>0</v>
      </c>
      <c r="AI247" s="3">
        <f>AH247-AI135+AI250</f>
        <v>0</v>
      </c>
      <c r="AJ247" s="3">
        <f>AI247-AJ135+AJ250</f>
        <v>0</v>
      </c>
      <c r="AK247" s="3">
        <f>AJ247-AK135+AK250</f>
        <v>0</v>
      </c>
      <c r="AL247" s="3">
        <f>AK247</f>
        <v>0</v>
      </c>
      <c r="AM247" s="3">
        <f>AL247-AM135+AM250</f>
        <v>0</v>
      </c>
      <c r="AN247" s="3">
        <f>AM247-AN135+AN250</f>
        <v>0</v>
      </c>
      <c r="AO247" s="3">
        <f>AN247-AO135+AO250</f>
        <v>0</v>
      </c>
      <c r="AP247" s="3">
        <f>AO247-AP135+AP250</f>
        <v>0</v>
      </c>
      <c r="AQ247" s="3">
        <f>AP247</f>
        <v>0</v>
      </c>
      <c r="AR247" s="3">
        <f>AQ247-AR135+AR250</f>
        <v>0</v>
      </c>
      <c r="AS247" s="3">
        <f>AR247-AS135+AS250</f>
        <v>0</v>
      </c>
      <c r="AT247" s="3">
        <f>AS247-AT135+AT250</f>
        <v>0</v>
      </c>
      <c r="AU247" s="3">
        <f>AT247-AU135+AU250</f>
        <v>0</v>
      </c>
      <c r="AV247" s="3">
        <f>AU247</f>
        <v>0</v>
      </c>
      <c r="AW247" s="3">
        <f>AV247-AW135+AW250</f>
        <v>0</v>
      </c>
      <c r="AX247" s="3">
        <f>AW247-AX135+AX250</f>
        <v>0</v>
      </c>
      <c r="AY247" s="3">
        <f>AX247-AY135+AY250</f>
        <v>0</v>
      </c>
      <c r="AZ247" s="3">
        <f>AY247-AZ135+AZ250</f>
        <v>0</v>
      </c>
      <c r="BA247" s="3">
        <f>AZ247</f>
        <v>0</v>
      </c>
      <c r="BB247" s="3">
        <f>BA247-BB135+BB250</f>
        <v>0</v>
      </c>
      <c r="BC247" s="3">
        <f>BB247-BC135+BC250</f>
        <v>0</v>
      </c>
      <c r="BD247" s="3">
        <f>BC247-BD135+BD250</f>
        <v>0</v>
      </c>
      <c r="BE247" s="3">
        <f>BD247-BE135+BE250</f>
        <v>0</v>
      </c>
      <c r="BF247" s="3">
        <f>BE247</f>
        <v>0</v>
      </c>
      <c r="BG247" s="3">
        <f>BF247-BG135+BG250</f>
        <v>0</v>
      </c>
      <c r="BH247" s="3">
        <f>BG247-BH135+BH250</f>
        <v>0</v>
      </c>
      <c r="BI247" s="3">
        <f>BH247-BI135+BI250</f>
        <v>0</v>
      </c>
      <c r="BJ247" s="3">
        <f>BI247-BJ135+BJ250</f>
        <v>0</v>
      </c>
      <c r="BK247" s="3">
        <f>BJ247</f>
        <v>0</v>
      </c>
      <c r="BL247" s="3">
        <f>BK247-BL135+BL250</f>
        <v>0</v>
      </c>
      <c r="BM247" s="3">
        <f>BL247-BM135+BM250</f>
        <v>0</v>
      </c>
      <c r="BN247" s="3">
        <f>BM247-BN135+BN250</f>
        <v>0</v>
      </c>
      <c r="BO247" s="3">
        <f>BN247-BO135+BO250</f>
        <v>0</v>
      </c>
      <c r="BP247" s="3">
        <f>BO247</f>
        <v>0</v>
      </c>
      <c r="BQ247" s="3">
        <f>BP247-BQ135+BQ250</f>
        <v>0</v>
      </c>
      <c r="BR247" s="3">
        <f>BQ247-BR135+BR250</f>
        <v>0</v>
      </c>
      <c r="BS247" s="3">
        <f>BR247-BS135+BS250</f>
        <v>0</v>
      </c>
      <c r="BT247" s="3">
        <f>BS247-BT135+BT250</f>
        <v>0</v>
      </c>
      <c r="BU247" s="3">
        <f>BT247</f>
        <v>0</v>
      </c>
      <c r="BV247" s="3">
        <f>BU247-BV135+BV250</f>
        <v>0</v>
      </c>
      <c r="BW247" s="3">
        <f>BV247-BW135+BW250</f>
        <v>0</v>
      </c>
      <c r="BX247" s="3">
        <f>BW247-BX135+BX250</f>
        <v>0</v>
      </c>
      <c r="BY247" s="3">
        <f>BX247-BY135+BY250</f>
        <v>0</v>
      </c>
      <c r="BZ247" s="3">
        <f>BY247</f>
        <v>0</v>
      </c>
      <c r="CA247" s="3">
        <f>BZ247-CA135+CA250</f>
        <v>0</v>
      </c>
      <c r="CB247" s="3">
        <f>CA247-CB135+CB250</f>
        <v>0</v>
      </c>
      <c r="CC247" s="3">
        <f>CB247-CC135+CC250</f>
        <v>0</v>
      </c>
      <c r="CD247" s="3">
        <f>CC247-CD135+CD250</f>
        <v>0</v>
      </c>
      <c r="CE247" s="3">
        <f>CD247</f>
        <v>0</v>
      </c>
      <c r="CF247" s="3">
        <f>CE247-CF135+CF250</f>
        <v>0</v>
      </c>
      <c r="CG247" s="3">
        <f>CF247-CG135+CG250</f>
        <v>0</v>
      </c>
      <c r="CH247" s="3">
        <f>CG247-CH135+CH250</f>
        <v>0</v>
      </c>
      <c r="CI247" s="3">
        <f>CH247-CI135+CI250</f>
        <v>0</v>
      </c>
      <c r="CJ247" s="3">
        <f>CI247</f>
        <v>0</v>
      </c>
      <c r="CK247" s="3">
        <f>CJ247-CK135+CK250</f>
        <v>0</v>
      </c>
      <c r="CL247" s="3">
        <f>CK247-CL135+CL250</f>
        <v>0</v>
      </c>
      <c r="CM247" s="3">
        <f>CL247-CM135+CM250</f>
        <v>0</v>
      </c>
      <c r="CN247" s="3">
        <f>CM247-CN135+CN250</f>
        <v>0</v>
      </c>
      <c r="CO247" s="3">
        <f>CN247</f>
        <v>0</v>
      </c>
      <c r="CP247" s="3">
        <f>CO247-CP135+CP250</f>
        <v>0</v>
      </c>
      <c r="CQ247" s="3">
        <f>CP247-CQ135+CQ250</f>
        <v>0</v>
      </c>
      <c r="CR247" s="3">
        <f>CQ247-CR135+CR250</f>
        <v>0</v>
      </c>
      <c r="CS247" s="3">
        <f>CR247-CS135+CS250</f>
        <v>0</v>
      </c>
      <c r="CT247" s="3">
        <f>CS247</f>
        <v>0</v>
      </c>
      <c r="CU247" s="3">
        <f>CT247-CU135+CU250</f>
        <v>0</v>
      </c>
      <c r="CV247" s="3">
        <f>CU247-CV135+CV250</f>
        <v>0</v>
      </c>
      <c r="CW247" s="3">
        <f>CV247-CW135+CW250</f>
        <v>0</v>
      </c>
      <c r="CX247" s="3">
        <f>CW247-CX135+CX250</f>
        <v>0</v>
      </c>
      <c r="CY247" s="3">
        <f>CX247</f>
        <v>0</v>
      </c>
    </row>
    <row r="248" hidden="1" outlineLevel="1" customFormat="1" s="39">
      <c r="A248" s="19" t="n"/>
      <c r="B248" s="19" t="n"/>
      <c r="C248" s="38" t="n"/>
      <c r="D248" s="22" t="n"/>
      <c r="E248" s="22" t="n"/>
      <c r="F248" s="22" t="n"/>
      <c r="G248" s="22" t="n"/>
      <c r="H248" s="22" t="n"/>
      <c r="I248" s="22" t="n"/>
      <c r="J248" s="22" t="n"/>
      <c r="K248" s="22" t="n"/>
      <c r="L248" s="22" t="n"/>
      <c r="M248" s="22" t="n"/>
      <c r="N248" s="22" t="n"/>
      <c r="O248" s="22" t="n"/>
      <c r="P248" s="22" t="n"/>
      <c r="Q248" s="22" t="n"/>
      <c r="R248" s="22" t="n"/>
      <c r="S248" s="22" t="n"/>
      <c r="T248" s="22" t="n"/>
      <c r="U248" s="22" t="n"/>
      <c r="V248" s="22" t="n"/>
      <c r="W248" s="22" t="n"/>
      <c r="X248" s="22" t="n"/>
      <c r="Y248" s="22" t="n"/>
      <c r="Z248" s="22" t="n"/>
      <c r="AA248" s="22" t="n"/>
      <c r="AB248" s="22" t="n"/>
      <c r="AC248" s="22" t="n"/>
      <c r="AD248" s="22" t="n"/>
      <c r="AE248" s="22" t="n"/>
      <c r="AF248" s="22" t="n"/>
      <c r="AG248" s="22" t="n"/>
      <c r="AH248" s="22" t="n"/>
      <c r="AI248" s="22" t="n"/>
      <c r="AJ248" s="22" t="n"/>
      <c r="AK248" s="22" t="n"/>
      <c r="AL248" s="22" t="n"/>
      <c r="AM248" s="22" t="n"/>
      <c r="AN248" s="22" t="n"/>
      <c r="AO248" s="22" t="n"/>
      <c r="AP248" s="22" t="n"/>
      <c r="AQ248" s="22" t="n"/>
      <c r="AR248" s="22" t="n"/>
      <c r="AS248" s="22" t="n"/>
      <c r="AT248" s="22" t="n"/>
      <c r="AU248" s="22" t="n"/>
      <c r="AV248" s="22" t="n"/>
      <c r="AW248" s="22" t="n"/>
      <c r="AX248" s="22" t="n"/>
      <c r="AY248" s="22" t="n"/>
      <c r="AZ248" s="22" t="n"/>
      <c r="BA248" s="22" t="n"/>
      <c r="BB248" s="22" t="n"/>
      <c r="BC248" s="22" t="n"/>
      <c r="BD248" s="22" t="n"/>
      <c r="BE248" s="22" t="n"/>
      <c r="BF248" s="22" t="n"/>
      <c r="BG248" s="22" t="n"/>
      <c r="BH248" s="22" t="n"/>
      <c r="BI248" s="22" t="n"/>
      <c r="BJ248" s="22" t="n"/>
      <c r="BK248" s="22" t="n"/>
      <c r="BL248" s="22" t="n"/>
      <c r="BM248" s="22" t="n"/>
      <c r="BN248" s="22" t="n"/>
      <c r="BO248" s="22" t="n"/>
      <c r="BP248" s="22" t="n"/>
      <c r="BQ248" s="22" t="n"/>
      <c r="BR248" s="22" t="n"/>
      <c r="BS248" s="22" t="n"/>
      <c r="BT248" s="22" t="n"/>
      <c r="BU248" s="22" t="n"/>
      <c r="BV248" s="22" t="n"/>
      <c r="BW248" s="22" t="n"/>
      <c r="BX248" s="22" t="n"/>
      <c r="BY248" s="22" t="n"/>
      <c r="BZ248" s="22" t="n"/>
      <c r="CA248" s="22" t="n"/>
      <c r="CB248" s="22" t="n"/>
      <c r="CC248" s="22" t="n"/>
      <c r="CD248" s="22" t="n"/>
      <c r="CE248" s="22" t="n"/>
      <c r="CF248" s="22" t="n"/>
      <c r="CG248" s="22" t="n"/>
      <c r="CH248" s="22" t="n"/>
      <c r="CI248" s="22" t="n"/>
      <c r="CJ248" s="22" t="n"/>
      <c r="CK248" s="22" t="n"/>
      <c r="CL248" s="22" t="n"/>
      <c r="CM248" s="22" t="n"/>
      <c r="CN248" s="22" t="n"/>
      <c r="CO248" s="22" t="n"/>
      <c r="CP248" s="22" t="n"/>
      <c r="CQ248" s="22" t="n"/>
      <c r="CR248" s="22" t="n"/>
      <c r="CS248" s="22" t="n"/>
      <c r="CT248" s="22" t="n"/>
      <c r="CU248" s="22" t="n"/>
      <c r="CV248" s="22" t="n"/>
      <c r="CW248" s="22" t="n"/>
      <c r="CX248" s="22" t="n"/>
      <c r="CY248" s="22" t="n"/>
    </row>
    <row r="249" hidden="1" outlineLevel="1" customFormat="1" s="39">
      <c r="A249" s="19" t="n"/>
      <c r="B249" s="19" t="n"/>
      <c r="C249" s="34" t="inlineStr">
        <is>
          <t>Minority Interest Expense - % YoY</t>
        </is>
      </c>
      <c r="D249" s="22" t="n"/>
      <c r="E249" s="40">
        <f>IF(D134=0,0,E134/D134-1)</f>
        <v>0</v>
      </c>
      <c r="F249" s="22" t="n"/>
      <c r="G249" s="22" t="n"/>
      <c r="H249" s="40" t="n"/>
      <c r="I249" s="22" t="n"/>
      <c r="J249" s="40">
        <f>IF(I134=0,0,J134/I134-1)</f>
        <v>0</v>
      </c>
      <c r="K249" s="22" t="n"/>
      <c r="L249" s="22" t="n"/>
      <c r="M249" s="40" t="n"/>
      <c r="N249" s="40">
        <f>IF(I134=0,0,N134/I134-1)</f>
        <v>0</v>
      </c>
      <c r="O249" s="40">
        <f>IF(J134=0,0,O134/J134-1)</f>
        <v>0</v>
      </c>
      <c r="P249" s="40">
        <f>IF(K134=0,0,P134/K134-1)</f>
        <v>0</v>
      </c>
      <c r="Q249" s="40">
        <f>IF(L134=0,0,Q134/L134-1)</f>
        <v>0</v>
      </c>
      <c r="R249" s="40" t="n"/>
      <c r="S249" s="40">
        <f>IF(N134=0,0,S134/N134-1)</f>
        <v>0</v>
      </c>
      <c r="T249" s="40">
        <f>IF(O134=0,0,T134/O134-1)</f>
        <v>0</v>
      </c>
      <c r="U249" s="40">
        <f>IF(P134=0,0,U134/P134-1)</f>
        <v>0</v>
      </c>
      <c r="V249" s="40">
        <f>IF(Q134=0,0,V134/Q134-1)</f>
        <v>0</v>
      </c>
      <c r="W249" s="40">
        <f>IF(R135=0,0,W135/R135-1)</f>
        <v>0</v>
      </c>
      <c r="X249" s="40">
        <f>IF(S134=0,0,X134/S134-1)</f>
        <v>0</v>
      </c>
      <c r="Y249" s="40">
        <f>IF(T134=0,0,Y134/T134-1)</f>
        <v>0</v>
      </c>
      <c r="Z249" s="40">
        <f>IF(U134=0,0,Z134/U134-1)</f>
        <v>0</v>
      </c>
      <c r="AA249" s="40">
        <f>IF(V134=0,0,AA134/V134-1)</f>
        <v>0</v>
      </c>
      <c r="AB249" s="40">
        <f>IF(W135=0,0,AB135/W135-1)</f>
        <v>0</v>
      </c>
      <c r="AC249" s="40">
        <f>IF(X134=0,0,AC134/X134-1)</f>
        <v>0</v>
      </c>
      <c r="AD249" s="40">
        <f>IF(Y134=0,0,AD134/Y134-1)</f>
        <v>0</v>
      </c>
      <c r="AE249" s="40">
        <f>IF(Z134=0,0,AE134/Z134-1)</f>
        <v>0</v>
      </c>
      <c r="AF249" s="40">
        <f>IF(AA134=0,0,AF134/AA134-1)</f>
        <v>0</v>
      </c>
      <c r="AG249" s="40">
        <f>IF(AB135=0,0,AG135/AB135-1)</f>
        <v>0</v>
      </c>
      <c r="AH249" s="35">
        <f>IF(AC134=0,0,AH134/AC134-1)</f>
        <v>0</v>
      </c>
      <c r="AI249" s="35">
        <f>IF(AD134=0,0,AI134/AD134-1)</f>
        <v>0</v>
      </c>
      <c r="AJ249" s="35" t="n"/>
      <c r="AK249" s="35" t="n"/>
      <c r="AL249" s="40">
        <f>IF(AG135=0,0,AL135/AG135-1)</f>
        <v>0</v>
      </c>
      <c r="AM249" s="35" t="n"/>
      <c r="AN249" s="35" t="n"/>
      <c r="AO249" s="35" t="n"/>
      <c r="AP249" s="35" t="n"/>
      <c r="AQ249" s="40">
        <f>IF(AL135=0,0,AQ135/AL135-1)</f>
        <v>0</v>
      </c>
      <c r="AR249" s="35" t="n"/>
      <c r="AS249" s="35" t="n"/>
      <c r="AT249" s="35" t="n"/>
      <c r="AU249" s="35" t="n"/>
      <c r="AV249" s="40">
        <f>IF(AQ135=0,0,AV135/AQ135-1)</f>
        <v>0</v>
      </c>
      <c r="AW249" s="35" t="n"/>
      <c r="AX249" s="35" t="n"/>
      <c r="AY249" s="35" t="n"/>
      <c r="AZ249" s="35" t="n"/>
      <c r="BA249" s="40">
        <f>IF(AV135=0,0,BA135/AV135-1)</f>
        <v>0</v>
      </c>
      <c r="BB249" s="35" t="n"/>
      <c r="BC249" s="35" t="n"/>
      <c r="BD249" s="35" t="n"/>
      <c r="BE249" s="35" t="n"/>
      <c r="BF249" s="40">
        <f>IF(BA135=0,0,BF135/BA135-1)</f>
        <v>0</v>
      </c>
      <c r="BG249" s="35" t="n"/>
      <c r="BH249" s="35" t="n"/>
      <c r="BI249" s="35" t="n"/>
      <c r="BJ249" s="35" t="n"/>
      <c r="BK249" s="40">
        <f>IF(BF135=0,0,BK135/BF135-1)</f>
        <v>0</v>
      </c>
      <c r="BL249" s="35" t="n"/>
      <c r="BM249" s="35" t="n"/>
      <c r="BN249" s="35" t="n"/>
      <c r="BO249" s="35" t="n"/>
      <c r="BP249" s="40">
        <f>IF(BK135=0,0,BP135/BK135-1)</f>
        <v>0</v>
      </c>
      <c r="BQ249" s="35" t="n"/>
      <c r="BR249" s="35" t="n"/>
      <c r="BS249" s="35" t="n"/>
      <c r="BT249" s="35" t="n"/>
      <c r="BU249" s="40">
        <f>IF(BP135=0,0,BU135/BP135-1)</f>
        <v>0</v>
      </c>
      <c r="BV249" s="35" t="n"/>
      <c r="BW249" s="35" t="n"/>
      <c r="BX249" s="35" t="n"/>
      <c r="BY249" s="35" t="n"/>
      <c r="BZ249" s="40">
        <f>IF(BU135=0,0,BZ135/BU135-1)</f>
        <v>0</v>
      </c>
      <c r="CA249" s="35" t="n"/>
      <c r="CB249" s="35" t="n"/>
      <c r="CC249" s="35" t="n"/>
      <c r="CD249" s="35" t="n"/>
      <c r="CE249" s="40">
        <f>IF(BZ135=0,0,CE135/BZ135-1)</f>
        <v>0</v>
      </c>
      <c r="CF249" s="35" t="n"/>
      <c r="CG249" s="35" t="n"/>
      <c r="CH249" s="35" t="n"/>
      <c r="CI249" s="35" t="n"/>
      <c r="CJ249" s="40">
        <f>IF(CE135=0,0,CJ135/CE135-1)</f>
        <v>0</v>
      </c>
      <c r="CK249" s="35" t="n"/>
      <c r="CL249" s="35" t="n"/>
      <c r="CM249" s="35" t="n"/>
      <c r="CN249" s="35" t="n"/>
      <c r="CO249" s="40">
        <f>IF(CJ135=0,0,CO135/CJ135-1)</f>
        <v>0</v>
      </c>
      <c r="CP249" s="35" t="n"/>
      <c r="CQ249" s="35" t="n"/>
      <c r="CR249" s="35" t="n"/>
      <c r="CS249" s="35" t="n"/>
      <c r="CT249" s="40">
        <f>IF(CO135=0,0,CT135/CO135-1)</f>
        <v>0</v>
      </c>
      <c r="CU249" s="35" t="n"/>
      <c r="CV249" s="35" t="n"/>
      <c r="CW249" s="35" t="n"/>
      <c r="CX249" s="35" t="n"/>
      <c r="CY249" s="40">
        <f>IF(CT135=0,0,CY135/CT135-1)</f>
        <v>0</v>
      </c>
    </row>
    <row r="250" hidden="1" outlineLevel="1" customFormat="1" s="39">
      <c r="A250" s="19" t="n"/>
      <c r="B250" s="19" t="n"/>
      <c r="C250" s="34" t="inlineStr">
        <is>
          <t>Dividends (enter as -)</t>
        </is>
      </c>
      <c r="D250" s="22" t="n"/>
      <c r="E250" s="22" t="n"/>
      <c r="F250" s="22" t="n"/>
      <c r="G250" s="22" t="n"/>
      <c r="H250" s="22" t="n"/>
      <c r="I250" s="22" t="n"/>
      <c r="J250" s="22" t="n"/>
      <c r="K250" s="22" t="n"/>
      <c r="L250" s="22" t="n"/>
      <c r="M250" s="22" t="n"/>
      <c r="N250" s="22" t="n"/>
      <c r="O250" s="22" t="n"/>
      <c r="P250" s="22" t="n"/>
      <c r="Q250" s="22" t="n"/>
      <c r="R250" s="22" t="n"/>
      <c r="S250" s="22" t="n"/>
      <c r="T250" s="22" t="n"/>
      <c r="U250" s="22" t="n"/>
      <c r="V250" s="22" t="n"/>
      <c r="W250" s="22" t="n"/>
      <c r="X250" s="22" t="n"/>
      <c r="Y250" s="22" t="n"/>
      <c r="Z250" s="22" t="n"/>
      <c r="AA250" s="22" t="n"/>
      <c r="AB250" s="22" t="n"/>
      <c r="AC250" s="22" t="n"/>
      <c r="AD250" s="22" t="n"/>
      <c r="AE250" s="22" t="n"/>
      <c r="AF250" s="22" t="n"/>
      <c r="AG250" s="22" t="n"/>
      <c r="AH250" s="35" t="n"/>
      <c r="AI250" s="35" t="n"/>
      <c r="AJ250" s="35" t="n"/>
      <c r="AK250" s="35" t="n"/>
      <c r="AL250" s="22" t="n"/>
      <c r="AM250" s="35" t="n"/>
      <c r="AN250" s="35" t="n"/>
      <c r="AO250" s="35" t="n"/>
      <c r="AP250" s="35" t="n"/>
      <c r="AQ250" s="22" t="n"/>
      <c r="AR250" s="35" t="n"/>
      <c r="AS250" s="35" t="n"/>
      <c r="AT250" s="35" t="n"/>
      <c r="AU250" s="35" t="n"/>
      <c r="AV250" s="22" t="n"/>
      <c r="AW250" s="35" t="n"/>
      <c r="AX250" s="35" t="n"/>
      <c r="AY250" s="35" t="n"/>
      <c r="AZ250" s="35" t="n"/>
      <c r="BA250" s="22" t="n"/>
      <c r="BB250" s="35" t="n"/>
      <c r="BC250" s="35" t="n"/>
      <c r="BD250" s="35" t="n"/>
      <c r="BE250" s="35" t="n"/>
      <c r="BF250" s="22" t="n"/>
      <c r="BG250" s="35" t="n"/>
      <c r="BH250" s="35" t="n"/>
      <c r="BI250" s="35" t="n"/>
      <c r="BJ250" s="35" t="n"/>
      <c r="BK250" s="22" t="n"/>
      <c r="BL250" s="35" t="n"/>
      <c r="BM250" s="35" t="n"/>
      <c r="BN250" s="35" t="n"/>
      <c r="BO250" s="35" t="n"/>
      <c r="BP250" s="22" t="n"/>
      <c r="BQ250" s="35" t="n"/>
      <c r="BR250" s="35" t="n"/>
      <c r="BS250" s="35" t="n"/>
      <c r="BT250" s="35" t="n"/>
      <c r="BU250" s="22" t="n"/>
      <c r="BV250" s="35" t="n"/>
      <c r="BW250" s="35" t="n"/>
      <c r="BX250" s="35" t="n"/>
      <c r="BY250" s="35" t="n"/>
      <c r="BZ250" s="22" t="n"/>
      <c r="CA250" s="35" t="n"/>
      <c r="CB250" s="35" t="n"/>
      <c r="CC250" s="35" t="n"/>
      <c r="CD250" s="35" t="n"/>
      <c r="CE250" s="22" t="n"/>
      <c r="CF250" s="35" t="n"/>
      <c r="CG250" s="35" t="n"/>
      <c r="CH250" s="35" t="n"/>
      <c r="CI250" s="35" t="n"/>
      <c r="CJ250" s="22" t="n"/>
      <c r="CK250" s="35" t="n"/>
      <c r="CL250" s="35" t="n"/>
      <c r="CM250" s="35" t="n"/>
      <c r="CN250" s="35" t="n"/>
      <c r="CO250" s="22" t="n"/>
      <c r="CP250" s="35" t="n"/>
      <c r="CQ250" s="35" t="n"/>
      <c r="CR250" s="35" t="n"/>
      <c r="CS250" s="35" t="n"/>
      <c r="CT250" s="22" t="n"/>
      <c r="CU250" s="35" t="n"/>
      <c r="CV250" s="35" t="n"/>
      <c r="CW250" s="35" t="n"/>
      <c r="CX250" s="35" t="n"/>
      <c r="CY250" s="22" t="n"/>
    </row>
    <row r="251" hidden="1" outlineLevel="1" customFormat="1" s="39">
      <c r="A251" s="19" t="n"/>
      <c r="B251" s="19" t="n"/>
      <c r="C251" s="38" t="n"/>
      <c r="D251" s="22" t="n"/>
      <c r="E251" s="22" t="n"/>
      <c r="F251" s="22" t="n"/>
      <c r="G251" s="22" t="n"/>
      <c r="H251" s="22" t="n"/>
      <c r="I251" s="22" t="n"/>
      <c r="J251" s="22" t="n"/>
      <c r="K251" s="22" t="n"/>
      <c r="L251" s="22" t="n"/>
      <c r="M251" s="22" t="n"/>
      <c r="N251" s="22" t="n"/>
      <c r="O251" s="22" t="n"/>
      <c r="P251" s="22" t="n"/>
      <c r="Q251" s="22" t="n"/>
      <c r="R251" s="22" t="n"/>
      <c r="S251" s="22" t="n"/>
      <c r="T251" s="22" t="n"/>
      <c r="U251" s="22" t="n"/>
      <c r="V251" s="22" t="n"/>
      <c r="W251" s="22" t="n"/>
      <c r="X251" s="22" t="n"/>
      <c r="Y251" s="22" t="n"/>
      <c r="Z251" s="22" t="n"/>
      <c r="AA251" s="22" t="n"/>
      <c r="AB251" s="22" t="n"/>
      <c r="AC251" s="22" t="n"/>
      <c r="AD251" s="22" t="n"/>
      <c r="AE251" s="22" t="n"/>
      <c r="AF251" s="22" t="n"/>
      <c r="AG251" s="22" t="n"/>
      <c r="AH251" s="22" t="n"/>
      <c r="AI251" s="22" t="n"/>
      <c r="AJ251" s="22" t="n"/>
      <c r="AK251" s="22" t="n"/>
      <c r="AL251" s="22" t="n"/>
      <c r="AM251" s="22" t="n"/>
      <c r="AN251" s="22" t="n"/>
      <c r="AO251" s="22" t="n"/>
      <c r="AP251" s="22" t="n"/>
      <c r="AQ251" s="22" t="n"/>
      <c r="AR251" s="22" t="n"/>
      <c r="AS251" s="22" t="n"/>
      <c r="AT251" s="22" t="n"/>
      <c r="AU251" s="22" t="n"/>
      <c r="AV251" s="22" t="n"/>
      <c r="AW251" s="22" t="n"/>
      <c r="AX251" s="22" t="n"/>
      <c r="AY251" s="22" t="n"/>
      <c r="AZ251" s="22" t="n"/>
      <c r="BA251" s="22" t="n"/>
      <c r="BB251" s="22" t="n"/>
      <c r="BC251" s="22" t="n"/>
      <c r="BD251" s="22" t="n"/>
      <c r="BE251" s="22" t="n"/>
      <c r="BF251" s="22" t="n"/>
      <c r="BG251" s="22" t="n"/>
      <c r="BH251" s="22" t="n"/>
      <c r="BI251" s="22" t="n"/>
      <c r="BJ251" s="22" t="n"/>
      <c r="BK251" s="22" t="n"/>
      <c r="BL251" s="22" t="n"/>
      <c r="BM251" s="22" t="n"/>
      <c r="BN251" s="22" t="n"/>
      <c r="BO251" s="22" t="n"/>
      <c r="BP251" s="22" t="n"/>
      <c r="BQ251" s="22" t="n"/>
      <c r="BR251" s="22" t="n"/>
      <c r="BS251" s="22" t="n"/>
      <c r="BT251" s="22" t="n"/>
      <c r="BU251" s="22" t="n"/>
      <c r="BV251" s="22" t="n"/>
      <c r="BW251" s="22" t="n"/>
      <c r="BX251" s="22" t="n"/>
      <c r="BY251" s="22" t="n"/>
      <c r="BZ251" s="22" t="n"/>
      <c r="CA251" s="22" t="n"/>
      <c r="CB251" s="22" t="n"/>
      <c r="CC251" s="22" t="n"/>
      <c r="CD251" s="22" t="n"/>
      <c r="CE251" s="22" t="n"/>
      <c r="CF251" s="22" t="n"/>
      <c r="CG251" s="22" t="n"/>
      <c r="CH251" s="22" t="n"/>
      <c r="CI251" s="22" t="n"/>
      <c r="CJ251" s="22" t="n"/>
      <c r="CK251" s="22" t="n"/>
      <c r="CL251" s="22" t="n"/>
      <c r="CM251" s="22" t="n"/>
      <c r="CN251" s="22" t="n"/>
      <c r="CO251" s="22" t="n"/>
      <c r="CP251" s="22" t="n"/>
      <c r="CQ251" s="22" t="n"/>
      <c r="CR251" s="22" t="n"/>
      <c r="CS251" s="22" t="n"/>
      <c r="CT251" s="22" t="n"/>
      <c r="CU251" s="22" t="n"/>
      <c r="CV251" s="22" t="n"/>
      <c r="CW251" s="22" t="n"/>
      <c r="CX251" s="22" t="n"/>
      <c r="CY251" s="22" t="n"/>
    </row>
    <row r="252" collapsed="1">
      <c r="C252" s="26" t="inlineStr">
        <is>
          <t>Convertible Preferred Stock</t>
        </is>
      </c>
      <c r="D252" s="25" t="n"/>
      <c r="E252" s="25" t="n"/>
      <c r="F252" s="25" t="n"/>
      <c r="G252" s="25" t="n"/>
      <c r="H252" s="3">
        <f>G252</f>
        <v>0</v>
      </c>
      <c r="I252" s="25" t="n"/>
      <c r="J252" s="25" t="n"/>
      <c r="K252" s="25" t="n"/>
      <c r="L252" s="25" t="n"/>
      <c r="M252" s="3">
        <f>L252</f>
        <v>0</v>
      </c>
      <c r="N252" s="25" t="n"/>
      <c r="O252" s="25" t="n"/>
      <c r="P252" s="25" t="n"/>
      <c r="Q252" s="25" t="n"/>
      <c r="R252" s="3">
        <f>Q252</f>
        <v>0</v>
      </c>
      <c r="S252" s="25" t="n"/>
      <c r="T252" s="25" t="n"/>
      <c r="U252" s="25" t="n"/>
      <c r="V252" s="25" t="n"/>
      <c r="W252" s="3">
        <f>V252</f>
        <v>0</v>
      </c>
      <c r="X252" s="25" t="n"/>
      <c r="Y252" s="25" t="n"/>
      <c r="Z252" s="25" t="n"/>
      <c r="AA252" s="25" t="n"/>
      <c r="AB252" s="3">
        <f>AA252</f>
        <v>0</v>
      </c>
      <c r="AC252" s="25" t="n"/>
      <c r="AD252" s="25" t="n"/>
      <c r="AE252" s="25" t="n"/>
      <c r="AF252" s="25" t="n"/>
      <c r="AG252" s="3">
        <f>AF252</f>
        <v>0</v>
      </c>
      <c r="AH252" s="3">
        <f>AG252</f>
        <v>0</v>
      </c>
      <c r="AI252" s="3">
        <f>AH252</f>
        <v>0</v>
      </c>
      <c r="AJ252" s="3">
        <f>AI252</f>
        <v>0</v>
      </c>
      <c r="AK252" s="3">
        <f>AJ252</f>
        <v>0</v>
      </c>
      <c r="AL252" s="3">
        <f>AK252</f>
        <v>0</v>
      </c>
      <c r="AM252" s="3">
        <f>AL252</f>
        <v>0</v>
      </c>
      <c r="AN252" s="3">
        <f>AM252</f>
        <v>0</v>
      </c>
      <c r="AO252" s="3">
        <f>AN252</f>
        <v>0</v>
      </c>
      <c r="AP252" s="3">
        <f>AO252</f>
        <v>0</v>
      </c>
      <c r="AQ252" s="3">
        <f>AP252</f>
        <v>0</v>
      </c>
      <c r="AR252" s="3">
        <f>AQ252</f>
        <v>0</v>
      </c>
      <c r="AS252" s="3">
        <f>AR252</f>
        <v>0</v>
      </c>
      <c r="AT252" s="3">
        <f>AS252</f>
        <v>0</v>
      </c>
      <c r="AU252" s="3">
        <f>AT252</f>
        <v>0</v>
      </c>
      <c r="AV252" s="3">
        <f>AU252</f>
        <v>0</v>
      </c>
      <c r="AW252" s="3">
        <f>AV252</f>
        <v>0</v>
      </c>
      <c r="AX252" s="3">
        <f>AW252</f>
        <v>0</v>
      </c>
      <c r="AY252" s="3">
        <f>AX252</f>
        <v>0</v>
      </c>
      <c r="AZ252" s="3">
        <f>AY252</f>
        <v>0</v>
      </c>
      <c r="BA252" s="3">
        <f>AZ252</f>
        <v>0</v>
      </c>
      <c r="BB252" s="3">
        <f>BA252</f>
        <v>0</v>
      </c>
      <c r="BC252" s="3">
        <f>BB252</f>
        <v>0</v>
      </c>
      <c r="BD252" s="3">
        <f>BC252</f>
        <v>0</v>
      </c>
      <c r="BE252" s="3">
        <f>BD252</f>
        <v>0</v>
      </c>
      <c r="BF252" s="3">
        <f>BE252</f>
        <v>0</v>
      </c>
      <c r="BG252" s="3">
        <f>BF252</f>
        <v>0</v>
      </c>
      <c r="BH252" s="3">
        <f>BG252</f>
        <v>0</v>
      </c>
      <c r="BI252" s="3">
        <f>BH252</f>
        <v>0</v>
      </c>
      <c r="BJ252" s="3">
        <f>BI252</f>
        <v>0</v>
      </c>
      <c r="BK252" s="3">
        <f>BJ252</f>
        <v>0</v>
      </c>
      <c r="BL252" s="3">
        <f>BK252</f>
        <v>0</v>
      </c>
      <c r="BM252" s="3">
        <f>BL252</f>
        <v>0</v>
      </c>
      <c r="BN252" s="3">
        <f>BM252</f>
        <v>0</v>
      </c>
      <c r="BO252" s="3">
        <f>BN252</f>
        <v>0</v>
      </c>
      <c r="BP252" s="3">
        <f>BO252</f>
        <v>0</v>
      </c>
      <c r="BQ252" s="3">
        <f>BP252</f>
        <v>0</v>
      </c>
      <c r="BR252" s="3">
        <f>BQ252</f>
        <v>0</v>
      </c>
      <c r="BS252" s="3">
        <f>BR252</f>
        <v>0</v>
      </c>
      <c r="BT252" s="3">
        <f>BS252</f>
        <v>0</v>
      </c>
      <c r="BU252" s="3">
        <f>BT252</f>
        <v>0</v>
      </c>
      <c r="BV252" s="3">
        <f>BU252</f>
        <v>0</v>
      </c>
      <c r="BW252" s="3">
        <f>BV252</f>
        <v>0</v>
      </c>
      <c r="BX252" s="3">
        <f>BW252</f>
        <v>0</v>
      </c>
      <c r="BY252" s="3">
        <f>BX252</f>
        <v>0</v>
      </c>
      <c r="BZ252" s="3">
        <f>BY252</f>
        <v>0</v>
      </c>
      <c r="CA252" s="3">
        <f>BZ252</f>
        <v>0</v>
      </c>
      <c r="CB252" s="3">
        <f>CA252</f>
        <v>0</v>
      </c>
      <c r="CC252" s="3">
        <f>CB252</f>
        <v>0</v>
      </c>
      <c r="CD252" s="3">
        <f>CC252</f>
        <v>0</v>
      </c>
      <c r="CE252" s="3">
        <f>CD252</f>
        <v>0</v>
      </c>
      <c r="CF252" s="3">
        <f>CE252</f>
        <v>0</v>
      </c>
      <c r="CG252" s="3">
        <f>CF252</f>
        <v>0</v>
      </c>
      <c r="CH252" s="3">
        <f>CG252</f>
        <v>0</v>
      </c>
      <c r="CI252" s="3">
        <f>CH252</f>
        <v>0</v>
      </c>
      <c r="CJ252" s="3">
        <f>CI252</f>
        <v>0</v>
      </c>
      <c r="CK252" s="3">
        <f>CJ252</f>
        <v>0</v>
      </c>
      <c r="CL252" s="3">
        <f>CK252</f>
        <v>0</v>
      </c>
      <c r="CM252" s="3">
        <f>CL252</f>
        <v>0</v>
      </c>
      <c r="CN252" s="3">
        <f>CM252</f>
        <v>0</v>
      </c>
      <c r="CO252" s="3">
        <f>CN252</f>
        <v>0</v>
      </c>
      <c r="CP252" s="3">
        <f>CO252</f>
        <v>0</v>
      </c>
      <c r="CQ252" s="3">
        <f>CP252</f>
        <v>0</v>
      </c>
      <c r="CR252" s="3">
        <f>CQ252</f>
        <v>0</v>
      </c>
      <c r="CS252" s="3">
        <f>CR252</f>
        <v>0</v>
      </c>
      <c r="CT252" s="3">
        <f>CS252</f>
        <v>0</v>
      </c>
      <c r="CU252" s="3">
        <f>CT252</f>
        <v>0</v>
      </c>
      <c r="CV252" s="3">
        <f>CU252</f>
        <v>0</v>
      </c>
      <c r="CW252" s="3">
        <f>CV252</f>
        <v>0</v>
      </c>
      <c r="CX252" s="3">
        <f>CW252</f>
        <v>0</v>
      </c>
      <c r="CY252" s="3">
        <f>CX252</f>
        <v>0</v>
      </c>
    </row>
    <row r="253">
      <c r="C253" s="24" t="inlineStr">
        <is>
          <t>Common Stock and APIC</t>
        </is>
      </c>
      <c r="D253" s="25">
        <f>INDEX('Inputs (2)'!$D$43:$AL$43,MATCH(D$7,'Inputs (2)'!$D$2:$AL$2,0))</f>
        <v>7355</v>
      </c>
      <c r="E253" s="25">
        <f>INDEX('Inputs (2)'!$D$43:$AL$43,MATCH(E$7,'Inputs (2)'!$D$2:$AL$2,0))</f>
        <v>7829</v>
      </c>
      <c r="F253" s="25">
        <f>INDEX('Inputs (2)'!$D$43:$AL$43,MATCH(F$7,'Inputs (2)'!$D$2:$AL$2,0))</f>
        <v>8302</v>
      </c>
      <c r="G253" s="25">
        <f>INDEX('Inputs (2)'!$D$43:$AL$43,MATCH(G$7,'Inputs (2)'!$D$2:$AL$2,0))</f>
        <v>8722</v>
      </c>
      <c r="H253" s="3">
        <f>G253</f>
        <v>8722</v>
      </c>
      <c r="I253" s="25">
        <f>INDEX('Inputs (2)'!$D$43:$AL$43,MATCH(I$7,'Inputs (2)'!$D$2:$AL$2,0))</f>
        <v>9281</v>
      </c>
      <c r="J253" s="25">
        <f>INDEX('Inputs (2)'!$D$43:$AL$43,MATCH(J$7,'Inputs (2)'!$D$2:$AL$2,0))</f>
        <v>9748</v>
      </c>
      <c r="K253" s="25">
        <f>INDEX('Inputs (2)'!$D$43:$AL$43,MATCH(K$7,'Inputs (2)'!$D$2:$AL$2,0))</f>
        <v>10468</v>
      </c>
      <c r="L253" s="25">
        <f>INDEX('Inputs (2)'!$D$43:$AL$43,MATCH(L$7,'Inputs (2)'!$D$2:$AL$2,0))</f>
        <v>10388</v>
      </c>
      <c r="M253" s="3">
        <f>L253</f>
        <v>10388</v>
      </c>
      <c r="N253" s="25">
        <f>INDEX('Inputs (2)'!$D$43:$AL$43,MATCH(N$7,'Inputs (2)'!$D$2:$AL$2,0))</f>
        <v>10626</v>
      </c>
      <c r="O253" s="25">
        <f>INDEX('Inputs (2)'!$D$43:$AL$43,MATCH(O$7,'Inputs (2)'!$D$2:$AL$2,0))</f>
        <v>10970</v>
      </c>
      <c r="P253" s="25">
        <f>INDEX('Inputs (2)'!$D$43:$AL$43,MATCH(P$7,'Inputs (2)'!$D$2:$AL$2,0))</f>
        <v>11567</v>
      </c>
      <c r="Q253" s="25">
        <f>INDEX('Inputs (2)'!$D$43:$AL$43,MATCH(Q$7,'Inputs (2)'!$D$2:$AL$2,0))</f>
        <v>11973</v>
      </c>
      <c r="R253" s="3">
        <f>Q253</f>
        <v>11973</v>
      </c>
      <c r="S253" s="25">
        <f>INDEX('Inputs (2)'!$D$43:$AL$43,MATCH(S$7,'Inputs (2)'!$D$2:$AL$2,0))</f>
        <v>12455</v>
      </c>
      <c r="T253" s="25">
        <f>INDEX('Inputs (2)'!$D$43:$AL$43,MATCH(T$7,'Inputs (2)'!$D$2:$AL$2,0))</f>
        <v>12631</v>
      </c>
      <c r="U253" s="25">
        <f>INDEX('Inputs (2)'!$D$43:$AL$43,MATCH(U$7,'Inputs (2)'!$D$2:$AL$2,0))</f>
        <v>12993</v>
      </c>
      <c r="V253" s="25">
        <f>INDEX('Inputs (2)'!$D$43:$AL$43,MATCH(V$7,'Inputs (2)'!$D$2:$AL$2,0))</f>
        <v>13134</v>
      </c>
      <c r="W253" s="3">
        <f>V253</f>
        <v>13134</v>
      </c>
      <c r="X253" s="25">
        <f>INDEX('Inputs (2)'!$D$43:$AL$43,MATCH(X$7,'Inputs (2)'!$D$2:$AL$2,0))</f>
        <v>12653</v>
      </c>
      <c r="Y253" s="25">
        <f>INDEX('Inputs (2)'!$D$43:$AL$43,MATCH(Y$7,'Inputs (2)'!$D$2:$AL$2,0))</f>
        <v>12140</v>
      </c>
      <c r="Z253" s="25">
        <f>INDEX('Inputs (2)'!$D$43:$AL$43,MATCH(Z$7,'Inputs (2)'!$D$2:$AL$2,0))</f>
        <v>11846</v>
      </c>
      <c r="AA253" s="25">
        <f>INDEX('Inputs (2)'!$D$43:$AL$43,MATCH(AA$7,'Inputs (2)'!$D$2:$AL$2,0))</f>
        <v>11261</v>
      </c>
      <c r="AB253" s="3">
        <f>AA253</f>
        <v>11261</v>
      </c>
      <c r="AC253" s="25">
        <f>INDEX('Inputs (2)'!$D$43:$AL$43,MATCH(AC$7,'Inputs (2)'!$D$2:$AL$2,0))</f>
        <v>11499</v>
      </c>
      <c r="AD253" s="25">
        <f>INDEX('Inputs (2)'!$D$43:$AL$43,MATCH(AD$7,'Inputs (2)'!$D$2:$AL$2,0))</f>
        <v>11224</v>
      </c>
      <c r="AE253" s="25">
        <f>INDEX('Inputs (2)'!$D$43:$AL$43,MATCH(AE$7,'Inputs (2)'!$D$2:$AL$2,0))</f>
        <v>10650</v>
      </c>
      <c r="AF253" s="25">
        <f>INDEX('Inputs (2)'!$D$43:$AL$43,MATCH(AF$7,'Inputs (2)'!$D$2:$AL$2,0))</f>
        <v>10142</v>
      </c>
      <c r="AG253" s="3">
        <f>AF253</f>
        <v>10142</v>
      </c>
      <c r="AH253" s="3">
        <f>INDEX('Inputs (2)'!$D$43:$AL$43,MATCH(AH$7,'Inputs (2)'!$D$2:$AL$2,0))</f>
        <v>10299</v>
      </c>
      <c r="AI253" s="3">
        <f>INDEX('Inputs (2)'!$D$43:$AL$43,MATCH(AI$7,'Inputs (2)'!$D$2:$AL$2,0))</f>
        <v>9852</v>
      </c>
      <c r="AJ253" s="3">
        <f>AI253+AJ257</f>
        <v>9852</v>
      </c>
      <c r="AK253" s="3">
        <f>AJ253+AK257</f>
        <v>9852</v>
      </c>
      <c r="AL253" s="3">
        <f>AK253</f>
        <v>9852</v>
      </c>
      <c r="AM253" s="3">
        <f>AL253+AM257</f>
        <v>9852</v>
      </c>
      <c r="AN253" s="3">
        <f>AM253+AN257</f>
        <v>9852</v>
      </c>
      <c r="AO253" s="3">
        <f>AN253+AO257</f>
        <v>9852</v>
      </c>
      <c r="AP253" s="3">
        <f>AO253+AP257</f>
        <v>9852</v>
      </c>
      <c r="AQ253" s="3">
        <f>AP253</f>
        <v>9852</v>
      </c>
      <c r="AR253" s="3">
        <f>AQ253+AR257</f>
        <v>9852</v>
      </c>
      <c r="AS253" s="3">
        <f>AR253+AS257</f>
        <v>9852</v>
      </c>
      <c r="AT253" s="3">
        <f>AS253+AT257</f>
        <v>9852</v>
      </c>
      <c r="AU253" s="3">
        <f>AT253+AU257</f>
        <v>9852</v>
      </c>
      <c r="AV253" s="3">
        <f>AU253</f>
        <v>9852</v>
      </c>
      <c r="AW253" s="3">
        <f>AV253+AW257</f>
        <v>9852</v>
      </c>
      <c r="AX253" s="3">
        <f>AW253+AX257</f>
        <v>9852</v>
      </c>
      <c r="AY253" s="3">
        <f>AX253+AY257</f>
        <v>9852</v>
      </c>
      <c r="AZ253" s="3">
        <f>AY253+AZ257</f>
        <v>9852</v>
      </c>
      <c r="BA253" s="3">
        <f>AZ253</f>
        <v>9852</v>
      </c>
      <c r="BB253" s="3">
        <f>BA253+BB257</f>
        <v>9852</v>
      </c>
      <c r="BC253" s="3">
        <f>BB253+BC257</f>
        <v>9852</v>
      </c>
      <c r="BD253" s="3">
        <f>BC253+BD257</f>
        <v>9852</v>
      </c>
      <c r="BE253" s="3">
        <f>BD253+BE257</f>
        <v>9852</v>
      </c>
      <c r="BF253" s="3">
        <f>BE253</f>
        <v>9852</v>
      </c>
      <c r="BG253" s="3">
        <f>BF253+BG257</f>
        <v>9852</v>
      </c>
      <c r="BH253" s="3">
        <f>BG253+BH257</f>
        <v>9852</v>
      </c>
      <c r="BI253" s="3">
        <f>BH253+BI257</f>
        <v>9852</v>
      </c>
      <c r="BJ253" s="3">
        <f>BI253+BJ257</f>
        <v>9852</v>
      </c>
      <c r="BK253" s="3">
        <f>BJ253</f>
        <v>9852</v>
      </c>
      <c r="BL253" s="3">
        <f>BK253+BL257</f>
        <v>9852</v>
      </c>
      <c r="BM253" s="3">
        <f>BL253+BM257</f>
        <v>9852</v>
      </c>
      <c r="BN253" s="3">
        <f>BM253+BN257</f>
        <v>9852</v>
      </c>
      <c r="BO253" s="3">
        <f>BN253+BO257</f>
        <v>9852</v>
      </c>
      <c r="BP253" s="3">
        <f>BO253</f>
        <v>9852</v>
      </c>
      <c r="BQ253" s="3">
        <f>BP253+BQ257</f>
        <v>9852</v>
      </c>
      <c r="BR253" s="3">
        <f>BQ253+BR257</f>
        <v>9852</v>
      </c>
      <c r="BS253" s="3">
        <f>BR253+BS257</f>
        <v>9852</v>
      </c>
      <c r="BT253" s="3">
        <f>BS253+BT257</f>
        <v>9852</v>
      </c>
      <c r="BU253" s="3">
        <f>BT253</f>
        <v>9852</v>
      </c>
      <c r="BV253" s="3">
        <f>BU253+BV257</f>
        <v>9852</v>
      </c>
      <c r="BW253" s="3">
        <f>BV253+BW257</f>
        <v>9852</v>
      </c>
      <c r="BX253" s="3">
        <f>BW253+BX257</f>
        <v>9852</v>
      </c>
      <c r="BY253" s="3">
        <f>BX253+BY257</f>
        <v>9852</v>
      </c>
      <c r="BZ253" s="3">
        <f>BY253</f>
        <v>9852</v>
      </c>
      <c r="CA253" s="3">
        <f>BZ253+CA257</f>
        <v>9852</v>
      </c>
      <c r="CB253" s="3">
        <f>CA253+CB257</f>
        <v>9852</v>
      </c>
      <c r="CC253" s="3">
        <f>CB253+CC257</f>
        <v>9852</v>
      </c>
      <c r="CD253" s="3">
        <f>CC253+CD257</f>
        <v>9852</v>
      </c>
      <c r="CE253" s="3">
        <f>CD253</f>
        <v>9852</v>
      </c>
      <c r="CF253" s="3">
        <f>CE253+CF257</f>
        <v>9852</v>
      </c>
      <c r="CG253" s="3">
        <f>CF253+CG257</f>
        <v>9852</v>
      </c>
      <c r="CH253" s="3">
        <f>CG253+CH257</f>
        <v>9852</v>
      </c>
      <c r="CI253" s="3">
        <f>CH253+CI257</f>
        <v>9852</v>
      </c>
      <c r="CJ253" s="3">
        <f>CI253</f>
        <v>9852</v>
      </c>
      <c r="CK253" s="3">
        <f>CJ253+CK257</f>
        <v>9852</v>
      </c>
      <c r="CL253" s="3">
        <f>CK253+CL257</f>
        <v>9852</v>
      </c>
      <c r="CM253" s="3">
        <f>CL253+CM257</f>
        <v>9852</v>
      </c>
      <c r="CN253" s="3">
        <f>CM253+CN257</f>
        <v>9852</v>
      </c>
      <c r="CO253" s="3">
        <f>CN253</f>
        <v>9852</v>
      </c>
      <c r="CP253" s="3">
        <f>CO253+CP257</f>
        <v>9852</v>
      </c>
      <c r="CQ253" s="3">
        <f>CP253+CQ257</f>
        <v>9852</v>
      </c>
      <c r="CR253" s="3">
        <f>CQ253+CR257</f>
        <v>9852</v>
      </c>
      <c r="CS253" s="3">
        <f>CR253+CS257</f>
        <v>9852</v>
      </c>
      <c r="CT253" s="3">
        <f>CS253</f>
        <v>9852</v>
      </c>
      <c r="CU253" s="3">
        <f>CT253+CU257</f>
        <v>9852</v>
      </c>
      <c r="CV253" s="3">
        <f>CU253+CV257</f>
        <v>9852</v>
      </c>
      <c r="CW253" s="3">
        <f>CV253+CW257</f>
        <v>9852</v>
      </c>
      <c r="CX253" s="3">
        <f>CW253+CX257</f>
        <v>9852</v>
      </c>
      <c r="CY253" s="3">
        <f>CX253</f>
        <v>9852</v>
      </c>
    </row>
    <row r="254" hidden="1" outlineLevel="1" customFormat="1" s="39">
      <c r="A254" s="19" t="n"/>
      <c r="B254" s="19" t="n"/>
      <c r="C254" s="41" t="n"/>
      <c r="D254" s="22" t="n"/>
      <c r="E254" s="22" t="n"/>
      <c r="F254" s="22" t="n"/>
      <c r="G254" s="22" t="n"/>
      <c r="H254" s="22" t="n"/>
      <c r="I254" s="22" t="n"/>
      <c r="J254" s="22" t="n"/>
      <c r="K254" s="22" t="n"/>
      <c r="L254" s="22" t="n"/>
      <c r="M254" s="22" t="n"/>
      <c r="N254" s="22" t="n"/>
      <c r="O254" s="22" t="n"/>
      <c r="P254" s="22" t="n"/>
      <c r="Q254" s="22" t="n"/>
      <c r="R254" s="22" t="n"/>
      <c r="S254" s="22" t="n"/>
      <c r="T254" s="22" t="n"/>
      <c r="U254" s="22" t="n"/>
      <c r="V254" s="22" t="n"/>
      <c r="W254" s="22" t="n"/>
      <c r="X254" s="22" t="n"/>
      <c r="Y254" s="22" t="n"/>
      <c r="Z254" s="22" t="n"/>
      <c r="AA254" s="22" t="n"/>
      <c r="AB254" s="22" t="n"/>
      <c r="AC254" s="22" t="n"/>
      <c r="AD254" s="22" t="n"/>
      <c r="AE254" s="22" t="n"/>
      <c r="AF254" s="22" t="n"/>
      <c r="AG254" s="22" t="n"/>
      <c r="AH254" s="22" t="n"/>
      <c r="AI254" s="22" t="n"/>
      <c r="AJ254" s="22" t="n"/>
      <c r="AK254" s="22" t="n"/>
      <c r="AL254" s="22" t="n"/>
      <c r="AM254" s="22" t="n"/>
      <c r="AN254" s="22" t="n"/>
      <c r="AO254" s="22" t="n"/>
      <c r="AP254" s="22" t="n"/>
      <c r="AQ254" s="22" t="n"/>
      <c r="AR254" s="22" t="n"/>
      <c r="AS254" s="22" t="n"/>
      <c r="AT254" s="22" t="n"/>
      <c r="AU254" s="22" t="n"/>
      <c r="AV254" s="22" t="n"/>
      <c r="AW254" s="22" t="n"/>
      <c r="AX254" s="22" t="n"/>
      <c r="AY254" s="22" t="n"/>
      <c r="AZ254" s="22" t="n"/>
      <c r="BA254" s="22" t="n"/>
      <c r="BB254" s="22" t="n"/>
      <c r="BC254" s="22" t="n"/>
      <c r="BD254" s="22" t="n"/>
      <c r="BE254" s="22" t="n"/>
      <c r="BF254" s="22" t="n"/>
      <c r="BG254" s="22" t="n"/>
      <c r="BH254" s="22" t="n"/>
      <c r="BI254" s="22" t="n"/>
      <c r="BJ254" s="22" t="n"/>
      <c r="BK254" s="22" t="n"/>
      <c r="BL254" s="22" t="n"/>
      <c r="BM254" s="22" t="n"/>
      <c r="BN254" s="22" t="n"/>
      <c r="BO254" s="22" t="n"/>
      <c r="BP254" s="22" t="n"/>
      <c r="BQ254" s="22" t="n"/>
      <c r="BR254" s="22" t="n"/>
      <c r="BS254" s="22" t="n"/>
      <c r="BT254" s="22" t="n"/>
      <c r="BU254" s="22" t="n"/>
      <c r="BV254" s="22" t="n"/>
      <c r="BW254" s="22" t="n"/>
      <c r="BX254" s="22" t="n"/>
      <c r="BY254" s="22" t="n"/>
      <c r="BZ254" s="22" t="n"/>
      <c r="CA254" s="22" t="n"/>
      <c r="CB254" s="22" t="n"/>
      <c r="CC254" s="22" t="n"/>
      <c r="CD254" s="22" t="n"/>
      <c r="CE254" s="22" t="n"/>
      <c r="CF254" s="22" t="n"/>
      <c r="CG254" s="22" t="n"/>
      <c r="CH254" s="22" t="n"/>
      <c r="CI254" s="22" t="n"/>
      <c r="CJ254" s="22" t="n"/>
      <c r="CK254" s="22" t="n"/>
      <c r="CL254" s="22" t="n"/>
      <c r="CM254" s="22" t="n"/>
      <c r="CN254" s="22" t="n"/>
      <c r="CO254" s="22" t="n"/>
      <c r="CP254" s="22" t="n"/>
      <c r="CQ254" s="22" t="n"/>
      <c r="CR254" s="22" t="n"/>
      <c r="CS254" s="22" t="n"/>
      <c r="CT254" s="22" t="n"/>
      <c r="CU254" s="22" t="n"/>
      <c r="CV254" s="22" t="n"/>
      <c r="CW254" s="22" t="n"/>
      <c r="CX254" s="22" t="n"/>
      <c r="CY254" s="22" t="n"/>
    </row>
    <row r="255" hidden="1" outlineLevel="1" customFormat="1" s="39">
      <c r="A255" s="19" t="n"/>
      <c r="B255" s="19" t="n"/>
      <c r="C255" s="41" t="inlineStr">
        <is>
          <t>Diluted Shares outstanding</t>
        </is>
      </c>
      <c r="D255" s="22" t="n"/>
      <c r="E255" s="22" t="n"/>
      <c r="F255" s="22" t="n"/>
      <c r="G255" s="22" t="n"/>
      <c r="H255" s="22" t="n"/>
      <c r="I255" s="22" t="n"/>
      <c r="J255" s="22" t="n"/>
      <c r="K255" s="22" t="n"/>
      <c r="L255" s="22" t="n"/>
      <c r="M255" s="22" t="n"/>
      <c r="N255" s="22" t="n"/>
      <c r="O255" s="22" t="n"/>
      <c r="P255" s="22" t="n"/>
      <c r="Q255" s="22" t="n"/>
      <c r="R255" s="22" t="n"/>
      <c r="S255" s="22" t="n"/>
      <c r="T255" s="22" t="n"/>
      <c r="U255" s="22" t="n"/>
      <c r="V255" s="22" t="n"/>
      <c r="W255" s="22" t="n"/>
      <c r="X255" s="22" t="n"/>
      <c r="Y255" s="22" t="n"/>
      <c r="Z255" s="22" t="n"/>
      <c r="AA255" s="22" t="n"/>
      <c r="AB255" s="22" t="n"/>
      <c r="AC255" s="22" t="n"/>
      <c r="AD255" s="22" t="n"/>
      <c r="AE255" s="22" t="n"/>
      <c r="AF255" s="22" t="n"/>
      <c r="AG255" s="22" t="n"/>
      <c r="AH255" s="22" t="n"/>
      <c r="AI255" s="22" t="n"/>
      <c r="AJ255" s="22" t="n"/>
      <c r="AK255" s="22" t="n"/>
      <c r="AL255" s="22" t="n"/>
      <c r="AM255" s="22" t="n"/>
      <c r="AN255" s="22" t="n"/>
      <c r="AO255" s="22" t="n"/>
      <c r="AP255" s="22" t="n"/>
      <c r="AQ255" s="22" t="n"/>
      <c r="AR255" s="22" t="n"/>
      <c r="AS255" s="22" t="n"/>
      <c r="AT255" s="22" t="n"/>
      <c r="AU255" s="22" t="n"/>
      <c r="AV255" s="22" t="n"/>
      <c r="AW255" s="22" t="n"/>
      <c r="AX255" s="22" t="n"/>
      <c r="AY255" s="22" t="n"/>
      <c r="AZ255" s="22" t="n"/>
      <c r="BA255" s="22" t="n"/>
      <c r="BB255" s="22" t="n"/>
      <c r="BC255" s="22" t="n"/>
      <c r="BD255" s="22" t="n"/>
      <c r="BE255" s="22" t="n"/>
      <c r="BF255" s="22" t="n"/>
      <c r="BG255" s="22" t="n"/>
      <c r="BH255" s="22" t="n"/>
      <c r="BI255" s="22" t="n"/>
      <c r="BJ255" s="22" t="n"/>
      <c r="BK255" s="22" t="n"/>
      <c r="BL255" s="22" t="n"/>
      <c r="BM255" s="22" t="n"/>
      <c r="BN255" s="22" t="n"/>
      <c r="BO255" s="22" t="n"/>
      <c r="BP255" s="22" t="n"/>
      <c r="BQ255" s="22" t="n"/>
      <c r="BR255" s="22" t="n"/>
      <c r="BS255" s="22" t="n"/>
      <c r="BT255" s="22" t="n"/>
      <c r="BU255" s="22" t="n"/>
      <c r="BV255" s="22" t="n"/>
      <c r="BW255" s="22" t="n"/>
      <c r="BX255" s="22" t="n"/>
      <c r="BY255" s="22" t="n"/>
      <c r="BZ255" s="22" t="n"/>
      <c r="CA255" s="22" t="n"/>
      <c r="CB255" s="22" t="n"/>
      <c r="CC255" s="22" t="n"/>
      <c r="CD255" s="22" t="n"/>
      <c r="CE255" s="22" t="n"/>
      <c r="CF255" s="22" t="n"/>
      <c r="CG255" s="22" t="n"/>
      <c r="CH255" s="22" t="n"/>
      <c r="CI255" s="22" t="n"/>
      <c r="CJ255" s="22" t="n"/>
      <c r="CK255" s="22" t="n"/>
      <c r="CL255" s="22" t="n"/>
      <c r="CM255" s="22" t="n"/>
      <c r="CN255" s="22" t="n"/>
      <c r="CO255" s="22" t="n"/>
      <c r="CP255" s="22" t="n"/>
      <c r="CQ255" s="22" t="n"/>
      <c r="CR255" s="22" t="n"/>
      <c r="CS255" s="22" t="n"/>
      <c r="CT255" s="22" t="n"/>
      <c r="CU255" s="22" t="n"/>
      <c r="CV255" s="22" t="n"/>
      <c r="CW255" s="22" t="n"/>
      <c r="CX255" s="22" t="n"/>
      <c r="CY255" s="22" t="n"/>
    </row>
    <row r="256" hidden="1" outlineLevel="1" customFormat="1" s="39">
      <c r="A256" s="19" t="n"/>
      <c r="B256" s="19" t="n"/>
      <c r="C256" s="41" t="inlineStr">
        <is>
          <t>Treasury share $ repurchases</t>
        </is>
      </c>
      <c r="D256" s="22" t="n"/>
      <c r="E256" s="22" t="n"/>
      <c r="F256" s="22" t="n"/>
      <c r="G256" s="22" t="n"/>
      <c r="H256" s="22" t="n"/>
      <c r="I256" s="22" t="n"/>
      <c r="J256" s="22" t="n"/>
      <c r="K256" s="22" t="n"/>
      <c r="L256" s="22" t="n"/>
      <c r="M256" s="22" t="n"/>
      <c r="N256" s="22" t="n"/>
      <c r="O256" s="22" t="n"/>
      <c r="P256" s="22" t="n"/>
      <c r="Q256" s="22" t="n"/>
      <c r="R256" s="22" t="n"/>
      <c r="S256" s="22" t="n"/>
      <c r="T256" s="22" t="n"/>
      <c r="U256" s="22" t="n"/>
      <c r="V256" s="22" t="n"/>
      <c r="W256" s="22" t="n"/>
      <c r="X256" s="22" t="n"/>
      <c r="Y256" s="22" t="n"/>
      <c r="Z256" s="22" t="n"/>
      <c r="AA256" s="22" t="n"/>
      <c r="AB256" s="22" t="n"/>
      <c r="AC256" s="22" t="n"/>
      <c r="AD256" s="22" t="n"/>
      <c r="AE256" s="22" t="n"/>
      <c r="AF256" s="22" t="n"/>
      <c r="AG256" s="22" t="n"/>
      <c r="AH256" s="6" t="n"/>
      <c r="AI256" s="6" t="n"/>
      <c r="AJ256" s="6" t="n"/>
      <c r="AK256" s="6" t="n"/>
      <c r="AL256" s="22" t="n"/>
      <c r="AM256" s="6" t="n"/>
      <c r="AN256" s="6" t="n"/>
      <c r="AO256" s="6" t="n"/>
      <c r="AP256" s="6" t="n"/>
      <c r="AQ256" s="22" t="n"/>
      <c r="AR256" s="6" t="n"/>
      <c r="AS256" s="6" t="n"/>
      <c r="AT256" s="6" t="n"/>
      <c r="AU256" s="6" t="n"/>
      <c r="AV256" s="22" t="n"/>
      <c r="AW256" s="6" t="n"/>
      <c r="AX256" s="6" t="n"/>
      <c r="AY256" s="6" t="n"/>
      <c r="AZ256" s="6" t="n"/>
      <c r="BA256" s="22" t="n"/>
      <c r="BB256" s="6" t="n"/>
      <c r="BC256" s="6" t="n"/>
      <c r="BD256" s="6" t="n"/>
      <c r="BE256" s="6" t="n"/>
      <c r="BF256" s="22" t="n"/>
      <c r="BG256" s="6" t="n"/>
      <c r="BH256" s="6" t="n"/>
      <c r="BI256" s="6" t="n"/>
      <c r="BJ256" s="6" t="n"/>
      <c r="BK256" s="22" t="n"/>
      <c r="BL256" s="6" t="n"/>
      <c r="BM256" s="6" t="n"/>
      <c r="BN256" s="6" t="n"/>
      <c r="BO256" s="6" t="n"/>
      <c r="BP256" s="22" t="n"/>
      <c r="BQ256" s="6" t="n"/>
      <c r="BR256" s="6" t="n"/>
      <c r="BS256" s="6" t="n"/>
      <c r="BT256" s="6" t="n"/>
      <c r="BU256" s="22" t="n"/>
      <c r="BV256" s="6" t="n"/>
      <c r="BW256" s="6" t="n"/>
      <c r="BX256" s="6" t="n"/>
      <c r="BY256" s="6" t="n"/>
      <c r="BZ256" s="22" t="n"/>
      <c r="CA256" s="6" t="n"/>
      <c r="CB256" s="6" t="n"/>
      <c r="CC256" s="6" t="n"/>
      <c r="CD256" s="6" t="n"/>
      <c r="CE256" s="22" t="n"/>
      <c r="CF256" s="6" t="n"/>
      <c r="CG256" s="6" t="n"/>
      <c r="CH256" s="6" t="n"/>
      <c r="CI256" s="6" t="n"/>
      <c r="CJ256" s="22" t="n"/>
      <c r="CK256" s="6" t="n"/>
      <c r="CL256" s="6" t="n"/>
      <c r="CM256" s="6" t="n"/>
      <c r="CN256" s="6" t="n"/>
      <c r="CO256" s="22" t="n"/>
      <c r="CP256" s="6" t="n"/>
      <c r="CQ256" s="6" t="n"/>
      <c r="CR256" s="6" t="n"/>
      <c r="CS256" s="6" t="n"/>
      <c r="CT256" s="22" t="n"/>
      <c r="CU256" s="6" t="n"/>
      <c r="CV256" s="6" t="n"/>
      <c r="CW256" s="6" t="n"/>
      <c r="CX256" s="6" t="n"/>
      <c r="CY256" s="22" t="n"/>
    </row>
    <row r="257" hidden="1" outlineLevel="1" customFormat="1" s="39">
      <c r="A257" s="19" t="n"/>
      <c r="B257" s="19" t="n"/>
      <c r="C257" s="41" t="inlineStr">
        <is>
          <t>Value of shares issued</t>
        </is>
      </c>
      <c r="D257" s="22" t="n"/>
      <c r="E257" s="22" t="n"/>
      <c r="F257" s="22" t="n"/>
      <c r="G257" s="22" t="n"/>
      <c r="H257" s="22" t="n"/>
      <c r="I257" s="22" t="n"/>
      <c r="J257" s="22" t="n"/>
      <c r="K257" s="22" t="n"/>
      <c r="L257" s="22" t="n"/>
      <c r="M257" s="22" t="n"/>
      <c r="N257" s="22" t="n"/>
      <c r="O257" s="22" t="n"/>
      <c r="P257" s="22" t="n"/>
      <c r="Q257" s="22" t="n"/>
      <c r="R257" s="22" t="n"/>
      <c r="S257" s="22" t="n"/>
      <c r="T257" s="22" t="n"/>
      <c r="U257" s="22" t="n"/>
      <c r="V257" s="22" t="n"/>
      <c r="W257" s="22" t="n"/>
      <c r="X257" s="22" t="n"/>
      <c r="Y257" s="22" t="n"/>
      <c r="Z257" s="22" t="n"/>
      <c r="AA257" s="22" t="n"/>
      <c r="AB257" s="22" t="n"/>
      <c r="AC257" s="22" t="n"/>
      <c r="AD257" s="22" t="n"/>
      <c r="AE257" s="22" t="n"/>
      <c r="AF257" s="22" t="n"/>
      <c r="AG257" s="22" t="n"/>
      <c r="AH257" s="6" t="n"/>
      <c r="AI257" s="6" t="n"/>
      <c r="AJ257" s="6" t="n"/>
      <c r="AK257" s="6" t="n"/>
      <c r="AL257" s="22" t="n"/>
      <c r="AM257" s="6" t="n"/>
      <c r="AN257" s="6" t="n"/>
      <c r="AO257" s="6" t="n"/>
      <c r="AP257" s="6" t="n"/>
      <c r="AQ257" s="22" t="n"/>
      <c r="AR257" s="6" t="n"/>
      <c r="AS257" s="6" t="n"/>
      <c r="AT257" s="6" t="n"/>
      <c r="AU257" s="6" t="n"/>
      <c r="AV257" s="22" t="n"/>
      <c r="AW257" s="6" t="n"/>
      <c r="AX257" s="6" t="n"/>
      <c r="AY257" s="6" t="n"/>
      <c r="AZ257" s="6" t="n"/>
      <c r="BA257" s="22" t="n"/>
      <c r="BB257" s="6" t="n"/>
      <c r="BC257" s="6" t="n"/>
      <c r="BD257" s="6" t="n"/>
      <c r="BE257" s="6" t="n"/>
      <c r="BF257" s="22" t="n"/>
      <c r="BG257" s="6" t="n"/>
      <c r="BH257" s="6" t="n"/>
      <c r="BI257" s="6" t="n"/>
      <c r="BJ257" s="6" t="n"/>
      <c r="BK257" s="22" t="n"/>
      <c r="BL257" s="6" t="n"/>
      <c r="BM257" s="6" t="n"/>
      <c r="BN257" s="6" t="n"/>
      <c r="BO257" s="6" t="n"/>
      <c r="BP257" s="22" t="n"/>
      <c r="BQ257" s="6" t="n"/>
      <c r="BR257" s="6" t="n"/>
      <c r="BS257" s="6" t="n"/>
      <c r="BT257" s="6" t="n"/>
      <c r="BU257" s="22" t="n"/>
      <c r="BV257" s="6" t="n"/>
      <c r="BW257" s="6" t="n"/>
      <c r="BX257" s="6" t="n"/>
      <c r="BY257" s="6" t="n"/>
      <c r="BZ257" s="22" t="n"/>
      <c r="CA257" s="6" t="n"/>
      <c r="CB257" s="6" t="n"/>
      <c r="CC257" s="6" t="n"/>
      <c r="CD257" s="6" t="n"/>
      <c r="CE257" s="22" t="n"/>
      <c r="CF257" s="6" t="n"/>
      <c r="CG257" s="6" t="n"/>
      <c r="CH257" s="6" t="n"/>
      <c r="CI257" s="6" t="n"/>
      <c r="CJ257" s="22" t="n"/>
      <c r="CK257" s="6" t="n"/>
      <c r="CL257" s="6" t="n"/>
      <c r="CM257" s="6" t="n"/>
      <c r="CN257" s="6" t="n"/>
      <c r="CO257" s="22" t="n"/>
      <c r="CP257" s="6" t="n"/>
      <c r="CQ257" s="6" t="n"/>
      <c r="CR257" s="6" t="n"/>
      <c r="CS257" s="6" t="n"/>
      <c r="CT257" s="22" t="n"/>
      <c r="CU257" s="6" t="n"/>
      <c r="CV257" s="6" t="n"/>
      <c r="CW257" s="6" t="n"/>
      <c r="CX257" s="6" t="n"/>
      <c r="CY257" s="22" t="n"/>
    </row>
    <row r="258" hidden="1" outlineLevel="1" customFormat="1" s="39">
      <c r="A258" s="19" t="n"/>
      <c r="B258" s="19" t="n"/>
      <c r="C258" s="41" t="inlineStr">
        <is>
          <t>Expected average share price</t>
        </is>
      </c>
      <c r="D258" s="22" t="n"/>
      <c r="E258" s="22" t="n"/>
      <c r="F258" s="22" t="n"/>
      <c r="G258" s="22" t="n"/>
      <c r="H258" s="22" t="n"/>
      <c r="I258" s="22" t="n"/>
      <c r="J258" s="22" t="n"/>
      <c r="K258" s="22" t="n"/>
      <c r="L258" s="22" t="n"/>
      <c r="M258" s="22" t="n"/>
      <c r="N258" s="22" t="n"/>
      <c r="O258" s="22" t="n"/>
      <c r="P258" s="22" t="n"/>
      <c r="Q258" s="22" t="n"/>
      <c r="R258" s="22" t="n"/>
      <c r="S258" s="22" t="n"/>
      <c r="T258" s="22" t="n"/>
      <c r="U258" s="22" t="n"/>
      <c r="V258" s="22" t="n"/>
      <c r="W258" s="22" t="n"/>
      <c r="X258" s="22" t="n"/>
      <c r="Y258" s="22" t="n"/>
      <c r="Z258" s="22" t="n"/>
      <c r="AA258" s="22" t="n"/>
      <c r="AB258" s="22" t="n"/>
      <c r="AC258" s="22" t="n"/>
      <c r="AD258" s="22" t="n"/>
      <c r="AE258" s="22" t="n"/>
      <c r="AF258" s="22" t="n"/>
      <c r="AG258" s="251" t="n"/>
      <c r="AH258" s="42">
        <f>AG258*(1+AH259)</f>
        <v>0</v>
      </c>
      <c r="AI258" s="42">
        <f>AH258*(1+AI259)</f>
        <v>0</v>
      </c>
      <c r="AJ258" s="42">
        <f>AI258*(1+AJ259)</f>
        <v>0</v>
      </c>
      <c r="AK258" s="42">
        <f>AJ258*(1+AK259)</f>
        <v>0</v>
      </c>
      <c r="AL258" s="22" t="n"/>
      <c r="AM258" s="42">
        <f>AK258*(1+AM259)</f>
        <v>0</v>
      </c>
      <c r="AN258" s="42">
        <f>AM258*(1+AN259)</f>
        <v>0</v>
      </c>
      <c r="AO258" s="42">
        <f>AN258*(1+AO259)</f>
        <v>0</v>
      </c>
      <c r="AP258" s="42">
        <f>AO258*(1+AP259)</f>
        <v>0</v>
      </c>
      <c r="AQ258" s="22" t="n"/>
      <c r="AR258" s="42">
        <f>AP258*(1+AR259)</f>
        <v>0</v>
      </c>
      <c r="AS258" s="42">
        <f>AR258*(1+AS259)</f>
        <v>0</v>
      </c>
      <c r="AT258" s="42">
        <f>AS258*(1+AT259)</f>
        <v>0</v>
      </c>
      <c r="AU258" s="42">
        <f>AT258*(1+AU259)</f>
        <v>0</v>
      </c>
      <c r="AV258" s="22" t="n"/>
      <c r="AW258" s="42">
        <f>AU258*(1+AW259)</f>
        <v>0</v>
      </c>
      <c r="AX258" s="42">
        <f>AW258*(1+AX259)</f>
        <v>0</v>
      </c>
      <c r="AY258" s="42">
        <f>AX258*(1+AY259)</f>
        <v>0</v>
      </c>
      <c r="AZ258" s="42">
        <f>AY258*(1+AZ259)</f>
        <v>0</v>
      </c>
      <c r="BA258" s="22" t="n"/>
      <c r="BB258" s="42">
        <f>AZ258*(1+BB259)</f>
        <v>0</v>
      </c>
      <c r="BC258" s="42">
        <f>BB258*(1+BC259)</f>
        <v>0</v>
      </c>
      <c r="BD258" s="42">
        <f>BC258*(1+BD259)</f>
        <v>0</v>
      </c>
      <c r="BE258" s="42">
        <f>BD258*(1+BE259)</f>
        <v>0</v>
      </c>
      <c r="BF258" s="22" t="n"/>
      <c r="BG258" s="42">
        <f>BE258*(1+BG259)</f>
        <v>0</v>
      </c>
      <c r="BH258" s="42">
        <f>BG258*(1+BH259)</f>
        <v>0</v>
      </c>
      <c r="BI258" s="42">
        <f>BH258*(1+BI259)</f>
        <v>0</v>
      </c>
      <c r="BJ258" s="42">
        <f>BI258*(1+BJ259)</f>
        <v>0</v>
      </c>
      <c r="BK258" s="22" t="n"/>
      <c r="BL258" s="42">
        <f>BJ258*(1+BL259)</f>
        <v>0</v>
      </c>
      <c r="BM258" s="42">
        <f>BL258*(1+BM259)</f>
        <v>0</v>
      </c>
      <c r="BN258" s="42">
        <f>BM258*(1+BN259)</f>
        <v>0</v>
      </c>
      <c r="BO258" s="42">
        <f>BN258*(1+BO259)</f>
        <v>0</v>
      </c>
      <c r="BP258" s="22" t="n"/>
      <c r="BQ258" s="42">
        <f>BO258*(1+BQ259)</f>
        <v>0</v>
      </c>
      <c r="BR258" s="42">
        <f>BQ258*(1+BR259)</f>
        <v>0</v>
      </c>
      <c r="BS258" s="42">
        <f>BR258*(1+BS259)</f>
        <v>0</v>
      </c>
      <c r="BT258" s="42">
        <f>BS258*(1+BT259)</f>
        <v>0</v>
      </c>
      <c r="BU258" s="22" t="n"/>
      <c r="BV258" s="42">
        <f>BT258*(1+BV259)</f>
        <v>0</v>
      </c>
      <c r="BW258" s="42">
        <f>BV258*(1+BW259)</f>
        <v>0</v>
      </c>
      <c r="BX258" s="42">
        <f>BW258*(1+BX259)</f>
        <v>0</v>
      </c>
      <c r="BY258" s="42">
        <f>BX258*(1+BY259)</f>
        <v>0</v>
      </c>
      <c r="BZ258" s="22" t="n"/>
      <c r="CA258" s="42">
        <f>BY258*(1+CA259)</f>
        <v>0</v>
      </c>
      <c r="CB258" s="42">
        <f>CA258*(1+CB259)</f>
        <v>0</v>
      </c>
      <c r="CC258" s="42">
        <f>CB258*(1+CC259)</f>
        <v>0</v>
      </c>
      <c r="CD258" s="42">
        <f>CC258*(1+CD259)</f>
        <v>0</v>
      </c>
      <c r="CE258" s="22" t="n"/>
      <c r="CF258" s="42">
        <f>CD258*(1+CF259)</f>
        <v>0</v>
      </c>
      <c r="CG258" s="42">
        <f>CF258*(1+CG259)</f>
        <v>0</v>
      </c>
      <c r="CH258" s="42">
        <f>CG258*(1+CH259)</f>
        <v>0</v>
      </c>
      <c r="CI258" s="42">
        <f>CH258*(1+CI259)</f>
        <v>0</v>
      </c>
      <c r="CJ258" s="22" t="n"/>
      <c r="CK258" s="42">
        <f>CI258*(1+CK259)</f>
        <v>0</v>
      </c>
      <c r="CL258" s="42">
        <f>CK258*(1+CL259)</f>
        <v>0</v>
      </c>
      <c r="CM258" s="42">
        <f>CL258*(1+CM259)</f>
        <v>0</v>
      </c>
      <c r="CN258" s="42">
        <f>CM258*(1+CN259)</f>
        <v>0</v>
      </c>
      <c r="CO258" s="22" t="n"/>
      <c r="CP258" s="42">
        <f>CN258*(1+CP259)</f>
        <v>0</v>
      </c>
      <c r="CQ258" s="42">
        <f>CP258*(1+CQ259)</f>
        <v>0</v>
      </c>
      <c r="CR258" s="42">
        <f>CQ258*(1+CR259)</f>
        <v>0</v>
      </c>
      <c r="CS258" s="42">
        <f>CR258*(1+CS259)</f>
        <v>0</v>
      </c>
      <c r="CT258" s="22" t="n"/>
      <c r="CU258" s="42">
        <f>CS258*(1+CU259)</f>
        <v>0</v>
      </c>
      <c r="CV258" s="42">
        <f>CU258*(1+CV259)</f>
        <v>0</v>
      </c>
      <c r="CW258" s="42">
        <f>CV258*(1+CW259)</f>
        <v>0</v>
      </c>
      <c r="CX258" s="42">
        <f>CW258*(1+CX259)</f>
        <v>0</v>
      </c>
      <c r="CY258" s="22" t="n"/>
      <c r="CZ258">
        <f>CX258*(1+CZ259)</f>
        <v>0</v>
      </c>
      <c r="DA258">
        <f>CZ258*(1+DA259)</f>
        <v>0</v>
      </c>
      <c r="DB258">
        <f>DA258*(1+DB259)</f>
        <v>0</v>
      </c>
      <c r="DC258">
        <f>DB258*(1+DC259)</f>
        <v>0</v>
      </c>
    </row>
    <row r="259" hidden="1" outlineLevel="1" customFormat="1" s="39">
      <c r="A259" s="19" t="n"/>
      <c r="B259" s="19" t="n"/>
      <c r="C259" s="41" t="inlineStr">
        <is>
          <t>Consensus EPS growth</t>
        </is>
      </c>
      <c r="D259" s="22" t="n"/>
      <c r="E259" s="22" t="n"/>
      <c r="F259" s="22" t="n"/>
      <c r="G259" s="22" t="n"/>
      <c r="H259" s="22" t="n"/>
      <c r="I259" s="22" t="n"/>
      <c r="J259" s="22" t="n"/>
      <c r="K259" s="22" t="n"/>
      <c r="L259" s="22" t="n"/>
      <c r="M259" s="22" t="n"/>
      <c r="N259" s="22" t="n"/>
      <c r="O259" s="22" t="n"/>
      <c r="P259" s="22" t="n"/>
      <c r="Q259" s="22" t="n"/>
      <c r="R259" s="22" t="n"/>
      <c r="S259" s="22" t="n"/>
      <c r="T259" s="22" t="n"/>
      <c r="U259" s="22" t="n"/>
      <c r="V259" s="22" t="n"/>
      <c r="W259" s="22" t="n"/>
      <c r="X259" s="22" t="n"/>
      <c r="Y259" s="22" t="n"/>
      <c r="Z259" s="22" t="n"/>
      <c r="AA259" s="22" t="n"/>
      <c r="AB259" s="22" t="n"/>
      <c r="AC259" s="22" t="n"/>
      <c r="AD259" s="22" t="n"/>
      <c r="AE259" s="22" t="n"/>
      <c r="AF259" s="22" t="n"/>
      <c r="AG259" s="22" t="n"/>
      <c r="AH259" s="40">
        <f>$AL$264</f>
        <v>0</v>
      </c>
      <c r="AI259" s="40">
        <f>$AL$264</f>
        <v>0</v>
      </c>
      <c r="AJ259" s="40">
        <f>$AL$264</f>
        <v>0</v>
      </c>
      <c r="AK259" s="40">
        <f>$AL$264</f>
        <v>0</v>
      </c>
      <c r="AL259" s="22" t="n"/>
      <c r="AM259" s="40">
        <f>$AL$264</f>
        <v>0</v>
      </c>
      <c r="AN259" s="40">
        <f>$AL$264</f>
        <v>0</v>
      </c>
      <c r="AO259" s="40">
        <f>$AL$264</f>
        <v>0</v>
      </c>
      <c r="AP259" s="40">
        <f>$AL$264</f>
        <v>0</v>
      </c>
      <c r="AQ259" s="22" t="n"/>
      <c r="AR259" s="40">
        <f>$AL$264</f>
        <v>0</v>
      </c>
      <c r="AS259" s="40">
        <f>$AL$264</f>
        <v>0</v>
      </c>
      <c r="AT259" s="40">
        <f>$AL$264</f>
        <v>0</v>
      </c>
      <c r="AU259" s="40">
        <f>$AL$264</f>
        <v>0</v>
      </c>
      <c r="AV259" s="22" t="n"/>
      <c r="AW259" s="40">
        <f>$AL$264</f>
        <v>0</v>
      </c>
      <c r="AX259" s="40">
        <f>$AL$264</f>
        <v>0</v>
      </c>
      <c r="AY259" s="40">
        <f>$AL$264</f>
        <v>0</v>
      </c>
      <c r="AZ259" s="40">
        <f>$AL$264</f>
        <v>0</v>
      </c>
      <c r="BA259" s="22" t="n"/>
      <c r="BB259" s="40">
        <f>$AL$264</f>
        <v>0</v>
      </c>
      <c r="BC259" s="40">
        <f>$AL$264</f>
        <v>0</v>
      </c>
      <c r="BD259" s="40">
        <f>$AL$264</f>
        <v>0</v>
      </c>
      <c r="BE259" s="40">
        <f>$AL$264</f>
        <v>0</v>
      </c>
      <c r="BF259" s="22" t="n"/>
      <c r="BG259" s="40">
        <f>$AL$264</f>
        <v>0</v>
      </c>
      <c r="BH259" s="40">
        <f>$AL$264</f>
        <v>0</v>
      </c>
      <c r="BI259" s="40">
        <f>$AL$264</f>
        <v>0</v>
      </c>
      <c r="BJ259" s="40">
        <f>$AL$264</f>
        <v>0</v>
      </c>
      <c r="BK259" s="22" t="n"/>
      <c r="BL259" s="40">
        <f>$AL$264</f>
        <v>0</v>
      </c>
      <c r="BM259" s="40">
        <f>$AL$264</f>
        <v>0</v>
      </c>
      <c r="BN259" s="40">
        <f>$AL$264</f>
        <v>0</v>
      </c>
      <c r="BO259" s="40">
        <f>$AL$264</f>
        <v>0</v>
      </c>
      <c r="BP259" s="22" t="n"/>
      <c r="BQ259" s="40">
        <f>$AL$264</f>
        <v>0</v>
      </c>
      <c r="BR259" s="40">
        <f>$AL$264</f>
        <v>0</v>
      </c>
      <c r="BS259" s="40">
        <f>$AL$264</f>
        <v>0</v>
      </c>
      <c r="BT259" s="40">
        <f>$AL$264</f>
        <v>0</v>
      </c>
      <c r="BU259" s="22" t="n"/>
      <c r="BV259" s="40">
        <f>$AL$264</f>
        <v>0</v>
      </c>
      <c r="BW259" s="40">
        <f>$AL$264</f>
        <v>0</v>
      </c>
      <c r="BX259" s="40">
        <f>$AL$264</f>
        <v>0</v>
      </c>
      <c r="BY259" s="40">
        <f>$AL$264</f>
        <v>0</v>
      </c>
      <c r="BZ259" s="22" t="n"/>
      <c r="CA259" s="40">
        <f>$AL$264</f>
        <v>0</v>
      </c>
      <c r="CB259" s="40">
        <f>$AL$264</f>
        <v>0</v>
      </c>
      <c r="CC259" s="40">
        <f>$AL$264</f>
        <v>0</v>
      </c>
      <c r="CD259" s="40">
        <f>$AL$264</f>
        <v>0</v>
      </c>
      <c r="CE259" s="22" t="n"/>
      <c r="CF259" s="40">
        <f>$AL$264</f>
        <v>0</v>
      </c>
      <c r="CG259" s="40">
        <f>$AL$264</f>
        <v>0</v>
      </c>
      <c r="CH259" s="40">
        <f>$AL$264</f>
        <v>0</v>
      </c>
      <c r="CI259" s="40">
        <f>$AL$264</f>
        <v>0</v>
      </c>
      <c r="CJ259" s="22" t="n"/>
      <c r="CK259" s="40">
        <f>$AL$264</f>
        <v>0</v>
      </c>
      <c r="CL259" s="40">
        <f>$AL$264</f>
        <v>0</v>
      </c>
      <c r="CM259" s="40">
        <f>$AL$264</f>
        <v>0</v>
      </c>
      <c r="CN259" s="40">
        <f>$AL$264</f>
        <v>0</v>
      </c>
      <c r="CO259" s="22" t="n"/>
      <c r="CP259" s="40">
        <f>$AL$264</f>
        <v>0</v>
      </c>
      <c r="CQ259" s="40">
        <f>$AL$264</f>
        <v>0</v>
      </c>
      <c r="CR259" s="40">
        <f>$AL$264</f>
        <v>0</v>
      </c>
      <c r="CS259" s="40">
        <f>$AL$264</f>
        <v>0</v>
      </c>
      <c r="CT259" s="22" t="n"/>
      <c r="CU259" s="40">
        <f>$AL$264</f>
        <v>0</v>
      </c>
      <c r="CV259" s="40">
        <f>$AL$264</f>
        <v>0</v>
      </c>
      <c r="CW259" s="40">
        <f>$AL$264</f>
        <v>0</v>
      </c>
      <c r="CX259" s="40">
        <f>$AL$264</f>
        <v>0</v>
      </c>
      <c r="CY259" s="22" t="n"/>
    </row>
    <row r="260" hidden="1" outlineLevel="1" customFormat="1" s="39">
      <c r="A260" s="19" t="n"/>
      <c r="B260" s="19" t="n"/>
      <c r="C260" s="41" t="n"/>
      <c r="D260" s="22" t="n"/>
      <c r="E260" s="22" t="n"/>
      <c r="F260" s="22" t="n"/>
      <c r="G260" s="22" t="n"/>
      <c r="H260" s="22" t="n"/>
      <c r="I260" s="22" t="n"/>
      <c r="J260" s="22" t="n"/>
      <c r="K260" s="22" t="n"/>
      <c r="L260" s="22" t="n"/>
      <c r="M260" s="22" t="n"/>
      <c r="N260" s="22" t="n"/>
      <c r="O260" s="22" t="n"/>
      <c r="P260" s="22" t="n"/>
      <c r="Q260" s="22" t="n"/>
      <c r="R260" s="22" t="n"/>
      <c r="S260" s="22" t="n"/>
      <c r="T260" s="22" t="n"/>
      <c r="U260" s="22" t="n"/>
      <c r="V260" s="22" t="n"/>
      <c r="W260" s="22" t="n"/>
      <c r="X260" s="22" t="n"/>
      <c r="Y260" s="22" t="n"/>
      <c r="Z260" s="22" t="n"/>
      <c r="AA260" s="22" t="n"/>
      <c r="AB260" s="22" t="n"/>
      <c r="AC260" s="22" t="n"/>
      <c r="AD260" s="22" t="n"/>
      <c r="AE260" s="22" t="n"/>
      <c r="AF260" s="22" t="n"/>
      <c r="AG260" s="22" t="n"/>
      <c r="AH260" s="3" t="n"/>
      <c r="AI260" s="3" t="n"/>
      <c r="AJ260" s="3" t="n"/>
      <c r="AK260" s="3" t="n"/>
      <c r="AL260" s="22" t="n"/>
      <c r="AM260" s="3" t="n"/>
      <c r="AN260" s="3" t="n"/>
      <c r="AO260" s="3" t="n"/>
      <c r="AP260" s="3" t="n"/>
      <c r="AQ260" s="22" t="n"/>
      <c r="AR260" s="3" t="n"/>
      <c r="AS260" s="3" t="n"/>
      <c r="AT260" s="3" t="n"/>
      <c r="AU260" s="3" t="n"/>
      <c r="AV260" s="22" t="n"/>
      <c r="AW260" s="3" t="n"/>
      <c r="AX260" s="3" t="n"/>
      <c r="AY260" s="3" t="n"/>
      <c r="AZ260" s="3" t="n"/>
      <c r="BA260" s="22" t="n"/>
      <c r="BB260" s="3" t="n"/>
      <c r="BC260" s="3" t="n"/>
      <c r="BD260" s="3" t="n"/>
      <c r="BE260" s="3" t="n"/>
      <c r="BF260" s="22" t="n"/>
      <c r="BG260" s="3" t="n"/>
      <c r="BH260" s="3" t="n"/>
      <c r="BI260" s="3" t="n"/>
      <c r="BJ260" s="3" t="n"/>
      <c r="BK260" s="22" t="n"/>
      <c r="BL260" s="3" t="n"/>
      <c r="BM260" s="3" t="n"/>
      <c r="BN260" s="3" t="n"/>
      <c r="BO260" s="3" t="n"/>
      <c r="BP260" s="22" t="n"/>
      <c r="BQ260" s="3" t="n"/>
      <c r="BR260" s="3" t="n"/>
      <c r="BS260" s="3" t="n"/>
      <c r="BT260" s="3" t="n"/>
      <c r="BU260" s="22" t="n"/>
      <c r="BV260" s="3" t="n"/>
      <c r="BW260" s="3" t="n"/>
      <c r="BX260" s="3" t="n"/>
      <c r="BY260" s="3" t="n"/>
      <c r="BZ260" s="22" t="n"/>
      <c r="CA260" s="3" t="n"/>
      <c r="CB260" s="3" t="n"/>
      <c r="CC260" s="3" t="n"/>
      <c r="CD260" s="3" t="n"/>
      <c r="CE260" s="22" t="n"/>
      <c r="CF260" s="3" t="n"/>
      <c r="CG260" s="3" t="n"/>
      <c r="CH260" s="3" t="n"/>
      <c r="CI260" s="3" t="n"/>
      <c r="CJ260" s="22" t="n"/>
      <c r="CK260" s="3" t="n"/>
      <c r="CL260" s="3" t="n"/>
      <c r="CM260" s="3" t="n"/>
      <c r="CN260" s="3" t="n"/>
      <c r="CO260" s="22" t="n"/>
      <c r="CP260" s="3" t="n"/>
      <c r="CQ260" s="3" t="n"/>
      <c r="CR260" s="3" t="n"/>
      <c r="CS260" s="3" t="n"/>
      <c r="CT260" s="22" t="n"/>
      <c r="CU260" s="3" t="n"/>
      <c r="CV260" s="3" t="n"/>
      <c r="CW260" s="3" t="n"/>
      <c r="CX260" s="3" t="n"/>
      <c r="CY260" s="22" t="n"/>
    </row>
    <row r="261" hidden="1" outlineLevel="1" customFormat="1" s="39">
      <c r="A261" s="19" t="n"/>
      <c r="B261" s="19" t="n"/>
      <c r="C261" s="41" t="inlineStr">
        <is>
          <t>Shares repurchased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  <c r="R261" s="22" t="n"/>
      <c r="S261" s="22" t="n"/>
      <c r="T261" s="22" t="n"/>
      <c r="U261" s="22" t="n"/>
      <c r="V261" s="22" t="n"/>
      <c r="W261" s="22" t="n"/>
      <c r="X261" s="22" t="n"/>
      <c r="Y261" s="22" t="n"/>
      <c r="Z261" s="22" t="n"/>
      <c r="AA261" s="22" t="n"/>
      <c r="AB261" s="22" t="n"/>
      <c r="AC261" s="22" t="n"/>
      <c r="AD261" s="22" t="n"/>
      <c r="AE261" s="22" t="n"/>
      <c r="AF261" s="22" t="n"/>
      <c r="AG261" s="22" t="n"/>
      <c r="AH261" s="43" t="n"/>
      <c r="AI261" s="43" t="n"/>
      <c r="AJ261" s="43" t="e">
        <f>-AJ256/AJ258</f>
        <v>#DIV/0!</v>
      </c>
      <c r="AK261" s="43" t="e">
        <f>-AK256/AK258</f>
        <v>#DIV/0!</v>
      </c>
      <c r="AL261" s="22" t="n"/>
      <c r="AM261" s="43" t="e">
        <f>-AM256/AM258</f>
        <v>#DIV/0!</v>
      </c>
      <c r="AN261" s="43" t="e">
        <f>-AN256/AN258</f>
        <v>#DIV/0!</v>
      </c>
      <c r="AO261" s="43" t="e">
        <f>-AO256/AO258</f>
        <v>#DIV/0!</v>
      </c>
      <c r="AP261" s="43" t="e">
        <f>-AP256/AP258</f>
        <v>#DIV/0!</v>
      </c>
      <c r="AQ261" s="22" t="n"/>
      <c r="AR261" s="43" t="e">
        <f>-AR256/AR258</f>
        <v>#DIV/0!</v>
      </c>
      <c r="AS261" s="43" t="e">
        <f>-AS256/AS258</f>
        <v>#DIV/0!</v>
      </c>
      <c r="AT261" s="43" t="e">
        <f>-AT256/AT258</f>
        <v>#DIV/0!</v>
      </c>
      <c r="AU261" s="43" t="e">
        <f>-AU256/AU258</f>
        <v>#DIV/0!</v>
      </c>
      <c r="AV261" s="22" t="n"/>
      <c r="AW261" s="43" t="e">
        <f>-AW256/AW258</f>
        <v>#DIV/0!</v>
      </c>
      <c r="AX261" s="43" t="e">
        <f>-AX256/AX258</f>
        <v>#DIV/0!</v>
      </c>
      <c r="AY261" s="43" t="e">
        <f>-AY256/AY258</f>
        <v>#DIV/0!</v>
      </c>
      <c r="AZ261" s="43" t="e">
        <f>-AZ256/AZ258</f>
        <v>#DIV/0!</v>
      </c>
      <c r="BA261" s="22" t="n"/>
      <c r="BB261" s="43" t="e">
        <f>-BB256/BB258</f>
        <v>#DIV/0!</v>
      </c>
      <c r="BC261" s="43" t="e">
        <f>-BC256/BC258</f>
        <v>#DIV/0!</v>
      </c>
      <c r="BD261" s="43" t="e">
        <f>-BD256/BD258</f>
        <v>#DIV/0!</v>
      </c>
      <c r="BE261" s="43" t="e">
        <f>-BE256/BE258</f>
        <v>#DIV/0!</v>
      </c>
      <c r="BF261" s="22" t="n"/>
      <c r="BG261" s="43" t="e">
        <f>-BG256/BG258</f>
        <v>#DIV/0!</v>
      </c>
      <c r="BH261" s="43" t="e">
        <f>-BH256/BH258</f>
        <v>#DIV/0!</v>
      </c>
      <c r="BI261" s="43" t="e">
        <f>-BI256/BI258</f>
        <v>#DIV/0!</v>
      </c>
      <c r="BJ261" s="43" t="e">
        <f>-BJ256/BJ258</f>
        <v>#DIV/0!</v>
      </c>
      <c r="BK261" s="22" t="n"/>
      <c r="BL261" s="43" t="e">
        <f>-BL256/BL258</f>
        <v>#DIV/0!</v>
      </c>
      <c r="BM261" s="43" t="e">
        <f>-BM256/BM258</f>
        <v>#DIV/0!</v>
      </c>
      <c r="BN261" s="43" t="e">
        <f>-BN256/BN258</f>
        <v>#DIV/0!</v>
      </c>
      <c r="BO261" s="43" t="e">
        <f>-BO256/BO258</f>
        <v>#DIV/0!</v>
      </c>
      <c r="BP261" s="22" t="n"/>
      <c r="BQ261" s="43" t="e">
        <f>-BQ256/BQ258</f>
        <v>#DIV/0!</v>
      </c>
      <c r="BR261" s="43" t="e">
        <f>-BR256/BR258</f>
        <v>#DIV/0!</v>
      </c>
      <c r="BS261" s="43" t="e">
        <f>-BS256/BS258</f>
        <v>#DIV/0!</v>
      </c>
      <c r="BT261" s="43" t="e">
        <f>-BT256/BT258</f>
        <v>#DIV/0!</v>
      </c>
      <c r="BU261" s="22" t="n"/>
      <c r="BV261" s="43" t="e">
        <f>-BV256/BV258</f>
        <v>#DIV/0!</v>
      </c>
      <c r="BW261" s="43" t="e">
        <f>-BW256/BW258</f>
        <v>#DIV/0!</v>
      </c>
      <c r="BX261" s="43" t="e">
        <f>-BX256/BX258</f>
        <v>#DIV/0!</v>
      </c>
      <c r="BY261" s="43" t="e">
        <f>-BY256/BY258</f>
        <v>#DIV/0!</v>
      </c>
      <c r="BZ261" s="22" t="n"/>
      <c r="CA261" s="43" t="e">
        <f>-CA256/CA258</f>
        <v>#DIV/0!</v>
      </c>
      <c r="CB261" s="43" t="e">
        <f>-CB256/CB258</f>
        <v>#DIV/0!</v>
      </c>
      <c r="CC261" s="43" t="e">
        <f>-CC256/CC258</f>
        <v>#DIV/0!</v>
      </c>
      <c r="CD261" s="43" t="e">
        <f>-CD256/CD258</f>
        <v>#DIV/0!</v>
      </c>
      <c r="CE261" s="22" t="n"/>
      <c r="CF261" s="43" t="e">
        <f>-CF256/CF258</f>
        <v>#DIV/0!</v>
      </c>
      <c r="CG261" s="43" t="e">
        <f>-CG256/CG258</f>
        <v>#DIV/0!</v>
      </c>
      <c r="CH261" s="43" t="e">
        <f>-CH256/CH258</f>
        <v>#DIV/0!</v>
      </c>
      <c r="CI261" s="43" t="e">
        <f>-CI256/CI258</f>
        <v>#DIV/0!</v>
      </c>
      <c r="CJ261" s="22" t="n"/>
      <c r="CK261" s="43" t="e">
        <f>-CK256/CK258</f>
        <v>#DIV/0!</v>
      </c>
      <c r="CL261" s="43" t="e">
        <f>-CL256/CL258</f>
        <v>#DIV/0!</v>
      </c>
      <c r="CM261" s="43" t="e">
        <f>-CM256/CM258</f>
        <v>#DIV/0!</v>
      </c>
      <c r="CN261" s="43" t="e">
        <f>-CN256/CN258</f>
        <v>#DIV/0!</v>
      </c>
      <c r="CO261" s="22" t="n"/>
      <c r="CP261" s="43" t="e">
        <f>-CP256/CP258</f>
        <v>#DIV/0!</v>
      </c>
      <c r="CQ261" s="43" t="e">
        <f>-CQ256/CQ258</f>
        <v>#DIV/0!</v>
      </c>
      <c r="CR261" s="43" t="e">
        <f>-CR256/CR258</f>
        <v>#DIV/0!</v>
      </c>
      <c r="CS261" s="43" t="e">
        <f>-CS256/CS258</f>
        <v>#DIV/0!</v>
      </c>
      <c r="CT261" s="22" t="n"/>
      <c r="CU261" s="43" t="e">
        <f>-CU256/CU258</f>
        <v>#DIV/0!</v>
      </c>
      <c r="CV261" s="43" t="e">
        <f>-CV256/CV258</f>
        <v>#DIV/0!</v>
      </c>
      <c r="CW261" s="43" t="e">
        <f>-CW256/CW258</f>
        <v>#DIV/0!</v>
      </c>
      <c r="CX261" s="43" t="e">
        <f>-CX256/CX258</f>
        <v>#DIV/0!</v>
      </c>
      <c r="CY261" s="22" t="n"/>
    </row>
    <row r="262" hidden="1" outlineLevel="1" customFormat="1" s="39">
      <c r="A262" s="19" t="n"/>
      <c r="B262" s="19" t="n"/>
      <c r="C262" s="41" t="inlineStr">
        <is>
          <t>Shares issued</t>
        </is>
      </c>
      <c r="D262" s="22" t="n"/>
      <c r="E262" s="22" t="n"/>
      <c r="F262" s="22" t="n"/>
      <c r="G262" s="22" t="n"/>
      <c r="H262" s="22" t="n"/>
      <c r="I262" s="22" t="n"/>
      <c r="J262" s="22" t="n"/>
      <c r="K262" s="22" t="n"/>
      <c r="L262" s="22" t="n"/>
      <c r="M262" s="22" t="n"/>
      <c r="N262" s="22" t="n"/>
      <c r="O262" s="22" t="n"/>
      <c r="P262" s="22" t="n"/>
      <c r="Q262" s="22" t="n"/>
      <c r="R262" s="22" t="n"/>
      <c r="S262" s="22" t="n"/>
      <c r="T262" s="22" t="n"/>
      <c r="U262" s="22" t="n"/>
      <c r="V262" s="22" t="n"/>
      <c r="W262" s="22" t="n"/>
      <c r="X262" s="22" t="n"/>
      <c r="Y262" s="22" t="n"/>
      <c r="Z262" s="22" t="n"/>
      <c r="AA262" s="22" t="n"/>
      <c r="AB262" s="22" t="n"/>
      <c r="AC262" s="22" t="n"/>
      <c r="AD262" s="22" t="n"/>
      <c r="AE262" s="22" t="n"/>
      <c r="AF262" s="46" t="n"/>
      <c r="AG262" s="22" t="n"/>
      <c r="AH262" s="43" t="n"/>
      <c r="AI262" s="43" t="n"/>
      <c r="AJ262" s="43" t="e">
        <f>AJ257/AJ258</f>
        <v>#DIV/0!</v>
      </c>
      <c r="AK262" s="43" t="e">
        <f>AK257/AK258</f>
        <v>#DIV/0!</v>
      </c>
      <c r="AL262" s="22" t="n"/>
      <c r="AM262" s="43" t="e">
        <f>AM257/AM258</f>
        <v>#DIV/0!</v>
      </c>
      <c r="AN262" s="43" t="e">
        <f>AN257/AN258</f>
        <v>#DIV/0!</v>
      </c>
      <c r="AO262" s="43" t="e">
        <f>AO257/AO258</f>
        <v>#DIV/0!</v>
      </c>
      <c r="AP262" s="43" t="e">
        <f>AP257/AP258</f>
        <v>#DIV/0!</v>
      </c>
      <c r="AQ262" s="22" t="n"/>
      <c r="AR262" s="43" t="e">
        <f>AR257/AR258</f>
        <v>#DIV/0!</v>
      </c>
      <c r="AS262" s="43" t="e">
        <f>AS257/AS258</f>
        <v>#DIV/0!</v>
      </c>
      <c r="AT262" s="43" t="e">
        <f>AT257/AT258</f>
        <v>#DIV/0!</v>
      </c>
      <c r="AU262" s="43" t="e">
        <f>AU257/AU258</f>
        <v>#DIV/0!</v>
      </c>
      <c r="AV262" s="22" t="n"/>
      <c r="AW262" s="43" t="e">
        <f>AW257/AW258</f>
        <v>#DIV/0!</v>
      </c>
      <c r="AX262" s="43" t="e">
        <f>AX257/AX258</f>
        <v>#DIV/0!</v>
      </c>
      <c r="AY262" s="43" t="e">
        <f>AY257/AY258</f>
        <v>#DIV/0!</v>
      </c>
      <c r="AZ262" s="43" t="e">
        <f>AZ257/AZ258</f>
        <v>#DIV/0!</v>
      </c>
      <c r="BA262" s="22" t="n"/>
      <c r="BB262" s="43" t="e">
        <f>BB257/BB258</f>
        <v>#DIV/0!</v>
      </c>
      <c r="BC262" s="43" t="e">
        <f>BC257/BC258</f>
        <v>#DIV/0!</v>
      </c>
      <c r="BD262" s="43" t="e">
        <f>BD257/BD258</f>
        <v>#DIV/0!</v>
      </c>
      <c r="BE262" s="43" t="e">
        <f>BE257/BE258</f>
        <v>#DIV/0!</v>
      </c>
      <c r="BF262" s="22" t="n"/>
      <c r="BG262" s="43" t="e">
        <f>BG257/BG258</f>
        <v>#DIV/0!</v>
      </c>
      <c r="BH262" s="43" t="e">
        <f>BH257/BH258</f>
        <v>#DIV/0!</v>
      </c>
      <c r="BI262" s="43" t="e">
        <f>BI257/BI258</f>
        <v>#DIV/0!</v>
      </c>
      <c r="BJ262" s="43" t="e">
        <f>BJ257/BJ258</f>
        <v>#DIV/0!</v>
      </c>
      <c r="BK262" s="22" t="n"/>
      <c r="BL262" s="43" t="e">
        <f>BL257/BL258</f>
        <v>#DIV/0!</v>
      </c>
      <c r="BM262" s="43" t="e">
        <f>BM257/BM258</f>
        <v>#DIV/0!</v>
      </c>
      <c r="BN262" s="43" t="e">
        <f>BN257/BN258</f>
        <v>#DIV/0!</v>
      </c>
      <c r="BO262" s="43" t="e">
        <f>BO257/BO258</f>
        <v>#DIV/0!</v>
      </c>
      <c r="BP262" s="22" t="n"/>
      <c r="BQ262" s="43" t="e">
        <f>BQ257/BQ258</f>
        <v>#DIV/0!</v>
      </c>
      <c r="BR262" s="43" t="e">
        <f>BR257/BR258</f>
        <v>#DIV/0!</v>
      </c>
      <c r="BS262" s="43" t="e">
        <f>BS257/BS258</f>
        <v>#DIV/0!</v>
      </c>
      <c r="BT262" s="43" t="e">
        <f>BT257/BT258</f>
        <v>#DIV/0!</v>
      </c>
      <c r="BU262" s="22" t="n"/>
      <c r="BV262" s="43" t="e">
        <f>BV257/BV258</f>
        <v>#DIV/0!</v>
      </c>
      <c r="BW262" s="43" t="e">
        <f>BW257/BW258</f>
        <v>#DIV/0!</v>
      </c>
      <c r="BX262" s="43" t="e">
        <f>BX257/BX258</f>
        <v>#DIV/0!</v>
      </c>
      <c r="BY262" s="43" t="e">
        <f>BY257/BY258</f>
        <v>#DIV/0!</v>
      </c>
      <c r="BZ262" s="22" t="n"/>
      <c r="CA262" s="43" t="e">
        <f>CA257/CA258</f>
        <v>#DIV/0!</v>
      </c>
      <c r="CB262" s="43" t="e">
        <f>CB257/CB258</f>
        <v>#DIV/0!</v>
      </c>
      <c r="CC262" s="43" t="e">
        <f>CC257/CC258</f>
        <v>#DIV/0!</v>
      </c>
      <c r="CD262" s="43" t="e">
        <f>CD257/CD258</f>
        <v>#DIV/0!</v>
      </c>
      <c r="CE262" s="22" t="n"/>
      <c r="CF262" s="43" t="e">
        <f>CF257/CF258</f>
        <v>#DIV/0!</v>
      </c>
      <c r="CG262" s="43" t="e">
        <f>CG257/CG258</f>
        <v>#DIV/0!</v>
      </c>
      <c r="CH262" s="43" t="e">
        <f>CH257/CH258</f>
        <v>#DIV/0!</v>
      </c>
      <c r="CI262" s="43" t="e">
        <f>CI257/CI258</f>
        <v>#DIV/0!</v>
      </c>
      <c r="CJ262" s="22" t="n"/>
      <c r="CK262" s="43" t="e">
        <f>CK257/CK258</f>
        <v>#DIV/0!</v>
      </c>
      <c r="CL262" s="43" t="e">
        <f>CL257/CL258</f>
        <v>#DIV/0!</v>
      </c>
      <c r="CM262" s="43" t="e">
        <f>CM257/CM258</f>
        <v>#DIV/0!</v>
      </c>
      <c r="CN262" s="43" t="e">
        <f>CN257/CN258</f>
        <v>#DIV/0!</v>
      </c>
      <c r="CO262" s="22" t="n"/>
      <c r="CP262" s="43" t="e">
        <f>CP257/CP258</f>
        <v>#DIV/0!</v>
      </c>
      <c r="CQ262" s="43" t="e">
        <f>CQ257/CQ258</f>
        <v>#DIV/0!</v>
      </c>
      <c r="CR262" s="43" t="e">
        <f>CR257/CR258</f>
        <v>#DIV/0!</v>
      </c>
      <c r="CS262" s="43" t="e">
        <f>CS257/CS258</f>
        <v>#DIV/0!</v>
      </c>
      <c r="CT262" s="22" t="n"/>
      <c r="CU262" s="43" t="e">
        <f>CU257/CU258</f>
        <v>#DIV/0!</v>
      </c>
      <c r="CV262" s="43" t="e">
        <f>CV257/CV258</f>
        <v>#DIV/0!</v>
      </c>
      <c r="CW262" s="43" t="e">
        <f>CW257/CW258</f>
        <v>#DIV/0!</v>
      </c>
      <c r="CX262" s="43" t="e">
        <f>CX257/CX258</f>
        <v>#DIV/0!</v>
      </c>
      <c r="CY262" s="22" t="n"/>
    </row>
    <row r="263" hidden="1" outlineLevel="1" customFormat="1" s="39">
      <c r="A263" s="19" t="n"/>
      <c r="B263" s="19" t="n"/>
      <c r="C263" s="41" t="inlineStr">
        <is>
          <t>End of period basic shares outstanding</t>
        </is>
      </c>
      <c r="D263" s="22" t="n"/>
      <c r="E263" s="22" t="n"/>
      <c r="F263" s="22" t="n"/>
      <c r="G263" s="22" t="n"/>
      <c r="H263" s="22" t="n"/>
      <c r="I263" s="22" t="n"/>
      <c r="J263" s="22" t="n"/>
      <c r="K263" s="22" t="n"/>
      <c r="L263" s="22" t="n"/>
      <c r="M263" s="22" t="n"/>
      <c r="N263" s="22" t="n"/>
      <c r="O263" s="22" t="n"/>
      <c r="P263" s="22" t="n"/>
      <c r="Q263" s="22" t="n"/>
      <c r="R263" s="22" t="n"/>
      <c r="S263" s="22" t="n"/>
      <c r="T263" s="22" t="n"/>
      <c r="U263" s="22" t="n"/>
      <c r="V263" s="22" t="n"/>
      <c r="W263" s="22" t="n"/>
      <c r="X263" s="22" t="n"/>
      <c r="Y263" s="22" t="n"/>
      <c r="Z263" s="22" t="n"/>
      <c r="AA263" s="22" t="n"/>
      <c r="AB263" s="22" t="n"/>
      <c r="AC263" s="22" t="n"/>
      <c r="AD263" s="22" t="n"/>
      <c r="AE263" s="22" t="n"/>
      <c r="AF263" s="22" t="n"/>
      <c r="AG263" s="251" t="n"/>
      <c r="AH263" s="1">
        <f>AG263+AH262-AH261</f>
        <v>0</v>
      </c>
      <c r="AI263" s="1">
        <f>AH263+AI262-AI261</f>
        <v>0</v>
      </c>
      <c r="AJ263" s="43" t="e">
        <f>AI263+AJ262-AJ261</f>
        <v>#DIV/0!</v>
      </c>
      <c r="AK263" s="43" t="e">
        <f>AJ263+AK262-AK261</f>
        <v>#DIV/0!</v>
      </c>
      <c r="AL263" s="22" t="n"/>
      <c r="AM263" s="1" t="e">
        <f>AK263+AM262-AM261</f>
        <v>#DIV/0!</v>
      </c>
      <c r="AN263" s="1" t="e">
        <f>AM263+AN262-AN261</f>
        <v>#DIV/0!</v>
      </c>
      <c r="AO263" s="43" t="e">
        <f>AN263+AO262-AO261</f>
        <v>#DIV/0!</v>
      </c>
      <c r="AP263" s="43" t="e">
        <f>AO263+AP262-AP261</f>
        <v>#DIV/0!</v>
      </c>
      <c r="AQ263" s="22" t="n"/>
      <c r="AR263" s="1" t="e">
        <f>AP263+AR262-AR261</f>
        <v>#DIV/0!</v>
      </c>
      <c r="AS263" s="1" t="e">
        <f>AR263+AS262-AS261</f>
        <v>#DIV/0!</v>
      </c>
      <c r="AT263" s="43" t="e">
        <f>AS263+AT262-AT261</f>
        <v>#DIV/0!</v>
      </c>
      <c r="AU263" s="43" t="e">
        <f>AT263+AU262-AU261</f>
        <v>#DIV/0!</v>
      </c>
      <c r="AV263" s="22" t="n"/>
      <c r="AW263" s="1" t="e">
        <f>AU263+AW262-AW261</f>
        <v>#DIV/0!</v>
      </c>
      <c r="AX263" s="1" t="e">
        <f>AW263+AX262-AX261</f>
        <v>#DIV/0!</v>
      </c>
      <c r="AY263" s="43" t="e">
        <f>AX263+AY262-AY261</f>
        <v>#DIV/0!</v>
      </c>
      <c r="AZ263" s="43" t="e">
        <f>AY263+AZ262-AZ261</f>
        <v>#DIV/0!</v>
      </c>
      <c r="BA263" s="22" t="n"/>
      <c r="BB263" s="1" t="e">
        <f>AZ263+BB262-BB261</f>
        <v>#DIV/0!</v>
      </c>
      <c r="BC263" s="1" t="e">
        <f>BB263+BC262-BC261</f>
        <v>#DIV/0!</v>
      </c>
      <c r="BD263" s="43" t="e">
        <f>BC263+BD262-BD261</f>
        <v>#DIV/0!</v>
      </c>
      <c r="BE263" s="43" t="e">
        <f>BD263+BE262-BE261</f>
        <v>#DIV/0!</v>
      </c>
      <c r="BF263" s="22" t="n"/>
      <c r="BG263" s="1" t="e">
        <f>BE263+BG262-BG261</f>
        <v>#DIV/0!</v>
      </c>
      <c r="BH263" s="1" t="e">
        <f>BG263+BH262-BH261</f>
        <v>#DIV/0!</v>
      </c>
      <c r="BI263" s="43" t="e">
        <f>BH263+BI262-BI261</f>
        <v>#DIV/0!</v>
      </c>
      <c r="BJ263" s="43" t="e">
        <f>BI263+BJ262-BJ261</f>
        <v>#DIV/0!</v>
      </c>
      <c r="BK263" s="22" t="n"/>
      <c r="BL263" s="1" t="e">
        <f>BJ263+BL262-BL261</f>
        <v>#DIV/0!</v>
      </c>
      <c r="BM263" s="1" t="e">
        <f>BL263+BM262-BM261</f>
        <v>#DIV/0!</v>
      </c>
      <c r="BN263" s="43" t="e">
        <f>BM263+BN262-BN261</f>
        <v>#DIV/0!</v>
      </c>
      <c r="BO263" s="43" t="e">
        <f>BN263+BO262-BO261</f>
        <v>#DIV/0!</v>
      </c>
      <c r="BP263" s="22" t="n"/>
      <c r="BQ263" s="1" t="e">
        <f>BO263+BQ262-BQ261</f>
        <v>#DIV/0!</v>
      </c>
      <c r="BR263" s="1" t="e">
        <f>BQ263+BR262-BR261</f>
        <v>#DIV/0!</v>
      </c>
      <c r="BS263" s="43" t="e">
        <f>BR263+BS262-BS261</f>
        <v>#DIV/0!</v>
      </c>
      <c r="BT263" s="43" t="e">
        <f>BS263+BT262-BT261</f>
        <v>#DIV/0!</v>
      </c>
      <c r="BU263" s="22" t="n"/>
      <c r="BV263" s="1" t="e">
        <f>BT263+BV262-BV261</f>
        <v>#DIV/0!</v>
      </c>
      <c r="BW263" s="1" t="e">
        <f>BV263+BW262-BW261</f>
        <v>#DIV/0!</v>
      </c>
      <c r="BX263" s="43" t="e">
        <f>BW263+BX262-BX261</f>
        <v>#DIV/0!</v>
      </c>
      <c r="BY263" s="43" t="e">
        <f>BX263+BY262-BY261</f>
        <v>#DIV/0!</v>
      </c>
      <c r="BZ263" s="22" t="n"/>
      <c r="CA263" s="1" t="e">
        <f>BY263+CA262-CA261</f>
        <v>#DIV/0!</v>
      </c>
      <c r="CB263" s="1" t="e">
        <f>CA263+CB262-CB261</f>
        <v>#DIV/0!</v>
      </c>
      <c r="CC263" s="43" t="e">
        <f>CB263+CC262-CC261</f>
        <v>#DIV/0!</v>
      </c>
      <c r="CD263" s="43" t="e">
        <f>CC263+CD262-CD261</f>
        <v>#DIV/0!</v>
      </c>
      <c r="CE263" s="22" t="n"/>
      <c r="CF263" s="1" t="e">
        <f>CD263+CF262-CF261</f>
        <v>#DIV/0!</v>
      </c>
      <c r="CG263" s="1" t="e">
        <f>CF263+CG262-CG261</f>
        <v>#DIV/0!</v>
      </c>
      <c r="CH263" s="43" t="e">
        <f>CG263+CH262-CH261</f>
        <v>#DIV/0!</v>
      </c>
      <c r="CI263" s="43" t="e">
        <f>CH263+CI262-CI261</f>
        <v>#DIV/0!</v>
      </c>
      <c r="CJ263" s="22" t="n"/>
      <c r="CK263" s="1" t="e">
        <f>CI263+CK262-CK261</f>
        <v>#DIV/0!</v>
      </c>
      <c r="CL263" s="1" t="e">
        <f>CK263+CL262-CL261</f>
        <v>#DIV/0!</v>
      </c>
      <c r="CM263" s="43" t="e">
        <f>CL263+CM262-CM261</f>
        <v>#DIV/0!</v>
      </c>
      <c r="CN263" s="43" t="e">
        <f>CM263+CN262-CN261</f>
        <v>#DIV/0!</v>
      </c>
      <c r="CO263" s="22" t="n"/>
      <c r="CP263" s="1" t="e">
        <f>CN263+CP262-CP261</f>
        <v>#DIV/0!</v>
      </c>
      <c r="CQ263" s="1" t="e">
        <f>CP263+CQ262-CQ261</f>
        <v>#DIV/0!</v>
      </c>
      <c r="CR263" s="43" t="e">
        <f>CQ263+CR262-CR261</f>
        <v>#DIV/0!</v>
      </c>
      <c r="CS263" s="43" t="e">
        <f>CR263+CS262-CS261</f>
        <v>#DIV/0!</v>
      </c>
      <c r="CT263" s="22" t="n"/>
      <c r="CU263" s="1" t="e">
        <f>CS263+CU262-CU261</f>
        <v>#DIV/0!</v>
      </c>
      <c r="CV263" s="1" t="e">
        <f>CU263+CV262-CV261</f>
        <v>#DIV/0!</v>
      </c>
      <c r="CW263" s="43" t="e">
        <f>CV263+CW262-CW261</f>
        <v>#DIV/0!</v>
      </c>
      <c r="CX263" s="43" t="e">
        <f>CW263+CX262-CX261</f>
        <v>#DIV/0!</v>
      </c>
      <c r="CY263" s="22" t="n"/>
      <c r="CZ263" t="e">
        <f>CX263+CZ262-CZ261</f>
        <v>#DIV/0!</v>
      </c>
      <c r="DA263" t="e">
        <f>CZ263+DA262-DA261</f>
        <v>#DIV/0!</v>
      </c>
      <c r="DB263" t="e">
        <f>DA263+DB262-DB261</f>
        <v>#DIV/0!</v>
      </c>
      <c r="DC263" t="e">
        <f>DB263+DC262-DC261</f>
        <v>#DIV/0!</v>
      </c>
    </row>
    <row r="264" hidden="1" outlineLevel="1" customFormat="1" s="39">
      <c r="A264" s="19" t="n"/>
      <c r="B264" s="19" t="n"/>
      <c r="C264" s="41" t="inlineStr">
        <is>
          <t>Weighted average basic shares outstanding</t>
        </is>
      </c>
      <c r="D264" s="22" t="n"/>
      <c r="E264" s="22" t="n"/>
      <c r="F264" s="22" t="n"/>
      <c r="G264" s="22" t="n"/>
      <c r="H264" s="22" t="n"/>
      <c r="I264" s="22" t="n"/>
      <c r="J264" s="22" t="n"/>
      <c r="K264" s="22" t="n"/>
      <c r="L264" s="22" t="n"/>
      <c r="M264" s="22" t="n"/>
      <c r="N264" s="22" t="n"/>
      <c r="O264" s="22" t="n"/>
      <c r="P264" s="22" t="n"/>
      <c r="Q264" s="22" t="n"/>
      <c r="R264" s="22" t="n"/>
      <c r="S264" s="22" t="n"/>
      <c r="T264" s="22" t="n"/>
      <c r="U264" s="22" t="n"/>
      <c r="V264" s="22" t="n"/>
      <c r="W264" s="22" t="n"/>
      <c r="X264" s="22" t="n"/>
      <c r="Y264" s="22" t="n"/>
      <c r="Z264" s="22" t="n"/>
      <c r="AA264" s="22" t="n"/>
      <c r="AB264" s="22" t="n"/>
      <c r="AC264" s="22" t="n"/>
      <c r="AD264" s="22" t="n"/>
      <c r="AE264" s="22" t="n"/>
      <c r="AF264" s="22" t="n"/>
      <c r="AG264" s="22" t="n"/>
      <c r="AH264" s="43">
        <f>AVERAGE(AG263,AH263)</f>
        <v>0</v>
      </c>
      <c r="AI264" s="43">
        <f>AVERAGE(AH263,AI263)</f>
        <v>0</v>
      </c>
      <c r="AJ264" s="43" t="e">
        <f>AVERAGE(AI263,AJ263)</f>
        <v>#DIV/0!</v>
      </c>
      <c r="AK264" s="43" t="e">
        <f>AVERAGE(AJ263,AK263)</f>
        <v>#DIV/0!</v>
      </c>
      <c r="AL264" s="22" t="n"/>
      <c r="AM264" s="43" t="e">
        <f>AVERAGE(AK263,AM263)</f>
        <v>#DIV/0!</v>
      </c>
      <c r="AN264" s="43" t="e">
        <f>AVERAGE(AM263,AN263)</f>
        <v>#DIV/0!</v>
      </c>
      <c r="AO264" s="43" t="e">
        <f>AVERAGE(AN263,AO263)</f>
        <v>#DIV/0!</v>
      </c>
      <c r="AP264" s="43" t="e">
        <f>AVERAGE(AO263,AP263)</f>
        <v>#DIV/0!</v>
      </c>
      <c r="AQ264" s="22" t="n"/>
      <c r="AR264" s="43" t="e">
        <f>AVERAGE(AP263,AR263)</f>
        <v>#DIV/0!</v>
      </c>
      <c r="AS264" s="43" t="e">
        <f>AVERAGE(AR263,AS263)</f>
        <v>#DIV/0!</v>
      </c>
      <c r="AT264" s="43" t="e">
        <f>AVERAGE(AS263,AT263)</f>
        <v>#DIV/0!</v>
      </c>
      <c r="AU264" s="43" t="e">
        <f>AVERAGE(AT263,AU263)</f>
        <v>#DIV/0!</v>
      </c>
      <c r="AV264" s="22" t="n"/>
      <c r="AW264" s="43" t="e">
        <f>AVERAGE(AU263,AW263)</f>
        <v>#DIV/0!</v>
      </c>
      <c r="AX264" s="43" t="e">
        <f>AVERAGE(AW263,AX263)</f>
        <v>#DIV/0!</v>
      </c>
      <c r="AY264" s="43" t="e">
        <f>AVERAGE(AX263,AY263)</f>
        <v>#DIV/0!</v>
      </c>
      <c r="AZ264" s="43" t="e">
        <f>AVERAGE(AY263,AZ263)</f>
        <v>#DIV/0!</v>
      </c>
      <c r="BA264" s="22" t="n"/>
      <c r="BB264" s="43" t="e">
        <f>AVERAGE(AZ263,BB263)</f>
        <v>#DIV/0!</v>
      </c>
      <c r="BC264" s="43" t="e">
        <f>AVERAGE(BB263,BC263)</f>
        <v>#DIV/0!</v>
      </c>
      <c r="BD264" s="43" t="e">
        <f>AVERAGE(BC263,BD263)</f>
        <v>#DIV/0!</v>
      </c>
      <c r="BE264" s="43" t="e">
        <f>AVERAGE(BD263,BE263)</f>
        <v>#DIV/0!</v>
      </c>
      <c r="BF264" s="22" t="n"/>
      <c r="BG264" s="43" t="e">
        <f>AVERAGE(BE263,BG263)</f>
        <v>#DIV/0!</v>
      </c>
      <c r="BH264" s="43" t="e">
        <f>AVERAGE(BG263,BH263)</f>
        <v>#DIV/0!</v>
      </c>
      <c r="BI264" s="43" t="e">
        <f>AVERAGE(BH263,BI263)</f>
        <v>#DIV/0!</v>
      </c>
      <c r="BJ264" s="43" t="e">
        <f>AVERAGE(BI263,BJ263)</f>
        <v>#DIV/0!</v>
      </c>
      <c r="BK264" s="22" t="n"/>
      <c r="BL264" s="43" t="e">
        <f>AVERAGE(BJ263,BL263)</f>
        <v>#DIV/0!</v>
      </c>
      <c r="BM264" s="43" t="e">
        <f>AVERAGE(BL263,BM263)</f>
        <v>#DIV/0!</v>
      </c>
      <c r="BN264" s="43" t="e">
        <f>AVERAGE(BM263,BN263)</f>
        <v>#DIV/0!</v>
      </c>
      <c r="BO264" s="43" t="e">
        <f>AVERAGE(BN263,BO263)</f>
        <v>#DIV/0!</v>
      </c>
      <c r="BP264" s="22" t="n"/>
      <c r="BQ264" s="43" t="e">
        <f>AVERAGE(BO263,BQ263)</f>
        <v>#DIV/0!</v>
      </c>
      <c r="BR264" s="43" t="e">
        <f>AVERAGE(BQ263,BR263)</f>
        <v>#DIV/0!</v>
      </c>
      <c r="BS264" s="43" t="e">
        <f>AVERAGE(BR263,BS263)</f>
        <v>#DIV/0!</v>
      </c>
      <c r="BT264" s="43" t="e">
        <f>AVERAGE(BS263,BT263)</f>
        <v>#DIV/0!</v>
      </c>
      <c r="BU264" s="22" t="n"/>
      <c r="BV264" s="43" t="e">
        <f>AVERAGE(BT263,BV263)</f>
        <v>#DIV/0!</v>
      </c>
      <c r="BW264" s="43" t="e">
        <f>AVERAGE(BV263,BW263)</f>
        <v>#DIV/0!</v>
      </c>
      <c r="BX264" s="43" t="e">
        <f>AVERAGE(BW263,BX263)</f>
        <v>#DIV/0!</v>
      </c>
      <c r="BY264" s="43" t="e">
        <f>AVERAGE(BX263,BY263)</f>
        <v>#DIV/0!</v>
      </c>
      <c r="BZ264" s="22" t="n"/>
      <c r="CA264" s="43" t="e">
        <f>AVERAGE(BY263,CA263)</f>
        <v>#DIV/0!</v>
      </c>
      <c r="CB264" s="43" t="e">
        <f>AVERAGE(CA263,CB263)</f>
        <v>#DIV/0!</v>
      </c>
      <c r="CC264" s="43" t="e">
        <f>AVERAGE(CB263,CC263)</f>
        <v>#DIV/0!</v>
      </c>
      <c r="CD264" s="43" t="e">
        <f>AVERAGE(CC263,CD263)</f>
        <v>#DIV/0!</v>
      </c>
      <c r="CE264" s="22" t="n"/>
      <c r="CF264" s="43" t="e">
        <f>AVERAGE(CD263,CF263)</f>
        <v>#DIV/0!</v>
      </c>
      <c r="CG264" s="43" t="e">
        <f>AVERAGE(CF263,CG263)</f>
        <v>#DIV/0!</v>
      </c>
      <c r="CH264" s="43" t="e">
        <f>AVERAGE(CG263,CH263)</f>
        <v>#DIV/0!</v>
      </c>
      <c r="CI264" s="43" t="e">
        <f>AVERAGE(CH263,CI263)</f>
        <v>#DIV/0!</v>
      </c>
      <c r="CJ264" s="22" t="n"/>
      <c r="CK264" s="43" t="e">
        <f>AVERAGE(CI263,CK263)</f>
        <v>#DIV/0!</v>
      </c>
      <c r="CL264" s="43" t="e">
        <f>AVERAGE(CK263,CL263)</f>
        <v>#DIV/0!</v>
      </c>
      <c r="CM264" s="43" t="e">
        <f>AVERAGE(CL263,CM263)</f>
        <v>#DIV/0!</v>
      </c>
      <c r="CN264" s="43" t="e">
        <f>AVERAGE(CM263,CN263)</f>
        <v>#DIV/0!</v>
      </c>
      <c r="CO264" s="22" t="n"/>
      <c r="CP264" s="43" t="e">
        <f>AVERAGE(CN263,CP263)</f>
        <v>#DIV/0!</v>
      </c>
      <c r="CQ264" s="43" t="e">
        <f>AVERAGE(CP263,CQ263)</f>
        <v>#DIV/0!</v>
      </c>
      <c r="CR264" s="43" t="e">
        <f>AVERAGE(CQ263,CR263)</f>
        <v>#DIV/0!</v>
      </c>
      <c r="CS264" s="43" t="e">
        <f>AVERAGE(CR263,CS263)</f>
        <v>#DIV/0!</v>
      </c>
      <c r="CT264" s="22" t="n"/>
      <c r="CU264" s="43" t="e">
        <f>AVERAGE(CS263,CU263)</f>
        <v>#DIV/0!</v>
      </c>
      <c r="CV264" s="43" t="e">
        <f>AVERAGE(CU263,CV263)</f>
        <v>#DIV/0!</v>
      </c>
      <c r="CW264" s="43" t="e">
        <f>AVERAGE(CV263,CW263)</f>
        <v>#DIV/0!</v>
      </c>
      <c r="CX264" s="43" t="e">
        <f>AVERAGE(CW263,CX263)</f>
        <v>#DIV/0!</v>
      </c>
      <c r="CY264" s="22" t="n"/>
      <c r="CZ264" t="e">
        <f>AVERAGE(CX263,CZ263)</f>
        <v>#DIV/0!</v>
      </c>
      <c r="DA264" t="e">
        <f>AVERAGE(CZ263,DA263)</f>
        <v>#DIV/0!</v>
      </c>
      <c r="DB264" t="e">
        <f>AVERAGE(DA263,DB263)</f>
        <v>#DIV/0!</v>
      </c>
      <c r="DC264" t="e">
        <f>AVERAGE(DB263,DC263)</f>
        <v>#DIV/0!</v>
      </c>
    </row>
    <row r="265" hidden="1" outlineLevel="1" customFormat="1" s="39">
      <c r="A265" s="19" t="n"/>
      <c r="B265" s="19" t="n"/>
      <c r="C265" s="41" t="n"/>
      <c r="D265" s="22" t="n"/>
      <c r="E265" s="22" t="n"/>
      <c r="F265" s="22" t="n"/>
      <c r="G265" s="22" t="n"/>
      <c r="H265" s="3" t="n"/>
      <c r="I265" s="22" t="n"/>
      <c r="J265" s="22" t="n"/>
      <c r="K265" s="22" t="n"/>
      <c r="L265" s="22" t="n"/>
      <c r="M265" s="3" t="n"/>
      <c r="N265" s="22" t="n"/>
      <c r="O265" s="22" t="n"/>
      <c r="P265" s="22" t="n"/>
      <c r="Q265" s="22" t="n"/>
      <c r="R265" s="3" t="n"/>
      <c r="S265" s="22" t="n"/>
      <c r="T265" s="22" t="n"/>
      <c r="U265" s="22" t="n"/>
      <c r="V265" s="22" t="n"/>
      <c r="W265" s="3" t="n"/>
      <c r="X265" s="22" t="n"/>
      <c r="Y265" s="22" t="n"/>
      <c r="Z265" s="22" t="n"/>
      <c r="AA265" s="22" t="n"/>
      <c r="AB265" s="3" t="n"/>
      <c r="AC265" s="22" t="n"/>
      <c r="AD265" s="22" t="n"/>
      <c r="AE265" s="22" t="n"/>
      <c r="AF265" s="22" t="n"/>
      <c r="AG265" s="3" t="n"/>
      <c r="AH265" s="22" t="n"/>
      <c r="AI265" s="22" t="n"/>
      <c r="AJ265" s="22" t="n"/>
      <c r="AK265" s="22" t="n"/>
      <c r="AL265" s="3" t="n"/>
      <c r="AM265" s="22" t="n"/>
      <c r="AN265" s="22" t="n"/>
      <c r="AO265" s="22" t="n"/>
      <c r="AP265" s="22" t="n"/>
      <c r="AQ265" s="3" t="n"/>
      <c r="AR265" s="22" t="n"/>
      <c r="AS265" s="22" t="n"/>
      <c r="AT265" s="22" t="n"/>
      <c r="AU265" s="22" t="n"/>
      <c r="AV265" s="3" t="n"/>
      <c r="AW265" s="22" t="n"/>
      <c r="AX265" s="22" t="n"/>
      <c r="AY265" s="22" t="n"/>
      <c r="AZ265" s="22" t="n"/>
      <c r="BA265" s="3" t="n"/>
      <c r="BB265" s="22" t="n"/>
      <c r="BC265" s="22" t="n"/>
      <c r="BD265" s="22" t="n"/>
      <c r="BE265" s="22" t="n"/>
      <c r="BF265" s="3" t="n"/>
      <c r="BG265" s="22" t="n"/>
      <c r="BH265" s="22" t="n"/>
      <c r="BI265" s="22" t="n"/>
      <c r="BJ265" s="22" t="n"/>
      <c r="BK265" s="3" t="n"/>
      <c r="BL265" s="22" t="n"/>
      <c r="BM265" s="22" t="n"/>
      <c r="BN265" s="22" t="n"/>
      <c r="BO265" s="22" t="n"/>
      <c r="BP265" s="3" t="n"/>
      <c r="BQ265" s="22" t="n"/>
      <c r="BR265" s="22" t="n"/>
      <c r="BS265" s="22" t="n"/>
      <c r="BT265" s="22" t="n"/>
      <c r="BU265" s="3" t="n"/>
      <c r="BV265" s="22" t="n"/>
      <c r="BW265" s="22" t="n"/>
      <c r="BX265" s="22" t="n"/>
      <c r="BY265" s="22" t="n"/>
      <c r="BZ265" s="3" t="n"/>
      <c r="CA265" s="22" t="n"/>
      <c r="CB265" s="22" t="n"/>
      <c r="CC265" s="22" t="n"/>
      <c r="CD265" s="22" t="n"/>
      <c r="CE265" s="3" t="n"/>
      <c r="CF265" s="22" t="n"/>
      <c r="CG265" s="22" t="n"/>
      <c r="CH265" s="22" t="n"/>
      <c r="CI265" s="22" t="n"/>
      <c r="CJ265" s="3" t="n"/>
      <c r="CK265" s="22" t="n"/>
      <c r="CL265" s="22" t="n"/>
      <c r="CM265" s="22" t="n"/>
      <c r="CN265" s="22" t="n"/>
      <c r="CO265" s="3" t="n"/>
      <c r="CP265" s="22" t="n"/>
      <c r="CQ265" s="22" t="n"/>
      <c r="CR265" s="22" t="n"/>
      <c r="CS265" s="22" t="n"/>
      <c r="CT265" s="3" t="n"/>
      <c r="CU265" s="22" t="n"/>
      <c r="CV265" s="22" t="n"/>
      <c r="CW265" s="22" t="n"/>
      <c r="CX265" s="22" t="n"/>
      <c r="CY265" s="3" t="n"/>
    </row>
    <row r="266" collapsed="1">
      <c r="C266" s="26" t="inlineStr">
        <is>
          <t>Treasury stock (contra account)</t>
        </is>
      </c>
      <c r="D266" s="25">
        <f>INDEX('Inputs (2)'!$D$44:$AL$44,MATCH(D$7,'Inputs (2)'!$D$2:$AL$2,0))</f>
        <v>-10036</v>
      </c>
      <c r="E266" s="25">
        <f>INDEX('Inputs (2)'!$D$44:$AL$44,MATCH(E$7,'Inputs (2)'!$D$2:$AL$2,0))</f>
        <v>-10232</v>
      </c>
      <c r="F266" s="25">
        <f>INDEX('Inputs (2)'!$D$44:$AL$44,MATCH(F$7,'Inputs (2)'!$D$2:$AL$2,0))</f>
        <v>-10530</v>
      </c>
      <c r="G266" s="25">
        <f>INDEX('Inputs (2)'!$D$44:$AL$44,MATCH(G$7,'Inputs (2)'!$D$2:$AL$2,0))</f>
        <v>-10756</v>
      </c>
      <c r="H266" s="3">
        <f>G266</f>
        <v>-10756</v>
      </c>
      <c r="I266" s="25">
        <f>INDEX('Inputs (2)'!$D$44:$AL$44,MATCH(I$7,'Inputs (2)'!$D$2:$AL$2,0))</f>
        <v>-11242</v>
      </c>
      <c r="J266" s="25">
        <f>INDEX('Inputs (2)'!$D$44:$AL$44,MATCH(J$7,'Inputs (2)'!$D$2:$AL$2,0))</f>
        <v>-11604</v>
      </c>
      <c r="K266" s="25">
        <f>INDEX('Inputs (2)'!$D$44:$AL$44,MATCH(K$7,'Inputs (2)'!$D$2:$AL$2,0))</f>
        <v>-12038</v>
      </c>
      <c r="L266" s="25">
        <f>INDEX('Inputs (2)'!$D$44:$AL$44,MATCH(L$7,'Inputs (2)'!$D$2:$AL$2,0))</f>
        <v>0</v>
      </c>
      <c r="M266" s="3">
        <f>L266</f>
        <v>0</v>
      </c>
      <c r="N266" s="25">
        <f>INDEX('Inputs (2)'!$D$44:$AL$44,MATCH(N$7,'Inputs (2)'!$D$2:$AL$2,0))</f>
        <v>0</v>
      </c>
      <c r="O266" s="25">
        <f>INDEX('Inputs (2)'!$D$44:$AL$44,MATCH(O$7,'Inputs (2)'!$D$2:$AL$2,0))</f>
        <v>0</v>
      </c>
      <c r="P266" s="25">
        <f>INDEX('Inputs (2)'!$D$44:$AL$44,MATCH(P$7,'Inputs (2)'!$D$2:$AL$2,0))</f>
        <v>0</v>
      </c>
      <c r="Q266" s="25">
        <f>INDEX('Inputs (2)'!$D$44:$AL$44,MATCH(Q$7,'Inputs (2)'!$D$2:$AL$2,0))</f>
        <v>0</v>
      </c>
      <c r="R266" s="3">
        <f>Q266</f>
        <v>0</v>
      </c>
      <c r="S266" s="25">
        <f>INDEX('Inputs (2)'!$D$44:$AL$44,MATCH(S$7,'Inputs (2)'!$D$2:$AL$2,0))</f>
        <v>0</v>
      </c>
      <c r="T266" s="25">
        <f>INDEX('Inputs (2)'!$D$44:$AL$44,MATCH(T$7,'Inputs (2)'!$D$2:$AL$2,0))</f>
        <v>0</v>
      </c>
      <c r="U266" s="25">
        <f>INDEX('Inputs (2)'!$D$44:$AL$44,MATCH(U$7,'Inputs (2)'!$D$2:$AL$2,0))</f>
        <v>0</v>
      </c>
      <c r="V266" s="25">
        <f>INDEX('Inputs (2)'!$D$44:$AL$44,MATCH(V$7,'Inputs (2)'!$D$2:$AL$2,0))</f>
        <v>0</v>
      </c>
      <c r="W266" s="3">
        <f>V266</f>
        <v>0</v>
      </c>
      <c r="X266" s="25">
        <f>INDEX('Inputs (2)'!$D$44:$AL$44,MATCH(X$7,'Inputs (2)'!$D$2:$AL$2,0))</f>
        <v>0</v>
      </c>
      <c r="Y266" s="25">
        <f>INDEX('Inputs (2)'!$D$44:$AL$44,MATCH(Y$7,'Inputs (2)'!$D$2:$AL$2,0))</f>
        <v>0</v>
      </c>
      <c r="Z266" s="25">
        <f>INDEX('Inputs (2)'!$D$44:$AL$44,MATCH(Z$7,'Inputs (2)'!$D$2:$AL$2,0))</f>
        <v>0</v>
      </c>
      <c r="AA266" s="25">
        <f>INDEX('Inputs (2)'!$D$44:$AL$44,MATCH(AA$7,'Inputs (2)'!$D$2:$AL$2,0))</f>
        <v>0</v>
      </c>
      <c r="AB266" s="3">
        <f>AA266</f>
        <v>0</v>
      </c>
      <c r="AC266" s="25">
        <f>INDEX('Inputs (2)'!$D$44:$AL$44,MATCH(AC$7,'Inputs (2)'!$D$2:$AL$2,0))</f>
        <v>0</v>
      </c>
      <c r="AD266" s="25">
        <f>INDEX('Inputs (2)'!$D$44:$AL$44,MATCH(AD$7,'Inputs (2)'!$D$2:$AL$2,0))</f>
        <v>0</v>
      </c>
      <c r="AE266" s="25">
        <f>INDEX('Inputs (2)'!$D$44:$AL$44,MATCH(AE$7,'Inputs (2)'!$D$2:$AL$2,0))</f>
        <v>0</v>
      </c>
      <c r="AF266" s="25">
        <f>INDEX('Inputs (2)'!$D$44:$AL$44,MATCH(AF$7,'Inputs (2)'!$D$2:$AL$2,0))</f>
        <v>0</v>
      </c>
      <c r="AG266" s="3">
        <f>AF266</f>
        <v>0</v>
      </c>
      <c r="AH266" s="3">
        <f>INDEX('Inputs (2)'!$D$44:$AL$44,MATCH(AH$7,'Inputs (2)'!$D$2:$AL$2,0))</f>
        <v>0</v>
      </c>
      <c r="AI266" s="3">
        <f>INDEX('Inputs (2)'!$D$44:$AL$44,MATCH(AI$7,'Inputs (2)'!$D$2:$AL$2,0))</f>
        <v>0</v>
      </c>
      <c r="AJ266" s="3">
        <f>AI266+AJ256</f>
        <v>0</v>
      </c>
      <c r="AK266" s="3">
        <f>AJ266+AK256</f>
        <v>0</v>
      </c>
      <c r="AL266" s="3">
        <f>AK266</f>
        <v>0</v>
      </c>
      <c r="AM266" s="3">
        <f>AL266+AM256</f>
        <v>0</v>
      </c>
      <c r="AN266" s="3">
        <f>AM266+AN256</f>
        <v>0</v>
      </c>
      <c r="AO266" s="3">
        <f>AN266+AO256</f>
        <v>0</v>
      </c>
      <c r="AP266" s="3">
        <f>AO266+AP256</f>
        <v>0</v>
      </c>
      <c r="AQ266" s="3">
        <f>AP266</f>
        <v>0</v>
      </c>
      <c r="AR266" s="3">
        <f>AQ266+AR256</f>
        <v>0</v>
      </c>
      <c r="AS266" s="3">
        <f>AR266+AS256</f>
        <v>0</v>
      </c>
      <c r="AT266" s="3">
        <f>AS266+AT256</f>
        <v>0</v>
      </c>
      <c r="AU266" s="3">
        <f>AT266+AU256</f>
        <v>0</v>
      </c>
      <c r="AV266" s="3">
        <f>AU266</f>
        <v>0</v>
      </c>
      <c r="AW266" s="3">
        <f>AV266+AW256</f>
        <v>0</v>
      </c>
      <c r="AX266" s="3">
        <f>AW266+AX256</f>
        <v>0</v>
      </c>
      <c r="AY266" s="3">
        <f>AX266+AY256</f>
        <v>0</v>
      </c>
      <c r="AZ266" s="3">
        <f>AY266+AZ256</f>
        <v>0</v>
      </c>
      <c r="BA266" s="3">
        <f>AZ266</f>
        <v>0</v>
      </c>
      <c r="BB266" s="3">
        <f>BA266+BB256</f>
        <v>0</v>
      </c>
      <c r="BC266" s="3">
        <f>BB266+BC256</f>
        <v>0</v>
      </c>
      <c r="BD266" s="3">
        <f>BC266+BD256</f>
        <v>0</v>
      </c>
      <c r="BE266" s="3">
        <f>BD266+BE256</f>
        <v>0</v>
      </c>
      <c r="BF266" s="3">
        <f>BE266</f>
        <v>0</v>
      </c>
      <c r="BG266" s="3">
        <f>BF266+BG256</f>
        <v>0</v>
      </c>
      <c r="BH266" s="3">
        <f>BG266+BH256</f>
        <v>0</v>
      </c>
      <c r="BI266" s="3">
        <f>BH266+BI256</f>
        <v>0</v>
      </c>
      <c r="BJ266" s="3">
        <f>BI266+BJ256</f>
        <v>0</v>
      </c>
      <c r="BK266" s="3">
        <f>BJ266</f>
        <v>0</v>
      </c>
      <c r="BL266" s="3">
        <f>BK266+BL256</f>
        <v>0</v>
      </c>
      <c r="BM266" s="3">
        <f>BL266+BM256</f>
        <v>0</v>
      </c>
      <c r="BN266" s="3">
        <f>BM266+BN256</f>
        <v>0</v>
      </c>
      <c r="BO266" s="3">
        <f>BN266+BO256</f>
        <v>0</v>
      </c>
      <c r="BP266" s="3">
        <f>BO266</f>
        <v>0</v>
      </c>
      <c r="BQ266" s="3">
        <f>BP266+BQ256</f>
        <v>0</v>
      </c>
      <c r="BR266" s="3">
        <f>BQ266+BR256</f>
        <v>0</v>
      </c>
      <c r="BS266" s="3">
        <f>BR266+BS256</f>
        <v>0</v>
      </c>
      <c r="BT266" s="3">
        <f>BS266+BT256</f>
        <v>0</v>
      </c>
      <c r="BU266" s="3">
        <f>BT266</f>
        <v>0</v>
      </c>
      <c r="BV266" s="3">
        <f>BU266+BV256</f>
        <v>0</v>
      </c>
      <c r="BW266" s="3">
        <f>BV266+BW256</f>
        <v>0</v>
      </c>
      <c r="BX266" s="3">
        <f>BW266+BX256</f>
        <v>0</v>
      </c>
      <c r="BY266" s="3">
        <f>BX266+BY256</f>
        <v>0</v>
      </c>
      <c r="BZ266" s="3">
        <f>BY266</f>
        <v>0</v>
      </c>
      <c r="CA266" s="3">
        <f>BZ266+CA256</f>
        <v>0</v>
      </c>
      <c r="CB266" s="3">
        <f>CA266+CB256</f>
        <v>0</v>
      </c>
      <c r="CC266" s="3">
        <f>CB266+CC256</f>
        <v>0</v>
      </c>
      <c r="CD266" s="3">
        <f>CC266+CD256</f>
        <v>0</v>
      </c>
      <c r="CE266" s="3">
        <f>CD266</f>
        <v>0</v>
      </c>
      <c r="CF266" s="3">
        <f>CE266+CF256</f>
        <v>0</v>
      </c>
      <c r="CG266" s="3">
        <f>CF266+CG256</f>
        <v>0</v>
      </c>
      <c r="CH266" s="3">
        <f>CG266+CH256</f>
        <v>0</v>
      </c>
      <c r="CI266" s="3">
        <f>CH266+CI256</f>
        <v>0</v>
      </c>
      <c r="CJ266" s="3">
        <f>CI266</f>
        <v>0</v>
      </c>
      <c r="CK266" s="3">
        <f>CJ266+CK256</f>
        <v>0</v>
      </c>
      <c r="CL266" s="3">
        <f>CK266+CL256</f>
        <v>0</v>
      </c>
      <c r="CM266" s="3">
        <f>CL266+CM256</f>
        <v>0</v>
      </c>
      <c r="CN266" s="3">
        <f>CM266+CN256</f>
        <v>0</v>
      </c>
      <c r="CO266" s="3">
        <f>CN266</f>
        <v>0</v>
      </c>
      <c r="CP266" s="3">
        <f>CO266+CP256</f>
        <v>0</v>
      </c>
      <c r="CQ266" s="3">
        <f>CP266+CQ256</f>
        <v>0</v>
      </c>
      <c r="CR266" s="3">
        <f>CQ266+CR256</f>
        <v>0</v>
      </c>
      <c r="CS266" s="3">
        <f>CR266+CS256</f>
        <v>0</v>
      </c>
      <c r="CT266" s="3">
        <f>CS266</f>
        <v>0</v>
      </c>
      <c r="CU266" s="3">
        <f>CT266+CU256</f>
        <v>0</v>
      </c>
      <c r="CV266" s="3">
        <f>CU266+CV256</f>
        <v>0</v>
      </c>
      <c r="CW266" s="3">
        <f>CV266+CW256</f>
        <v>0</v>
      </c>
      <c r="CX266" s="3">
        <f>CW266+CX256</f>
        <v>0</v>
      </c>
      <c r="CY266" s="3">
        <f>CX266</f>
        <v>0</v>
      </c>
    </row>
    <row r="267">
      <c r="C267" s="26" t="inlineStr">
        <is>
          <t>Comprehensive (accumulated) loss</t>
        </is>
      </c>
      <c r="D267" s="25">
        <f>INDEX('Inputs (2)'!$D$45:$AL$45,MATCH(D$7,'Inputs (2)'!$D$2:$AL$2,0))</f>
        <v>-10</v>
      </c>
      <c r="E267" s="25">
        <f>INDEX('Inputs (2)'!$D$45:$AL$45,MATCH(E$7,'Inputs (2)'!$D$2:$AL$2,0))</f>
        <v>4</v>
      </c>
      <c r="F267" s="25">
        <f>INDEX('Inputs (2)'!$D$45:$AL$45,MATCH(F$7,'Inputs (2)'!$D$2:$AL$2,0))</f>
        <v>12</v>
      </c>
      <c r="G267" s="25">
        <f>INDEX('Inputs (2)'!$D$45:$AL$45,MATCH(G$7,'Inputs (2)'!$D$2:$AL$2,0))</f>
        <v>19</v>
      </c>
      <c r="H267" s="3">
        <f>G267</f>
        <v>19</v>
      </c>
      <c r="I267" s="25">
        <f>INDEX('Inputs (2)'!$D$45:$AL$45,MATCH(I$7,'Inputs (2)'!$D$2:$AL$2,0))</f>
        <v>14</v>
      </c>
      <c r="J267" s="25">
        <f>INDEX('Inputs (2)'!$D$45:$AL$45,MATCH(J$7,'Inputs (2)'!$D$2:$AL$2,0))</f>
        <v>8</v>
      </c>
      <c r="K267" s="25">
        <f>INDEX('Inputs (2)'!$D$45:$AL$45,MATCH(K$7,'Inputs (2)'!$D$2:$AL$2,0))</f>
        <v>9</v>
      </c>
      <c r="L267" s="25">
        <f>INDEX('Inputs (2)'!$D$45:$AL$45,MATCH(L$7,'Inputs (2)'!$D$2:$AL$2,0))</f>
        <v>-11</v>
      </c>
      <c r="M267" s="3">
        <f>L267</f>
        <v>-11</v>
      </c>
      <c r="N267" s="25">
        <f>INDEX('Inputs (2)'!$D$45:$AL$45,MATCH(N$7,'Inputs (2)'!$D$2:$AL$2,0))</f>
        <v>-64</v>
      </c>
      <c r="O267" s="25">
        <f>INDEX('Inputs (2)'!$D$45:$AL$45,MATCH(O$7,'Inputs (2)'!$D$2:$AL$2,0))</f>
        <v>-90</v>
      </c>
      <c r="P267" s="25">
        <f>INDEX('Inputs (2)'!$D$45:$AL$45,MATCH(P$7,'Inputs (2)'!$D$2:$AL$2,0))</f>
        <v>-123</v>
      </c>
      <c r="Q267" s="25">
        <f>INDEX('Inputs (2)'!$D$45:$AL$45,MATCH(Q$7,'Inputs (2)'!$D$2:$AL$2,0))</f>
        <v>-43</v>
      </c>
      <c r="R267" s="3">
        <f>Q267</f>
        <v>-43</v>
      </c>
      <c r="S267" s="25">
        <f>INDEX('Inputs (2)'!$D$45:$AL$45,MATCH(S$7,'Inputs (2)'!$D$2:$AL$2,0))</f>
        <v>-50</v>
      </c>
      <c r="T267" s="25">
        <f>INDEX('Inputs (2)'!$D$45:$AL$45,MATCH(T$7,'Inputs (2)'!$D$2:$AL$2,0))</f>
        <v>-51</v>
      </c>
      <c r="U267" s="25">
        <f>INDEX('Inputs (2)'!$D$45:$AL$45,MATCH(U$7,'Inputs (2)'!$D$2:$AL$2,0))</f>
        <v>-88</v>
      </c>
      <c r="V267" s="25">
        <f>INDEX('Inputs (2)'!$D$45:$AL$45,MATCH(V$7,'Inputs (2)'!$D$2:$AL$2,0))</f>
        <v>27</v>
      </c>
      <c r="W267" s="3">
        <f>V267</f>
        <v>27</v>
      </c>
      <c r="X267" s="25">
        <f>INDEX('Inputs (2)'!$D$45:$AL$45,MATCH(X$7,'Inputs (2)'!$D$2:$AL$2,0))</f>
        <v>-109</v>
      </c>
      <c r="Y267" s="25">
        <f>INDEX('Inputs (2)'!$D$45:$AL$45,MATCH(Y$7,'Inputs (2)'!$D$2:$AL$2,0))</f>
        <v>56</v>
      </c>
      <c r="Z267" s="25">
        <f>INDEX('Inputs (2)'!$D$45:$AL$45,MATCH(Z$7,'Inputs (2)'!$D$2:$AL$2,0))</f>
        <v>103</v>
      </c>
      <c r="AA267" s="25">
        <f>INDEX('Inputs (2)'!$D$45:$AL$45,MATCH(AA$7,'Inputs (2)'!$D$2:$AL$2,0))</f>
        <v>28</v>
      </c>
      <c r="AB267" s="3">
        <f>AA267</f>
        <v>28</v>
      </c>
      <c r="AC267" s="25">
        <f>INDEX('Inputs (2)'!$D$45:$AL$45,MATCH(AC$7,'Inputs (2)'!$D$2:$AL$2,0))</f>
        <v>186</v>
      </c>
      <c r="AD267" s="25">
        <f>INDEX('Inputs (2)'!$D$45:$AL$45,MATCH(AD$7,'Inputs (2)'!$D$2:$AL$2,0))</f>
        <v>170</v>
      </c>
      <c r="AE267" s="25">
        <f>INDEX('Inputs (2)'!$D$45:$AL$45,MATCH(AE$7,'Inputs (2)'!$D$2:$AL$2,0))</f>
        <v>339</v>
      </c>
      <c r="AF267" s="25">
        <f>INDEX('Inputs (2)'!$D$45:$AL$45,MATCH(AF$7,'Inputs (2)'!$D$2:$AL$2,0))</f>
        <v>178</v>
      </c>
      <c r="AG267" s="3">
        <f>AF267</f>
        <v>178</v>
      </c>
      <c r="AH267" s="3">
        <f>INDEX('Inputs (2)'!$D$45:$AL$45,MATCH(AH$7,'Inputs (2)'!$D$2:$AL$2,0))</f>
        <v>137</v>
      </c>
      <c r="AI267" s="3">
        <f>INDEX('Inputs (2)'!$D$45:$AL$45,MATCH(AI$7,'Inputs (2)'!$D$2:$AL$2,0))</f>
        <v>-25</v>
      </c>
      <c r="AJ267" s="3">
        <f>AI267</f>
        <v>-25</v>
      </c>
      <c r="AK267" s="3">
        <f>AJ267</f>
        <v>-25</v>
      </c>
      <c r="AL267" s="3">
        <f>AK267</f>
        <v>-25</v>
      </c>
      <c r="AM267" s="3">
        <f>AL267</f>
        <v>-25</v>
      </c>
      <c r="AN267" s="3">
        <f>AM267</f>
        <v>-25</v>
      </c>
      <c r="AO267" s="3">
        <f>AN267</f>
        <v>-25</v>
      </c>
      <c r="AP267" s="3">
        <f>AO267</f>
        <v>-25</v>
      </c>
      <c r="AQ267" s="3">
        <f>AP267</f>
        <v>-25</v>
      </c>
      <c r="AR267" s="3">
        <f>AQ267</f>
        <v>-25</v>
      </c>
      <c r="AS267" s="3">
        <f>AR267</f>
        <v>-25</v>
      </c>
      <c r="AT267" s="3">
        <f>AS267</f>
        <v>-25</v>
      </c>
      <c r="AU267" s="3">
        <f>AT267</f>
        <v>-25</v>
      </c>
      <c r="AV267" s="3">
        <f>AU267</f>
        <v>-25</v>
      </c>
      <c r="AW267" s="3">
        <f>AV267</f>
        <v>-25</v>
      </c>
      <c r="AX267" s="3">
        <f>AW267</f>
        <v>-25</v>
      </c>
      <c r="AY267" s="3">
        <f>AX267</f>
        <v>-25</v>
      </c>
      <c r="AZ267" s="3">
        <f>AY267</f>
        <v>-25</v>
      </c>
      <c r="BA267" s="3">
        <f>AZ267</f>
        <v>-25</v>
      </c>
      <c r="BB267" s="3">
        <f>BA267</f>
        <v>-25</v>
      </c>
      <c r="BC267" s="3">
        <f>BB267</f>
        <v>-25</v>
      </c>
      <c r="BD267" s="3">
        <f>BC267</f>
        <v>-25</v>
      </c>
      <c r="BE267" s="3">
        <f>BD267</f>
        <v>-25</v>
      </c>
      <c r="BF267" s="3">
        <f>BE267</f>
        <v>-25</v>
      </c>
      <c r="BG267" s="3">
        <f>BF267</f>
        <v>-25</v>
      </c>
      <c r="BH267" s="3">
        <f>BG267</f>
        <v>-25</v>
      </c>
      <c r="BI267" s="3">
        <f>BH267</f>
        <v>-25</v>
      </c>
      <c r="BJ267" s="3">
        <f>BI267</f>
        <v>-25</v>
      </c>
      <c r="BK267" s="3">
        <f>BJ267</f>
        <v>-25</v>
      </c>
      <c r="BL267" s="3">
        <f>BK267</f>
        <v>-25</v>
      </c>
      <c r="BM267" s="3">
        <f>BL267</f>
        <v>-25</v>
      </c>
      <c r="BN267" s="3">
        <f>BM267</f>
        <v>-25</v>
      </c>
      <c r="BO267" s="3">
        <f>BN267</f>
        <v>-25</v>
      </c>
      <c r="BP267" s="3">
        <f>BO267</f>
        <v>-25</v>
      </c>
      <c r="BQ267" s="3">
        <f>BP267</f>
        <v>-25</v>
      </c>
      <c r="BR267" s="3">
        <f>BQ267</f>
        <v>-25</v>
      </c>
      <c r="BS267" s="3">
        <f>BR267</f>
        <v>-25</v>
      </c>
      <c r="BT267" s="3">
        <f>BS267</f>
        <v>-25</v>
      </c>
      <c r="BU267" s="3">
        <f>BT267</f>
        <v>-25</v>
      </c>
      <c r="BV267" s="3">
        <f>BU267</f>
        <v>-25</v>
      </c>
      <c r="BW267" s="3">
        <f>BV267</f>
        <v>-25</v>
      </c>
      <c r="BX267" s="3">
        <f>BW267</f>
        <v>-25</v>
      </c>
      <c r="BY267" s="3">
        <f>BX267</f>
        <v>-25</v>
      </c>
      <c r="BZ267" s="3">
        <f>BY267</f>
        <v>-25</v>
      </c>
      <c r="CA267" s="3">
        <f>BZ267</f>
        <v>-25</v>
      </c>
      <c r="CB267" s="3">
        <f>CA267</f>
        <v>-25</v>
      </c>
      <c r="CC267" s="3">
        <f>CB267</f>
        <v>-25</v>
      </c>
      <c r="CD267" s="3">
        <f>CC267</f>
        <v>-25</v>
      </c>
      <c r="CE267" s="3">
        <f>CD267</f>
        <v>-25</v>
      </c>
      <c r="CF267" s="3">
        <f>CE267</f>
        <v>-25</v>
      </c>
      <c r="CG267" s="3">
        <f>CF267</f>
        <v>-25</v>
      </c>
      <c r="CH267" s="3">
        <f>CG267</f>
        <v>-25</v>
      </c>
      <c r="CI267" s="3">
        <f>CH267</f>
        <v>-25</v>
      </c>
      <c r="CJ267" s="3">
        <f>CI267</f>
        <v>-25</v>
      </c>
      <c r="CK267" s="3">
        <f>CJ267</f>
        <v>-25</v>
      </c>
      <c r="CL267" s="3">
        <f>CK267</f>
        <v>-25</v>
      </c>
      <c r="CM267" s="3">
        <f>CL267</f>
        <v>-25</v>
      </c>
      <c r="CN267" s="3">
        <f>CM267</f>
        <v>-25</v>
      </c>
      <c r="CO267" s="3">
        <f>CN267</f>
        <v>-25</v>
      </c>
      <c r="CP267" s="3">
        <f>CO267</f>
        <v>-25</v>
      </c>
      <c r="CQ267" s="3">
        <f>CP267</f>
        <v>-25</v>
      </c>
      <c r="CR267" s="3">
        <f>CQ267</f>
        <v>-25</v>
      </c>
      <c r="CS267" s="3">
        <f>CR267</f>
        <v>-25</v>
      </c>
      <c r="CT267" s="3">
        <f>CS267</f>
        <v>-25</v>
      </c>
      <c r="CU267" s="3">
        <f>CT267</f>
        <v>-25</v>
      </c>
      <c r="CV267" s="3">
        <f>CU267</f>
        <v>-25</v>
      </c>
      <c r="CW267" s="3">
        <f>CV267</f>
        <v>-25</v>
      </c>
      <c r="CX267" s="3">
        <f>CW267</f>
        <v>-25</v>
      </c>
      <c r="CY267" s="3">
        <f>CX267</f>
        <v>-25</v>
      </c>
    </row>
    <row r="268">
      <c r="C268" s="26" t="inlineStr">
        <is>
          <t>Other equity account</t>
        </is>
      </c>
      <c r="D268" s="25" t="n"/>
      <c r="E268" s="25" t="n"/>
      <c r="F268" s="25" t="n"/>
      <c r="G268" s="25" t="n"/>
      <c r="H268" s="3">
        <f>G268</f>
        <v>0</v>
      </c>
      <c r="I268" s="25" t="n"/>
      <c r="J268" s="25" t="n"/>
      <c r="K268" s="25" t="n"/>
      <c r="L268" s="25" t="n"/>
      <c r="M268" s="3">
        <f>L268</f>
        <v>0</v>
      </c>
      <c r="N268" s="25" t="n"/>
      <c r="O268" s="25" t="n"/>
      <c r="P268" s="25" t="n"/>
      <c r="Q268" s="25" t="n"/>
      <c r="R268" s="3">
        <f>Q268</f>
        <v>0</v>
      </c>
      <c r="S268" s="25" t="n"/>
      <c r="T268" s="25" t="n"/>
      <c r="U268" s="25" t="n"/>
      <c r="V268" s="25" t="n"/>
      <c r="W268" s="3">
        <f>V268</f>
        <v>0</v>
      </c>
      <c r="X268" s="25" t="n"/>
      <c r="Y268" s="25" t="n"/>
      <c r="Z268" s="25" t="n"/>
      <c r="AA268" s="25" t="n"/>
      <c r="AB268" s="3">
        <f>AA268</f>
        <v>0</v>
      </c>
      <c r="AC268" s="25" t="n"/>
      <c r="AD268" s="25" t="n"/>
      <c r="AE268" s="25" t="n"/>
      <c r="AF268" s="25" t="n"/>
      <c r="AG268" s="3">
        <f>AF268</f>
        <v>0</v>
      </c>
      <c r="AH268" s="3">
        <f>AG268</f>
        <v>0</v>
      </c>
      <c r="AI268" s="3">
        <f>AH268</f>
        <v>0</v>
      </c>
      <c r="AJ268" s="3">
        <f>AI268</f>
        <v>0</v>
      </c>
      <c r="AK268" s="3">
        <f>AJ268</f>
        <v>0</v>
      </c>
      <c r="AL268" s="3">
        <f>AK268</f>
        <v>0</v>
      </c>
      <c r="AM268" s="3">
        <f>AL268</f>
        <v>0</v>
      </c>
      <c r="AN268" s="3">
        <f>AM268</f>
        <v>0</v>
      </c>
      <c r="AO268" s="3">
        <f>AN268</f>
        <v>0</v>
      </c>
      <c r="AP268" s="3">
        <f>AO268</f>
        <v>0</v>
      </c>
      <c r="AQ268" s="3">
        <f>AP268</f>
        <v>0</v>
      </c>
      <c r="AR268" s="3">
        <f>AQ268</f>
        <v>0</v>
      </c>
      <c r="AS268" s="3">
        <f>AR268</f>
        <v>0</v>
      </c>
      <c r="AT268" s="3">
        <f>AS268</f>
        <v>0</v>
      </c>
      <c r="AU268" s="3">
        <f>AT268</f>
        <v>0</v>
      </c>
      <c r="AV268" s="3">
        <f>AU268</f>
        <v>0</v>
      </c>
      <c r="AW268" s="3">
        <f>AV268</f>
        <v>0</v>
      </c>
      <c r="AX268" s="3">
        <f>AW268</f>
        <v>0</v>
      </c>
      <c r="AY268" s="3">
        <f>AX268</f>
        <v>0</v>
      </c>
      <c r="AZ268" s="3">
        <f>AY268</f>
        <v>0</v>
      </c>
      <c r="BA268" s="3">
        <f>AZ268</f>
        <v>0</v>
      </c>
      <c r="BB268" s="3">
        <f>BA268</f>
        <v>0</v>
      </c>
      <c r="BC268" s="3">
        <f>BB268</f>
        <v>0</v>
      </c>
      <c r="BD268" s="3">
        <f>BC268</f>
        <v>0</v>
      </c>
      <c r="BE268" s="3">
        <f>BD268</f>
        <v>0</v>
      </c>
      <c r="BF268" s="3">
        <f>BE268</f>
        <v>0</v>
      </c>
      <c r="BG268" s="3">
        <f>BF268</f>
        <v>0</v>
      </c>
      <c r="BH268" s="3">
        <f>BG268</f>
        <v>0</v>
      </c>
      <c r="BI268" s="3">
        <f>BH268</f>
        <v>0</v>
      </c>
      <c r="BJ268" s="3">
        <f>BI268</f>
        <v>0</v>
      </c>
      <c r="BK268" s="3">
        <f>BJ268</f>
        <v>0</v>
      </c>
      <c r="BL268" s="3">
        <f>BK268</f>
        <v>0</v>
      </c>
      <c r="BM268" s="3">
        <f>BL268</f>
        <v>0</v>
      </c>
      <c r="BN268" s="3">
        <f>BM268</f>
        <v>0</v>
      </c>
      <c r="BO268" s="3">
        <f>BN268</f>
        <v>0</v>
      </c>
      <c r="BP268" s="3">
        <f>BO268</f>
        <v>0</v>
      </c>
      <c r="BQ268" s="3">
        <f>BP268</f>
        <v>0</v>
      </c>
      <c r="BR268" s="3">
        <f>BQ268</f>
        <v>0</v>
      </c>
      <c r="BS268" s="3">
        <f>BR268</f>
        <v>0</v>
      </c>
      <c r="BT268" s="3">
        <f>BS268</f>
        <v>0</v>
      </c>
      <c r="BU268" s="3">
        <f>BT268</f>
        <v>0</v>
      </c>
      <c r="BV268" s="3">
        <f>BU268</f>
        <v>0</v>
      </c>
      <c r="BW268" s="3">
        <f>BV268</f>
        <v>0</v>
      </c>
      <c r="BX268" s="3">
        <f>BW268</f>
        <v>0</v>
      </c>
      <c r="BY268" s="3">
        <f>BX268</f>
        <v>0</v>
      </c>
      <c r="BZ268" s="3">
        <f>BY268</f>
        <v>0</v>
      </c>
      <c r="CA268" s="3">
        <f>BZ268</f>
        <v>0</v>
      </c>
      <c r="CB268" s="3">
        <f>CA268</f>
        <v>0</v>
      </c>
      <c r="CC268" s="3">
        <f>CB268</f>
        <v>0</v>
      </c>
      <c r="CD268" s="3">
        <f>CC268</f>
        <v>0</v>
      </c>
      <c r="CE268" s="3">
        <f>CD268</f>
        <v>0</v>
      </c>
      <c r="CF268" s="3">
        <f>CE268</f>
        <v>0</v>
      </c>
      <c r="CG268" s="3">
        <f>CF268</f>
        <v>0</v>
      </c>
      <c r="CH268" s="3">
        <f>CG268</f>
        <v>0</v>
      </c>
      <c r="CI268" s="3">
        <f>CH268</f>
        <v>0</v>
      </c>
      <c r="CJ268" s="3">
        <f>CI268</f>
        <v>0</v>
      </c>
      <c r="CK268" s="3">
        <f>CJ268</f>
        <v>0</v>
      </c>
      <c r="CL268" s="3">
        <f>CK268</f>
        <v>0</v>
      </c>
      <c r="CM268" s="3">
        <f>CL268</f>
        <v>0</v>
      </c>
      <c r="CN268" s="3">
        <f>CM268</f>
        <v>0</v>
      </c>
      <c r="CO268" s="3">
        <f>CN268</f>
        <v>0</v>
      </c>
      <c r="CP268" s="3">
        <f>CO268</f>
        <v>0</v>
      </c>
      <c r="CQ268" s="3">
        <f>CP268</f>
        <v>0</v>
      </c>
      <c r="CR268" s="3">
        <f>CQ268</f>
        <v>0</v>
      </c>
      <c r="CS268" s="3">
        <f>CR268</f>
        <v>0</v>
      </c>
      <c r="CT268" s="3">
        <f>CS268</f>
        <v>0</v>
      </c>
      <c r="CU268" s="3">
        <f>CT268</f>
        <v>0</v>
      </c>
      <c r="CV268" s="3">
        <f>CU268</f>
        <v>0</v>
      </c>
      <c r="CW268" s="3">
        <f>CV268</f>
        <v>0</v>
      </c>
      <c r="CX268" s="3">
        <f>CW268</f>
        <v>0</v>
      </c>
      <c r="CY268" s="3">
        <f>CX268</f>
        <v>0</v>
      </c>
    </row>
    <row r="269">
      <c r="C269" s="28" t="inlineStr">
        <is>
          <t>Retained earnings</t>
        </is>
      </c>
      <c r="D269" s="25">
        <f>INDEX('Inputs (2)'!$D$47:$AL$47,MATCH(D$7,'Inputs (2)'!$D$2:$AL$2,0))</f>
        <v>15790</v>
      </c>
      <c r="E269" s="25">
        <f>INDEX('Inputs (2)'!$D$47:$AL$47,MATCH(E$7,'Inputs (2)'!$D$2:$AL$2,0))</f>
        <v>16313</v>
      </c>
      <c r="F269" s="25">
        <f>INDEX('Inputs (2)'!$D$47:$AL$47,MATCH(F$7,'Inputs (2)'!$D$2:$AL$2,0))</f>
        <v>17550</v>
      </c>
      <c r="G269" s="25">
        <f>INDEX('Inputs (2)'!$D$47:$AL$47,MATCH(G$7,'Inputs (2)'!$D$2:$AL$2,0))</f>
        <v>18908</v>
      </c>
      <c r="H269" s="3">
        <f>G269</f>
        <v>18908</v>
      </c>
      <c r="I269" s="25">
        <f>INDEX('Inputs (2)'!$D$47:$AL$47,MATCH(I$7,'Inputs (2)'!$D$2:$AL$2,0))</f>
        <v>20721</v>
      </c>
      <c r="J269" s="25">
        <f>INDEX('Inputs (2)'!$D$47:$AL$47,MATCH(J$7,'Inputs (2)'!$D$2:$AL$2,0))</f>
        <v>22995</v>
      </c>
      <c r="K269" s="25">
        <f>INDEX('Inputs (2)'!$D$47:$AL$47,MATCH(K$7,'Inputs (2)'!$D$2:$AL$2,0))</f>
        <v>25359</v>
      </c>
      <c r="L269" s="25">
        <f>INDEX('Inputs (2)'!$D$47:$AL$47,MATCH(L$7,'Inputs (2)'!$D$2:$AL$2,0))</f>
        <v>16235</v>
      </c>
      <c r="M269" s="3">
        <f>L269</f>
        <v>16235</v>
      </c>
      <c r="N269" s="25">
        <f>INDEX('Inputs (2)'!$D$47:$AL$47,MATCH(N$7,'Inputs (2)'!$D$2:$AL$2,0))</f>
        <v>15758</v>
      </c>
      <c r="O269" s="25">
        <f>INDEX('Inputs (2)'!$D$47:$AL$47,MATCH(O$7,'Inputs (2)'!$D$2:$AL$2,0))</f>
        <v>12971</v>
      </c>
      <c r="P269" s="25">
        <f>INDEX('Inputs (2)'!$D$47:$AL$47,MATCH(P$7,'Inputs (2)'!$D$2:$AL$2,0))</f>
        <v>9905</v>
      </c>
      <c r="Q269" s="25">
        <f>INDEX('Inputs (2)'!$D$47:$AL$47,MATCH(Q$7,'Inputs (2)'!$D$2:$AL$2,0))</f>
        <v>10171</v>
      </c>
      <c r="R269" s="3">
        <f>Q269</f>
        <v>10171</v>
      </c>
      <c r="S269" s="25">
        <f>INDEX('Inputs (2)'!$D$47:$AL$47,MATCH(S$7,'Inputs (2)'!$D$2:$AL$2,0))</f>
        <v>12115</v>
      </c>
      <c r="T269" s="25">
        <f>INDEX('Inputs (2)'!$D$47:$AL$47,MATCH(T$7,'Inputs (2)'!$D$2:$AL$2,0))</f>
        <v>14921</v>
      </c>
      <c r="U269" s="25">
        <f>INDEX('Inputs (2)'!$D$47:$AL$47,MATCH(U$7,'Inputs (2)'!$D$2:$AL$2,0))</f>
        <v>20360</v>
      </c>
      <c r="V269" s="25">
        <f>INDEX('Inputs (2)'!$D$47:$AL$47,MATCH(V$7,'Inputs (2)'!$D$2:$AL$2,0))</f>
        <v>29817</v>
      </c>
      <c r="W269" s="3">
        <f>V269</f>
        <v>29817</v>
      </c>
      <c r="X269" s="25">
        <f>INDEX('Inputs (2)'!$D$47:$AL$47,MATCH(X$7,'Inputs (2)'!$D$2:$AL$2,0))</f>
        <v>36598</v>
      </c>
      <c r="Y269" s="25">
        <f>INDEX('Inputs (2)'!$D$47:$AL$47,MATCH(Y$7,'Inputs (2)'!$D$2:$AL$2,0))</f>
        <v>45961</v>
      </c>
      <c r="Z269" s="25">
        <f>INDEX('Inputs (2)'!$D$47:$AL$47,MATCH(Z$7,'Inputs (2)'!$D$2:$AL$2,0))</f>
        <v>53950</v>
      </c>
      <c r="AA269" s="25">
        <f>INDEX('Inputs (2)'!$D$47:$AL$47,MATCH(AA$7,'Inputs (2)'!$D$2:$AL$2,0))</f>
        <v>68038</v>
      </c>
      <c r="AB269" s="3">
        <f>AA269</f>
        <v>68038</v>
      </c>
      <c r="AC269" s="25">
        <f>INDEX('Inputs (2)'!$D$47:$AL$47,MATCH(AC$7,'Inputs (2)'!$D$2:$AL$2,0))</f>
        <v>72158</v>
      </c>
      <c r="AD269" s="25">
        <f>INDEX('Inputs (2)'!$D$47:$AL$47,MATCH(AD$7,'Inputs (2)'!$D$2:$AL$2,0))</f>
        <v>88737</v>
      </c>
      <c r="AE269" s="25">
        <f>INDEX('Inputs (2)'!$D$47:$AL$47,MATCH(AE$7,'Inputs (2)'!$D$2:$AL$2,0))</f>
        <v>107908</v>
      </c>
      <c r="AF269" s="25">
        <f>INDEX('Inputs (2)'!$D$47:$AL$47,MATCH(AF$7,'Inputs (2)'!$D$2:$AL$2,0))</f>
        <v>146973</v>
      </c>
      <c r="AG269" s="3">
        <f>AF269</f>
        <v>146973</v>
      </c>
      <c r="AH269" s="3">
        <f>INDEX('Inputs (2)'!$D$47:$AL$47,MATCH(AH$7,'Inputs (2)'!$D$2:$AL$2,0))</f>
        <v>185038</v>
      </c>
      <c r="AI269" s="3">
        <f>INDEX('Inputs (2)'!$D$47:$AL$47,MATCH(AI$7,'Inputs (2)'!$D$2:$AL$2,0))</f>
        <v>219157</v>
      </c>
      <c r="AJ269" s="3">
        <f>AI269+AJ136+AJ137</f>
        <v>235626</v>
      </c>
      <c r="AK269" s="3">
        <f>AJ269+AK136+AK137</f>
        <v>243626</v>
      </c>
      <c r="AL269" s="3">
        <f>AK269</f>
        <v>243626</v>
      </c>
      <c r="AM269" s="3">
        <f>AL269+AM136+AM137</f>
        <v>251626</v>
      </c>
      <c r="AN269" s="3">
        <f>AM269+AN136+AN137</f>
        <v>300564</v>
      </c>
      <c r="AO269" s="3">
        <f>AN269+AO136+AO137</f>
        <v>308564</v>
      </c>
      <c r="AP269" s="3">
        <f>AO269+AP136+AP137</f>
        <v>357502</v>
      </c>
      <c r="AQ269" s="3">
        <f>AP269</f>
        <v>357502</v>
      </c>
      <c r="AR269" s="3">
        <f>AQ269+AR136+AR137</f>
        <v>406440</v>
      </c>
      <c r="AS269" s="3">
        <f>AR269+AS136+AS137</f>
        <v>520316</v>
      </c>
      <c r="AT269" s="3">
        <f>AS269+AT136+AT137</f>
        <v>569254</v>
      </c>
      <c r="AU269" s="3">
        <f>AT269+AU136+AU137</f>
        <v>683130</v>
      </c>
      <c r="AV269" s="3">
        <f>AU269</f>
        <v>683130</v>
      </c>
      <c r="AW269" s="3">
        <f>AV269+AW136+AW137</f>
        <v>797006</v>
      </c>
      <c r="AX269" s="3">
        <f>AW269+AX136+AX137</f>
        <v>1122634</v>
      </c>
      <c r="AY269" s="3">
        <f>AX269+AY136+AY137</f>
        <v>1236510</v>
      </c>
      <c r="AZ269" s="3">
        <f>AY269+AZ136+AZ137</f>
        <v>1562138</v>
      </c>
      <c r="BA269" s="3">
        <f>AZ269</f>
        <v>1562138</v>
      </c>
      <c r="BB269" s="3">
        <f>BA269+BB136+BB137</f>
        <v>1887766</v>
      </c>
      <c r="BC269" s="3">
        <f>BB269+BC136+BC137</f>
        <v>2766774</v>
      </c>
      <c r="BD269" s="3">
        <f>BC269+BD136+BD137</f>
        <v>3092402</v>
      </c>
      <c r="BE269" s="3">
        <f>BD269+BE136+BE137</f>
        <v>3971410</v>
      </c>
      <c r="BF269" s="3">
        <f>BE269</f>
        <v>3971410</v>
      </c>
      <c r="BG269" s="3">
        <f>BF269+BG136+BG137</f>
        <v>4850418</v>
      </c>
      <c r="BH269" s="3">
        <f>BG269+BH136+BH137</f>
        <v>7259690</v>
      </c>
      <c r="BI269" s="3">
        <f>BH269+BI136+BI137</f>
        <v>8138698</v>
      </c>
      <c r="BJ269" s="3">
        <f>BI269+BJ136+BJ137</f>
        <v>10547970</v>
      </c>
      <c r="BK269" s="3">
        <f>BJ269</f>
        <v>10547970</v>
      </c>
      <c r="BL269" s="3">
        <f>BK269+BL136+BL137</f>
        <v>12957242</v>
      </c>
      <c r="BM269" s="3">
        <f>BL269+BM136+BM137</f>
        <v>19533802</v>
      </c>
      <c r="BN269" s="3">
        <f>BM269+BN136+BN137</f>
        <v>21943074</v>
      </c>
      <c r="BO269" s="3">
        <f>BN269+BO136+BO137</f>
        <v>28519634</v>
      </c>
      <c r="BP269" s="3">
        <f>BO269</f>
        <v>28519634</v>
      </c>
      <c r="BQ269" s="3">
        <f>BP269+BQ136+BQ137</f>
        <v>35096194</v>
      </c>
      <c r="BR269" s="3">
        <f>BQ269+BR136+BR137</f>
        <v>53067858</v>
      </c>
      <c r="BS269" s="3">
        <f>BR269+BS136+BS137</f>
        <v>59644418</v>
      </c>
      <c r="BT269" s="3">
        <f>BS269+BT136+BT137</f>
        <v>77616082</v>
      </c>
      <c r="BU269" s="3">
        <f>BT269</f>
        <v>77616082</v>
      </c>
      <c r="BV269" s="3">
        <f>BU269+BV136+BV137</f>
        <v>95587746</v>
      </c>
      <c r="BW269" s="3">
        <f>BV269+BW136+BW137</f>
        <v>144684194</v>
      </c>
      <c r="BX269" s="3">
        <f>BW269+BX136+BX137</f>
        <v>162655858</v>
      </c>
      <c r="BY269" s="3">
        <f>BX269+BY136+BY137</f>
        <v>211752306</v>
      </c>
      <c r="BZ269" s="3">
        <f>BY269</f>
        <v>211752306</v>
      </c>
      <c r="CA269" s="3">
        <f>BZ269+CA136+CA137</f>
        <v>260848754</v>
      </c>
      <c r="CB269" s="3">
        <f>CA269+CB136+CB137</f>
        <v>394984978</v>
      </c>
      <c r="CC269" s="3">
        <f>CB269+CC136+CC137</f>
        <v>444081426</v>
      </c>
      <c r="CD269" s="3">
        <f>CC269+CD136+CD137</f>
        <v>578217650</v>
      </c>
      <c r="CE269" s="3">
        <f>CD269</f>
        <v>578217650</v>
      </c>
      <c r="CF269" s="3">
        <f>CE269+CF136+CF137</f>
        <v>712353874</v>
      </c>
      <c r="CG269" s="3">
        <f>CF269+CG136+CG137</f>
        <v>1078819218</v>
      </c>
      <c r="CH269" s="3">
        <f>CG269+CH136+CH137</f>
        <v>1212955442</v>
      </c>
      <c r="CI269" s="3">
        <f>CH269+CI136+CI137</f>
        <v>1579420786</v>
      </c>
      <c r="CJ269" s="3">
        <f>CI269</f>
        <v>1579420786</v>
      </c>
      <c r="CK269" s="3">
        <f>CJ269+CK136+CK137</f>
        <v>1945886130</v>
      </c>
      <c r="CL269" s="3">
        <f>CK269+CL136+CL137</f>
        <v>2947089266</v>
      </c>
      <c r="CM269" s="3">
        <f>CL269+CM136+CM137</f>
        <v>3313554610</v>
      </c>
      <c r="CN269" s="3">
        <f>CM269+CN136+CN137</f>
        <v>4314757746</v>
      </c>
      <c r="CO269" s="3">
        <f>CN269</f>
        <v>4314757746</v>
      </c>
      <c r="CP269" s="3">
        <f>CO269+CP136+CP137</f>
        <v>5315960882</v>
      </c>
      <c r="CQ269" s="3">
        <f>CP269+CQ136+CQ137</f>
        <v>8051297842</v>
      </c>
      <c r="CR269" s="3">
        <f>CQ269+CR136+CR137</f>
        <v>9052500978</v>
      </c>
      <c r="CS269" s="3">
        <f>CR269+CS136+CS137</f>
        <v>11787837938</v>
      </c>
      <c r="CT269" s="3">
        <f>CS269</f>
        <v>11787837938</v>
      </c>
      <c r="CU269" s="3">
        <f>CT269+CU136+CU137</f>
        <v>14523174898</v>
      </c>
      <c r="CV269" s="3">
        <f>CU269+CV136+CV137</f>
        <v>21996255090</v>
      </c>
      <c r="CW269" s="3">
        <f>CV269+CW136+CW137</f>
        <v>24731592050</v>
      </c>
      <c r="CX269" s="3">
        <f>CW269+CX136+CX137</f>
        <v>32204672242</v>
      </c>
      <c r="CY269" s="3">
        <f>CX269</f>
        <v>32204672242</v>
      </c>
    </row>
    <row r="270" customFormat="1" s="17">
      <c r="A270" s="13" t="inlineStr">
        <is>
          <t xml:space="preserve"> </t>
        </is>
      </c>
      <c r="B270" s="13" t="n"/>
      <c r="C270" s="27" t="inlineStr">
        <is>
          <t>Total Shareholders' Equity</t>
        </is>
      </c>
      <c r="D270" s="16">
        <f>SUM(D247+D252+D253+D266+D267+D268+D269)</f>
        <v>13099</v>
      </c>
      <c r="E270" s="16">
        <f>SUM(E247+E252+E253+E266+E267+E268+E269)</f>
        <v>13914</v>
      </c>
      <c r="F270" s="16">
        <f>SUM(F247+F252+F253+F266+F267+F268+F269)</f>
        <v>15334</v>
      </c>
      <c r="G270" s="16">
        <f>SUM(G247+G252+G253+G266+G267+G268+G269)</f>
        <v>16893</v>
      </c>
      <c r="H270" s="16">
        <f>SUM(H247,H252,H253,H266,H267,H268,H269)</f>
        <v>16893</v>
      </c>
      <c r="I270" s="16">
        <f>SUM(I247+I252+I253+I266+I267+I268+I269)</f>
        <v>18774</v>
      </c>
      <c r="J270" s="16">
        <f>SUM(J247+J252+J253+J266+J267+J268+J269)</f>
        <v>21147</v>
      </c>
      <c r="K270" s="16">
        <f>SUM(K247+K252+K253+K266+K267+K268+K269)</f>
        <v>23798</v>
      </c>
      <c r="L270" s="16">
        <f>SUM(L247+L252+L253+L266+L267+L268+L269)</f>
        <v>26612</v>
      </c>
      <c r="M270" s="16">
        <f>SUM(M247,M252,M253,M266,M267,M268,M269)</f>
        <v>26612</v>
      </c>
      <c r="N270" s="16">
        <f>SUM(N247+N252+N253+N266+N267+N268+N269)</f>
        <v>26320</v>
      </c>
      <c r="O270" s="16">
        <f>SUM(O247+O252+O253+O266+O267+O268+O269)</f>
        <v>23851</v>
      </c>
      <c r="P270" s="16">
        <f>SUM(P247+P252+P253+P266+P267+P268+P269)</f>
        <v>21349</v>
      </c>
      <c r="Q270" s="16">
        <f>SUM(Q247+Q252+Q253+Q266+Q267+Q268+Q269)</f>
        <v>22101</v>
      </c>
      <c r="R270" s="16">
        <f>SUM(R247,R252,R253,R266,R267,R268,R269)</f>
        <v>22101</v>
      </c>
      <c r="S270" s="16">
        <f>SUM(S247+S252+S253+S266+S267+S268+S269)</f>
        <v>24520</v>
      </c>
      <c r="T270" s="16">
        <f>SUM(T247+T252+T253+T266+T267+T268+T269)</f>
        <v>27501</v>
      </c>
      <c r="U270" s="16">
        <f>SUM(U247+U252+U253+U266+U267+U268+U269)</f>
        <v>33265</v>
      </c>
      <c r="V270" s="16">
        <f>SUM(V247+V252+V253+V266+V267+V268+V269)</f>
        <v>42978</v>
      </c>
      <c r="W270" s="16">
        <f>SUM(W247,W252,W253,W266,W267,W268,W269)</f>
        <v>42978</v>
      </c>
      <c r="X270" s="16">
        <f>SUM(X247+X252+X253+X266+X267+X268+X269)</f>
        <v>49142</v>
      </c>
      <c r="Y270" s="16">
        <f>SUM(Y247+Y252+Y253+Y266+Y267+Y268+Y269)</f>
        <v>58157</v>
      </c>
      <c r="Z270" s="16">
        <f>SUM(Z247+Z252+Z253+Z266+Z267+Z268+Z269)</f>
        <v>65899</v>
      </c>
      <c r="AA270" s="16">
        <f>SUM(AA247+AA252+AA253+AA266+AA267+AA268+AA269)</f>
        <v>79327</v>
      </c>
      <c r="AB270" s="16">
        <f>SUM(AB247,AB252,AB253,AB266,AB267,AB268,AB269)</f>
        <v>79327</v>
      </c>
      <c r="AC270" s="16">
        <f>SUM(AC247+AC252+AC253+AC266+AC267+AC268+AC269)</f>
        <v>83843</v>
      </c>
      <c r="AD270" s="16">
        <f>SUM(AD247+AD252+AD253+AD266+AD267+AD268+AD269)</f>
        <v>100131</v>
      </c>
      <c r="AE270" s="16">
        <f>SUM(AE247+AE252+AE253+AE266+AE267+AE268+AE269)</f>
        <v>118897</v>
      </c>
      <c r="AF270" s="16">
        <f>SUM(AF247+AF252+AF253+AF266+AF267+AF268+AF269)</f>
        <v>157293</v>
      </c>
      <c r="AG270" s="16">
        <f>SUM(AG247,AG252,AG253,AG266,AG267,AG268,AG269)</f>
        <v>157293</v>
      </c>
      <c r="AH270" s="16">
        <f>SUM(AH247+AH252+AH253+AH266+AH267+AH268+AH269)</f>
        <v>195474</v>
      </c>
      <c r="AI270" s="16">
        <f>SUM(AI247+AI252+AI253+AI266+AI267+AI268+AI269)</f>
        <v>228984</v>
      </c>
      <c r="AJ270" s="16">
        <f>SUM(AJ247+AJ252+AJ253+AJ266+AJ267+AJ268+AJ269)</f>
        <v>245453</v>
      </c>
      <c r="AK270" s="16">
        <f>SUM(AK247+AK252+AK253+AK266+AK267+AK268+AK269)</f>
        <v>253453</v>
      </c>
      <c r="AL270" s="16">
        <f>SUM(AL247,AL252,AL253,AL266,AL267,AL268,AL269)</f>
        <v>253453</v>
      </c>
      <c r="AM270" s="16">
        <f>SUM(AM247+AM252+AM253+AM266+AM267+AM268+AM269)</f>
        <v>261453</v>
      </c>
      <c r="AN270" s="16">
        <f>SUM(AN247+AN252+AN253+AN266+AN267+AN268+AN269)</f>
        <v>310391</v>
      </c>
      <c r="AO270" s="16">
        <f>SUM(AO247+AO252+AO253+AO266+AO267+AO268+AO269)</f>
        <v>318391</v>
      </c>
      <c r="AP270" s="16">
        <f>SUM(AP247+AP252+AP253+AP266+AP267+AP268+AP269)</f>
        <v>367329</v>
      </c>
      <c r="AQ270" s="16">
        <f>SUM(AQ247,AQ252,AQ253,AQ266,AQ267,AQ268,AQ269)</f>
        <v>367329</v>
      </c>
      <c r="AR270" s="16">
        <f>SUM(AR247+AR252+AR253+AR266+AR267+AR268+AR269)</f>
        <v>416267</v>
      </c>
      <c r="AS270" s="16">
        <f>SUM(AS247+AS252+AS253+AS266+AS267+AS268+AS269)</f>
        <v>530143</v>
      </c>
      <c r="AT270" s="16">
        <f>SUM(AT247+AT252+AT253+AT266+AT267+AT268+AT269)</f>
        <v>579081</v>
      </c>
      <c r="AU270" s="16">
        <f>SUM(AU247+AU252+AU253+AU266+AU267+AU268+AU269)</f>
        <v>692957</v>
      </c>
      <c r="AV270" s="16">
        <f>SUM(AV247,AV252,AV253,AV266,AV267,AV268,AV269)</f>
        <v>692957</v>
      </c>
      <c r="AW270" s="16">
        <f>SUM(AW247+AW252+AW253+AW266+AW267+AW268+AW269)</f>
        <v>806833</v>
      </c>
      <c r="AX270" s="16">
        <f>SUM(AX247+AX252+AX253+AX266+AX267+AX268+AX269)</f>
        <v>1132461</v>
      </c>
      <c r="AY270" s="16">
        <f>SUM(AY247+AY252+AY253+AY266+AY267+AY268+AY269)</f>
        <v>1246337</v>
      </c>
      <c r="AZ270" s="16">
        <f>SUM(AZ247+AZ252+AZ253+AZ266+AZ267+AZ268+AZ269)</f>
        <v>1571965</v>
      </c>
      <c r="BA270" s="16">
        <f>SUM(BA247,BA252,BA253,BA266,BA267,BA268,BA269)</f>
        <v>1571965</v>
      </c>
      <c r="BB270" s="16">
        <f>SUM(BB247+BB252+BB253+BB266+BB267+BB268+BB269)</f>
        <v>1897593</v>
      </c>
      <c r="BC270" s="16">
        <f>SUM(BC247+BC252+BC253+BC266+BC267+BC268+BC269)</f>
        <v>2776601</v>
      </c>
      <c r="BD270" s="16">
        <f>SUM(BD247+BD252+BD253+BD266+BD267+BD268+BD269)</f>
        <v>3102229</v>
      </c>
      <c r="BE270" s="16">
        <f>SUM(BE247+BE252+BE253+BE266+BE267+BE268+BE269)</f>
        <v>3981237</v>
      </c>
      <c r="BF270" s="16">
        <f>SUM(BF247,BF252,BF253,BF266,BF267,BF268,BF269)</f>
        <v>3981237</v>
      </c>
      <c r="BG270" s="16">
        <f>SUM(BG247+BG252+BG253+BG266+BG267+BG268+BG269)</f>
        <v>4860245</v>
      </c>
      <c r="BH270" s="16">
        <f>SUM(BH247+BH252+BH253+BH266+BH267+BH268+BH269)</f>
        <v>7269517</v>
      </c>
      <c r="BI270" s="16">
        <f>SUM(BI247+BI252+BI253+BI266+BI267+BI268+BI269)</f>
        <v>8148525</v>
      </c>
      <c r="BJ270" s="16">
        <f>SUM(BJ247+BJ252+BJ253+BJ266+BJ267+BJ268+BJ269)</f>
        <v>10557797</v>
      </c>
      <c r="BK270" s="16">
        <f>SUM(BK247,BK252,BK253,BK266,BK267,BK268,BK269)</f>
        <v>10557797</v>
      </c>
      <c r="BL270" s="16">
        <f>SUM(BL247+BL252+BL253+BL266+BL267+BL268+BL269)</f>
        <v>12967069</v>
      </c>
      <c r="BM270" s="16">
        <f>SUM(BM247+BM252+BM253+BM266+BM267+BM268+BM269)</f>
        <v>19543629</v>
      </c>
      <c r="BN270" s="16">
        <f>SUM(BN247+BN252+BN253+BN266+BN267+BN268+BN269)</f>
        <v>21952901</v>
      </c>
      <c r="BO270" s="16">
        <f>SUM(BO247+BO252+BO253+BO266+BO267+BO268+BO269)</f>
        <v>28529461</v>
      </c>
      <c r="BP270" s="16">
        <f>SUM(BP247,BP252,BP253,BP266,BP267,BP268,BP269)</f>
        <v>28529461</v>
      </c>
      <c r="BQ270" s="16">
        <f>SUM(BQ247+BQ252+BQ253+BQ266+BQ267+BQ268+BQ269)</f>
        <v>35106021</v>
      </c>
      <c r="BR270" s="16">
        <f>SUM(BR247+BR252+BR253+BR266+BR267+BR268+BR269)</f>
        <v>53077685</v>
      </c>
      <c r="BS270" s="16">
        <f>SUM(BS247+BS252+BS253+BS266+BS267+BS268+BS269)</f>
        <v>59654245</v>
      </c>
      <c r="BT270" s="16">
        <f>SUM(BT247+BT252+BT253+BT266+BT267+BT268+BT269)</f>
        <v>77625909</v>
      </c>
      <c r="BU270" s="16">
        <f>SUM(BU247,BU252,BU253,BU266,BU267,BU268,BU269)</f>
        <v>77625909</v>
      </c>
      <c r="BV270" s="16">
        <f>SUM(BV247+BV252+BV253+BV266+BV267+BV268+BV269)</f>
        <v>95597573</v>
      </c>
      <c r="BW270" s="16">
        <f>SUM(BW247+BW252+BW253+BW266+BW267+BW268+BW269)</f>
        <v>144694021</v>
      </c>
      <c r="BX270" s="16">
        <f>SUM(BX247+BX252+BX253+BX266+BX267+BX268+BX269)</f>
        <v>162665685</v>
      </c>
      <c r="BY270" s="16">
        <f>SUM(BY247+BY252+BY253+BY266+BY267+BY268+BY269)</f>
        <v>211762133</v>
      </c>
      <c r="BZ270" s="16">
        <f>SUM(BZ247,BZ252,BZ253,BZ266,BZ267,BZ268,BZ269)</f>
        <v>211762133</v>
      </c>
      <c r="CA270" s="16">
        <f>SUM(CA247+CA252+CA253+CA266+CA267+CA268+CA269)</f>
        <v>260858581</v>
      </c>
      <c r="CB270" s="16">
        <f>SUM(CB247+CB252+CB253+CB266+CB267+CB268+CB269)</f>
        <v>394994805</v>
      </c>
      <c r="CC270" s="16">
        <f>SUM(CC247+CC252+CC253+CC266+CC267+CC268+CC269)</f>
        <v>444091253</v>
      </c>
      <c r="CD270" s="16">
        <f>SUM(CD247+CD252+CD253+CD266+CD267+CD268+CD269)</f>
        <v>578227477</v>
      </c>
      <c r="CE270" s="16">
        <f>SUM(CE247,CE252,CE253,CE266,CE267,CE268,CE269)</f>
        <v>578227477</v>
      </c>
      <c r="CF270" s="16">
        <f>SUM(CF247+CF252+CF253+CF266+CF267+CF268+CF269)</f>
        <v>712363701</v>
      </c>
      <c r="CG270" s="16">
        <f>SUM(CG247+CG252+CG253+CG266+CG267+CG268+CG269)</f>
        <v>1078829045</v>
      </c>
      <c r="CH270" s="16">
        <f>SUM(CH247+CH252+CH253+CH266+CH267+CH268+CH269)</f>
        <v>1212965269</v>
      </c>
      <c r="CI270" s="16">
        <f>SUM(CI247+CI252+CI253+CI266+CI267+CI268+CI269)</f>
        <v>1579430613</v>
      </c>
      <c r="CJ270" s="16">
        <f>SUM(CJ247,CJ252,CJ253,CJ266,CJ267,CJ268,CJ269)</f>
        <v>1579430613</v>
      </c>
      <c r="CK270" s="16">
        <f>SUM(CK247+CK252+CK253+CK266+CK267+CK268+CK269)</f>
        <v>1945895957</v>
      </c>
      <c r="CL270" s="16">
        <f>SUM(CL247+CL252+CL253+CL266+CL267+CL268+CL269)</f>
        <v>2947099093</v>
      </c>
      <c r="CM270" s="16">
        <f>SUM(CM247+CM252+CM253+CM266+CM267+CM268+CM269)</f>
        <v>3313564437</v>
      </c>
      <c r="CN270" s="16">
        <f>SUM(CN247+CN252+CN253+CN266+CN267+CN268+CN269)</f>
        <v>4314767573</v>
      </c>
      <c r="CO270" s="16">
        <f>SUM(CO247,CO252,CO253,CO266,CO267,CO268,CO269)</f>
        <v>4314767573</v>
      </c>
      <c r="CP270" s="16">
        <f>SUM(CP247+CP252+CP253+CP266+CP267+CP268+CP269)</f>
        <v>5315970709</v>
      </c>
      <c r="CQ270" s="16">
        <f>SUM(CQ247+CQ252+CQ253+CQ266+CQ267+CQ268+CQ269)</f>
        <v>8051307669</v>
      </c>
      <c r="CR270" s="16">
        <f>SUM(CR247+CR252+CR253+CR266+CR267+CR268+CR269)</f>
        <v>9052510805</v>
      </c>
      <c r="CS270" s="16">
        <f>SUM(CS247+CS252+CS253+CS266+CS267+CS268+CS269)</f>
        <v>11787847765</v>
      </c>
      <c r="CT270" s="16">
        <f>SUM(CT247,CT252,CT253,CT266,CT267,CT268,CT269)</f>
        <v>11787847765</v>
      </c>
      <c r="CU270" s="16">
        <f>SUM(CU247+CU252+CU253+CU266+CU267+CU268+CU269)</f>
        <v>14523184725</v>
      </c>
      <c r="CV270" s="16">
        <f>SUM(CV247+CV252+CV253+CV266+CV267+CV268+CV269)</f>
        <v>21996264917</v>
      </c>
      <c r="CW270" s="16">
        <f>SUM(CW247+CW252+CW253+CW266+CW267+CW268+CW269)</f>
        <v>24731601877</v>
      </c>
      <c r="CX270" s="16">
        <f>SUM(CX247+CX252+CX253+CX266+CX267+CX268+CX269)</f>
        <v>32204682069</v>
      </c>
      <c r="CY270" s="16">
        <f>SUM(CY247,CY252,CY253,CY266,CY267,CY268,CY269)</f>
        <v>32204682069</v>
      </c>
    </row>
    <row r="271">
      <c r="C271" s="29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/>
      <c r="AB271" s="3" t="n"/>
      <c r="AC271" s="3" t="n"/>
      <c r="AD271" s="3" t="n"/>
      <c r="AE271" s="3" t="n"/>
      <c r="AF271" s="3" t="n"/>
      <c r="AG271" s="3" t="n"/>
      <c r="AH271" s="3" t="n"/>
      <c r="AI271" s="3" t="n"/>
      <c r="AJ271" s="3" t="n"/>
      <c r="AK271" s="3" t="n"/>
      <c r="AL271" s="3" t="n"/>
      <c r="AM271" s="3" t="n"/>
      <c r="AN271" s="3" t="n"/>
      <c r="AO271" s="3" t="n"/>
      <c r="AP271" s="3" t="n"/>
      <c r="AQ271" s="3" t="n"/>
      <c r="AR271" s="3" t="n"/>
      <c r="AS271" s="3" t="n"/>
      <c r="AT271" s="3" t="n"/>
      <c r="AU271" s="3" t="n"/>
      <c r="AV271" s="3" t="n"/>
      <c r="AW271" s="3" t="n"/>
      <c r="AX271" s="3" t="n"/>
      <c r="AY271" s="3" t="n"/>
      <c r="AZ271" s="3" t="n"/>
      <c r="BA271" s="3" t="n"/>
      <c r="BB271" s="3" t="n"/>
      <c r="BC271" s="3" t="n"/>
      <c r="BD271" s="3" t="n"/>
      <c r="BE271" s="3" t="n"/>
      <c r="BF271" s="3" t="n"/>
      <c r="BG271" s="3" t="n"/>
      <c r="BH271" s="3" t="n"/>
      <c r="BI271" s="3" t="n"/>
      <c r="BJ271" s="3" t="n"/>
      <c r="BK271" s="3" t="n"/>
      <c r="BL271" s="3" t="n"/>
      <c r="BM271" s="3" t="n"/>
      <c r="BN271" s="3" t="n"/>
      <c r="BO271" s="3" t="n"/>
      <c r="BP271" s="3" t="n"/>
      <c r="BQ271" s="3" t="n"/>
      <c r="BR271" s="3" t="n"/>
      <c r="BS271" s="3" t="n"/>
      <c r="BT271" s="3" t="n"/>
      <c r="BU271" s="3" t="n"/>
      <c r="BV271" s="3" t="n"/>
      <c r="BW271" s="3" t="n"/>
      <c r="BX271" s="3" t="n"/>
      <c r="BY271" s="3" t="n"/>
      <c r="BZ271" s="3" t="n"/>
      <c r="CA271" s="3" t="n"/>
      <c r="CB271" s="3" t="n"/>
      <c r="CC271" s="3" t="n"/>
      <c r="CD271" s="3" t="n"/>
      <c r="CE271" s="3" t="n"/>
      <c r="CF271" s="3" t="n"/>
      <c r="CG271" s="3" t="n"/>
      <c r="CH271" s="3" t="n"/>
      <c r="CI271" s="3" t="n"/>
      <c r="CJ271" s="3" t="n"/>
      <c r="CK271" s="3" t="n"/>
      <c r="CL271" s="3" t="n"/>
      <c r="CM271" s="3" t="n"/>
      <c r="CN271" s="3" t="n"/>
      <c r="CO271" s="3" t="n"/>
      <c r="CP271" s="3" t="n"/>
      <c r="CQ271" s="3" t="n"/>
      <c r="CR271" s="3" t="n"/>
      <c r="CS271" s="3" t="n"/>
      <c r="CT271" s="3" t="n"/>
      <c r="CU271" s="3" t="n"/>
      <c r="CV271" s="3" t="n"/>
      <c r="CW271" s="3" t="n"/>
      <c r="CX271" s="3" t="n"/>
      <c r="CY271" s="3" t="n"/>
    </row>
    <row r="272" customFormat="1" s="17">
      <c r="A272" s="13" t="n"/>
      <c r="B272" s="1" t="n"/>
      <c r="C272" s="14" t="inlineStr">
        <is>
          <t>Total Liabilities + Shareholders' Equity</t>
        </is>
      </c>
      <c r="D272" s="16">
        <f>D270+D246</f>
        <v>23254</v>
      </c>
      <c r="E272" s="16">
        <f>E270+E246</f>
        <v>25180</v>
      </c>
      <c r="F272" s="16">
        <f>F270+F246</f>
        <v>26881</v>
      </c>
      <c r="G272" s="16">
        <f>G270+G246</f>
        <v>28791</v>
      </c>
      <c r="H272" s="16">
        <f>H270+H246</f>
        <v>28791</v>
      </c>
      <c r="I272" s="16">
        <f>I270+I246</f>
        <v>30796</v>
      </c>
      <c r="J272" s="16">
        <f>J270+J246</f>
        <v>38650</v>
      </c>
      <c r="K272" s="16">
        <f>K270+K246</f>
        <v>40632</v>
      </c>
      <c r="L272" s="16">
        <f>L270+L246</f>
        <v>44187</v>
      </c>
      <c r="M272" s="16">
        <f>M270+M246</f>
        <v>44187</v>
      </c>
      <c r="N272" s="16">
        <f>N270+N246</f>
        <v>45212</v>
      </c>
      <c r="O272" s="16">
        <f>O270+O246</f>
        <v>43476</v>
      </c>
      <c r="P272" s="16">
        <f>P270+P246</f>
        <v>40488</v>
      </c>
      <c r="Q272" s="16">
        <f>Q270+Q246</f>
        <v>41182</v>
      </c>
      <c r="R272" s="16">
        <f>R270+R246</f>
        <v>41182</v>
      </c>
      <c r="S272" s="16">
        <f>S270+S246</f>
        <v>44460</v>
      </c>
      <c r="T272" s="16">
        <f>T270+T246</f>
        <v>49555</v>
      </c>
      <c r="U272" s="16">
        <f>U270+U246</f>
        <v>54148</v>
      </c>
      <c r="V272" s="16">
        <f>V270+V246</f>
        <v>65728</v>
      </c>
      <c r="W272" s="16">
        <f>W270+W246</f>
        <v>65728</v>
      </c>
      <c r="X272" s="16">
        <f>X270+X246</f>
        <v>77072</v>
      </c>
      <c r="Y272" s="16">
        <f>Y270+Y246</f>
        <v>85227</v>
      </c>
      <c r="Z272" s="16">
        <f>Z270+Z246</f>
        <v>96013</v>
      </c>
      <c r="AA272" s="16">
        <f>AA270+AA246</f>
        <v>111601</v>
      </c>
      <c r="AB272" s="16">
        <f>AB270+AB246</f>
        <v>111601</v>
      </c>
      <c r="AC272" s="16">
        <f>AC270+AC246</f>
        <v>125254</v>
      </c>
      <c r="AD272" s="16">
        <f>AD270+AD246</f>
        <v>140740</v>
      </c>
      <c r="AE272" s="16">
        <f>AE270+AE246</f>
        <v>161148</v>
      </c>
      <c r="AF272" s="16">
        <f>AF270+AF246</f>
        <v>206803</v>
      </c>
      <c r="AG272" s="16">
        <f>AG270+AG246</f>
        <v>206803</v>
      </c>
      <c r="AH272" s="16">
        <f>AH270+AH246</f>
        <v>259474</v>
      </c>
      <c r="AI272" s="16">
        <f>AI270+AI246</f>
        <v>320272</v>
      </c>
      <c r="AJ272" s="16">
        <f>AJ270+AJ246</f>
        <v>294722</v>
      </c>
      <c r="AK272" s="16">
        <f>AK270+AK246</f>
        <v>302722</v>
      </c>
      <c r="AL272" s="16">
        <f>AL270+AL246</f>
        <v>302722</v>
      </c>
      <c r="AM272" s="16" t="e">
        <f>AM270+AM246</f>
        <v>#DIV/0!</v>
      </c>
      <c r="AN272" s="16">
        <f>AN270+AN246</f>
        <v>359660</v>
      </c>
      <c r="AO272" s="16" t="e">
        <f>AO270+AO246</f>
        <v>#DIV/0!</v>
      </c>
      <c r="AP272" s="16" t="e">
        <f>AP270+AP246</f>
        <v>#DIV/0!</v>
      </c>
      <c r="AQ272" s="16" t="e">
        <f>AQ270+AQ246</f>
        <v>#DIV/0!</v>
      </c>
      <c r="AR272" s="16" t="e">
        <f>AR270+AR246</f>
        <v>#DIV/0!</v>
      </c>
      <c r="AS272" s="16" t="e">
        <f>AS270+AS246</f>
        <v>#DIV/0!</v>
      </c>
      <c r="AT272" s="16" t="e">
        <f>AT270+AT246</f>
        <v>#DIV/0!</v>
      </c>
      <c r="AU272" s="16" t="e">
        <f>AU270+AU246</f>
        <v>#DIV/0!</v>
      </c>
      <c r="AV272" s="16" t="e">
        <f>AV270+AV246</f>
        <v>#DIV/0!</v>
      </c>
      <c r="AW272" s="16" t="e">
        <f>AW270+AW246</f>
        <v>#DIV/0!</v>
      </c>
      <c r="AX272" s="16" t="e">
        <f>AX270+AX246</f>
        <v>#DIV/0!</v>
      </c>
      <c r="AY272" s="16" t="e">
        <f>AY270+AY246</f>
        <v>#DIV/0!</v>
      </c>
      <c r="AZ272" s="16" t="e">
        <f>AZ270+AZ246</f>
        <v>#DIV/0!</v>
      </c>
      <c r="BA272" s="16" t="e">
        <f>BA270+BA246</f>
        <v>#DIV/0!</v>
      </c>
      <c r="BB272" s="16" t="e">
        <f>BB270+BB246</f>
        <v>#DIV/0!</v>
      </c>
      <c r="BC272" s="16" t="e">
        <f>BC270+BC246</f>
        <v>#DIV/0!</v>
      </c>
      <c r="BD272" s="16" t="e">
        <f>BD270+BD246</f>
        <v>#DIV/0!</v>
      </c>
      <c r="BE272" s="16" t="e">
        <f>BE270+BE246</f>
        <v>#DIV/0!</v>
      </c>
      <c r="BF272" s="16" t="e">
        <f>BF270+BF246</f>
        <v>#DIV/0!</v>
      </c>
      <c r="BG272" s="16" t="e">
        <f>BG270+BG246</f>
        <v>#DIV/0!</v>
      </c>
      <c r="BH272" s="16" t="e">
        <f>BH270+BH246</f>
        <v>#DIV/0!</v>
      </c>
      <c r="BI272" s="16" t="e">
        <f>BI270+BI246</f>
        <v>#DIV/0!</v>
      </c>
      <c r="BJ272" s="16" t="e">
        <f>BJ270+BJ246</f>
        <v>#DIV/0!</v>
      </c>
      <c r="BK272" s="16" t="e">
        <f>BK270+BK246</f>
        <v>#DIV/0!</v>
      </c>
      <c r="BL272" s="16" t="e">
        <f>BL270+BL246</f>
        <v>#DIV/0!</v>
      </c>
      <c r="BM272" s="16" t="e">
        <f>BM270+BM246</f>
        <v>#DIV/0!</v>
      </c>
      <c r="BN272" s="16" t="e">
        <f>BN270+BN246</f>
        <v>#DIV/0!</v>
      </c>
      <c r="BO272" s="16" t="e">
        <f>BO270+BO246</f>
        <v>#DIV/0!</v>
      </c>
      <c r="BP272" s="16" t="e">
        <f>BP270+BP246</f>
        <v>#DIV/0!</v>
      </c>
      <c r="BQ272" s="16" t="e">
        <f>BQ270+BQ246</f>
        <v>#DIV/0!</v>
      </c>
      <c r="BR272" s="16" t="e">
        <f>BR270+BR246</f>
        <v>#DIV/0!</v>
      </c>
      <c r="BS272" s="16" t="e">
        <f>BS270+BS246</f>
        <v>#DIV/0!</v>
      </c>
      <c r="BT272" s="16" t="e">
        <f>BT270+BT246</f>
        <v>#DIV/0!</v>
      </c>
      <c r="BU272" s="16" t="e">
        <f>BU270+BU246</f>
        <v>#DIV/0!</v>
      </c>
      <c r="BV272" s="16" t="e">
        <f>BV270+BV246</f>
        <v>#DIV/0!</v>
      </c>
      <c r="BW272" s="16" t="e">
        <f>BW270+BW246</f>
        <v>#DIV/0!</v>
      </c>
      <c r="BX272" s="16" t="e">
        <f>BX270+BX246</f>
        <v>#DIV/0!</v>
      </c>
      <c r="BY272" s="16" t="e">
        <f>BY270+BY246</f>
        <v>#DIV/0!</v>
      </c>
      <c r="BZ272" s="16" t="e">
        <f>BZ270+BZ246</f>
        <v>#DIV/0!</v>
      </c>
      <c r="CA272" s="16" t="e">
        <f>CA270+CA246</f>
        <v>#DIV/0!</v>
      </c>
      <c r="CB272" s="16" t="e">
        <f>CB270+CB246</f>
        <v>#DIV/0!</v>
      </c>
      <c r="CC272" s="16" t="e">
        <f>CC270+CC246</f>
        <v>#DIV/0!</v>
      </c>
      <c r="CD272" s="16" t="e">
        <f>CD270+CD246</f>
        <v>#DIV/0!</v>
      </c>
      <c r="CE272" s="16" t="e">
        <f>CE270+CE246</f>
        <v>#DIV/0!</v>
      </c>
      <c r="CF272" s="16" t="e">
        <f>CF270+CF246</f>
        <v>#DIV/0!</v>
      </c>
      <c r="CG272" s="16" t="e">
        <f>CG270+CG246</f>
        <v>#DIV/0!</v>
      </c>
      <c r="CH272" s="16" t="e">
        <f>CH270+CH246</f>
        <v>#DIV/0!</v>
      </c>
      <c r="CI272" s="16" t="e">
        <f>CI270+CI246</f>
        <v>#DIV/0!</v>
      </c>
      <c r="CJ272" s="16" t="e">
        <f>CJ270+CJ246</f>
        <v>#DIV/0!</v>
      </c>
      <c r="CK272" s="16" t="e">
        <f>CK270+CK246</f>
        <v>#DIV/0!</v>
      </c>
      <c r="CL272" s="16" t="e">
        <f>CL270+CL246</f>
        <v>#DIV/0!</v>
      </c>
      <c r="CM272" s="16" t="e">
        <f>CM270+CM246</f>
        <v>#DIV/0!</v>
      </c>
      <c r="CN272" s="16" t="e">
        <f>CN270+CN246</f>
        <v>#DIV/0!</v>
      </c>
      <c r="CO272" s="16" t="e">
        <f>CO270+CO246</f>
        <v>#DIV/0!</v>
      </c>
      <c r="CP272" s="16" t="e">
        <f>CP270+CP246</f>
        <v>#DIV/0!</v>
      </c>
      <c r="CQ272" s="16" t="e">
        <f>CQ270+CQ246</f>
        <v>#DIV/0!</v>
      </c>
      <c r="CR272" s="16" t="e">
        <f>CR270+CR246</f>
        <v>#DIV/0!</v>
      </c>
      <c r="CS272" s="16" t="e">
        <f>CS270+CS246</f>
        <v>#DIV/0!</v>
      </c>
      <c r="CT272" s="16" t="e">
        <f>CT270+CT246</f>
        <v>#DIV/0!</v>
      </c>
      <c r="CU272" s="16" t="e">
        <f>CU270+CU246</f>
        <v>#DIV/0!</v>
      </c>
      <c r="CV272" s="16" t="e">
        <f>CV270+CV246</f>
        <v>#DIV/0!</v>
      </c>
      <c r="CW272" s="16" t="e">
        <f>CW270+CW246</f>
        <v>#DIV/0!</v>
      </c>
      <c r="CX272" s="16" t="e">
        <f>CX270+CX246</f>
        <v>#DIV/0!</v>
      </c>
      <c r="CY272" s="16" t="e">
        <f>CY270+CY246</f>
        <v>#DIV/0!</v>
      </c>
    </row>
    <row r="273">
      <c r="C273" s="5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  <c r="AF273" s="1" t="n"/>
      <c r="AG273" s="1" t="n"/>
      <c r="AH273" s="1" t="n"/>
      <c r="AI273" s="1" t="n"/>
      <c r="AJ273" s="1" t="n"/>
      <c r="AK273" s="1" t="n"/>
      <c r="AL273" s="1" t="n"/>
      <c r="AM273" s="1" t="n"/>
      <c r="AN273" s="1" t="n"/>
      <c r="AO273" s="1" t="n"/>
      <c r="AP273" s="1" t="n"/>
      <c r="AQ273" s="1" t="n"/>
      <c r="AR273" s="1" t="n"/>
      <c r="AS273" s="1" t="n"/>
      <c r="AT273" s="1" t="n"/>
      <c r="AU273" s="1" t="n"/>
      <c r="AV273" s="1" t="n"/>
      <c r="AW273" s="1" t="n"/>
      <c r="AX273" s="1" t="n"/>
      <c r="AY273" s="1" t="n"/>
      <c r="AZ273" s="1" t="n"/>
      <c r="BA273" s="1" t="n"/>
      <c r="BB273" s="1" t="n"/>
      <c r="BC273" s="1" t="n"/>
      <c r="BD273" s="1" t="n"/>
      <c r="BE273" s="1" t="n"/>
      <c r="BF273" s="1" t="n"/>
      <c r="BG273" s="1" t="n"/>
      <c r="BH273" s="1" t="n"/>
      <c r="BI273" s="1" t="n"/>
      <c r="BJ273" s="1" t="n"/>
      <c r="BK273" s="1" t="n"/>
      <c r="BL273" s="1" t="n"/>
      <c r="BM273" s="1" t="n"/>
      <c r="BN273" s="1" t="n"/>
      <c r="BO273" s="1" t="n"/>
      <c r="BP273" s="1" t="n"/>
      <c r="BQ273" s="1" t="n"/>
      <c r="BR273" s="1" t="n"/>
      <c r="BS273" s="1" t="n"/>
      <c r="BT273" s="1" t="n"/>
      <c r="BU273" s="1" t="n"/>
      <c r="BV273" s="1" t="n"/>
      <c r="BW273" s="1" t="n"/>
      <c r="BX273" s="1" t="n"/>
      <c r="BY273" s="1" t="n"/>
      <c r="BZ273" s="1" t="n"/>
      <c r="CA273" s="1" t="n"/>
      <c r="CB273" s="1" t="n"/>
      <c r="CC273" s="1" t="n"/>
      <c r="CD273" s="1" t="n"/>
      <c r="CE273" s="1" t="n"/>
      <c r="CF273" s="1" t="n"/>
      <c r="CG273" s="1" t="n"/>
      <c r="CH273" s="1" t="n"/>
      <c r="CI273" s="1" t="n"/>
      <c r="CJ273" s="1" t="n"/>
      <c r="CK273" s="1" t="n"/>
      <c r="CL273" s="1" t="n"/>
      <c r="CM273" s="1" t="n"/>
      <c r="CN273" s="1" t="n"/>
      <c r="CO273" s="1" t="n"/>
      <c r="CP273" s="1" t="n"/>
      <c r="CQ273" s="1" t="n"/>
      <c r="CR273" s="1" t="n"/>
      <c r="CS273" s="1" t="n"/>
      <c r="CT273" s="1" t="n"/>
      <c r="CU273" s="1" t="n"/>
      <c r="CV273" s="1" t="n"/>
      <c r="CW273" s="1" t="n"/>
      <c r="CX273" s="1" t="n"/>
      <c r="CY273" s="1" t="n"/>
    </row>
    <row r="274" customFormat="1" s="17">
      <c r="A274" s="13" t="n"/>
      <c r="B274" s="13" t="n"/>
      <c r="C274" s="12" t="inlineStr">
        <is>
          <t>Cash Flow Statement</t>
        </is>
      </c>
      <c r="D274" s="232" t="str">
        <f>D141</f>
        <v>1Q20</v>
      </c>
      <c r="E274" s="232" t="str">
        <f>E141</f>
        <v>2Q20</v>
      </c>
      <c r="F274" s="232" t="str">
        <f>F141</f>
        <v>3Q20</v>
      </c>
      <c r="G274" s="232" t="str">
        <f>G141</f>
        <v>4Q20</v>
      </c>
      <c r="H274" s="232">
        <f>H141</f>
        <v>2020</v>
      </c>
      <c r="I274" s="232" t="str">
        <f>I141</f>
        <v>1Q21</v>
      </c>
      <c r="J274" s="232" t="str">
        <f>J141</f>
        <v>2Q21</v>
      </c>
      <c r="K274" s="232" t="str">
        <f>K141</f>
        <v>3Q21</v>
      </c>
      <c r="L274" s="232" t="str">
        <f>L141</f>
        <v>4Q21</v>
      </c>
      <c r="M274" s="232">
        <f>M141</f>
        <v>2021</v>
      </c>
      <c r="N274" s="232" t="str">
        <f>N141</f>
        <v>1Q22</v>
      </c>
      <c r="O274" s="232" t="str">
        <f>O141</f>
        <v>2Q22</v>
      </c>
      <c r="P274" s="232" t="str">
        <f>P141</f>
        <v>3Q22</v>
      </c>
      <c r="Q274" s="232" t="str">
        <f>Q141</f>
        <v>4Q22</v>
      </c>
      <c r="R274" s="232">
        <f>R141</f>
        <v>2022</v>
      </c>
      <c r="S274" s="232" t="str">
        <f>S141</f>
        <v>1Q23</v>
      </c>
      <c r="T274" s="232" t="str">
        <f>T141</f>
        <v>2Q23</v>
      </c>
      <c r="U274" s="232" t="str">
        <f>U141</f>
        <v>3Q23</v>
      </c>
      <c r="V274" s="232" t="str">
        <f>V141</f>
        <v>4Q23</v>
      </c>
      <c r="W274" s="232">
        <f>W141</f>
        <v>2023</v>
      </c>
      <c r="X274" s="232" t="str">
        <f>X141</f>
        <v>1Q24</v>
      </c>
      <c r="Y274" s="232" t="str">
        <f>Y141</f>
        <v>2Q24</v>
      </c>
      <c r="Z274" s="232" t="str">
        <f>Z141</f>
        <v>3Q24</v>
      </c>
      <c r="AA274" s="232" t="str">
        <f>AA141</f>
        <v>4Q24</v>
      </c>
      <c r="AB274" s="232">
        <f>AB141</f>
        <v>2024</v>
      </c>
      <c r="AC274" s="232" t="str">
        <f>AC141</f>
        <v>1Q25</v>
      </c>
      <c r="AD274" s="232" t="str">
        <f>AD141</f>
        <v>2Q25</v>
      </c>
      <c r="AE274" s="232" t="str">
        <f>AE141</f>
        <v>3Q25</v>
      </c>
      <c r="AF274" s="232" t="str">
        <f>AF141</f>
        <v>4Q25</v>
      </c>
      <c r="AG274" s="232">
        <f>AG141</f>
        <v>2025</v>
      </c>
      <c r="AH274" s="232" t="str">
        <f>AH141</f>
        <v>1Q26</v>
      </c>
      <c r="AI274" s="232" t="str">
        <f>AI141</f>
        <v>2Q26</v>
      </c>
      <c r="AJ274" s="232" t="str">
        <f>AJ141</f>
        <v>3Q26</v>
      </c>
      <c r="AK274" s="232" t="str">
        <f>AK141</f>
        <v>4Q26</v>
      </c>
      <c r="AL274" s="232">
        <f>AL141</f>
        <v>2026</v>
      </c>
      <c r="AM274" s="232" t="str">
        <f>AM141</f>
        <v>1Q27</v>
      </c>
      <c r="AN274" s="232" t="str">
        <f>AN141</f>
        <v>2Q27</v>
      </c>
      <c r="AO274" s="232" t="str">
        <f>AO141</f>
        <v>3Q27</v>
      </c>
      <c r="AP274" s="232" t="str">
        <f>AP141</f>
        <v>4Q27</v>
      </c>
      <c r="AQ274" s="232">
        <f>AQ141</f>
        <v>2027</v>
      </c>
      <c r="AR274" s="232" t="str">
        <f>AR141</f>
        <v>1Q28</v>
      </c>
      <c r="AS274" s="232" t="str">
        <f>AS141</f>
        <v>2Q28</v>
      </c>
      <c r="AT274" s="232" t="str">
        <f>AT141</f>
        <v>3Q28</v>
      </c>
      <c r="AU274" s="232" t="str">
        <f>AU141</f>
        <v>4Q28</v>
      </c>
      <c r="AV274" s="232">
        <f>AV141</f>
        <v>2028</v>
      </c>
      <c r="AW274" s="232" t="str">
        <f>AW141</f>
        <v>1Q29</v>
      </c>
      <c r="AX274" s="232" t="str">
        <f>AX141</f>
        <v>2Q29</v>
      </c>
      <c r="AY274" s="232" t="str">
        <f>AY141</f>
        <v>3Q29</v>
      </c>
      <c r="AZ274" s="232" t="str">
        <f>AZ141</f>
        <v>4Q29</v>
      </c>
      <c r="BA274" s="232">
        <f>BA141</f>
        <v>2029</v>
      </c>
      <c r="BB274" s="232" t="str">
        <f>BB141</f>
        <v>1Q30</v>
      </c>
      <c r="BC274" s="232" t="str">
        <f>BC141</f>
        <v>2Q30</v>
      </c>
      <c r="BD274" s="232" t="str">
        <f>BD141</f>
        <v>3Q30</v>
      </c>
      <c r="BE274" s="232" t="str">
        <f>BE141</f>
        <v>4Q30</v>
      </c>
      <c r="BF274" s="232">
        <f>BF141</f>
        <v>2030</v>
      </c>
      <c r="BG274" s="232" t="str">
        <f>BG141</f>
        <v>1Q31</v>
      </c>
      <c r="BH274" s="232" t="str">
        <f>BH141</f>
        <v>2Q31</v>
      </c>
      <c r="BI274" s="232" t="str">
        <f>BI141</f>
        <v>3Q31</v>
      </c>
      <c r="BJ274" s="232" t="str">
        <f>BJ141</f>
        <v>4Q31</v>
      </c>
      <c r="BK274" s="232">
        <f>BK141</f>
        <v>2031</v>
      </c>
      <c r="BL274" s="232" t="str">
        <f>BL141</f>
        <v>1Q32</v>
      </c>
      <c r="BM274" s="232" t="str">
        <f>BM141</f>
        <v>2Q32</v>
      </c>
      <c r="BN274" s="232" t="str">
        <f>BN141</f>
        <v>3Q32</v>
      </c>
      <c r="BO274" s="232" t="str">
        <f>BO141</f>
        <v>4Q32</v>
      </c>
      <c r="BP274" s="232">
        <f>BP141</f>
        <v>2032</v>
      </c>
      <c r="BQ274" s="232" t="str">
        <f>BQ141</f>
        <v>1Q33</v>
      </c>
      <c r="BR274" s="232" t="str">
        <f>BR141</f>
        <v>2Q33</v>
      </c>
      <c r="BS274" s="232" t="str">
        <f>BS141</f>
        <v>3Q33</v>
      </c>
      <c r="BT274" s="232" t="str">
        <f>BT141</f>
        <v>4Q33</v>
      </c>
      <c r="BU274" s="232">
        <f>BU141</f>
        <v>2033</v>
      </c>
      <c r="BV274" s="232" t="str">
        <f>BV141</f>
        <v>1Q34</v>
      </c>
      <c r="BW274" s="232" t="str">
        <f>BW141</f>
        <v>2Q34</v>
      </c>
      <c r="BX274" s="232" t="str">
        <f>BX141</f>
        <v>3Q34</v>
      </c>
      <c r="BY274" s="232" t="str">
        <f>BY141</f>
        <v>4Q34</v>
      </c>
      <c r="BZ274" s="232">
        <f>BZ141</f>
        <v>2034</v>
      </c>
      <c r="CA274" s="232" t="str">
        <f>CA141</f>
        <v>1Q35</v>
      </c>
      <c r="CB274" s="232" t="str">
        <f>CB141</f>
        <v>2Q35</v>
      </c>
      <c r="CC274" s="232" t="str">
        <f>CC141</f>
        <v>3Q35</v>
      </c>
      <c r="CD274" s="232" t="str">
        <f>CD141</f>
        <v>4Q35</v>
      </c>
      <c r="CE274" s="232">
        <f>CE141</f>
        <v>2035</v>
      </c>
      <c r="CF274" s="232" t="str">
        <f>CF141</f>
        <v>1Q36</v>
      </c>
      <c r="CG274" s="232" t="str">
        <f>CG141</f>
        <v>2Q36</v>
      </c>
      <c r="CH274" s="232" t="str">
        <f>CH141</f>
        <v>3Q36</v>
      </c>
      <c r="CI274" s="232" t="str">
        <f>CI141</f>
        <v>4Q36</v>
      </c>
      <c r="CJ274" s="232">
        <f>CJ141</f>
        <v>2036</v>
      </c>
      <c r="CK274" s="232" t="str">
        <f>CK141</f>
        <v>1Q37</v>
      </c>
      <c r="CL274" s="232" t="str">
        <f>CL141</f>
        <v>2Q37</v>
      </c>
      <c r="CM274" s="232" t="str">
        <f>CM141</f>
        <v>3Q37</v>
      </c>
      <c r="CN274" s="232" t="str">
        <f>CN141</f>
        <v>4Q37</v>
      </c>
      <c r="CO274" s="232">
        <f>CO141</f>
        <v>2037</v>
      </c>
      <c r="CP274" s="232" t="str">
        <f>CP141</f>
        <v>1Q38</v>
      </c>
      <c r="CQ274" s="232" t="str">
        <f>CQ141</f>
        <v>2Q38</v>
      </c>
      <c r="CR274" s="232" t="str">
        <f>CR141</f>
        <v>3Q38</v>
      </c>
      <c r="CS274" s="232" t="str">
        <f>CS141</f>
        <v>4Q38</v>
      </c>
      <c r="CT274" s="232">
        <f>CT141</f>
        <v>2038</v>
      </c>
      <c r="CU274" s="232" t="str">
        <f>CU141</f>
        <v>1Q39</v>
      </c>
      <c r="CV274" s="232" t="str">
        <f>CV141</f>
        <v>2Q39</v>
      </c>
      <c r="CW274" s="232" t="str">
        <f>CW141</f>
        <v>3Q39</v>
      </c>
      <c r="CX274" s="232" t="str">
        <f>CX141</f>
        <v>4Q39</v>
      </c>
      <c r="CY274" s="232">
        <f>CY141</f>
        <v>2039</v>
      </c>
    </row>
    <row r="275">
      <c r="C275" s="5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  <c r="AF275" s="1" t="n"/>
      <c r="AG275" s="1" t="n"/>
      <c r="AH275" s="1" t="n"/>
      <c r="AI275" s="1" t="n"/>
      <c r="AJ275" s="1" t="n"/>
      <c r="AK275" s="1" t="n"/>
      <c r="AL275" s="1" t="n"/>
      <c r="AM275" s="1" t="n"/>
      <c r="AN275" s="1" t="n"/>
      <c r="AO275" s="1" t="n"/>
      <c r="AP275" s="1" t="n"/>
      <c r="AQ275" s="1" t="n"/>
      <c r="AR275" s="1" t="n"/>
      <c r="AS275" s="1" t="n"/>
      <c r="AT275" s="1" t="n"/>
      <c r="AU275" s="1" t="n"/>
      <c r="AV275" s="1" t="n"/>
      <c r="AW275" s="1" t="n"/>
      <c r="AX275" s="1" t="n"/>
      <c r="AY275" s="1" t="n"/>
      <c r="AZ275" s="1" t="n"/>
      <c r="BA275" s="1" t="n"/>
      <c r="BB275" s="1" t="n"/>
      <c r="BC275" s="1" t="n"/>
      <c r="BD275" s="1" t="n"/>
      <c r="BE275" s="1" t="n"/>
      <c r="BF275" s="1" t="n"/>
      <c r="BG275" s="1" t="n"/>
      <c r="BH275" s="1" t="n"/>
      <c r="BI275" s="1" t="n"/>
      <c r="BJ275" s="1" t="n"/>
      <c r="BK275" s="1" t="n"/>
      <c r="BL275" s="1" t="n"/>
      <c r="BM275" s="1" t="n"/>
      <c r="BN275" s="1" t="n"/>
      <c r="BO275" s="1" t="n"/>
      <c r="BP275" s="1" t="n"/>
      <c r="BQ275" s="1" t="n"/>
      <c r="BR275" s="1" t="n"/>
      <c r="BS275" s="1" t="n"/>
      <c r="BT275" s="1" t="n"/>
      <c r="BU275" s="1" t="n"/>
      <c r="BV275" s="1" t="n"/>
      <c r="BW275" s="1" t="n"/>
      <c r="BX275" s="1" t="n"/>
      <c r="BY275" s="1" t="n"/>
      <c r="BZ275" s="1" t="n"/>
      <c r="CA275" s="1" t="n"/>
      <c r="CB275" s="1" t="n"/>
      <c r="CC275" s="1" t="n"/>
      <c r="CD275" s="1" t="n"/>
      <c r="CE275" s="1" t="n"/>
      <c r="CF275" s="1" t="n"/>
      <c r="CG275" s="1" t="n"/>
      <c r="CH275" s="1" t="n"/>
      <c r="CI275" s="1" t="n"/>
      <c r="CJ275" s="1" t="n"/>
      <c r="CK275" s="1" t="n"/>
      <c r="CL275" s="1" t="n"/>
      <c r="CM275" s="1" t="n"/>
      <c r="CN275" s="1" t="n"/>
      <c r="CO275" s="1" t="n"/>
      <c r="CP275" s="1" t="n"/>
      <c r="CQ275" s="1" t="n"/>
      <c r="CR275" s="1" t="n"/>
      <c r="CS275" s="1" t="n"/>
      <c r="CT275" s="1" t="n"/>
      <c r="CU275" s="1" t="n"/>
      <c r="CV275" s="1" t="n"/>
      <c r="CW275" s="1" t="n"/>
      <c r="CX275" s="1" t="n"/>
      <c r="CY275" s="1" t="n"/>
    </row>
    <row r="276">
      <c r="C276" s="29" t="inlineStr">
        <is>
          <t>Net Income</t>
        </is>
      </c>
      <c r="D276" s="3" t="n"/>
      <c r="E276" s="3">
        <f>E136</f>
        <v>622</v>
      </c>
      <c r="F276" s="3">
        <f>F136</f>
        <v>1336</v>
      </c>
      <c r="G276" s="3">
        <f>G136</f>
        <v>1457</v>
      </c>
      <c r="H276" s="3">
        <f>SUM(D276:G276)</f>
        <v>3415</v>
      </c>
      <c r="I276" s="3">
        <f>I136</f>
        <v>1912</v>
      </c>
      <c r="J276" s="3">
        <f>J136</f>
        <v>2374</v>
      </c>
      <c r="K276" s="3">
        <f>K136</f>
        <v>2464</v>
      </c>
      <c r="L276" s="3">
        <f>L136</f>
        <v>3003</v>
      </c>
      <c r="M276" s="3">
        <f>SUM(I276:L276)</f>
        <v>9753</v>
      </c>
      <c r="N276" s="3">
        <f>N136</f>
        <v>1618</v>
      </c>
      <c r="O276" s="3">
        <f>O136</f>
        <v>656</v>
      </c>
      <c r="P276" s="3">
        <f>P136</f>
        <v>680</v>
      </c>
      <c r="Q276" s="3">
        <f>Q136</f>
        <v>1414</v>
      </c>
      <c r="R276" s="3">
        <f>SUM(N276:Q276)</f>
        <v>4368</v>
      </c>
      <c r="S276" s="3">
        <f>S136</f>
        <v>2043</v>
      </c>
      <c r="T276" s="3">
        <f>T136</f>
        <v>6188</v>
      </c>
      <c r="U276" s="3">
        <f>U136</f>
        <v>9243</v>
      </c>
      <c r="V276" s="3">
        <f>V136</f>
        <v>12285</v>
      </c>
      <c r="W276" s="3">
        <f>SUM(S276:V276)</f>
        <v>29759</v>
      </c>
      <c r="X276" s="3">
        <f>X136</f>
        <v>14881</v>
      </c>
      <c r="Y276" s="3">
        <f>Y136</f>
        <v>16599</v>
      </c>
      <c r="Z276" s="3">
        <f>Z136</f>
        <v>19309</v>
      </c>
      <c r="AA276" s="3">
        <f>AA136</f>
        <v>22091</v>
      </c>
      <c r="AB276" s="3">
        <f>SUM(X276:AA276)</f>
        <v>72880</v>
      </c>
      <c r="AC276" s="3">
        <f>AC136</f>
        <v>18775</v>
      </c>
      <c r="AD276" s="3">
        <f>AD136</f>
        <v>26422</v>
      </c>
      <c r="AE276" s="3">
        <f>AE136</f>
        <v>31910</v>
      </c>
      <c r="AF276" s="3">
        <f>AF136</f>
        <v>42960</v>
      </c>
      <c r="AG276" s="3">
        <f>SUM(AC276:AF276)</f>
        <v>120067</v>
      </c>
      <c r="AH276" s="3">
        <f>AH136</f>
        <v>58321</v>
      </c>
      <c r="AI276" s="3">
        <f>AI136</f>
        <v>59688</v>
      </c>
      <c r="AJ276" s="3">
        <f>AJ136</f>
        <v>16469</v>
      </c>
      <c r="AK276" s="3">
        <f>AK136</f>
        <v>8000</v>
      </c>
      <c r="AL276" s="3">
        <f>SUM(AH276:AK276)</f>
        <v>142478</v>
      </c>
      <c r="AM276" s="3">
        <f>AM136</f>
        <v>8000</v>
      </c>
      <c r="AN276" s="3">
        <f>AN136</f>
        <v>48938</v>
      </c>
      <c r="AO276" s="3">
        <f>AO136</f>
        <v>8000</v>
      </c>
      <c r="AP276" s="3">
        <f>AP136</f>
        <v>48938</v>
      </c>
      <c r="AQ276" s="3">
        <f>SUM(AM276:AP276)</f>
        <v>113876</v>
      </c>
      <c r="AR276" s="3">
        <f>AR136</f>
        <v>48938</v>
      </c>
      <c r="AS276" s="3">
        <f>AS136</f>
        <v>113876</v>
      </c>
      <c r="AT276" s="3">
        <f>AT136</f>
        <v>48938</v>
      </c>
      <c r="AU276" s="3">
        <f>AU136</f>
        <v>113876</v>
      </c>
      <c r="AV276" s="3">
        <f>SUM(AR276:AU276)</f>
        <v>325628</v>
      </c>
      <c r="AW276" s="3">
        <f>AW136</f>
        <v>113876</v>
      </c>
      <c r="AX276" s="3">
        <f>AX136</f>
        <v>325628</v>
      </c>
      <c r="AY276" s="3">
        <f>AY136</f>
        <v>113876</v>
      </c>
      <c r="AZ276" s="3">
        <f>AZ136</f>
        <v>325628</v>
      </c>
      <c r="BA276" s="3">
        <f>SUM(AW276:AZ276)</f>
        <v>879008</v>
      </c>
      <c r="BB276" s="3">
        <f>BB136</f>
        <v>325628</v>
      </c>
      <c r="BC276" s="3">
        <f>BC136</f>
        <v>879008</v>
      </c>
      <c r="BD276" s="3">
        <f>BD136</f>
        <v>325628</v>
      </c>
      <c r="BE276" s="3">
        <f>BE136</f>
        <v>879008</v>
      </c>
      <c r="BF276" s="3">
        <f>SUM(BB276:BE276)</f>
        <v>2409272</v>
      </c>
      <c r="BG276" s="3">
        <f>BG136</f>
        <v>879008</v>
      </c>
      <c r="BH276" s="3">
        <f>BH136</f>
        <v>2409272</v>
      </c>
      <c r="BI276" s="3">
        <f>BI136</f>
        <v>879008</v>
      </c>
      <c r="BJ276" s="3">
        <f>BJ136</f>
        <v>2409272</v>
      </c>
      <c r="BK276" s="3">
        <f>SUM(BG276:BJ276)</f>
        <v>6576560</v>
      </c>
      <c r="BL276" s="3">
        <f>BL136</f>
        <v>2409272</v>
      </c>
      <c r="BM276" s="3">
        <f>BM136</f>
        <v>6576560</v>
      </c>
      <c r="BN276" s="3">
        <f>BN136</f>
        <v>2409272</v>
      </c>
      <c r="BO276" s="3">
        <f>BO136</f>
        <v>6576560</v>
      </c>
      <c r="BP276" s="3">
        <f>SUM(BL276:BO276)</f>
        <v>17971664</v>
      </c>
      <c r="BQ276" s="3">
        <f>BQ136</f>
        <v>6576560</v>
      </c>
      <c r="BR276" s="3">
        <f>BR136</f>
        <v>17971664</v>
      </c>
      <c r="BS276" s="3">
        <f>BS136</f>
        <v>6576560</v>
      </c>
      <c r="BT276" s="3">
        <f>BT136</f>
        <v>17971664</v>
      </c>
      <c r="BU276" s="3">
        <f>SUM(BQ276:BT276)</f>
        <v>49096448</v>
      </c>
      <c r="BV276" s="3">
        <f>BV136</f>
        <v>17971664</v>
      </c>
      <c r="BW276" s="3">
        <f>BW136</f>
        <v>49096448</v>
      </c>
      <c r="BX276" s="3">
        <f>BX136</f>
        <v>17971664</v>
      </c>
      <c r="BY276" s="3">
        <f>BY136</f>
        <v>49096448</v>
      </c>
      <c r="BZ276" s="3">
        <f>SUM(BV276:BY276)</f>
        <v>134136224</v>
      </c>
      <c r="CA276" s="3">
        <f>CA136</f>
        <v>49096448</v>
      </c>
      <c r="CB276" s="3">
        <f>CB136</f>
        <v>134136224</v>
      </c>
      <c r="CC276" s="3">
        <f>CC136</f>
        <v>49096448</v>
      </c>
      <c r="CD276" s="3">
        <f>CD136</f>
        <v>134136224</v>
      </c>
      <c r="CE276" s="3">
        <f>SUM(CA276:CD276)</f>
        <v>366465344</v>
      </c>
      <c r="CF276" s="3">
        <f>CF136</f>
        <v>134136224</v>
      </c>
      <c r="CG276" s="3">
        <f>CG136</f>
        <v>366465344</v>
      </c>
      <c r="CH276" s="3">
        <f>CH136</f>
        <v>134136224</v>
      </c>
      <c r="CI276" s="3">
        <f>CI136</f>
        <v>366465344</v>
      </c>
      <c r="CJ276" s="3">
        <f>SUM(CF276:CI276)</f>
        <v>1001203136</v>
      </c>
      <c r="CK276" s="3">
        <f>CK136</f>
        <v>366465344</v>
      </c>
      <c r="CL276" s="3">
        <f>CL136</f>
        <v>1001203136</v>
      </c>
      <c r="CM276" s="3">
        <f>CM136</f>
        <v>366465344</v>
      </c>
      <c r="CN276" s="3">
        <f>CN136</f>
        <v>1001203136</v>
      </c>
      <c r="CO276" s="3">
        <f>SUM(CK276:CN276)</f>
        <v>2735336960</v>
      </c>
      <c r="CP276" s="3">
        <f>CP136</f>
        <v>1001203136</v>
      </c>
      <c r="CQ276" s="3">
        <f>CQ136</f>
        <v>2735336960</v>
      </c>
      <c r="CR276" s="3">
        <f>CR136</f>
        <v>1001203136</v>
      </c>
      <c r="CS276" s="3">
        <f>CS136</f>
        <v>2735336960</v>
      </c>
      <c r="CT276" s="3">
        <f>SUM(CP276:CS276)</f>
        <v>7473080192</v>
      </c>
      <c r="CU276" s="3">
        <f>CU136</f>
        <v>2735336960</v>
      </c>
      <c r="CV276" s="3">
        <f>CV136</f>
        <v>7473080192</v>
      </c>
      <c r="CW276" s="3">
        <f>CW136</f>
        <v>2735336960</v>
      </c>
      <c r="CX276" s="3">
        <f>CX136</f>
        <v>7473080192</v>
      </c>
      <c r="CY276" s="3">
        <f>SUM(CU276:CX276)</f>
        <v>20416834304</v>
      </c>
    </row>
    <row r="277">
      <c r="C277" s="29" t="inlineStr">
        <is>
          <t>Depreciation &amp; amortization</t>
        </is>
      </c>
      <c r="D277" s="3" t="n"/>
      <c r="E277" s="3">
        <f>-E69</f>
        <v>404</v>
      </c>
      <c r="F277" s="3">
        <f>-F69</f>
        <v>299</v>
      </c>
      <c r="G277" s="3">
        <f>-G69</f>
        <v>288</v>
      </c>
      <c r="H277" s="3">
        <f>SUM(D277:G277)</f>
        <v>991</v>
      </c>
      <c r="I277" s="3">
        <f>-I69</f>
        <v>281</v>
      </c>
      <c r="J277" s="3">
        <f>-J69</f>
        <v>286</v>
      </c>
      <c r="K277" s="3">
        <f>-K69</f>
        <v>298</v>
      </c>
      <c r="L277" s="3">
        <f>-L69</f>
        <v>309</v>
      </c>
      <c r="M277" s="3">
        <f>SUM(I277:L277)</f>
        <v>1174</v>
      </c>
      <c r="N277" s="3">
        <f>-N69</f>
        <v>334</v>
      </c>
      <c r="O277" s="3">
        <f>-O69</f>
        <v>378</v>
      </c>
      <c r="P277" s="3">
        <f>-P69</f>
        <v>406</v>
      </c>
      <c r="Q277" s="3">
        <f>-Q69</f>
        <v>426</v>
      </c>
      <c r="R277" s="3">
        <f>SUM(N277:Q277)</f>
        <v>1544</v>
      </c>
      <c r="S277" s="3">
        <f>-S69</f>
        <v>384</v>
      </c>
      <c r="T277" s="3">
        <f>-T69</f>
        <v>365</v>
      </c>
      <c r="U277" s="3">
        <f>-U69</f>
        <v>372</v>
      </c>
      <c r="V277" s="3">
        <f>-V69</f>
        <v>387</v>
      </c>
      <c r="W277" s="3">
        <f>SUM(S277:V277)</f>
        <v>1508</v>
      </c>
      <c r="X277" s="3">
        <f>-X69</f>
        <v>410</v>
      </c>
      <c r="Y277" s="3">
        <f>-Y69</f>
        <v>433</v>
      </c>
      <c r="Z277" s="3">
        <f>-Z69</f>
        <v>478</v>
      </c>
      <c r="AA277" s="3">
        <f>-AA69</f>
        <v>543</v>
      </c>
      <c r="AB277" s="3">
        <f>SUM(X277:AA277)</f>
        <v>1864</v>
      </c>
      <c r="AC277" s="3">
        <f>-AC69</f>
        <v>611</v>
      </c>
      <c r="AD277" s="3">
        <f>-AD69</f>
        <v>669</v>
      </c>
      <c r="AE277" s="3">
        <f>-AE69</f>
        <v>751</v>
      </c>
      <c r="AF277" s="3">
        <f>-AF69</f>
        <v>812</v>
      </c>
      <c r="AG277" s="3">
        <f>SUM(AC277:AF277)</f>
        <v>2843</v>
      </c>
      <c r="AH277" s="3">
        <f>-AH69</f>
        <v>997</v>
      </c>
      <c r="AI277" s="3">
        <f>-AI69</f>
        <v>1127</v>
      </c>
      <c r="AJ277" s="3">
        <f>-AJ69</f>
        <v>0</v>
      </c>
      <c r="AK277" s="3">
        <f>-AK69</f>
        <v>0</v>
      </c>
      <c r="AL277" s="3">
        <f>SUM(AH277:AK277)</f>
        <v>2124</v>
      </c>
      <c r="AM277" s="3">
        <f>-AM69</f>
        <v>0</v>
      </c>
      <c r="AN277" s="3">
        <f>-AN69</f>
        <v>0</v>
      </c>
      <c r="AO277" s="3">
        <f>-AO69</f>
        <v>0</v>
      </c>
      <c r="AP277" s="3">
        <f>-AP69</f>
        <v>0</v>
      </c>
      <c r="AQ277" s="3">
        <f>SUM(AM277:AP277)</f>
        <v>0</v>
      </c>
      <c r="AR277" s="3">
        <f>-AR69</f>
        <v>0</v>
      </c>
      <c r="AS277" s="3">
        <f>-AS69</f>
        <v>0</v>
      </c>
      <c r="AT277" s="3">
        <f>-AT69</f>
        <v>0</v>
      </c>
      <c r="AU277" s="3">
        <f>-AU69</f>
        <v>0</v>
      </c>
      <c r="AV277" s="3">
        <f>SUM(AR277:AU277)</f>
        <v>0</v>
      </c>
      <c r="AW277" s="3">
        <f>-AW69</f>
        <v>0</v>
      </c>
      <c r="AX277" s="3">
        <f>-AX69</f>
        <v>0</v>
      </c>
      <c r="AY277" s="3">
        <f>-AY69</f>
        <v>0</v>
      </c>
      <c r="AZ277" s="3">
        <f>-AZ69</f>
        <v>0</v>
      </c>
      <c r="BA277" s="3">
        <f>SUM(AW277:AZ277)</f>
        <v>0</v>
      </c>
      <c r="BB277" s="3">
        <f>-BB69</f>
        <v>0</v>
      </c>
      <c r="BC277" s="3">
        <f>-BC69</f>
        <v>0</v>
      </c>
      <c r="BD277" s="3">
        <f>-BD69</f>
        <v>0</v>
      </c>
      <c r="BE277" s="3">
        <f>-BE69</f>
        <v>0</v>
      </c>
      <c r="BF277" s="3">
        <f>SUM(BB277:BE277)</f>
        <v>0</v>
      </c>
      <c r="BG277" s="3">
        <f>-BG69</f>
        <v>0</v>
      </c>
      <c r="BH277" s="3">
        <f>-BH69</f>
        <v>0</v>
      </c>
      <c r="BI277" s="3">
        <f>-BI69</f>
        <v>0</v>
      </c>
      <c r="BJ277" s="3">
        <f>-BJ69</f>
        <v>0</v>
      </c>
      <c r="BK277" s="3">
        <f>SUM(BG277:BJ277)</f>
        <v>0</v>
      </c>
      <c r="BL277" s="3">
        <f>-BL69</f>
        <v>0</v>
      </c>
      <c r="BM277" s="3">
        <f>-BM69</f>
        <v>0</v>
      </c>
      <c r="BN277" s="3">
        <f>-BN69</f>
        <v>0</v>
      </c>
      <c r="BO277" s="3">
        <f>-BO69</f>
        <v>0</v>
      </c>
      <c r="BP277" s="3">
        <f>SUM(BL277:BO277)</f>
        <v>0</v>
      </c>
      <c r="BQ277" s="3">
        <f>-BQ69</f>
        <v>0</v>
      </c>
      <c r="BR277" s="3">
        <f>-BR69</f>
        <v>0</v>
      </c>
      <c r="BS277" s="3">
        <f>-BS69</f>
        <v>0</v>
      </c>
      <c r="BT277" s="3">
        <f>-BT69</f>
        <v>0</v>
      </c>
      <c r="BU277" s="3">
        <f>SUM(BQ277:BT277)</f>
        <v>0</v>
      </c>
      <c r="BV277" s="3">
        <f>-BV69</f>
        <v>0</v>
      </c>
      <c r="BW277" s="3">
        <f>-BW69</f>
        <v>0</v>
      </c>
      <c r="BX277" s="3">
        <f>-BX69</f>
        <v>0</v>
      </c>
      <c r="BY277" s="3">
        <f>-BY69</f>
        <v>0</v>
      </c>
      <c r="BZ277" s="3">
        <f>SUM(BV277:BY277)</f>
        <v>0</v>
      </c>
      <c r="CA277" s="3">
        <f>-CA69</f>
        <v>0</v>
      </c>
      <c r="CB277" s="3">
        <f>-CB69</f>
        <v>0</v>
      </c>
      <c r="CC277" s="3">
        <f>-CC69</f>
        <v>0</v>
      </c>
      <c r="CD277" s="3">
        <f>-CD69</f>
        <v>0</v>
      </c>
      <c r="CE277" s="3">
        <f>SUM(CA277:CD277)</f>
        <v>0</v>
      </c>
      <c r="CF277" s="3">
        <f>-CF69</f>
        <v>0</v>
      </c>
      <c r="CG277" s="3">
        <f>-CG69</f>
        <v>0</v>
      </c>
      <c r="CH277" s="3">
        <f>-CH69</f>
        <v>0</v>
      </c>
      <c r="CI277" s="3">
        <f>-CI69</f>
        <v>0</v>
      </c>
      <c r="CJ277" s="3">
        <f>SUM(CF277:CI277)</f>
        <v>0</v>
      </c>
      <c r="CK277" s="3">
        <f>-CK69</f>
        <v>0</v>
      </c>
      <c r="CL277" s="3">
        <f>-CL69</f>
        <v>0</v>
      </c>
      <c r="CM277" s="3">
        <f>-CM69</f>
        <v>0</v>
      </c>
      <c r="CN277" s="3">
        <f>-CN69</f>
        <v>0</v>
      </c>
      <c r="CO277" s="3">
        <f>SUM(CK277:CN277)</f>
        <v>0</v>
      </c>
      <c r="CP277" s="3">
        <f>-CP69</f>
        <v>0</v>
      </c>
      <c r="CQ277" s="3">
        <f>-CQ69</f>
        <v>0</v>
      </c>
      <c r="CR277" s="3">
        <f>-CR69</f>
        <v>0</v>
      </c>
      <c r="CS277" s="3">
        <f>-CS69</f>
        <v>0</v>
      </c>
      <c r="CT277" s="3">
        <f>SUM(CP277:CS277)</f>
        <v>0</v>
      </c>
      <c r="CU277" s="3">
        <f>-CU69</f>
        <v>0</v>
      </c>
      <c r="CV277" s="3">
        <f>-CV69</f>
        <v>0</v>
      </c>
      <c r="CW277" s="3">
        <f>-CW69</f>
        <v>0</v>
      </c>
      <c r="CX277" s="3">
        <f>-CX69</f>
        <v>0</v>
      </c>
      <c r="CY277" s="3">
        <f>SUM(CU277:CX277)</f>
        <v>0</v>
      </c>
    </row>
    <row r="278">
      <c r="C278" s="29" t="inlineStr">
        <is>
          <t xml:space="preserve">Changes in working capital </t>
        </is>
      </c>
      <c r="D278" s="3" t="n"/>
      <c r="E278" s="3">
        <f>SUM(E279:E288)</f>
        <v>-60</v>
      </c>
      <c r="F278" s="3">
        <f>SUM(F279:F288)</f>
        <v>-329</v>
      </c>
      <c r="G278" s="3">
        <f>SUM(G279:G288)</f>
        <v>-125</v>
      </c>
      <c r="H278" s="3">
        <f>SUM(D278:G278)</f>
        <v>-514</v>
      </c>
      <c r="I278" s="3">
        <f>SUM(I279:I288)</f>
        <v>-859</v>
      </c>
      <c r="J278" s="3">
        <f>SUM(J279:J288)</f>
        <v>-429</v>
      </c>
      <c r="K278" s="3">
        <f>SUM(K279:K288)</f>
        <v>-204</v>
      </c>
      <c r="L278" s="3">
        <f>SUM(L279:L288)</f>
        <v>-642</v>
      </c>
      <c r="M278" s="3">
        <f>SUM(I278:L278)</f>
        <v>-2134</v>
      </c>
      <c r="N278" s="3">
        <f>SUM(N279:N288)</f>
        <v>-951</v>
      </c>
      <c r="O278" s="3">
        <f>SUM(O279:O288)</f>
        <v>-823</v>
      </c>
      <c r="P278" s="3">
        <f>SUM(P279:P288)</f>
        <v>-954</v>
      </c>
      <c r="Q278" s="3">
        <f>SUM(Q279:Q288)</f>
        <v>-624</v>
      </c>
      <c r="R278" s="3">
        <f>SUM(N278:Q278)</f>
        <v>-3352</v>
      </c>
      <c r="S278" s="3">
        <f>SUM(S279:S288)</f>
        <v>-261</v>
      </c>
      <c r="T278" s="3">
        <f>SUM(T279:T288)</f>
        <v>-966</v>
      </c>
      <c r="U278" s="3">
        <f>SUM(U279:U288)</f>
        <v>-3420</v>
      </c>
      <c r="V278" s="3">
        <f>SUM(V279:V288)</f>
        <v>-2554</v>
      </c>
      <c r="W278" s="3">
        <f>SUM(S278:V278)</f>
        <v>-7201</v>
      </c>
      <c r="X278" s="3">
        <f>SUM(X279:X288)</f>
        <v>-1055</v>
      </c>
      <c r="Y278" s="3">
        <f>SUM(Y279:Y288)</f>
        <v>-4326</v>
      </c>
      <c r="Z278" s="3">
        <f>SUM(Z279:Z288)</f>
        <v>-2508</v>
      </c>
      <c r="AA278" s="3">
        <f>SUM(AA279:AA288)</f>
        <v>-6898</v>
      </c>
      <c r="AB278" s="3">
        <f>SUM(X278:AA278)</f>
        <v>-14787</v>
      </c>
      <c r="AC278" s="3">
        <f>SUM(AC279:AC288)</f>
        <v>6828</v>
      </c>
      <c r="AD278" s="3">
        <f>SUM(AD279:AD288)</f>
        <v>-11721</v>
      </c>
      <c r="AE278" s="3">
        <f>SUM(AE279:AE288)</f>
        <v>-9741</v>
      </c>
      <c r="AF278" s="3">
        <f>SUM(AF279:AF288)</f>
        <v>-13547</v>
      </c>
      <c r="AG278" s="3">
        <f>SUM(AC278:AF278)</f>
        <v>-28181</v>
      </c>
      <c r="AH278" s="3">
        <f>SUM(AH279:AH288)</f>
        <v>-11454</v>
      </c>
      <c r="AI278" s="3">
        <f>SUM(AI279:AI288)</f>
        <v>-41483</v>
      </c>
      <c r="AJ278" s="3">
        <f>SUM(AJ279:AJ288)</f>
        <v>52615</v>
      </c>
      <c r="AK278" s="3">
        <f>SUM(AK279:AK288)</f>
        <v>0</v>
      </c>
      <c r="AL278" s="3">
        <f>SUM(AH278:AK278)</f>
        <v>-322</v>
      </c>
      <c r="AM278" s="3" t="e">
        <f>SUM(AM279:AM288)</f>
        <v>#DIV/0!</v>
      </c>
      <c r="AN278" s="3" t="e">
        <f>SUM(AN279:AN288)</f>
        <v>#DIV/0!</v>
      </c>
      <c r="AO278" s="3" t="e">
        <f>SUM(AO279:AO288)</f>
        <v>#DIV/0!</v>
      </c>
      <c r="AP278" s="3" t="e">
        <f>SUM(AP279:AP288)</f>
        <v>#DIV/0!</v>
      </c>
      <c r="AQ278" s="3" t="e">
        <f>SUM(AM278:AP278)</f>
        <v>#DIV/0!</v>
      </c>
      <c r="AR278" s="3" t="e">
        <f>SUM(AR279:AR288)</f>
        <v>#DIV/0!</v>
      </c>
      <c r="AS278" s="3" t="e">
        <f>SUM(AS279:AS288)</f>
        <v>#DIV/0!</v>
      </c>
      <c r="AT278" s="3" t="e">
        <f>SUM(AT279:AT288)</f>
        <v>#DIV/0!</v>
      </c>
      <c r="AU278" s="3" t="e">
        <f>SUM(AU279:AU288)</f>
        <v>#DIV/0!</v>
      </c>
      <c r="AV278" s="3" t="e">
        <f>SUM(AR278:AU278)</f>
        <v>#DIV/0!</v>
      </c>
      <c r="AW278" s="3" t="e">
        <f>SUM(AW279:AW288)</f>
        <v>#DIV/0!</v>
      </c>
      <c r="AX278" s="3" t="e">
        <f>SUM(AX279:AX288)</f>
        <v>#DIV/0!</v>
      </c>
      <c r="AY278" s="3" t="e">
        <f>SUM(AY279:AY288)</f>
        <v>#DIV/0!</v>
      </c>
      <c r="AZ278" s="3" t="e">
        <f>SUM(AZ279:AZ288)</f>
        <v>#DIV/0!</v>
      </c>
      <c r="BA278" s="3" t="e">
        <f>SUM(AW278:AZ278)</f>
        <v>#DIV/0!</v>
      </c>
      <c r="BB278" s="3" t="e">
        <f>SUM(BB279:BB288)</f>
        <v>#DIV/0!</v>
      </c>
      <c r="BC278" s="3" t="e">
        <f>SUM(BC279:BC288)</f>
        <v>#DIV/0!</v>
      </c>
      <c r="BD278" s="3" t="e">
        <f>SUM(BD279:BD288)</f>
        <v>#DIV/0!</v>
      </c>
      <c r="BE278" s="3" t="e">
        <f>SUM(BE279:BE288)</f>
        <v>#DIV/0!</v>
      </c>
      <c r="BF278" s="3" t="e">
        <f>SUM(BB278:BE278)</f>
        <v>#DIV/0!</v>
      </c>
      <c r="BG278" s="3" t="e">
        <f>SUM(BG279:BG288)</f>
        <v>#DIV/0!</v>
      </c>
      <c r="BH278" s="3" t="e">
        <f>SUM(BH279:BH288)</f>
        <v>#DIV/0!</v>
      </c>
      <c r="BI278" s="3" t="e">
        <f>SUM(BI279:BI288)</f>
        <v>#DIV/0!</v>
      </c>
      <c r="BJ278" s="3" t="e">
        <f>SUM(BJ279:BJ288)</f>
        <v>#DIV/0!</v>
      </c>
      <c r="BK278" s="3" t="e">
        <f>SUM(BG278:BJ278)</f>
        <v>#DIV/0!</v>
      </c>
      <c r="BL278" s="3" t="e">
        <f>SUM(BL279:BL288)</f>
        <v>#DIV/0!</v>
      </c>
      <c r="BM278" s="3" t="e">
        <f>SUM(BM279:BM288)</f>
        <v>#DIV/0!</v>
      </c>
      <c r="BN278" s="3" t="e">
        <f>SUM(BN279:BN288)</f>
        <v>#DIV/0!</v>
      </c>
      <c r="BO278" s="3" t="e">
        <f>SUM(BO279:BO288)</f>
        <v>#DIV/0!</v>
      </c>
      <c r="BP278" s="3" t="e">
        <f>SUM(BL278:BO278)</f>
        <v>#DIV/0!</v>
      </c>
      <c r="BQ278" s="3" t="e">
        <f>SUM(BQ279:BQ288)</f>
        <v>#DIV/0!</v>
      </c>
      <c r="BR278" s="3" t="e">
        <f>SUM(BR279:BR288)</f>
        <v>#DIV/0!</v>
      </c>
      <c r="BS278" s="3" t="e">
        <f>SUM(BS279:BS288)</f>
        <v>#DIV/0!</v>
      </c>
      <c r="BT278" s="3" t="e">
        <f>SUM(BT279:BT288)</f>
        <v>#DIV/0!</v>
      </c>
      <c r="BU278" s="3" t="e">
        <f>SUM(BQ278:BT278)</f>
        <v>#DIV/0!</v>
      </c>
      <c r="BV278" s="3" t="e">
        <f>SUM(BV279:BV288)</f>
        <v>#DIV/0!</v>
      </c>
      <c r="BW278" s="3" t="e">
        <f>SUM(BW279:BW288)</f>
        <v>#DIV/0!</v>
      </c>
      <c r="BX278" s="3" t="e">
        <f>SUM(BX279:BX288)</f>
        <v>#DIV/0!</v>
      </c>
      <c r="BY278" s="3" t="e">
        <f>SUM(BY279:BY288)</f>
        <v>#DIV/0!</v>
      </c>
      <c r="BZ278" s="3" t="e">
        <f>SUM(BV278:BY278)</f>
        <v>#DIV/0!</v>
      </c>
      <c r="CA278" s="3" t="e">
        <f>SUM(CA279:CA288)</f>
        <v>#DIV/0!</v>
      </c>
      <c r="CB278" s="3" t="e">
        <f>SUM(CB279:CB288)</f>
        <v>#DIV/0!</v>
      </c>
      <c r="CC278" s="3" t="e">
        <f>SUM(CC279:CC288)</f>
        <v>#DIV/0!</v>
      </c>
      <c r="CD278" s="3" t="e">
        <f>SUM(CD279:CD288)</f>
        <v>#DIV/0!</v>
      </c>
      <c r="CE278" s="3" t="e">
        <f>SUM(CA278:CD278)</f>
        <v>#DIV/0!</v>
      </c>
      <c r="CF278" s="3" t="e">
        <f>SUM(CF279:CF288)</f>
        <v>#DIV/0!</v>
      </c>
      <c r="CG278" s="3" t="e">
        <f>SUM(CG279:CG288)</f>
        <v>#DIV/0!</v>
      </c>
      <c r="CH278" s="3" t="e">
        <f>SUM(CH279:CH288)</f>
        <v>#DIV/0!</v>
      </c>
      <c r="CI278" s="3" t="e">
        <f>SUM(CI279:CI288)</f>
        <v>#DIV/0!</v>
      </c>
      <c r="CJ278" s="3" t="e">
        <f>SUM(CF278:CI278)</f>
        <v>#DIV/0!</v>
      </c>
      <c r="CK278" s="3" t="e">
        <f>SUM(CK279:CK288)</f>
        <v>#DIV/0!</v>
      </c>
      <c r="CL278" s="3" t="e">
        <f>SUM(CL279:CL288)</f>
        <v>#DIV/0!</v>
      </c>
      <c r="CM278" s="3" t="e">
        <f>SUM(CM279:CM288)</f>
        <v>#DIV/0!</v>
      </c>
      <c r="CN278" s="3" t="e">
        <f>SUM(CN279:CN288)</f>
        <v>#DIV/0!</v>
      </c>
      <c r="CO278" s="3" t="e">
        <f>SUM(CK278:CN278)</f>
        <v>#DIV/0!</v>
      </c>
      <c r="CP278" s="3" t="e">
        <f>SUM(CP279:CP288)</f>
        <v>#DIV/0!</v>
      </c>
      <c r="CQ278" s="3" t="e">
        <f>SUM(CQ279:CQ288)</f>
        <v>#DIV/0!</v>
      </c>
      <c r="CR278" s="3" t="e">
        <f>SUM(CR279:CR288)</f>
        <v>#DIV/0!</v>
      </c>
      <c r="CS278" s="3" t="e">
        <f>SUM(CS279:CS288)</f>
        <v>#DIV/0!</v>
      </c>
      <c r="CT278" s="3" t="e">
        <f>SUM(CP278:CS278)</f>
        <v>#DIV/0!</v>
      </c>
      <c r="CU278" s="3" t="e">
        <f>SUM(CU279:CU288)</f>
        <v>#DIV/0!</v>
      </c>
      <c r="CV278" s="3" t="e">
        <f>SUM(CV279:CV288)</f>
        <v>#DIV/0!</v>
      </c>
      <c r="CW278" s="3" t="e">
        <f>SUM(CW279:CW288)</f>
        <v>#DIV/0!</v>
      </c>
      <c r="CX278" s="3" t="e">
        <f>SUM(CX279:CX288)</f>
        <v>#DIV/0!</v>
      </c>
      <c r="CY278" s="3" t="e">
        <f>SUM(CU278:CX278)</f>
        <v>#DIV/0!</v>
      </c>
    </row>
    <row r="279" hidden="1" outlineLevel="1">
      <c r="C279" s="29" t="inlineStr">
        <is>
          <t>Accounts receivable</t>
        </is>
      </c>
      <c r="D279" s="3" t="n"/>
      <c r="E279" s="3">
        <f>(E144-D144)*-1</f>
        <v>-177</v>
      </c>
      <c r="F279" s="3">
        <f>(F144-E144)*-1</f>
        <v>-462</v>
      </c>
      <c r="G279" s="3">
        <f>(G144-F144)*-1</f>
        <v>117</v>
      </c>
      <c r="H279" s="3">
        <f>SUM(D279:G279)</f>
        <v>-522</v>
      </c>
      <c r="I279" s="3">
        <f>(I144-H144)*-1</f>
        <v>-595</v>
      </c>
      <c r="J279" s="3">
        <f>(J144-I144)*-1</f>
        <v>-562</v>
      </c>
      <c r="K279" s="3">
        <f>(K144-J144)*-1</f>
        <v>-368</v>
      </c>
      <c r="L279" s="3">
        <f>(L144-K144)*-1</f>
        <v>-696</v>
      </c>
      <c r="M279" s="3">
        <f>SUM(I279:L279)</f>
        <v>-2221</v>
      </c>
      <c r="N279" s="3">
        <f>(N144-M144)*-1</f>
        <v>-788</v>
      </c>
      <c r="O279" s="3">
        <f>(O144-N144)*-1</f>
        <v>121</v>
      </c>
      <c r="P279" s="3">
        <f>(P144-O144)*-1</f>
        <v>409</v>
      </c>
      <c r="Q279" s="3">
        <f>(Q144-P144)*-1</f>
        <v>1081</v>
      </c>
      <c r="R279" s="3">
        <f>SUM(N279:Q279)</f>
        <v>823</v>
      </c>
      <c r="S279" s="3">
        <f>(S144-R144)*-1</f>
        <v>-253</v>
      </c>
      <c r="T279" s="3">
        <f>(T144-S144)*-1</f>
        <v>-2986</v>
      </c>
      <c r="U279" s="3">
        <f>(U144-T144)*-1</f>
        <v>-1243</v>
      </c>
      <c r="V279" s="3">
        <f>(V144-U144)*-1</f>
        <v>-1690</v>
      </c>
      <c r="W279" s="3">
        <f>SUM(S279:V279)</f>
        <v>-6172</v>
      </c>
      <c r="X279" s="3">
        <f>(X144-W144)*-1</f>
        <v>-2366</v>
      </c>
      <c r="Y279" s="3">
        <f>(Y144-X144)*-1</f>
        <v>-1767</v>
      </c>
      <c r="Z279" s="3">
        <f>(Z144-Y144)*-1</f>
        <v>-3561</v>
      </c>
      <c r="AA279" s="3">
        <f>(AA144-Z144)*-1</f>
        <v>-5372</v>
      </c>
      <c r="AB279" s="3">
        <f>SUM(X279:AA279)</f>
        <v>-13066</v>
      </c>
      <c r="AC279" s="3">
        <f>(AC144-AB144)*-1</f>
        <v>933</v>
      </c>
      <c r="AD279" s="3">
        <f>(AD144-AC144)*-1</f>
        <v>-5676</v>
      </c>
      <c r="AE279" s="3">
        <f>(AE144-AD144)*-1</f>
        <v>-5583</v>
      </c>
      <c r="AF279" s="3">
        <f>(AF144-AE144)*-1</f>
        <v>-5075</v>
      </c>
      <c r="AG279" s="3">
        <f>SUM(AC279:AF279)</f>
        <v>-15401</v>
      </c>
      <c r="AH279" s="3">
        <f>(AH144-AG144)*-1</f>
        <v>-2244</v>
      </c>
      <c r="AI279" s="3">
        <f>(AI144-AH144)*-1</f>
        <v>-22349</v>
      </c>
      <c r="AJ279" s="3">
        <f>(AJ144-AI144)*-1</f>
        <v>63059</v>
      </c>
      <c r="AK279" s="3">
        <f>(AK144-AJ144)*-1</f>
        <v>0</v>
      </c>
      <c r="AL279" s="3">
        <f>SUM(AH279:AK279)</f>
        <v>38466</v>
      </c>
      <c r="AM279" s="3">
        <f>(AM144-AL144)*-1</f>
        <v>0</v>
      </c>
      <c r="AN279" s="3">
        <f>(AN144-AM144)*-1</f>
        <v>0</v>
      </c>
      <c r="AO279" s="3">
        <f>(AO144-AN144)*-1</f>
        <v>0</v>
      </c>
      <c r="AP279" s="3">
        <f>(AP144-AO144)*-1</f>
        <v>0</v>
      </c>
      <c r="AQ279" s="3">
        <f>SUM(AM279:AP279)</f>
        <v>0</v>
      </c>
      <c r="AR279" s="3">
        <f>(AR144-AQ144)*-1</f>
        <v>0</v>
      </c>
      <c r="AS279" s="3">
        <f>(AS144-AR144)*-1</f>
        <v>0</v>
      </c>
      <c r="AT279" s="3">
        <f>(AT144-AS144)*-1</f>
        <v>0</v>
      </c>
      <c r="AU279" s="3">
        <f>(AU144-AT144)*-1</f>
        <v>0</v>
      </c>
      <c r="AV279" s="3">
        <f>SUM(AR279:AU279)</f>
        <v>0</v>
      </c>
      <c r="AW279" s="3">
        <f>(AW144-AV144)*-1</f>
        <v>0</v>
      </c>
      <c r="AX279" s="3">
        <f>(AX144-AW144)*-1</f>
        <v>0</v>
      </c>
      <c r="AY279" s="3">
        <f>(AY144-AX144)*-1</f>
        <v>0</v>
      </c>
      <c r="AZ279" s="3">
        <f>(AZ144-AY144)*-1</f>
        <v>0</v>
      </c>
      <c r="BA279" s="3">
        <f>SUM(AW279:AZ279)</f>
        <v>0</v>
      </c>
      <c r="BB279" s="3">
        <f>(BB144-BA144)*-1</f>
        <v>0</v>
      </c>
      <c r="BC279" s="3">
        <f>(BC144-BB144)*-1</f>
        <v>0</v>
      </c>
      <c r="BD279" s="3">
        <f>(BD144-BC144)*-1</f>
        <v>0</v>
      </c>
      <c r="BE279" s="3">
        <f>(BE144-BD144)*-1</f>
        <v>0</v>
      </c>
      <c r="BF279" s="3">
        <f>SUM(BB279:BE279)</f>
        <v>0</v>
      </c>
      <c r="BG279" s="3">
        <f>(BG144-BF144)*-1</f>
        <v>0</v>
      </c>
      <c r="BH279" s="3">
        <f>(BH144-BG144)*-1</f>
        <v>0</v>
      </c>
      <c r="BI279" s="3">
        <f>(BI144-BH144)*-1</f>
        <v>0</v>
      </c>
      <c r="BJ279" s="3">
        <f>(BJ144-BI144)*-1</f>
        <v>0</v>
      </c>
      <c r="BK279" s="3">
        <f>SUM(BG279:BJ279)</f>
        <v>0</v>
      </c>
      <c r="BL279" s="3">
        <f>(BL144-BK144)*-1</f>
        <v>0</v>
      </c>
      <c r="BM279" s="3">
        <f>(BM144-BL144)*-1</f>
        <v>0</v>
      </c>
      <c r="BN279" s="3">
        <f>(BN144-BM144)*-1</f>
        <v>0</v>
      </c>
      <c r="BO279" s="3">
        <f>(BO144-BN144)*-1</f>
        <v>0</v>
      </c>
      <c r="BP279" s="3">
        <f>SUM(BL279:BO279)</f>
        <v>0</v>
      </c>
      <c r="BQ279" s="3">
        <f>(BQ144-BP144)*-1</f>
        <v>0</v>
      </c>
      <c r="BR279" s="3">
        <f>(BR144-BQ144)*-1</f>
        <v>0</v>
      </c>
      <c r="BS279" s="3">
        <f>(BS144-BR144)*-1</f>
        <v>0</v>
      </c>
      <c r="BT279" s="3">
        <f>(BT144-BS144)*-1</f>
        <v>0</v>
      </c>
      <c r="BU279" s="3">
        <f>SUM(BQ279:BT279)</f>
        <v>0</v>
      </c>
      <c r="BV279" s="3">
        <f>(BV144-BU144)*-1</f>
        <v>0</v>
      </c>
      <c r="BW279" s="3">
        <f>(BW144-BV144)*-1</f>
        <v>0</v>
      </c>
      <c r="BX279" s="3">
        <f>(BX144-BW144)*-1</f>
        <v>0</v>
      </c>
      <c r="BY279" s="3">
        <f>(BY144-BX144)*-1</f>
        <v>0</v>
      </c>
      <c r="BZ279" s="3">
        <f>SUM(BV279:BY279)</f>
        <v>0</v>
      </c>
      <c r="CA279" s="3">
        <f>(CA144-BZ144)*-1</f>
        <v>0</v>
      </c>
      <c r="CB279" s="3">
        <f>(CB144-CA144)*-1</f>
        <v>0</v>
      </c>
      <c r="CC279" s="3">
        <f>(CC144-CB144)*-1</f>
        <v>0</v>
      </c>
      <c r="CD279" s="3">
        <f>(CD144-CC144)*-1</f>
        <v>0</v>
      </c>
      <c r="CE279" s="3">
        <f>SUM(CA279:CD279)</f>
        <v>0</v>
      </c>
      <c r="CF279" s="3">
        <f>(CF144-CE144)*-1</f>
        <v>0</v>
      </c>
      <c r="CG279" s="3">
        <f>(CG144-CF144)*-1</f>
        <v>0</v>
      </c>
      <c r="CH279" s="3">
        <f>(CH144-CG144)*-1</f>
        <v>0</v>
      </c>
      <c r="CI279" s="3">
        <f>(CI144-CH144)*-1</f>
        <v>0</v>
      </c>
      <c r="CJ279" s="3">
        <f>SUM(CF279:CI279)</f>
        <v>0</v>
      </c>
      <c r="CK279" s="3">
        <f>(CK144-CJ144)*-1</f>
        <v>0</v>
      </c>
      <c r="CL279" s="3">
        <f>(CL144-CK144)*-1</f>
        <v>0</v>
      </c>
      <c r="CM279" s="3">
        <f>(CM144-CL144)*-1</f>
        <v>0</v>
      </c>
      <c r="CN279" s="3">
        <f>(CN144-CM144)*-1</f>
        <v>0</v>
      </c>
      <c r="CO279" s="3">
        <f>SUM(CK279:CN279)</f>
        <v>0</v>
      </c>
      <c r="CP279" s="3">
        <f>(CP144-CO144)*-1</f>
        <v>0</v>
      </c>
      <c r="CQ279" s="3">
        <f>(CQ144-CP144)*-1</f>
        <v>0</v>
      </c>
      <c r="CR279" s="3">
        <f>(CR144-CQ144)*-1</f>
        <v>0</v>
      </c>
      <c r="CS279" s="3">
        <f>(CS144-CR144)*-1</f>
        <v>0</v>
      </c>
      <c r="CT279" s="3">
        <f>SUM(CP279:CS279)</f>
        <v>0</v>
      </c>
      <c r="CU279" s="3">
        <f>(CU144-CT144)*-1</f>
        <v>0</v>
      </c>
      <c r="CV279" s="3">
        <f>(CV144-CU144)*-1</f>
        <v>0</v>
      </c>
      <c r="CW279" s="3">
        <f>(CW144-CV144)*-1</f>
        <v>0</v>
      </c>
      <c r="CX279" s="3">
        <f>(CX144-CW144)*-1</f>
        <v>0</v>
      </c>
      <c r="CY279" s="3">
        <f>SUM(CU279:CX279)</f>
        <v>0</v>
      </c>
    </row>
    <row r="280" hidden="1" outlineLevel="1">
      <c r="C280" s="29" t="inlineStr">
        <is>
          <t>Inventories</t>
        </is>
      </c>
      <c r="D280" s="3" t="n"/>
      <c r="E280" s="3">
        <f>(E148-D148)*-1</f>
        <v>-273</v>
      </c>
      <c r="F280" s="3">
        <f>(F148-E148)*-1</f>
        <v>-94</v>
      </c>
      <c r="G280" s="3">
        <f>(G148-F148)*-1</f>
        <v>-331</v>
      </c>
      <c r="H280" s="3">
        <f>SUM(D280:G280)</f>
        <v>-698</v>
      </c>
      <c r="I280" s="3">
        <f>(I148-H148)*-1</f>
        <v>-166</v>
      </c>
      <c r="J280" s="3">
        <f>(J148-I148)*-1</f>
        <v>-122</v>
      </c>
      <c r="K280" s="3">
        <f>(K148-J148)*-1</f>
        <v>-119</v>
      </c>
      <c r="L280" s="3">
        <f>(L148-K148)*-1</f>
        <v>-372</v>
      </c>
      <c r="M280" s="3">
        <f>SUM(I280:L280)</f>
        <v>-779</v>
      </c>
      <c r="N280" s="3">
        <f>(N148-M148)*-1</f>
        <v>-558</v>
      </c>
      <c r="O280" s="3">
        <f>(O148-N148)*-1</f>
        <v>-726</v>
      </c>
      <c r="P280" s="3">
        <f>(P148-O148)*-1</f>
        <v>-565</v>
      </c>
      <c r="Q280" s="3">
        <f>(Q148-P148)*-1</f>
        <v>-705</v>
      </c>
      <c r="R280" s="3">
        <f>SUM(N280:Q280)</f>
        <v>-2554</v>
      </c>
      <c r="S280" s="3">
        <f>(S148-R148)*-1</f>
        <v>548</v>
      </c>
      <c r="T280" s="3">
        <f>(T148-S148)*-1</f>
        <v>292</v>
      </c>
      <c r="U280" s="3">
        <f>(U148-T148)*-1</f>
        <v>-460</v>
      </c>
      <c r="V280" s="3">
        <f>(V148-U148)*-1</f>
        <v>-503</v>
      </c>
      <c r="W280" s="3">
        <f>SUM(S280:V280)</f>
        <v>-123</v>
      </c>
      <c r="X280" s="3">
        <f>(X148-W148)*-1</f>
        <v>-582</v>
      </c>
      <c r="Y280" s="3">
        <f>(Y148-X148)*-1</f>
        <v>-811</v>
      </c>
      <c r="Z280" s="3">
        <f>(Z148-Y148)*-1</f>
        <v>-979</v>
      </c>
      <c r="AA280" s="3">
        <f>(AA148-Z148)*-1</f>
        <v>-2426</v>
      </c>
      <c r="AB280" s="3">
        <f>SUM(X280:AA280)</f>
        <v>-4798</v>
      </c>
      <c r="AC280" s="3">
        <f>(AC148-AB148)*-1</f>
        <v>-1253</v>
      </c>
      <c r="AD280" s="3">
        <f>(AD148-AC148)*-1</f>
        <v>-3629</v>
      </c>
      <c r="AE280" s="3">
        <f>(AE148-AD148)*-1</f>
        <v>-4822</v>
      </c>
      <c r="AF280" s="3">
        <f>(AF148-AE148)*-1</f>
        <v>-1619</v>
      </c>
      <c r="AG280" s="3">
        <f>SUM(AC280:AF280)</f>
        <v>-11323</v>
      </c>
      <c r="AH280" s="3">
        <f>(AH148-AG148)*-1</f>
        <v>-4394</v>
      </c>
      <c r="AI280" s="3">
        <f>(AI148-AH148)*-1</f>
        <v>-5778</v>
      </c>
      <c r="AJ280" s="3">
        <f>(AJ148-AI148)*-1</f>
        <v>31575</v>
      </c>
      <c r="AK280" s="3">
        <f>(AK148-AJ148)*-1</f>
        <v>0</v>
      </c>
      <c r="AL280" s="3">
        <f>SUM(AH280:AK280)</f>
        <v>21403</v>
      </c>
      <c r="AM280" s="3">
        <f>(AM148-AL148)*-1</f>
        <v>0</v>
      </c>
      <c r="AN280" s="3">
        <f>(AN148-AM148)*-1</f>
        <v>0</v>
      </c>
      <c r="AO280" s="3">
        <f>(AO148-AN148)*-1</f>
        <v>0</v>
      </c>
      <c r="AP280" s="3">
        <f>(AP148-AO148)*-1</f>
        <v>0</v>
      </c>
      <c r="AQ280" s="3">
        <f>SUM(AM280:AP280)</f>
        <v>0</v>
      </c>
      <c r="AR280" s="3">
        <f>(AR148-AQ148)*-1</f>
        <v>0</v>
      </c>
      <c r="AS280" s="3">
        <f>(AS148-AR148)*-1</f>
        <v>0</v>
      </c>
      <c r="AT280" s="3">
        <f>(AT148-AS148)*-1</f>
        <v>0</v>
      </c>
      <c r="AU280" s="3">
        <f>(AU148-AT148)*-1</f>
        <v>0</v>
      </c>
      <c r="AV280" s="3">
        <f>SUM(AR280:AU280)</f>
        <v>0</v>
      </c>
      <c r="AW280" s="3">
        <f>(AW148-AV148)*-1</f>
        <v>0</v>
      </c>
      <c r="AX280" s="3">
        <f>(AX148-AW148)*-1</f>
        <v>0</v>
      </c>
      <c r="AY280" s="3">
        <f>(AY148-AX148)*-1</f>
        <v>0</v>
      </c>
      <c r="AZ280" s="3">
        <f>(AZ148-AY148)*-1</f>
        <v>0</v>
      </c>
      <c r="BA280" s="3">
        <f>SUM(AW280:AZ280)</f>
        <v>0</v>
      </c>
      <c r="BB280" s="3">
        <f>(BB148-BA148)*-1</f>
        <v>0</v>
      </c>
      <c r="BC280" s="3">
        <f>(BC148-BB148)*-1</f>
        <v>0</v>
      </c>
      <c r="BD280" s="3">
        <f>(BD148-BC148)*-1</f>
        <v>0</v>
      </c>
      <c r="BE280" s="3">
        <f>(BE148-BD148)*-1</f>
        <v>0</v>
      </c>
      <c r="BF280" s="3">
        <f>SUM(BB280:BE280)</f>
        <v>0</v>
      </c>
      <c r="BG280" s="3">
        <f>(BG148-BF148)*-1</f>
        <v>0</v>
      </c>
      <c r="BH280" s="3">
        <f>(BH148-BG148)*-1</f>
        <v>0</v>
      </c>
      <c r="BI280" s="3">
        <f>(BI148-BH148)*-1</f>
        <v>0</v>
      </c>
      <c r="BJ280" s="3">
        <f>(BJ148-BI148)*-1</f>
        <v>0</v>
      </c>
      <c r="BK280" s="3">
        <f>SUM(BG280:BJ280)</f>
        <v>0</v>
      </c>
      <c r="BL280" s="3">
        <f>(BL148-BK148)*-1</f>
        <v>0</v>
      </c>
      <c r="BM280" s="3">
        <f>(BM148-BL148)*-1</f>
        <v>0</v>
      </c>
      <c r="BN280" s="3">
        <f>(BN148-BM148)*-1</f>
        <v>0</v>
      </c>
      <c r="BO280" s="3">
        <f>(BO148-BN148)*-1</f>
        <v>0</v>
      </c>
      <c r="BP280" s="3">
        <f>SUM(BL280:BO280)</f>
        <v>0</v>
      </c>
      <c r="BQ280" s="3">
        <f>(BQ148-BP148)*-1</f>
        <v>0</v>
      </c>
      <c r="BR280" s="3">
        <f>(BR148-BQ148)*-1</f>
        <v>0</v>
      </c>
      <c r="BS280" s="3">
        <f>(BS148-BR148)*-1</f>
        <v>0</v>
      </c>
      <c r="BT280" s="3">
        <f>(BT148-BS148)*-1</f>
        <v>0</v>
      </c>
      <c r="BU280" s="3">
        <f>SUM(BQ280:BT280)</f>
        <v>0</v>
      </c>
      <c r="BV280" s="3">
        <f>(BV148-BU148)*-1</f>
        <v>0</v>
      </c>
      <c r="BW280" s="3">
        <f>(BW148-BV148)*-1</f>
        <v>0</v>
      </c>
      <c r="BX280" s="3">
        <f>(BX148-BW148)*-1</f>
        <v>0</v>
      </c>
      <c r="BY280" s="3">
        <f>(BY148-BX148)*-1</f>
        <v>0</v>
      </c>
      <c r="BZ280" s="3">
        <f>SUM(BV280:BY280)</f>
        <v>0</v>
      </c>
      <c r="CA280" s="3">
        <f>(CA148-BZ148)*-1</f>
        <v>0</v>
      </c>
      <c r="CB280" s="3">
        <f>(CB148-CA148)*-1</f>
        <v>0</v>
      </c>
      <c r="CC280" s="3">
        <f>(CC148-CB148)*-1</f>
        <v>0</v>
      </c>
      <c r="CD280" s="3">
        <f>(CD148-CC148)*-1</f>
        <v>0</v>
      </c>
      <c r="CE280" s="3">
        <f>SUM(CA280:CD280)</f>
        <v>0</v>
      </c>
      <c r="CF280" s="3">
        <f>(CF148-CE148)*-1</f>
        <v>0</v>
      </c>
      <c r="CG280" s="3">
        <f>(CG148-CF148)*-1</f>
        <v>0</v>
      </c>
      <c r="CH280" s="3">
        <f>(CH148-CG148)*-1</f>
        <v>0</v>
      </c>
      <c r="CI280" s="3">
        <f>(CI148-CH148)*-1</f>
        <v>0</v>
      </c>
      <c r="CJ280" s="3">
        <f>SUM(CF280:CI280)</f>
        <v>0</v>
      </c>
      <c r="CK280" s="3">
        <f>(CK148-CJ148)*-1</f>
        <v>0</v>
      </c>
      <c r="CL280" s="3">
        <f>(CL148-CK148)*-1</f>
        <v>0</v>
      </c>
      <c r="CM280" s="3">
        <f>(CM148-CL148)*-1</f>
        <v>0</v>
      </c>
      <c r="CN280" s="3">
        <f>(CN148-CM148)*-1</f>
        <v>0</v>
      </c>
      <c r="CO280" s="3">
        <f>SUM(CK280:CN280)</f>
        <v>0</v>
      </c>
      <c r="CP280" s="3">
        <f>(CP148-CO148)*-1</f>
        <v>0</v>
      </c>
      <c r="CQ280" s="3">
        <f>(CQ148-CP148)*-1</f>
        <v>0</v>
      </c>
      <c r="CR280" s="3">
        <f>(CR148-CQ148)*-1</f>
        <v>0</v>
      </c>
      <c r="CS280" s="3">
        <f>(CS148-CR148)*-1</f>
        <v>0</v>
      </c>
      <c r="CT280" s="3">
        <f>SUM(CP280:CS280)</f>
        <v>0</v>
      </c>
      <c r="CU280" s="3">
        <f>(CU148-CT148)*-1</f>
        <v>0</v>
      </c>
      <c r="CV280" s="3">
        <f>(CV148-CU148)*-1</f>
        <v>0</v>
      </c>
      <c r="CW280" s="3">
        <f>(CW148-CV148)*-1</f>
        <v>0</v>
      </c>
      <c r="CX280" s="3">
        <f>(CX148-CW148)*-1</f>
        <v>0</v>
      </c>
      <c r="CY280" s="3">
        <f>SUM(CU280:CX280)</f>
        <v>0</v>
      </c>
    </row>
    <row r="281" hidden="1" outlineLevel="1">
      <c r="C281" s="29" t="inlineStr">
        <is>
          <t>Deferred income taxes</t>
        </is>
      </c>
      <c r="D281" s="3" t="n"/>
      <c r="E281" s="3">
        <f>(E152-D152)*-1</f>
        <v>-97</v>
      </c>
      <c r="F281" s="3">
        <f>(F152-E152)*-1</f>
        <v>-36</v>
      </c>
      <c r="G281" s="3">
        <f>(G152-F152)*-1</f>
        <v>-140</v>
      </c>
      <c r="H281" s="3">
        <f>SUM(D281:G281)</f>
        <v>-273</v>
      </c>
      <c r="I281" s="3">
        <f>(I152-H152)*-1</f>
        <v>28</v>
      </c>
      <c r="J281" s="3">
        <f>(J152-I152)*-1</f>
        <v>-180</v>
      </c>
      <c r="K281" s="3">
        <f>(K152-J152)*-1</f>
        <v>-12</v>
      </c>
      <c r="L281" s="3">
        <f>(L152-K152)*-1</f>
        <v>-252</v>
      </c>
      <c r="M281" s="3">
        <f>SUM(I281:L281)</f>
        <v>-416</v>
      </c>
      <c r="N281" s="3">
        <f>(N152-M152)*-1</f>
        <v>-562</v>
      </c>
      <c r="O281" s="3">
        <f>(O152-N152)*-1</f>
        <v>-441</v>
      </c>
      <c r="P281" s="3">
        <f>(P152-O152)*-1</f>
        <v>-537</v>
      </c>
      <c r="Q281" s="3">
        <f>(Q152-P152)*-1</f>
        <v>-634</v>
      </c>
      <c r="R281" s="3">
        <f>SUM(N281:Q281)</f>
        <v>-2174</v>
      </c>
      <c r="S281" s="3">
        <f>(S152-R152)*-1</f>
        <v>-1172</v>
      </c>
      <c r="T281" s="3">
        <f>(T152-S152)*-1</f>
        <v>-830</v>
      </c>
      <c r="U281" s="3">
        <f>(U152-T152)*-1</f>
        <v>-584</v>
      </c>
      <c r="V281" s="3">
        <f>(V152-U152)*-1</f>
        <v>-99</v>
      </c>
      <c r="W281" s="3">
        <f>SUM(S281:V281)</f>
        <v>-2685</v>
      </c>
      <c r="X281" s="3">
        <f>(X152-W152)*-1</f>
        <v>-1717</v>
      </c>
      <c r="Y281" s="3">
        <f>(Y152-X152)*-1</f>
        <v>-1780</v>
      </c>
      <c r="Z281" s="3">
        <f>(Z152-Y152)*-1</f>
        <v>-698</v>
      </c>
      <c r="AA281" s="3">
        <f>(AA152-Z152)*-1</f>
        <v>-703</v>
      </c>
      <c r="AB281" s="3">
        <f>SUM(X281:AA281)</f>
        <v>-4898</v>
      </c>
      <c r="AC281" s="3">
        <f>(AC152-AB152)*-1</f>
        <v>-2339</v>
      </c>
      <c r="AD281" s="3">
        <f>(AD152-AC152)*-1</f>
        <v>-252</v>
      </c>
      <c r="AE281" s="3">
        <f>(AE152-AD152)*-1</f>
        <v>-104</v>
      </c>
      <c r="AF281" s="3">
        <f>(AF152-AE152)*-1</f>
        <v>416</v>
      </c>
      <c r="AG281" s="3">
        <f>SUM(AC281:AF281)</f>
        <v>-2279</v>
      </c>
      <c r="AH281" s="3">
        <f>(AH152-AG152)*-1</f>
        <v>1551</v>
      </c>
      <c r="AI281" s="3">
        <f>(AI152-AH152)*-1</f>
        <v>-452</v>
      </c>
      <c r="AJ281" s="3">
        <f>(AJ152-AI152)*-1</f>
        <v>0</v>
      </c>
      <c r="AK281" s="3">
        <f>(AK152-AJ152)*-1</f>
        <v>0</v>
      </c>
      <c r="AL281" s="3">
        <f>SUM(AH281:AK281)</f>
        <v>1099</v>
      </c>
      <c r="AM281" s="3">
        <f>(AM152-AL152)*-1</f>
        <v>0</v>
      </c>
      <c r="AN281" s="3">
        <f>(AN152-AM152)*-1</f>
        <v>0</v>
      </c>
      <c r="AO281" s="3">
        <f>(AO152-AN152)*-1</f>
        <v>0</v>
      </c>
      <c r="AP281" s="3">
        <f>(AP152-AO152)*-1</f>
        <v>0</v>
      </c>
      <c r="AQ281" s="3">
        <f>SUM(AM281:AP281)</f>
        <v>0</v>
      </c>
      <c r="AR281" s="3">
        <f>(AR152-AQ152)*-1</f>
        <v>0</v>
      </c>
      <c r="AS281" s="3">
        <f>(AS152-AR152)*-1</f>
        <v>0</v>
      </c>
      <c r="AT281" s="3">
        <f>(AT152-AS152)*-1</f>
        <v>0</v>
      </c>
      <c r="AU281" s="3">
        <f>(AU152-AT152)*-1</f>
        <v>0</v>
      </c>
      <c r="AV281" s="3">
        <f>SUM(AR281:AU281)</f>
        <v>0</v>
      </c>
      <c r="AW281" s="3">
        <f>(AW152-AV152)*-1</f>
        <v>0</v>
      </c>
      <c r="AX281" s="3">
        <f>(AX152-AW152)*-1</f>
        <v>0</v>
      </c>
      <c r="AY281" s="3">
        <f>(AY152-AX152)*-1</f>
        <v>0</v>
      </c>
      <c r="AZ281" s="3">
        <f>(AZ152-AY152)*-1</f>
        <v>0</v>
      </c>
      <c r="BA281" s="3">
        <f>SUM(AW281:AZ281)</f>
        <v>0</v>
      </c>
      <c r="BB281" s="3">
        <f>(BB152-BA152)*-1</f>
        <v>0</v>
      </c>
      <c r="BC281" s="3">
        <f>(BC152-BB152)*-1</f>
        <v>0</v>
      </c>
      <c r="BD281" s="3">
        <f>(BD152-BC152)*-1</f>
        <v>0</v>
      </c>
      <c r="BE281" s="3">
        <f>(BE152-BD152)*-1</f>
        <v>0</v>
      </c>
      <c r="BF281" s="3">
        <f>SUM(BB281:BE281)</f>
        <v>0</v>
      </c>
      <c r="BG281" s="3">
        <f>(BG152-BF152)*-1</f>
        <v>0</v>
      </c>
      <c r="BH281" s="3">
        <f>(BH152-BG152)*-1</f>
        <v>0</v>
      </c>
      <c r="BI281" s="3">
        <f>(BI152-BH152)*-1</f>
        <v>0</v>
      </c>
      <c r="BJ281" s="3">
        <f>(BJ152-BI152)*-1</f>
        <v>0</v>
      </c>
      <c r="BK281" s="3">
        <f>SUM(BG281:BJ281)</f>
        <v>0</v>
      </c>
      <c r="BL281" s="3">
        <f>(BL152-BK152)*-1</f>
        <v>0</v>
      </c>
      <c r="BM281" s="3">
        <f>(BM152-BL152)*-1</f>
        <v>0</v>
      </c>
      <c r="BN281" s="3">
        <f>(BN152-BM152)*-1</f>
        <v>0</v>
      </c>
      <c r="BO281" s="3">
        <f>(BO152-BN152)*-1</f>
        <v>0</v>
      </c>
      <c r="BP281" s="3">
        <f>SUM(BL281:BO281)</f>
        <v>0</v>
      </c>
      <c r="BQ281" s="3">
        <f>(BQ152-BP152)*-1</f>
        <v>0</v>
      </c>
      <c r="BR281" s="3">
        <f>(BR152-BQ152)*-1</f>
        <v>0</v>
      </c>
      <c r="BS281" s="3">
        <f>(BS152-BR152)*-1</f>
        <v>0</v>
      </c>
      <c r="BT281" s="3">
        <f>(BT152-BS152)*-1</f>
        <v>0</v>
      </c>
      <c r="BU281" s="3">
        <f>SUM(BQ281:BT281)</f>
        <v>0</v>
      </c>
      <c r="BV281" s="3">
        <f>(BV152-BU152)*-1</f>
        <v>0</v>
      </c>
      <c r="BW281" s="3">
        <f>(BW152-BV152)*-1</f>
        <v>0</v>
      </c>
      <c r="BX281" s="3">
        <f>(BX152-BW152)*-1</f>
        <v>0</v>
      </c>
      <c r="BY281" s="3">
        <f>(BY152-BX152)*-1</f>
        <v>0</v>
      </c>
      <c r="BZ281" s="3">
        <f>SUM(BV281:BY281)</f>
        <v>0</v>
      </c>
      <c r="CA281" s="3">
        <f>(CA152-BZ152)*-1</f>
        <v>0</v>
      </c>
      <c r="CB281" s="3">
        <f>(CB152-CA152)*-1</f>
        <v>0</v>
      </c>
      <c r="CC281" s="3">
        <f>(CC152-CB152)*-1</f>
        <v>0</v>
      </c>
      <c r="CD281" s="3">
        <f>(CD152-CC152)*-1</f>
        <v>0</v>
      </c>
      <c r="CE281" s="3">
        <f>SUM(CA281:CD281)</f>
        <v>0</v>
      </c>
      <c r="CF281" s="3">
        <f>(CF152-CE152)*-1</f>
        <v>0</v>
      </c>
      <c r="CG281" s="3">
        <f>(CG152-CF152)*-1</f>
        <v>0</v>
      </c>
      <c r="CH281" s="3">
        <f>(CH152-CG152)*-1</f>
        <v>0</v>
      </c>
      <c r="CI281" s="3">
        <f>(CI152-CH152)*-1</f>
        <v>0</v>
      </c>
      <c r="CJ281" s="3">
        <f>SUM(CF281:CI281)</f>
        <v>0</v>
      </c>
      <c r="CK281" s="3">
        <f>(CK152-CJ152)*-1</f>
        <v>0</v>
      </c>
      <c r="CL281" s="3">
        <f>(CL152-CK152)*-1</f>
        <v>0</v>
      </c>
      <c r="CM281" s="3">
        <f>(CM152-CL152)*-1</f>
        <v>0</v>
      </c>
      <c r="CN281" s="3">
        <f>(CN152-CM152)*-1</f>
        <v>0</v>
      </c>
      <c r="CO281" s="3">
        <f>SUM(CK281:CN281)</f>
        <v>0</v>
      </c>
      <c r="CP281" s="3">
        <f>(CP152-CO152)*-1</f>
        <v>0</v>
      </c>
      <c r="CQ281" s="3">
        <f>(CQ152-CP152)*-1</f>
        <v>0</v>
      </c>
      <c r="CR281" s="3">
        <f>(CR152-CQ152)*-1</f>
        <v>0</v>
      </c>
      <c r="CS281" s="3">
        <f>(CS152-CR152)*-1</f>
        <v>0</v>
      </c>
      <c r="CT281" s="3">
        <f>SUM(CP281:CS281)</f>
        <v>0</v>
      </c>
      <c r="CU281" s="3">
        <f>(CU152-CT152)*-1</f>
        <v>0</v>
      </c>
      <c r="CV281" s="3">
        <f>(CV152-CU152)*-1</f>
        <v>0</v>
      </c>
      <c r="CW281" s="3">
        <f>(CW152-CV152)*-1</f>
        <v>0</v>
      </c>
      <c r="CX281" s="3">
        <f>(CX152-CW152)*-1</f>
        <v>0</v>
      </c>
      <c r="CY281" s="3">
        <f>SUM(CU281:CX281)</f>
        <v>0</v>
      </c>
    </row>
    <row r="282" hidden="1" outlineLevel="1">
      <c r="C282" s="29" t="inlineStr">
        <is>
          <t>Prepaid expenses</t>
        </is>
      </c>
      <c r="D282" s="3" t="n"/>
      <c r="E282" s="3">
        <f>(E153-D153)*-1</f>
        <v>0</v>
      </c>
      <c r="F282" s="3">
        <f>(F153-E153)*-1</f>
        <v>0</v>
      </c>
      <c r="G282" s="3">
        <f>(G153-F153)*-1</f>
        <v>0</v>
      </c>
      <c r="H282" s="3">
        <f>SUM(D282:G282)</f>
        <v>0</v>
      </c>
      <c r="I282" s="3">
        <f>(I153-H153)*-1</f>
        <v>0</v>
      </c>
      <c r="J282" s="3">
        <f>(J153-I153)*-1</f>
        <v>0</v>
      </c>
      <c r="K282" s="3">
        <f>(K153-J153)*-1</f>
        <v>0</v>
      </c>
      <c r="L282" s="3">
        <f>(L153-K153)*-1</f>
        <v>0</v>
      </c>
      <c r="M282" s="3">
        <f>SUM(I282:L282)</f>
        <v>0</v>
      </c>
      <c r="N282" s="3">
        <f>(N153-M153)*-1</f>
        <v>0</v>
      </c>
      <c r="O282" s="3">
        <f>(O153-N153)*-1</f>
        <v>0</v>
      </c>
      <c r="P282" s="3">
        <f>(P153-O153)*-1</f>
        <v>0</v>
      </c>
      <c r="Q282" s="3">
        <f>(Q153-P153)*-1</f>
        <v>0</v>
      </c>
      <c r="R282" s="3">
        <f>SUM(N282:Q282)</f>
        <v>0</v>
      </c>
      <c r="S282" s="3">
        <f>(S153-R153)*-1</f>
        <v>0</v>
      </c>
      <c r="T282" s="3">
        <f>(T153-S153)*-1</f>
        <v>0</v>
      </c>
      <c r="U282" s="3">
        <f>(U153-T153)*-1</f>
        <v>0</v>
      </c>
      <c r="V282" s="3">
        <f>(V153-U153)*-1</f>
        <v>0</v>
      </c>
      <c r="W282" s="3">
        <f>SUM(S282:V282)</f>
        <v>0</v>
      </c>
      <c r="X282" s="3">
        <f>(X153-W153)*-1</f>
        <v>0</v>
      </c>
      <c r="Y282" s="3">
        <f>(Y153-X153)*-1</f>
        <v>0</v>
      </c>
      <c r="Z282" s="3">
        <f>(Z153-Y153)*-1</f>
        <v>0</v>
      </c>
      <c r="AA282" s="3">
        <f>(AA153-Z153)*-1</f>
        <v>0</v>
      </c>
      <c r="AB282" s="3">
        <f>SUM(X282:AA282)</f>
        <v>0</v>
      </c>
      <c r="AC282" s="3">
        <f>(AC153-AB153)*-1</f>
        <v>0</v>
      </c>
      <c r="AD282" s="3">
        <f>(AD153-AC153)*-1</f>
        <v>0</v>
      </c>
      <c r="AE282" s="3">
        <f>(AE153-AD153)*-1</f>
        <v>0</v>
      </c>
      <c r="AF282" s="3">
        <f>(AF153-AE153)*-1</f>
        <v>0</v>
      </c>
      <c r="AG282" s="3">
        <f>SUM(AC282:AF282)</f>
        <v>0</v>
      </c>
      <c r="AH282" s="3">
        <f>(AH153-AG153)*-1</f>
        <v>0</v>
      </c>
      <c r="AI282" s="3">
        <f>(AI153-AH153)*-1</f>
        <v>0</v>
      </c>
      <c r="AJ282" s="3">
        <f>(AJ153-AI153)*-1</f>
        <v>0</v>
      </c>
      <c r="AK282" s="3">
        <f>(AK153-AJ153)*-1</f>
        <v>0</v>
      </c>
      <c r="AL282" s="3">
        <f>SUM(AH282:AK282)</f>
        <v>0</v>
      </c>
      <c r="AM282" s="3">
        <f>(AM153-AL153)*-1</f>
        <v>0</v>
      </c>
      <c r="AN282" s="3">
        <f>(AN153-AM153)*-1</f>
        <v>0</v>
      </c>
      <c r="AO282" s="3">
        <f>(AO153-AN153)*-1</f>
        <v>0</v>
      </c>
      <c r="AP282" s="3">
        <f>(AP153-AO153)*-1</f>
        <v>0</v>
      </c>
      <c r="AQ282" s="3">
        <f>SUM(AM282:AP282)</f>
        <v>0</v>
      </c>
      <c r="AR282" s="3">
        <f>(AR153-AQ153)*-1</f>
        <v>0</v>
      </c>
      <c r="AS282" s="3">
        <f>(AS153-AR153)*-1</f>
        <v>0</v>
      </c>
      <c r="AT282" s="3">
        <f>(AT153-AS153)*-1</f>
        <v>0</v>
      </c>
      <c r="AU282" s="3">
        <f>(AU153-AT153)*-1</f>
        <v>0</v>
      </c>
      <c r="AV282" s="3">
        <f>SUM(AR282:AU282)</f>
        <v>0</v>
      </c>
      <c r="AW282" s="3">
        <f>(AW153-AV153)*-1</f>
        <v>0</v>
      </c>
      <c r="AX282" s="3">
        <f>(AX153-AW153)*-1</f>
        <v>0</v>
      </c>
      <c r="AY282" s="3">
        <f>(AY153-AX153)*-1</f>
        <v>0</v>
      </c>
      <c r="AZ282" s="3">
        <f>(AZ153-AY153)*-1</f>
        <v>0</v>
      </c>
      <c r="BA282" s="3">
        <f>SUM(AW282:AZ282)</f>
        <v>0</v>
      </c>
      <c r="BB282" s="3">
        <f>(BB153-BA153)*-1</f>
        <v>0</v>
      </c>
      <c r="BC282" s="3">
        <f>(BC153-BB153)*-1</f>
        <v>0</v>
      </c>
      <c r="BD282" s="3">
        <f>(BD153-BC153)*-1</f>
        <v>0</v>
      </c>
      <c r="BE282" s="3">
        <f>(BE153-BD153)*-1</f>
        <v>0</v>
      </c>
      <c r="BF282" s="3">
        <f>SUM(BB282:BE282)</f>
        <v>0</v>
      </c>
      <c r="BG282" s="3">
        <f>(BG153-BF153)*-1</f>
        <v>0</v>
      </c>
      <c r="BH282" s="3">
        <f>(BH153-BG153)*-1</f>
        <v>0</v>
      </c>
      <c r="BI282" s="3">
        <f>(BI153-BH153)*-1</f>
        <v>0</v>
      </c>
      <c r="BJ282" s="3">
        <f>(BJ153-BI153)*-1</f>
        <v>0</v>
      </c>
      <c r="BK282" s="3">
        <f>SUM(BG282:BJ282)</f>
        <v>0</v>
      </c>
      <c r="BL282" s="3">
        <f>(BL153-BK153)*-1</f>
        <v>0</v>
      </c>
      <c r="BM282" s="3">
        <f>(BM153-BL153)*-1</f>
        <v>0</v>
      </c>
      <c r="BN282" s="3">
        <f>(BN153-BM153)*-1</f>
        <v>0</v>
      </c>
      <c r="BO282" s="3">
        <f>(BO153-BN153)*-1</f>
        <v>0</v>
      </c>
      <c r="BP282" s="3">
        <f>SUM(BL282:BO282)</f>
        <v>0</v>
      </c>
      <c r="BQ282" s="3">
        <f>(BQ153-BP153)*-1</f>
        <v>0</v>
      </c>
      <c r="BR282" s="3">
        <f>(BR153-BQ153)*-1</f>
        <v>0</v>
      </c>
      <c r="BS282" s="3">
        <f>(BS153-BR153)*-1</f>
        <v>0</v>
      </c>
      <c r="BT282" s="3">
        <f>(BT153-BS153)*-1</f>
        <v>0</v>
      </c>
      <c r="BU282" s="3">
        <f>SUM(BQ282:BT282)</f>
        <v>0</v>
      </c>
      <c r="BV282" s="3">
        <f>(BV153-BU153)*-1</f>
        <v>0</v>
      </c>
      <c r="BW282" s="3">
        <f>(BW153-BV153)*-1</f>
        <v>0</v>
      </c>
      <c r="BX282" s="3">
        <f>(BX153-BW153)*-1</f>
        <v>0</v>
      </c>
      <c r="BY282" s="3">
        <f>(BY153-BX153)*-1</f>
        <v>0</v>
      </c>
      <c r="BZ282" s="3">
        <f>SUM(BV282:BY282)</f>
        <v>0</v>
      </c>
      <c r="CA282" s="3">
        <f>(CA153-BZ153)*-1</f>
        <v>0</v>
      </c>
      <c r="CB282" s="3">
        <f>(CB153-CA153)*-1</f>
        <v>0</v>
      </c>
      <c r="CC282" s="3">
        <f>(CC153-CB153)*-1</f>
        <v>0</v>
      </c>
      <c r="CD282" s="3">
        <f>(CD153-CC153)*-1</f>
        <v>0</v>
      </c>
      <c r="CE282" s="3">
        <f>SUM(CA282:CD282)</f>
        <v>0</v>
      </c>
      <c r="CF282" s="3">
        <f>(CF153-CE153)*-1</f>
        <v>0</v>
      </c>
      <c r="CG282" s="3">
        <f>(CG153-CF153)*-1</f>
        <v>0</v>
      </c>
      <c r="CH282" s="3">
        <f>(CH153-CG153)*-1</f>
        <v>0</v>
      </c>
      <c r="CI282" s="3">
        <f>(CI153-CH153)*-1</f>
        <v>0</v>
      </c>
      <c r="CJ282" s="3">
        <f>SUM(CF282:CI282)</f>
        <v>0</v>
      </c>
      <c r="CK282" s="3">
        <f>(CK153-CJ153)*-1</f>
        <v>0</v>
      </c>
      <c r="CL282" s="3">
        <f>(CL153-CK153)*-1</f>
        <v>0</v>
      </c>
      <c r="CM282" s="3">
        <f>(CM153-CL153)*-1</f>
        <v>0</v>
      </c>
      <c r="CN282" s="3">
        <f>(CN153-CM153)*-1</f>
        <v>0</v>
      </c>
      <c r="CO282" s="3">
        <f>SUM(CK282:CN282)</f>
        <v>0</v>
      </c>
      <c r="CP282" s="3">
        <f>(CP153-CO153)*-1</f>
        <v>0</v>
      </c>
      <c r="CQ282" s="3">
        <f>(CQ153-CP153)*-1</f>
        <v>0</v>
      </c>
      <c r="CR282" s="3">
        <f>(CR153-CQ153)*-1</f>
        <v>0</v>
      </c>
      <c r="CS282" s="3">
        <f>(CS153-CR153)*-1</f>
        <v>0</v>
      </c>
      <c r="CT282" s="3">
        <f>SUM(CP282:CS282)</f>
        <v>0</v>
      </c>
      <c r="CU282" s="3">
        <f>(CU153-CT153)*-1</f>
        <v>0</v>
      </c>
      <c r="CV282" s="3">
        <f>(CV153-CU153)*-1</f>
        <v>0</v>
      </c>
      <c r="CW282" s="3">
        <f>(CW153-CV153)*-1</f>
        <v>0</v>
      </c>
      <c r="CX282" s="3">
        <f>(CX153-CW153)*-1</f>
        <v>0</v>
      </c>
      <c r="CY282" s="3">
        <f>SUM(CU282:CX282)</f>
        <v>0</v>
      </c>
    </row>
    <row r="283" hidden="1" outlineLevel="1">
      <c r="C283" s="29" t="inlineStr">
        <is>
          <t>Other current assets</t>
        </is>
      </c>
      <c r="D283" s="3" t="n"/>
      <c r="E283" s="3">
        <f>(E154-D154)*-1</f>
        <v>-20</v>
      </c>
      <c r="F283" s="3">
        <f>(F154-E154)*-1</f>
        <v>2</v>
      </c>
      <c r="G283" s="3">
        <f>(G154-F154)*-1</f>
        <v>-26</v>
      </c>
      <c r="H283" s="3">
        <f>SUM(D283:G283)</f>
        <v>-44</v>
      </c>
      <c r="I283" s="3">
        <f>(I154-H154)*-1</f>
        <v>-205</v>
      </c>
      <c r="J283" s="3">
        <f>(J154-I154)*-1</f>
        <v>-8</v>
      </c>
      <c r="K283" s="3">
        <f>(K154-J154)*-1</f>
        <v>131</v>
      </c>
      <c r="L283" s="3">
        <f>(L154-K154)*-1</f>
        <v>-45</v>
      </c>
      <c r="M283" s="3">
        <f>SUM(I283:L283)</f>
        <v>-127</v>
      </c>
      <c r="N283" s="3">
        <f>(N154-M154)*-1</f>
        <v>-270</v>
      </c>
      <c r="O283" s="3">
        <f>(O154-N154)*-1</f>
        <v>-539</v>
      </c>
      <c r="P283" s="3">
        <f>(P154-O154)*-1</f>
        <v>457</v>
      </c>
      <c r="Q283" s="3">
        <f>(Q154-P154)*-1</f>
        <v>-73</v>
      </c>
      <c r="R283" s="3">
        <f>SUM(N283:Q283)</f>
        <v>-425</v>
      </c>
      <c r="S283" s="3">
        <f>(S154-R154)*-1</f>
        <v>-81</v>
      </c>
      <c r="T283" s="3">
        <f>(T154-S154)*-1</f>
        <v>-517</v>
      </c>
      <c r="U283" s="3">
        <f>(U154-T154)*-1</f>
        <v>100</v>
      </c>
      <c r="V283" s="3">
        <f>(V154-U154)*-1</f>
        <v>-1791</v>
      </c>
      <c r="W283" s="3">
        <f>SUM(S283:V283)</f>
        <v>-2289</v>
      </c>
      <c r="X283" s="3">
        <f>(X154-W154)*-1</f>
        <v>-982</v>
      </c>
      <c r="Y283" s="3">
        <f>(Y154-X154)*-1</f>
        <v>36</v>
      </c>
      <c r="Z283" s="3">
        <f>(Z154-Y154)*-1</f>
        <v>220</v>
      </c>
      <c r="AA283" s="3">
        <f>(AA154-Z154)*-1</f>
        <v>35</v>
      </c>
      <c r="AB283" s="3">
        <f>SUM(X283:AA283)</f>
        <v>-691</v>
      </c>
      <c r="AC283" s="3">
        <f>(AC154-AB154)*-1</f>
        <v>992</v>
      </c>
      <c r="AD283" s="3">
        <f>(AD154-AC154)*-1</f>
        <v>121</v>
      </c>
      <c r="AE283" s="3">
        <f>(AE154-AD154)*-1</f>
        <v>-51</v>
      </c>
      <c r="AF283" s="3">
        <f>(AF154-AE154)*-1</f>
        <v>-13357</v>
      </c>
      <c r="AG283" s="3">
        <f>SUM(AC283:AF283)</f>
        <v>-12295</v>
      </c>
      <c r="AH283" s="3">
        <f>(AH154-AG154)*-1</f>
        <v>-18087</v>
      </c>
      <c r="AI283" s="3">
        <f>(AI154-AH154)*-1</f>
        <v>-12039</v>
      </c>
      <c r="AJ283" s="3">
        <f>(AJ154-AI154)*-1</f>
        <v>0</v>
      </c>
      <c r="AK283" s="3">
        <f>(AK154-AJ154)*-1</f>
        <v>0</v>
      </c>
      <c r="AL283" s="3">
        <f>SUM(AH283:AK283)</f>
        <v>-30126</v>
      </c>
      <c r="AM283" s="3">
        <f>(AM154-AL154)*-1</f>
        <v>0</v>
      </c>
      <c r="AN283" s="3">
        <f>(AN154-AM154)*-1</f>
        <v>0</v>
      </c>
      <c r="AO283" s="3">
        <f>(AO154-AN154)*-1</f>
        <v>0</v>
      </c>
      <c r="AP283" s="3">
        <f>(AP154-AO154)*-1</f>
        <v>0</v>
      </c>
      <c r="AQ283" s="3">
        <f>SUM(AM283:AP283)</f>
        <v>0</v>
      </c>
      <c r="AR283" s="3">
        <f>(AR154-AQ154)*-1</f>
        <v>0</v>
      </c>
      <c r="AS283" s="3">
        <f>(AS154-AR154)*-1</f>
        <v>0</v>
      </c>
      <c r="AT283" s="3">
        <f>(AT154-AS154)*-1</f>
        <v>0</v>
      </c>
      <c r="AU283" s="3">
        <f>(AU154-AT154)*-1</f>
        <v>0</v>
      </c>
      <c r="AV283" s="3">
        <f>SUM(AR283:AU283)</f>
        <v>0</v>
      </c>
      <c r="AW283" s="3">
        <f>(AW154-AV154)*-1</f>
        <v>0</v>
      </c>
      <c r="AX283" s="3">
        <f>(AX154-AW154)*-1</f>
        <v>0</v>
      </c>
      <c r="AY283" s="3">
        <f>(AY154-AX154)*-1</f>
        <v>0</v>
      </c>
      <c r="AZ283" s="3">
        <f>(AZ154-AY154)*-1</f>
        <v>0</v>
      </c>
      <c r="BA283" s="3">
        <f>SUM(AW283:AZ283)</f>
        <v>0</v>
      </c>
      <c r="BB283" s="3">
        <f>(BB154-BA154)*-1</f>
        <v>0</v>
      </c>
      <c r="BC283" s="3">
        <f>(BC154-BB154)*-1</f>
        <v>0</v>
      </c>
      <c r="BD283" s="3">
        <f>(BD154-BC154)*-1</f>
        <v>0</v>
      </c>
      <c r="BE283" s="3">
        <f>(BE154-BD154)*-1</f>
        <v>0</v>
      </c>
      <c r="BF283" s="3">
        <f>SUM(BB283:BE283)</f>
        <v>0</v>
      </c>
      <c r="BG283" s="3">
        <f>(BG154-BF154)*-1</f>
        <v>0</v>
      </c>
      <c r="BH283" s="3">
        <f>(BH154-BG154)*-1</f>
        <v>0</v>
      </c>
      <c r="BI283" s="3">
        <f>(BI154-BH154)*-1</f>
        <v>0</v>
      </c>
      <c r="BJ283" s="3">
        <f>(BJ154-BI154)*-1</f>
        <v>0</v>
      </c>
      <c r="BK283" s="3">
        <f>SUM(BG283:BJ283)</f>
        <v>0</v>
      </c>
      <c r="BL283" s="3">
        <f>(BL154-BK154)*-1</f>
        <v>0</v>
      </c>
      <c r="BM283" s="3">
        <f>(BM154-BL154)*-1</f>
        <v>0</v>
      </c>
      <c r="BN283" s="3">
        <f>(BN154-BM154)*-1</f>
        <v>0</v>
      </c>
      <c r="BO283" s="3">
        <f>(BO154-BN154)*-1</f>
        <v>0</v>
      </c>
      <c r="BP283" s="3">
        <f>SUM(BL283:BO283)</f>
        <v>0</v>
      </c>
      <c r="BQ283" s="3">
        <f>(BQ154-BP154)*-1</f>
        <v>0</v>
      </c>
      <c r="BR283" s="3">
        <f>(BR154-BQ154)*-1</f>
        <v>0</v>
      </c>
      <c r="BS283" s="3">
        <f>(BS154-BR154)*-1</f>
        <v>0</v>
      </c>
      <c r="BT283" s="3">
        <f>(BT154-BS154)*-1</f>
        <v>0</v>
      </c>
      <c r="BU283" s="3">
        <f>SUM(BQ283:BT283)</f>
        <v>0</v>
      </c>
      <c r="BV283" s="3">
        <f>(BV154-BU154)*-1</f>
        <v>0</v>
      </c>
      <c r="BW283" s="3">
        <f>(BW154-BV154)*-1</f>
        <v>0</v>
      </c>
      <c r="BX283" s="3">
        <f>(BX154-BW154)*-1</f>
        <v>0</v>
      </c>
      <c r="BY283" s="3">
        <f>(BY154-BX154)*-1</f>
        <v>0</v>
      </c>
      <c r="BZ283" s="3">
        <f>SUM(BV283:BY283)</f>
        <v>0</v>
      </c>
      <c r="CA283" s="3">
        <f>(CA154-BZ154)*-1</f>
        <v>0</v>
      </c>
      <c r="CB283" s="3">
        <f>(CB154-CA154)*-1</f>
        <v>0</v>
      </c>
      <c r="CC283" s="3">
        <f>(CC154-CB154)*-1</f>
        <v>0</v>
      </c>
      <c r="CD283" s="3">
        <f>(CD154-CC154)*-1</f>
        <v>0</v>
      </c>
      <c r="CE283" s="3">
        <f>SUM(CA283:CD283)</f>
        <v>0</v>
      </c>
      <c r="CF283" s="3">
        <f>(CF154-CE154)*-1</f>
        <v>0</v>
      </c>
      <c r="CG283" s="3">
        <f>(CG154-CF154)*-1</f>
        <v>0</v>
      </c>
      <c r="CH283" s="3">
        <f>(CH154-CG154)*-1</f>
        <v>0</v>
      </c>
      <c r="CI283" s="3">
        <f>(CI154-CH154)*-1</f>
        <v>0</v>
      </c>
      <c r="CJ283" s="3">
        <f>SUM(CF283:CI283)</f>
        <v>0</v>
      </c>
      <c r="CK283" s="3">
        <f>(CK154-CJ154)*-1</f>
        <v>0</v>
      </c>
      <c r="CL283" s="3">
        <f>(CL154-CK154)*-1</f>
        <v>0</v>
      </c>
      <c r="CM283" s="3">
        <f>(CM154-CL154)*-1</f>
        <v>0</v>
      </c>
      <c r="CN283" s="3">
        <f>(CN154-CM154)*-1</f>
        <v>0</v>
      </c>
      <c r="CO283" s="3">
        <f>SUM(CK283:CN283)</f>
        <v>0</v>
      </c>
      <c r="CP283" s="3">
        <f>(CP154-CO154)*-1</f>
        <v>0</v>
      </c>
      <c r="CQ283" s="3">
        <f>(CQ154-CP154)*-1</f>
        <v>0</v>
      </c>
      <c r="CR283" s="3">
        <f>(CR154-CQ154)*-1</f>
        <v>0</v>
      </c>
      <c r="CS283" s="3">
        <f>(CS154-CR154)*-1</f>
        <v>0</v>
      </c>
      <c r="CT283" s="3">
        <f>SUM(CP283:CS283)</f>
        <v>0</v>
      </c>
      <c r="CU283" s="3">
        <f>(CU154-CT154)*-1</f>
        <v>0</v>
      </c>
      <c r="CV283" s="3">
        <f>(CV154-CU154)*-1</f>
        <v>0</v>
      </c>
      <c r="CW283" s="3">
        <f>(CW154-CV154)*-1</f>
        <v>0</v>
      </c>
      <c r="CX283" s="3">
        <f>(CX154-CW154)*-1</f>
        <v>0</v>
      </c>
      <c r="CY283" s="3">
        <f>SUM(CU283:CX283)</f>
        <v>0</v>
      </c>
    </row>
    <row r="284" hidden="1" outlineLevel="1">
      <c r="C284" s="29" t="inlineStr">
        <is>
          <t>Accounts payable</t>
        </is>
      </c>
      <c r="D284" s="3" t="n"/>
      <c r="E284" s="3">
        <f>E197-D197</f>
        <v>132</v>
      </c>
      <c r="F284" s="3">
        <f>F197-E197</f>
        <v>204</v>
      </c>
      <c r="G284" s="3">
        <f>G197-F197</f>
        <v>104</v>
      </c>
      <c r="H284" s="3">
        <f>SUM(D284:G284)</f>
        <v>440</v>
      </c>
      <c r="I284" s="3">
        <f>I197-H197</f>
        <v>17</v>
      </c>
      <c r="J284" s="3">
        <f>J197-I197</f>
        <v>256</v>
      </c>
      <c r="K284" s="3">
        <f>K197-J197</f>
        <v>190</v>
      </c>
      <c r="L284" s="3">
        <f>L197-K197</f>
        <v>119</v>
      </c>
      <c r="M284" s="3">
        <f>SUM(I284:L284)</f>
        <v>582</v>
      </c>
      <c r="N284" s="3">
        <f>N197-M197</f>
        <v>216</v>
      </c>
      <c r="O284" s="3">
        <f>O197-N197</f>
        <v>422</v>
      </c>
      <c r="P284" s="3">
        <f>P197-O197</f>
        <v>-930</v>
      </c>
      <c r="Q284" s="3">
        <f>Q197-P197</f>
        <v>-298</v>
      </c>
      <c r="R284" s="3">
        <f>SUM(N284:Q284)</f>
        <v>-590</v>
      </c>
      <c r="S284" s="3">
        <f>S197-R197</f>
        <v>-52</v>
      </c>
      <c r="T284" s="3">
        <f>T197-S197</f>
        <v>788</v>
      </c>
      <c r="U284" s="3">
        <f>U197-T197</f>
        <v>451</v>
      </c>
      <c r="V284" s="3">
        <f>V197-U197</f>
        <v>319</v>
      </c>
      <c r="W284" s="3">
        <f>SUM(S284:V284)</f>
        <v>1506</v>
      </c>
      <c r="X284" s="3">
        <f>X197-W197</f>
        <v>16</v>
      </c>
      <c r="Y284" s="3">
        <f>Y197-X197</f>
        <v>965</v>
      </c>
      <c r="Z284" s="3">
        <f>Z197-Y197</f>
        <v>1673</v>
      </c>
      <c r="AA284" s="3">
        <f>AA197-Z197</f>
        <v>957</v>
      </c>
      <c r="AB284" s="3">
        <f>SUM(X284:AA284)</f>
        <v>3611</v>
      </c>
      <c r="AC284" s="3">
        <f>AC197-AB197</f>
        <v>1021</v>
      </c>
      <c r="AD284" s="3">
        <f>AD197-AC197</f>
        <v>1733</v>
      </c>
      <c r="AE284" s="3">
        <f>AE197-AD197</f>
        <v>-440</v>
      </c>
      <c r="AF284" s="3">
        <f>AF197-AE197</f>
        <v>1188</v>
      </c>
      <c r="AG284" s="3">
        <f>SUM(AC284:AF284)</f>
        <v>3502</v>
      </c>
      <c r="AH284" s="3">
        <f>AH197-AG197</f>
        <v>3285</v>
      </c>
      <c r="AI284" s="3">
        <f>AI197-AH197</f>
        <v>1962</v>
      </c>
      <c r="AJ284" s="3">
        <f>AJ197-AI197</f>
        <v>-15059</v>
      </c>
      <c r="AK284" s="3">
        <f>AK197-AJ197</f>
        <v>0</v>
      </c>
      <c r="AL284" s="3">
        <f>SUM(AH284:AK284)</f>
        <v>-9812</v>
      </c>
      <c r="AM284" s="3">
        <f>AM197-AL197</f>
        <v>0</v>
      </c>
      <c r="AN284" s="3">
        <f>AN197-AM197</f>
        <v>0</v>
      </c>
      <c r="AO284" s="3">
        <f>AO197-AN197</f>
        <v>0</v>
      </c>
      <c r="AP284" s="3">
        <f>AP197-AO197</f>
        <v>0</v>
      </c>
      <c r="AQ284" s="3">
        <f>SUM(AM284:AP284)</f>
        <v>0</v>
      </c>
      <c r="AR284" s="3">
        <f>AR197-AQ197</f>
        <v>0</v>
      </c>
      <c r="AS284" s="3">
        <f>AS197-AR197</f>
        <v>0</v>
      </c>
      <c r="AT284" s="3">
        <f>AT197-AS197</f>
        <v>0</v>
      </c>
      <c r="AU284" s="3">
        <f>AU197-AT197</f>
        <v>0</v>
      </c>
      <c r="AV284" s="3">
        <f>SUM(AR284:AU284)</f>
        <v>0</v>
      </c>
      <c r="AW284" s="3">
        <f>AW197-AV197</f>
        <v>0</v>
      </c>
      <c r="AX284" s="3">
        <f>AX197-AW197</f>
        <v>0</v>
      </c>
      <c r="AY284" s="3">
        <f>AY197-AX197</f>
        <v>0</v>
      </c>
      <c r="AZ284" s="3">
        <f>AZ197-AY197</f>
        <v>0</v>
      </c>
      <c r="BA284" s="3">
        <f>SUM(AW284:AZ284)</f>
        <v>0</v>
      </c>
      <c r="BB284" s="3">
        <f>BB197-BA197</f>
        <v>0</v>
      </c>
      <c r="BC284" s="3">
        <f>BC197-BB197</f>
        <v>0</v>
      </c>
      <c r="BD284" s="3">
        <f>BD197-BC197</f>
        <v>0</v>
      </c>
      <c r="BE284" s="3">
        <f>BE197-BD197</f>
        <v>0</v>
      </c>
      <c r="BF284" s="3">
        <f>SUM(BB284:BE284)</f>
        <v>0</v>
      </c>
      <c r="BG284" s="3">
        <f>BG197-BF197</f>
        <v>0</v>
      </c>
      <c r="BH284" s="3">
        <f>BH197-BG197</f>
        <v>0</v>
      </c>
      <c r="BI284" s="3">
        <f>BI197-BH197</f>
        <v>0</v>
      </c>
      <c r="BJ284" s="3">
        <f>BJ197-BI197</f>
        <v>0</v>
      </c>
      <c r="BK284" s="3">
        <f>SUM(BG284:BJ284)</f>
        <v>0</v>
      </c>
      <c r="BL284" s="3">
        <f>BL197-BK197</f>
        <v>0</v>
      </c>
      <c r="BM284" s="3">
        <f>BM197-BL197</f>
        <v>0</v>
      </c>
      <c r="BN284" s="3">
        <f>BN197-BM197</f>
        <v>0</v>
      </c>
      <c r="BO284" s="3">
        <f>BO197-BN197</f>
        <v>0</v>
      </c>
      <c r="BP284" s="3">
        <f>SUM(BL284:BO284)</f>
        <v>0</v>
      </c>
      <c r="BQ284" s="3">
        <f>BQ197-BP197</f>
        <v>0</v>
      </c>
      <c r="BR284" s="3">
        <f>BR197-BQ197</f>
        <v>0</v>
      </c>
      <c r="BS284" s="3">
        <f>BS197-BR197</f>
        <v>0</v>
      </c>
      <c r="BT284" s="3">
        <f>BT197-BS197</f>
        <v>0</v>
      </c>
      <c r="BU284" s="3">
        <f>SUM(BQ284:BT284)</f>
        <v>0</v>
      </c>
      <c r="BV284" s="3">
        <f>BV197-BU197</f>
        <v>0</v>
      </c>
      <c r="BW284" s="3">
        <f>BW197-BV197</f>
        <v>0</v>
      </c>
      <c r="BX284" s="3">
        <f>BX197-BW197</f>
        <v>0</v>
      </c>
      <c r="BY284" s="3">
        <f>BY197-BX197</f>
        <v>0</v>
      </c>
      <c r="BZ284" s="3">
        <f>SUM(BV284:BY284)</f>
        <v>0</v>
      </c>
      <c r="CA284" s="3">
        <f>CA197-BZ197</f>
        <v>0</v>
      </c>
      <c r="CB284" s="3">
        <f>CB197-CA197</f>
        <v>0</v>
      </c>
      <c r="CC284" s="3">
        <f>CC197-CB197</f>
        <v>0</v>
      </c>
      <c r="CD284" s="3">
        <f>CD197-CC197</f>
        <v>0</v>
      </c>
      <c r="CE284" s="3">
        <f>SUM(CA284:CD284)</f>
        <v>0</v>
      </c>
      <c r="CF284" s="3">
        <f>CF197-CE197</f>
        <v>0</v>
      </c>
      <c r="CG284" s="3">
        <f>CG197-CF197</f>
        <v>0</v>
      </c>
      <c r="CH284" s="3">
        <f>CH197-CG197</f>
        <v>0</v>
      </c>
      <c r="CI284" s="3">
        <f>CI197-CH197</f>
        <v>0</v>
      </c>
      <c r="CJ284" s="3">
        <f>SUM(CF284:CI284)</f>
        <v>0</v>
      </c>
      <c r="CK284" s="3">
        <f>CK197-CJ197</f>
        <v>0</v>
      </c>
      <c r="CL284" s="3">
        <f>CL197-CK197</f>
        <v>0</v>
      </c>
      <c r="CM284" s="3">
        <f>CM197-CL197</f>
        <v>0</v>
      </c>
      <c r="CN284" s="3">
        <f>CN197-CM197</f>
        <v>0</v>
      </c>
      <c r="CO284" s="3">
        <f>SUM(CK284:CN284)</f>
        <v>0</v>
      </c>
      <c r="CP284" s="3">
        <f>CP197-CO197</f>
        <v>0</v>
      </c>
      <c r="CQ284" s="3">
        <f>CQ197-CP197</f>
        <v>0</v>
      </c>
      <c r="CR284" s="3">
        <f>CR197-CQ197</f>
        <v>0</v>
      </c>
      <c r="CS284" s="3">
        <f>CS197-CR197</f>
        <v>0</v>
      </c>
      <c r="CT284" s="3">
        <f>SUM(CP284:CS284)</f>
        <v>0</v>
      </c>
      <c r="CU284" s="3">
        <f>CU197-CT197</f>
        <v>0</v>
      </c>
      <c r="CV284" s="3">
        <f>CV197-CU197</f>
        <v>0</v>
      </c>
      <c r="CW284" s="3">
        <f>CW197-CV197</f>
        <v>0</v>
      </c>
      <c r="CX284" s="3">
        <f>CX197-CW197</f>
        <v>0</v>
      </c>
      <c r="CY284" s="3">
        <f>SUM(CU284:CX284)</f>
        <v>0</v>
      </c>
    </row>
    <row r="285" hidden="1" outlineLevel="1">
      <c r="C285" s="29" t="inlineStr">
        <is>
          <t>Accrued expenses</t>
        </is>
      </c>
      <c r="D285" s="3" t="n"/>
      <c r="E285" s="3">
        <f>E201-D201</f>
        <v>375</v>
      </c>
      <c r="F285" s="3">
        <f>F201-E201</f>
        <v>57</v>
      </c>
      <c r="G285" s="3">
        <f>G201-F201</f>
        <v>151</v>
      </c>
      <c r="H285" s="3">
        <f>SUM(D285:G285)</f>
        <v>583</v>
      </c>
      <c r="I285" s="3">
        <f>I201-H201</f>
        <v>62</v>
      </c>
      <c r="J285" s="3">
        <f>J201-I201</f>
        <v>187</v>
      </c>
      <c r="K285" s="3">
        <f>K201-J201</f>
        <v>-26</v>
      </c>
      <c r="L285" s="3">
        <f>L201-K201</f>
        <v>604</v>
      </c>
      <c r="M285" s="3">
        <f>SUM(I285:L285)</f>
        <v>827</v>
      </c>
      <c r="N285" s="3">
        <f>N201-M201</f>
        <v>1011</v>
      </c>
      <c r="O285" s="3">
        <f>O201-N201</f>
        <v>340</v>
      </c>
      <c r="P285" s="3">
        <f>P201-O201</f>
        <v>212</v>
      </c>
      <c r="Q285" s="3">
        <f>Q201-P201</f>
        <v>5</v>
      </c>
      <c r="R285" s="3">
        <f>SUM(N285:Q285)</f>
        <v>1568</v>
      </c>
      <c r="S285" s="3">
        <f>S201-R201</f>
        <v>749</v>
      </c>
      <c r="T285" s="3">
        <f>T201-S201</f>
        <v>2287</v>
      </c>
      <c r="U285" s="3">
        <f>U201-T201</f>
        <v>-1684</v>
      </c>
      <c r="V285" s="3">
        <f>V201-U201</f>
        <v>1210</v>
      </c>
      <c r="W285" s="3">
        <f>SUM(S285:V285)</f>
        <v>2562</v>
      </c>
      <c r="X285" s="3">
        <f>X201-W201</f>
        <v>4576</v>
      </c>
      <c r="Y285" s="3">
        <f>Y201-X201</f>
        <v>-969</v>
      </c>
      <c r="Z285" s="3">
        <f>Z201-Y201</f>
        <v>837</v>
      </c>
      <c r="AA285" s="3">
        <f>AA201-Z201</f>
        <v>611</v>
      </c>
      <c r="AB285" s="3">
        <f>SUM(X285:AA285)</f>
        <v>5055</v>
      </c>
      <c r="AC285" s="3">
        <f>AC201-AB201</f>
        <v>7474</v>
      </c>
      <c r="AD285" s="3">
        <f>AD201-AC201</f>
        <v>-4018</v>
      </c>
      <c r="AE285" s="3">
        <f>AE201-AD201</f>
        <v>1259</v>
      </c>
      <c r="AF285" s="3">
        <f>AF201-AE201</f>
        <v>4900</v>
      </c>
      <c r="AG285" s="3">
        <f>SUM(AC285:AF285)</f>
        <v>9615</v>
      </c>
      <c r="AH285" s="3">
        <f>AH201-AG201</f>
        <v>8435</v>
      </c>
      <c r="AI285" s="3">
        <f>AI201-AH201</f>
        <v>-2827</v>
      </c>
      <c r="AJ285" s="3">
        <f>AJ201-AI201</f>
        <v>-26960</v>
      </c>
      <c r="AK285" s="3">
        <f>AK201-AJ201</f>
        <v>0</v>
      </c>
      <c r="AL285" s="3">
        <f>SUM(AH285:AK285)</f>
        <v>-21352</v>
      </c>
      <c r="AM285" s="3" t="e">
        <f>AM201-AL201</f>
        <v>#DIV/0!</v>
      </c>
      <c r="AN285" s="3" t="e">
        <f>AN201-AM201</f>
        <v>#DIV/0!</v>
      </c>
      <c r="AO285" s="3" t="e">
        <f>AO201-AN201</f>
        <v>#DIV/0!</v>
      </c>
      <c r="AP285" s="3" t="e">
        <f>AP201-AO201</f>
        <v>#DIV/0!</v>
      </c>
      <c r="AQ285" s="3" t="e">
        <f>SUM(AM285:AP285)</f>
        <v>#DIV/0!</v>
      </c>
      <c r="AR285" s="3" t="e">
        <f>AR201-AQ201</f>
        <v>#DIV/0!</v>
      </c>
      <c r="AS285" s="3" t="e">
        <f>AS201-AR201</f>
        <v>#DIV/0!</v>
      </c>
      <c r="AT285" s="3" t="e">
        <f>AT201-AS201</f>
        <v>#DIV/0!</v>
      </c>
      <c r="AU285" s="3" t="e">
        <f>AU201-AT201</f>
        <v>#DIV/0!</v>
      </c>
      <c r="AV285" s="3" t="e">
        <f>SUM(AR285:AU285)</f>
        <v>#DIV/0!</v>
      </c>
      <c r="AW285" s="3" t="e">
        <f>AW201-AV201</f>
        <v>#DIV/0!</v>
      </c>
      <c r="AX285" s="3" t="e">
        <f>AX201-AW201</f>
        <v>#DIV/0!</v>
      </c>
      <c r="AY285" s="3" t="e">
        <f>AY201-AX201</f>
        <v>#DIV/0!</v>
      </c>
      <c r="AZ285" s="3" t="e">
        <f>AZ201-AY201</f>
        <v>#DIV/0!</v>
      </c>
      <c r="BA285" s="3" t="e">
        <f>SUM(AW285:AZ285)</f>
        <v>#DIV/0!</v>
      </c>
      <c r="BB285" s="3" t="e">
        <f>BB201-BA201</f>
        <v>#DIV/0!</v>
      </c>
      <c r="BC285" s="3" t="e">
        <f>BC201-BB201</f>
        <v>#DIV/0!</v>
      </c>
      <c r="BD285" s="3" t="e">
        <f>BD201-BC201</f>
        <v>#DIV/0!</v>
      </c>
      <c r="BE285" s="3" t="e">
        <f>BE201-BD201</f>
        <v>#DIV/0!</v>
      </c>
      <c r="BF285" s="3" t="e">
        <f>SUM(BB285:BE285)</f>
        <v>#DIV/0!</v>
      </c>
      <c r="BG285" s="3" t="e">
        <f>BG201-BF201</f>
        <v>#DIV/0!</v>
      </c>
      <c r="BH285" s="3" t="e">
        <f>BH201-BG201</f>
        <v>#DIV/0!</v>
      </c>
      <c r="BI285" s="3" t="e">
        <f>BI201-BH201</f>
        <v>#DIV/0!</v>
      </c>
      <c r="BJ285" s="3" t="e">
        <f>BJ201-BI201</f>
        <v>#DIV/0!</v>
      </c>
      <c r="BK285" s="3" t="e">
        <f>SUM(BG285:BJ285)</f>
        <v>#DIV/0!</v>
      </c>
      <c r="BL285" s="3" t="e">
        <f>BL201-BK201</f>
        <v>#DIV/0!</v>
      </c>
      <c r="BM285" s="3" t="e">
        <f>BM201-BL201</f>
        <v>#DIV/0!</v>
      </c>
      <c r="BN285" s="3" t="e">
        <f>BN201-BM201</f>
        <v>#DIV/0!</v>
      </c>
      <c r="BO285" s="3" t="e">
        <f>BO201-BN201</f>
        <v>#DIV/0!</v>
      </c>
      <c r="BP285" s="3" t="e">
        <f>SUM(BL285:BO285)</f>
        <v>#DIV/0!</v>
      </c>
      <c r="BQ285" s="3" t="e">
        <f>BQ201-BP201</f>
        <v>#DIV/0!</v>
      </c>
      <c r="BR285" s="3" t="e">
        <f>BR201-BQ201</f>
        <v>#DIV/0!</v>
      </c>
      <c r="BS285" s="3" t="e">
        <f>BS201-BR201</f>
        <v>#DIV/0!</v>
      </c>
      <c r="BT285" s="3" t="e">
        <f>BT201-BS201</f>
        <v>#DIV/0!</v>
      </c>
      <c r="BU285" s="3" t="e">
        <f>SUM(BQ285:BT285)</f>
        <v>#DIV/0!</v>
      </c>
      <c r="BV285" s="3" t="e">
        <f>BV201-BU201</f>
        <v>#DIV/0!</v>
      </c>
      <c r="BW285" s="3" t="e">
        <f>BW201-BV201</f>
        <v>#DIV/0!</v>
      </c>
      <c r="BX285" s="3" t="e">
        <f>BX201-BW201</f>
        <v>#DIV/0!</v>
      </c>
      <c r="BY285" s="3" t="e">
        <f>BY201-BX201</f>
        <v>#DIV/0!</v>
      </c>
      <c r="BZ285" s="3" t="e">
        <f>SUM(BV285:BY285)</f>
        <v>#DIV/0!</v>
      </c>
      <c r="CA285" s="3" t="e">
        <f>CA201-BZ201</f>
        <v>#DIV/0!</v>
      </c>
      <c r="CB285" s="3" t="e">
        <f>CB201-CA201</f>
        <v>#DIV/0!</v>
      </c>
      <c r="CC285" s="3" t="e">
        <f>CC201-CB201</f>
        <v>#DIV/0!</v>
      </c>
      <c r="CD285" s="3" t="e">
        <f>CD201-CC201</f>
        <v>#DIV/0!</v>
      </c>
      <c r="CE285" s="3" t="e">
        <f>SUM(CA285:CD285)</f>
        <v>#DIV/0!</v>
      </c>
      <c r="CF285" s="3" t="e">
        <f>CF201-CE201</f>
        <v>#DIV/0!</v>
      </c>
      <c r="CG285" s="3" t="e">
        <f>CG201-CF201</f>
        <v>#DIV/0!</v>
      </c>
      <c r="CH285" s="3" t="e">
        <f>CH201-CG201</f>
        <v>#DIV/0!</v>
      </c>
      <c r="CI285" s="3" t="e">
        <f>CI201-CH201</f>
        <v>#DIV/0!</v>
      </c>
      <c r="CJ285" s="3" t="e">
        <f>SUM(CF285:CI285)</f>
        <v>#DIV/0!</v>
      </c>
      <c r="CK285" s="3" t="e">
        <f>CK201-CJ201</f>
        <v>#DIV/0!</v>
      </c>
      <c r="CL285" s="3" t="e">
        <f>CL201-CK201</f>
        <v>#DIV/0!</v>
      </c>
      <c r="CM285" s="3" t="e">
        <f>CM201-CL201</f>
        <v>#DIV/0!</v>
      </c>
      <c r="CN285" s="3" t="e">
        <f>CN201-CM201</f>
        <v>#DIV/0!</v>
      </c>
      <c r="CO285" s="3" t="e">
        <f>SUM(CK285:CN285)</f>
        <v>#DIV/0!</v>
      </c>
      <c r="CP285" s="3" t="e">
        <f>CP201-CO201</f>
        <v>#DIV/0!</v>
      </c>
      <c r="CQ285" s="3" t="e">
        <f>CQ201-CP201</f>
        <v>#DIV/0!</v>
      </c>
      <c r="CR285" s="3" t="e">
        <f>CR201-CQ201</f>
        <v>#DIV/0!</v>
      </c>
      <c r="CS285" s="3" t="e">
        <f>CS201-CR201</f>
        <v>#DIV/0!</v>
      </c>
      <c r="CT285" s="3" t="e">
        <f>SUM(CP285:CS285)</f>
        <v>#DIV/0!</v>
      </c>
      <c r="CU285" s="3" t="e">
        <f>CU201-CT201</f>
        <v>#DIV/0!</v>
      </c>
      <c r="CV285" s="3" t="e">
        <f>CV201-CU201</f>
        <v>#DIV/0!</v>
      </c>
      <c r="CW285" s="3" t="e">
        <f>CW201-CV201</f>
        <v>#DIV/0!</v>
      </c>
      <c r="CX285" s="3" t="e">
        <f>CX201-CW201</f>
        <v>#DIV/0!</v>
      </c>
      <c r="CY285" s="3" t="e">
        <f>SUM(CU285:CX285)</f>
        <v>#DIV/0!</v>
      </c>
    </row>
    <row r="286" hidden="1" outlineLevel="1">
      <c r="C286" s="29" t="inlineStr">
        <is>
          <t>Taxes payable</t>
        </is>
      </c>
      <c r="D286" s="3" t="n"/>
      <c r="E286" s="3">
        <f>E203-D203</f>
        <v>0</v>
      </c>
      <c r="F286" s="3">
        <f>F203-E203</f>
        <v>0</v>
      </c>
      <c r="G286" s="3">
        <f>G203-F203</f>
        <v>0</v>
      </c>
      <c r="H286" s="3">
        <f>SUM(D286:G286)</f>
        <v>0</v>
      </c>
      <c r="I286" s="3">
        <f>I203-H203</f>
        <v>0</v>
      </c>
      <c r="J286" s="3">
        <f>J203-I203</f>
        <v>0</v>
      </c>
      <c r="K286" s="3">
        <f>K203-J203</f>
        <v>0</v>
      </c>
      <c r="L286" s="3">
        <f>L203-K203</f>
        <v>0</v>
      </c>
      <c r="M286" s="3">
        <f>SUM(I286:L286)</f>
        <v>0</v>
      </c>
      <c r="N286" s="3">
        <f>N203-M203</f>
        <v>0</v>
      </c>
      <c r="O286" s="3">
        <f>O203-N203</f>
        <v>0</v>
      </c>
      <c r="P286" s="3">
        <f>P203-O203</f>
        <v>0</v>
      </c>
      <c r="Q286" s="3">
        <f>Q203-P203</f>
        <v>0</v>
      </c>
      <c r="R286" s="3">
        <f>SUM(N286:Q286)</f>
        <v>0</v>
      </c>
      <c r="S286" s="3">
        <f>S203-R203</f>
        <v>0</v>
      </c>
      <c r="T286" s="3">
        <f>T203-S203</f>
        <v>0</v>
      </c>
      <c r="U286" s="3">
        <f>U203-T203</f>
        <v>0</v>
      </c>
      <c r="V286" s="3">
        <f>V203-U203</f>
        <v>0</v>
      </c>
      <c r="W286" s="3">
        <f>SUM(S286:V286)</f>
        <v>0</v>
      </c>
      <c r="X286" s="3">
        <f>X203-W203</f>
        <v>0</v>
      </c>
      <c r="Y286" s="3">
        <f>Y203-X203</f>
        <v>0</v>
      </c>
      <c r="Z286" s="3">
        <f>Z203-Y203</f>
        <v>0</v>
      </c>
      <c r="AA286" s="3">
        <f>AA203-Z203</f>
        <v>0</v>
      </c>
      <c r="AB286" s="3">
        <f>SUM(X286:AA286)</f>
        <v>0</v>
      </c>
      <c r="AC286" s="3">
        <f>AC203-AB203</f>
        <v>0</v>
      </c>
      <c r="AD286" s="3">
        <f>AD203-AC203</f>
        <v>0</v>
      </c>
      <c r="AE286" s="3">
        <f>AE203-AD203</f>
        <v>0</v>
      </c>
      <c r="AF286" s="3">
        <f>AF203-AE203</f>
        <v>0</v>
      </c>
      <c r="AG286" s="3">
        <f>SUM(AC286:AF286)</f>
        <v>0</v>
      </c>
      <c r="AH286" s="3">
        <f>AH203-AG203</f>
        <v>0</v>
      </c>
      <c r="AI286" s="3">
        <f>AI203-AH203</f>
        <v>0</v>
      </c>
      <c r="AJ286" s="3">
        <f>AJ203-AI203</f>
        <v>0</v>
      </c>
      <c r="AK286" s="3">
        <f>AK203-AJ203</f>
        <v>0</v>
      </c>
      <c r="AL286" s="3">
        <f>SUM(AH286:AK286)</f>
        <v>0</v>
      </c>
      <c r="AM286" s="3" t="e">
        <f>AM203-AL203</f>
        <v>#DIV/0!</v>
      </c>
      <c r="AN286" s="3" t="e">
        <f>AN203-AM203</f>
        <v>#DIV/0!</v>
      </c>
      <c r="AO286" s="3" t="e">
        <f>AO203-AN203</f>
        <v>#DIV/0!</v>
      </c>
      <c r="AP286" s="3" t="e">
        <f>AP203-AO203</f>
        <v>#DIV/0!</v>
      </c>
      <c r="AQ286" s="3" t="e">
        <f>SUM(AM286:AP286)</f>
        <v>#DIV/0!</v>
      </c>
      <c r="AR286" s="3" t="e">
        <f>AR203-AQ203</f>
        <v>#DIV/0!</v>
      </c>
      <c r="AS286" s="3" t="e">
        <f>AS203-AR203</f>
        <v>#DIV/0!</v>
      </c>
      <c r="AT286" s="3" t="e">
        <f>AT203-AS203</f>
        <v>#DIV/0!</v>
      </c>
      <c r="AU286" s="3" t="e">
        <f>AU203-AT203</f>
        <v>#DIV/0!</v>
      </c>
      <c r="AV286" s="3" t="e">
        <f>SUM(AR286:AU286)</f>
        <v>#DIV/0!</v>
      </c>
      <c r="AW286" s="3" t="e">
        <f>AW203-AV203</f>
        <v>#DIV/0!</v>
      </c>
      <c r="AX286" s="3" t="e">
        <f>AX203-AW203</f>
        <v>#DIV/0!</v>
      </c>
      <c r="AY286" s="3" t="e">
        <f>AY203-AX203</f>
        <v>#DIV/0!</v>
      </c>
      <c r="AZ286" s="3" t="e">
        <f>AZ203-AY203</f>
        <v>#DIV/0!</v>
      </c>
      <c r="BA286" s="3" t="e">
        <f>SUM(AW286:AZ286)</f>
        <v>#DIV/0!</v>
      </c>
      <c r="BB286" s="3" t="e">
        <f>BB203-BA203</f>
        <v>#DIV/0!</v>
      </c>
      <c r="BC286" s="3" t="e">
        <f>BC203-BB203</f>
        <v>#DIV/0!</v>
      </c>
      <c r="BD286" s="3" t="e">
        <f>BD203-BC203</f>
        <v>#DIV/0!</v>
      </c>
      <c r="BE286" s="3" t="e">
        <f>BE203-BD203</f>
        <v>#DIV/0!</v>
      </c>
      <c r="BF286" s="3" t="e">
        <f>SUM(BB286:BE286)</f>
        <v>#DIV/0!</v>
      </c>
      <c r="BG286" s="3" t="e">
        <f>BG203-BF203</f>
        <v>#DIV/0!</v>
      </c>
      <c r="BH286" s="3" t="e">
        <f>BH203-BG203</f>
        <v>#DIV/0!</v>
      </c>
      <c r="BI286" s="3" t="e">
        <f>BI203-BH203</f>
        <v>#DIV/0!</v>
      </c>
      <c r="BJ286" s="3" t="e">
        <f>BJ203-BI203</f>
        <v>#DIV/0!</v>
      </c>
      <c r="BK286" s="3" t="e">
        <f>SUM(BG286:BJ286)</f>
        <v>#DIV/0!</v>
      </c>
      <c r="BL286" s="3" t="e">
        <f>BL203-BK203</f>
        <v>#DIV/0!</v>
      </c>
      <c r="BM286" s="3" t="e">
        <f>BM203-BL203</f>
        <v>#DIV/0!</v>
      </c>
      <c r="BN286" s="3" t="e">
        <f>BN203-BM203</f>
        <v>#DIV/0!</v>
      </c>
      <c r="BO286" s="3" t="e">
        <f>BO203-BN203</f>
        <v>#DIV/0!</v>
      </c>
      <c r="BP286" s="3" t="e">
        <f>SUM(BL286:BO286)</f>
        <v>#DIV/0!</v>
      </c>
      <c r="BQ286" s="3" t="e">
        <f>BQ203-BP203</f>
        <v>#DIV/0!</v>
      </c>
      <c r="BR286" s="3" t="e">
        <f>BR203-BQ203</f>
        <v>#DIV/0!</v>
      </c>
      <c r="BS286" s="3" t="e">
        <f>BS203-BR203</f>
        <v>#DIV/0!</v>
      </c>
      <c r="BT286" s="3" t="e">
        <f>BT203-BS203</f>
        <v>#DIV/0!</v>
      </c>
      <c r="BU286" s="3" t="e">
        <f>SUM(BQ286:BT286)</f>
        <v>#DIV/0!</v>
      </c>
      <c r="BV286" s="3" t="e">
        <f>BV203-BU203</f>
        <v>#DIV/0!</v>
      </c>
      <c r="BW286" s="3" t="e">
        <f>BW203-BV203</f>
        <v>#DIV/0!</v>
      </c>
      <c r="BX286" s="3" t="e">
        <f>BX203-BW203</f>
        <v>#DIV/0!</v>
      </c>
      <c r="BY286" s="3" t="e">
        <f>BY203-BX203</f>
        <v>#DIV/0!</v>
      </c>
      <c r="BZ286" s="3" t="e">
        <f>SUM(BV286:BY286)</f>
        <v>#DIV/0!</v>
      </c>
      <c r="CA286" s="3" t="e">
        <f>CA203-BZ203</f>
        <v>#DIV/0!</v>
      </c>
      <c r="CB286" s="3" t="e">
        <f>CB203-CA203</f>
        <v>#DIV/0!</v>
      </c>
      <c r="CC286" s="3" t="e">
        <f>CC203-CB203</f>
        <v>#DIV/0!</v>
      </c>
      <c r="CD286" s="3" t="e">
        <f>CD203-CC203</f>
        <v>#DIV/0!</v>
      </c>
      <c r="CE286" s="3" t="e">
        <f>SUM(CA286:CD286)</f>
        <v>#DIV/0!</v>
      </c>
      <c r="CF286" s="3" t="e">
        <f>CF203-CE203</f>
        <v>#DIV/0!</v>
      </c>
      <c r="CG286" s="3" t="e">
        <f>CG203-CF203</f>
        <v>#DIV/0!</v>
      </c>
      <c r="CH286" s="3" t="e">
        <f>CH203-CG203</f>
        <v>#DIV/0!</v>
      </c>
      <c r="CI286" s="3" t="e">
        <f>CI203-CH203</f>
        <v>#DIV/0!</v>
      </c>
      <c r="CJ286" s="3" t="e">
        <f>SUM(CF286:CI286)</f>
        <v>#DIV/0!</v>
      </c>
      <c r="CK286" s="3" t="e">
        <f>CK203-CJ203</f>
        <v>#DIV/0!</v>
      </c>
      <c r="CL286" s="3" t="e">
        <f>CL203-CK203</f>
        <v>#DIV/0!</v>
      </c>
      <c r="CM286" s="3" t="e">
        <f>CM203-CL203</f>
        <v>#DIV/0!</v>
      </c>
      <c r="CN286" s="3" t="e">
        <f>CN203-CM203</f>
        <v>#DIV/0!</v>
      </c>
      <c r="CO286" s="3" t="e">
        <f>SUM(CK286:CN286)</f>
        <v>#DIV/0!</v>
      </c>
      <c r="CP286" s="3" t="e">
        <f>CP203-CO203</f>
        <v>#DIV/0!</v>
      </c>
      <c r="CQ286" s="3" t="e">
        <f>CQ203-CP203</f>
        <v>#DIV/0!</v>
      </c>
      <c r="CR286" s="3" t="e">
        <f>CR203-CQ203</f>
        <v>#DIV/0!</v>
      </c>
      <c r="CS286" s="3" t="e">
        <f>CS203-CR203</f>
        <v>#DIV/0!</v>
      </c>
      <c r="CT286" s="3" t="e">
        <f>SUM(CP286:CS286)</f>
        <v>#DIV/0!</v>
      </c>
      <c r="CU286" s="3" t="e">
        <f>CU203-CT203</f>
        <v>#DIV/0!</v>
      </c>
      <c r="CV286" s="3" t="e">
        <f>CV203-CU203</f>
        <v>#DIV/0!</v>
      </c>
      <c r="CW286" s="3" t="e">
        <f>CW203-CV203</f>
        <v>#DIV/0!</v>
      </c>
      <c r="CX286" s="3" t="e">
        <f>CX203-CW203</f>
        <v>#DIV/0!</v>
      </c>
      <c r="CY286" s="3" t="e">
        <f>SUM(CU286:CX286)</f>
        <v>#DIV/0!</v>
      </c>
    </row>
    <row r="287" hidden="1" outlineLevel="1">
      <c r="C287" s="29" t="inlineStr">
        <is>
          <t>Other current liabilities (non-debt)</t>
        </is>
      </c>
      <c r="D287" s="3" t="n"/>
      <c r="E287" s="3">
        <f>E204-D204</f>
        <v>0</v>
      </c>
      <c r="F287" s="3">
        <f>F204-E204</f>
        <v>0</v>
      </c>
      <c r="G287" s="3">
        <f>G204-F204</f>
        <v>0</v>
      </c>
      <c r="H287" s="3">
        <f>SUM(D287:G287)</f>
        <v>0</v>
      </c>
      <c r="I287" s="3">
        <f>I204-H204</f>
        <v>0</v>
      </c>
      <c r="J287" s="3">
        <f>J204-I204</f>
        <v>0</v>
      </c>
      <c r="K287" s="3">
        <f>K204-J204</f>
        <v>0</v>
      </c>
      <c r="L287" s="3">
        <f>L204-K204</f>
        <v>0</v>
      </c>
      <c r="M287" s="3">
        <f>SUM(I287:L287)</f>
        <v>0</v>
      </c>
      <c r="N287" s="3">
        <f>N204-M204</f>
        <v>0</v>
      </c>
      <c r="O287" s="3">
        <f>O204-N204</f>
        <v>0</v>
      </c>
      <c r="P287" s="3">
        <f>P204-O204</f>
        <v>0</v>
      </c>
      <c r="Q287" s="3">
        <f>Q204-P204</f>
        <v>0</v>
      </c>
      <c r="R287" s="3">
        <f>SUM(N287:Q287)</f>
        <v>0</v>
      </c>
      <c r="S287" s="3">
        <f>S204-R204</f>
        <v>0</v>
      </c>
      <c r="T287" s="3">
        <f>T204-S204</f>
        <v>0</v>
      </c>
      <c r="U287" s="3">
        <f>U204-T204</f>
        <v>0</v>
      </c>
      <c r="V287" s="3">
        <f>V204-U204</f>
        <v>0</v>
      </c>
      <c r="W287" s="3">
        <f>SUM(S287:V287)</f>
        <v>0</v>
      </c>
      <c r="X287" s="3">
        <f>X204-W204</f>
        <v>0</v>
      </c>
      <c r="Y287" s="3">
        <f>Y204-X204</f>
        <v>0</v>
      </c>
      <c r="Z287" s="3">
        <f>Z204-Y204</f>
        <v>0</v>
      </c>
      <c r="AA287" s="3">
        <f>AA204-Z204</f>
        <v>0</v>
      </c>
      <c r="AB287" s="3">
        <f>SUM(X287:AA287)</f>
        <v>0</v>
      </c>
      <c r="AC287" s="3">
        <f>AC204-AB204</f>
        <v>0</v>
      </c>
      <c r="AD287" s="3">
        <f>AD204-AC204</f>
        <v>0</v>
      </c>
      <c r="AE287" s="3">
        <f>AE204-AD204</f>
        <v>0</v>
      </c>
      <c r="AF287" s="3">
        <f>AF204-AE204</f>
        <v>0</v>
      </c>
      <c r="AG287" s="3">
        <f>SUM(AC287:AF287)</f>
        <v>0</v>
      </c>
      <c r="AH287" s="3">
        <f>AH204-AG204</f>
        <v>0</v>
      </c>
      <c r="AI287" s="3">
        <f>AI204-AH204</f>
        <v>0</v>
      </c>
      <c r="AJ287" s="3">
        <f>AJ204-AI204</f>
        <v>0</v>
      </c>
      <c r="AK287" s="3">
        <f>AK204-AJ204</f>
        <v>0</v>
      </c>
      <c r="AL287" s="3">
        <f>SUM(AH287:AK287)</f>
        <v>0</v>
      </c>
      <c r="AM287" s="3">
        <f>AM204-AL204</f>
        <v>0</v>
      </c>
      <c r="AN287" s="3">
        <f>AN204-AM204</f>
        <v>0</v>
      </c>
      <c r="AO287" s="3">
        <f>AO204-AN204</f>
        <v>0</v>
      </c>
      <c r="AP287" s="3">
        <f>AP204-AO204</f>
        <v>0</v>
      </c>
      <c r="AQ287" s="3">
        <f>SUM(AM287:AP287)</f>
        <v>0</v>
      </c>
      <c r="AR287" s="3">
        <f>AR204-AQ204</f>
        <v>0</v>
      </c>
      <c r="AS287" s="3">
        <f>AS204-AR204</f>
        <v>0</v>
      </c>
      <c r="AT287" s="3">
        <f>AT204-AS204</f>
        <v>0</v>
      </c>
      <c r="AU287" s="3">
        <f>AU204-AT204</f>
        <v>0</v>
      </c>
      <c r="AV287" s="3">
        <f>SUM(AR287:AU287)</f>
        <v>0</v>
      </c>
      <c r="AW287" s="3">
        <f>AW204-AV204</f>
        <v>0</v>
      </c>
      <c r="AX287" s="3">
        <f>AX204-AW204</f>
        <v>0</v>
      </c>
      <c r="AY287" s="3">
        <f>AY204-AX204</f>
        <v>0</v>
      </c>
      <c r="AZ287" s="3">
        <f>AZ204-AY204</f>
        <v>0</v>
      </c>
      <c r="BA287" s="3">
        <f>SUM(AW287:AZ287)</f>
        <v>0</v>
      </c>
      <c r="BB287" s="3">
        <f>BB204-BA204</f>
        <v>0</v>
      </c>
      <c r="BC287" s="3">
        <f>BC204-BB204</f>
        <v>0</v>
      </c>
      <c r="BD287" s="3">
        <f>BD204-BC204</f>
        <v>0</v>
      </c>
      <c r="BE287" s="3">
        <f>BE204-BD204</f>
        <v>0</v>
      </c>
      <c r="BF287" s="3">
        <f>SUM(BB287:BE287)</f>
        <v>0</v>
      </c>
      <c r="BG287" s="3">
        <f>BG204-BF204</f>
        <v>0</v>
      </c>
      <c r="BH287" s="3">
        <f>BH204-BG204</f>
        <v>0</v>
      </c>
      <c r="BI287" s="3">
        <f>BI204-BH204</f>
        <v>0</v>
      </c>
      <c r="BJ287" s="3">
        <f>BJ204-BI204</f>
        <v>0</v>
      </c>
      <c r="BK287" s="3">
        <f>SUM(BG287:BJ287)</f>
        <v>0</v>
      </c>
      <c r="BL287" s="3">
        <f>BL204-BK204</f>
        <v>0</v>
      </c>
      <c r="BM287" s="3">
        <f>BM204-BL204</f>
        <v>0</v>
      </c>
      <c r="BN287" s="3">
        <f>BN204-BM204</f>
        <v>0</v>
      </c>
      <c r="BO287" s="3">
        <f>BO204-BN204</f>
        <v>0</v>
      </c>
      <c r="BP287" s="3">
        <f>SUM(BL287:BO287)</f>
        <v>0</v>
      </c>
      <c r="BQ287" s="3">
        <f>BQ204-BP204</f>
        <v>0</v>
      </c>
      <c r="BR287" s="3">
        <f>BR204-BQ204</f>
        <v>0</v>
      </c>
      <c r="BS287" s="3">
        <f>BS204-BR204</f>
        <v>0</v>
      </c>
      <c r="BT287" s="3">
        <f>BT204-BS204</f>
        <v>0</v>
      </c>
      <c r="BU287" s="3">
        <f>SUM(BQ287:BT287)</f>
        <v>0</v>
      </c>
      <c r="BV287" s="3">
        <f>BV204-BU204</f>
        <v>0</v>
      </c>
      <c r="BW287" s="3">
        <f>BW204-BV204</f>
        <v>0</v>
      </c>
      <c r="BX287" s="3">
        <f>BX204-BW204</f>
        <v>0</v>
      </c>
      <c r="BY287" s="3">
        <f>BY204-BX204</f>
        <v>0</v>
      </c>
      <c r="BZ287" s="3">
        <f>SUM(BV287:BY287)</f>
        <v>0</v>
      </c>
      <c r="CA287" s="3">
        <f>CA204-BZ204</f>
        <v>0</v>
      </c>
      <c r="CB287" s="3">
        <f>CB204-CA204</f>
        <v>0</v>
      </c>
      <c r="CC287" s="3">
        <f>CC204-CB204</f>
        <v>0</v>
      </c>
      <c r="CD287" s="3">
        <f>CD204-CC204</f>
        <v>0</v>
      </c>
      <c r="CE287" s="3">
        <f>SUM(CA287:CD287)</f>
        <v>0</v>
      </c>
      <c r="CF287" s="3">
        <f>CF204-CE204</f>
        <v>0</v>
      </c>
      <c r="CG287" s="3">
        <f>CG204-CF204</f>
        <v>0</v>
      </c>
      <c r="CH287" s="3">
        <f>CH204-CG204</f>
        <v>0</v>
      </c>
      <c r="CI287" s="3">
        <f>CI204-CH204</f>
        <v>0</v>
      </c>
      <c r="CJ287" s="3">
        <f>SUM(CF287:CI287)</f>
        <v>0</v>
      </c>
      <c r="CK287" s="3">
        <f>CK204-CJ204</f>
        <v>0</v>
      </c>
      <c r="CL287" s="3">
        <f>CL204-CK204</f>
        <v>0</v>
      </c>
      <c r="CM287" s="3">
        <f>CM204-CL204</f>
        <v>0</v>
      </c>
      <c r="CN287" s="3">
        <f>CN204-CM204</f>
        <v>0</v>
      </c>
      <c r="CO287" s="3">
        <f>SUM(CK287:CN287)</f>
        <v>0</v>
      </c>
      <c r="CP287" s="3">
        <f>CP204-CO204</f>
        <v>0</v>
      </c>
      <c r="CQ287" s="3">
        <f>CQ204-CP204</f>
        <v>0</v>
      </c>
      <c r="CR287" s="3">
        <f>CR204-CQ204</f>
        <v>0</v>
      </c>
      <c r="CS287" s="3">
        <f>CS204-CR204</f>
        <v>0</v>
      </c>
      <c r="CT287" s="3">
        <f>SUM(CP287:CS287)</f>
        <v>0</v>
      </c>
      <c r="CU287" s="3">
        <f>CU204-CT204</f>
        <v>0</v>
      </c>
      <c r="CV287" s="3">
        <f>CV204-CU204</f>
        <v>0</v>
      </c>
      <c r="CW287" s="3">
        <f>CW204-CV204</f>
        <v>0</v>
      </c>
      <c r="CX287" s="3">
        <f>CX204-CW204</f>
        <v>0</v>
      </c>
      <c r="CY287" s="3">
        <f>SUM(CU287:CX287)</f>
        <v>0</v>
      </c>
    </row>
    <row r="288" hidden="1" outlineLevel="1">
      <c r="C288" s="29" t="inlineStr">
        <is>
          <t>Deferred income taxes</t>
        </is>
      </c>
      <c r="D288" s="3" t="n"/>
      <c r="E288" s="3">
        <f>E238-D238</f>
        <v>0</v>
      </c>
      <c r="F288" s="3">
        <f>F238-E238</f>
        <v>0</v>
      </c>
      <c r="G288" s="3">
        <f>G238-F238</f>
        <v>0</v>
      </c>
      <c r="H288" s="3">
        <f>SUM(D288:G288)</f>
        <v>0</v>
      </c>
      <c r="I288" s="3">
        <f>I238-H238</f>
        <v>0</v>
      </c>
      <c r="J288" s="3">
        <f>J238-I238</f>
        <v>0</v>
      </c>
      <c r="K288" s="3">
        <f>K238-J238</f>
        <v>0</v>
      </c>
      <c r="L288" s="3">
        <f>L238-K238</f>
        <v>0</v>
      </c>
      <c r="M288" s="3">
        <f>SUM(I288:L288)</f>
        <v>0</v>
      </c>
      <c r="N288" s="3">
        <f>N238-M238</f>
        <v>0</v>
      </c>
      <c r="O288" s="3">
        <f>O238-N238</f>
        <v>0</v>
      </c>
      <c r="P288" s="3">
        <f>P238-O238</f>
        <v>0</v>
      </c>
      <c r="Q288" s="3">
        <f>Q238-P238</f>
        <v>0</v>
      </c>
      <c r="R288" s="3">
        <f>SUM(N288:Q288)</f>
        <v>0</v>
      </c>
      <c r="S288" s="3">
        <f>S238-R238</f>
        <v>0</v>
      </c>
      <c r="T288" s="3">
        <f>T238-S238</f>
        <v>0</v>
      </c>
      <c r="U288" s="3">
        <f>U238-T238</f>
        <v>0</v>
      </c>
      <c r="V288" s="3">
        <f>V238-U238</f>
        <v>0</v>
      </c>
      <c r="W288" s="3">
        <f>SUM(S288:V288)</f>
        <v>0</v>
      </c>
      <c r="X288" s="3">
        <f>X238-W238</f>
        <v>0</v>
      </c>
      <c r="Y288" s="3">
        <f>Y238-X238</f>
        <v>0</v>
      </c>
      <c r="Z288" s="3">
        <f>Z238-Y238</f>
        <v>0</v>
      </c>
      <c r="AA288" s="3">
        <f>AA238-Z238</f>
        <v>0</v>
      </c>
      <c r="AB288" s="3">
        <f>SUM(X288:AA288)</f>
        <v>0</v>
      </c>
      <c r="AC288" s="3">
        <f>AC238-AB238</f>
        <v>0</v>
      </c>
      <c r="AD288" s="3">
        <f>AD238-AC238</f>
        <v>0</v>
      </c>
      <c r="AE288" s="3">
        <f>AE238-AD238</f>
        <v>0</v>
      </c>
      <c r="AF288" s="3">
        <f>AF238-AE238</f>
        <v>0</v>
      </c>
      <c r="AG288" s="3">
        <f>SUM(AC288:AF288)</f>
        <v>0</v>
      </c>
      <c r="AH288" s="3">
        <f>AH238-AG238</f>
        <v>0</v>
      </c>
      <c r="AI288" s="3">
        <f>AI238-AH238</f>
        <v>0</v>
      </c>
      <c r="AJ288" s="3">
        <f>AJ238-AI238</f>
        <v>0</v>
      </c>
      <c r="AK288" s="3">
        <f>AK238-AJ238</f>
        <v>0</v>
      </c>
      <c r="AL288" s="3">
        <f>SUM(AH288:AK288)</f>
        <v>0</v>
      </c>
      <c r="AM288" s="3">
        <f>AM238-AL238</f>
        <v>0</v>
      </c>
      <c r="AN288" s="3">
        <f>AN238-AM238</f>
        <v>0</v>
      </c>
      <c r="AO288" s="3">
        <f>AO238-AN238</f>
        <v>0</v>
      </c>
      <c r="AP288" s="3">
        <f>AP238-AO238</f>
        <v>0</v>
      </c>
      <c r="AQ288" s="3">
        <f>SUM(AM288:AP288)</f>
        <v>0</v>
      </c>
      <c r="AR288" s="3">
        <f>AR238-AQ238</f>
        <v>0</v>
      </c>
      <c r="AS288" s="3">
        <f>AS238-AR238</f>
        <v>0</v>
      </c>
      <c r="AT288" s="3">
        <f>AT238-AS238</f>
        <v>0</v>
      </c>
      <c r="AU288" s="3">
        <f>AU238-AT238</f>
        <v>0</v>
      </c>
      <c r="AV288" s="3">
        <f>SUM(AR288:AU288)</f>
        <v>0</v>
      </c>
      <c r="AW288" s="3">
        <f>AW238-AV238</f>
        <v>0</v>
      </c>
      <c r="AX288" s="3">
        <f>AX238-AW238</f>
        <v>0</v>
      </c>
      <c r="AY288" s="3">
        <f>AY238-AX238</f>
        <v>0</v>
      </c>
      <c r="AZ288" s="3">
        <f>AZ238-AY238</f>
        <v>0</v>
      </c>
      <c r="BA288" s="3">
        <f>SUM(AW288:AZ288)</f>
        <v>0</v>
      </c>
      <c r="BB288" s="3">
        <f>BB238-BA238</f>
        <v>0</v>
      </c>
      <c r="BC288" s="3">
        <f>BC238-BB238</f>
        <v>0</v>
      </c>
      <c r="BD288" s="3">
        <f>BD238-BC238</f>
        <v>0</v>
      </c>
      <c r="BE288" s="3">
        <f>BE238-BD238</f>
        <v>0</v>
      </c>
      <c r="BF288" s="3">
        <f>SUM(BB288:BE288)</f>
        <v>0</v>
      </c>
      <c r="BG288" s="3">
        <f>BG238-BF238</f>
        <v>0</v>
      </c>
      <c r="BH288" s="3">
        <f>BH238-BG238</f>
        <v>0</v>
      </c>
      <c r="BI288" s="3">
        <f>BI238-BH238</f>
        <v>0</v>
      </c>
      <c r="BJ288" s="3">
        <f>BJ238-BI238</f>
        <v>0</v>
      </c>
      <c r="BK288" s="3">
        <f>SUM(BG288:BJ288)</f>
        <v>0</v>
      </c>
      <c r="BL288" s="3">
        <f>BL238-BK238</f>
        <v>0</v>
      </c>
      <c r="BM288" s="3">
        <f>BM238-BL238</f>
        <v>0</v>
      </c>
      <c r="BN288" s="3">
        <f>BN238-BM238</f>
        <v>0</v>
      </c>
      <c r="BO288" s="3">
        <f>BO238-BN238</f>
        <v>0</v>
      </c>
      <c r="BP288" s="3">
        <f>SUM(BL288:BO288)</f>
        <v>0</v>
      </c>
      <c r="BQ288" s="3">
        <f>BQ238-BP238</f>
        <v>0</v>
      </c>
      <c r="BR288" s="3">
        <f>BR238-BQ238</f>
        <v>0</v>
      </c>
      <c r="BS288" s="3">
        <f>BS238-BR238</f>
        <v>0</v>
      </c>
      <c r="BT288" s="3">
        <f>BT238-BS238</f>
        <v>0</v>
      </c>
      <c r="BU288" s="3">
        <f>SUM(BQ288:BT288)</f>
        <v>0</v>
      </c>
      <c r="BV288" s="3">
        <f>BV238-BU238</f>
        <v>0</v>
      </c>
      <c r="BW288" s="3">
        <f>BW238-BV238</f>
        <v>0</v>
      </c>
      <c r="BX288" s="3">
        <f>BX238-BW238</f>
        <v>0</v>
      </c>
      <c r="BY288" s="3">
        <f>BY238-BX238</f>
        <v>0</v>
      </c>
      <c r="BZ288" s="3">
        <f>SUM(BV288:BY288)</f>
        <v>0</v>
      </c>
      <c r="CA288" s="3">
        <f>CA238-BZ238</f>
        <v>0</v>
      </c>
      <c r="CB288" s="3">
        <f>CB238-CA238</f>
        <v>0</v>
      </c>
      <c r="CC288" s="3">
        <f>CC238-CB238</f>
        <v>0</v>
      </c>
      <c r="CD288" s="3">
        <f>CD238-CC238</f>
        <v>0</v>
      </c>
      <c r="CE288" s="3">
        <f>SUM(CA288:CD288)</f>
        <v>0</v>
      </c>
      <c r="CF288" s="3">
        <f>CF238-CE238</f>
        <v>0</v>
      </c>
      <c r="CG288" s="3">
        <f>CG238-CF238</f>
        <v>0</v>
      </c>
      <c r="CH288" s="3">
        <f>CH238-CG238</f>
        <v>0</v>
      </c>
      <c r="CI288" s="3">
        <f>CI238-CH238</f>
        <v>0</v>
      </c>
      <c r="CJ288" s="3">
        <f>SUM(CF288:CI288)</f>
        <v>0</v>
      </c>
      <c r="CK288" s="3">
        <f>CK238-CJ238</f>
        <v>0</v>
      </c>
      <c r="CL288" s="3">
        <f>CL238-CK238</f>
        <v>0</v>
      </c>
      <c r="CM288" s="3">
        <f>CM238-CL238</f>
        <v>0</v>
      </c>
      <c r="CN288" s="3">
        <f>CN238-CM238</f>
        <v>0</v>
      </c>
      <c r="CO288" s="3">
        <f>SUM(CK288:CN288)</f>
        <v>0</v>
      </c>
      <c r="CP288" s="3">
        <f>CP238-CO238</f>
        <v>0</v>
      </c>
      <c r="CQ288" s="3">
        <f>CQ238-CP238</f>
        <v>0</v>
      </c>
      <c r="CR288" s="3">
        <f>CR238-CQ238</f>
        <v>0</v>
      </c>
      <c r="CS288" s="3">
        <f>CS238-CR238</f>
        <v>0</v>
      </c>
      <c r="CT288" s="3">
        <f>SUM(CP288:CS288)</f>
        <v>0</v>
      </c>
      <c r="CU288" s="3">
        <f>CU238-CT238</f>
        <v>0</v>
      </c>
      <c r="CV288" s="3">
        <f>CV238-CU238</f>
        <v>0</v>
      </c>
      <c r="CW288" s="3">
        <f>CW238-CV238</f>
        <v>0</v>
      </c>
      <c r="CX288" s="3">
        <f>CX238-CW238</f>
        <v>0</v>
      </c>
      <c r="CY288" s="3">
        <f>SUM(CU288:CX288)</f>
        <v>0</v>
      </c>
    </row>
    <row r="289" collapsed="1">
      <c r="C289" s="29" t="inlineStr">
        <is>
          <t>Equity income in affiliates</t>
        </is>
      </c>
      <c r="D289" s="3" t="n"/>
      <c r="E289" s="3">
        <f>(E160-D160)*-1</f>
        <v>0</v>
      </c>
      <c r="F289" s="3">
        <f>(F160-E160)*-1</f>
        <v>0</v>
      </c>
      <c r="G289" s="3">
        <f>(G160-F160)*-1</f>
        <v>0</v>
      </c>
      <c r="H289" s="3">
        <f>SUM(D289:G289)</f>
        <v>0</v>
      </c>
      <c r="I289" s="3">
        <f>(I160-H160)*-1</f>
        <v>0</v>
      </c>
      <c r="J289" s="3">
        <f>(J160-I160)*-1</f>
        <v>0</v>
      </c>
      <c r="K289" s="3">
        <f>(K160-J160)*-1</f>
        <v>0</v>
      </c>
      <c r="L289" s="3">
        <f>(L160-K160)*-1</f>
        <v>0</v>
      </c>
      <c r="M289" s="3">
        <f>SUM(I289:L289)</f>
        <v>0</v>
      </c>
      <c r="N289" s="3">
        <f>(N160-M160)*-1</f>
        <v>0</v>
      </c>
      <c r="O289" s="3">
        <f>(O160-N160)*-1</f>
        <v>0</v>
      </c>
      <c r="P289" s="3">
        <f>(P160-O160)*-1</f>
        <v>0</v>
      </c>
      <c r="Q289" s="3">
        <f>(Q160-P160)*-1</f>
        <v>0</v>
      </c>
      <c r="R289" s="3">
        <f>SUM(N289:Q289)</f>
        <v>0</v>
      </c>
      <c r="S289" s="3">
        <f>(S160-R160)*-1</f>
        <v>0</v>
      </c>
      <c r="T289" s="3">
        <f>(T160-S160)*-1</f>
        <v>0</v>
      </c>
      <c r="U289" s="3">
        <f>(U160-T160)*-1</f>
        <v>0</v>
      </c>
      <c r="V289" s="3">
        <f>(V160-U160)*-1</f>
        <v>0</v>
      </c>
      <c r="W289" s="3">
        <f>SUM(S289:V289)</f>
        <v>0</v>
      </c>
      <c r="X289" s="3">
        <f>(X160-W160)*-1</f>
        <v>0</v>
      </c>
      <c r="Y289" s="3">
        <f>(Y160-X160)*-1</f>
        <v>0</v>
      </c>
      <c r="Z289" s="3">
        <f>(Z160-Y160)*-1</f>
        <v>0</v>
      </c>
      <c r="AA289" s="3">
        <f>(AA160-Z160)*-1</f>
        <v>0</v>
      </c>
      <c r="AB289" s="3">
        <f>SUM(X289:AA289)</f>
        <v>0</v>
      </c>
      <c r="AC289" s="3">
        <f>(AC160-AB160)*-1</f>
        <v>0</v>
      </c>
      <c r="AD289" s="3">
        <f>(AD160-AC160)*-1</f>
        <v>0</v>
      </c>
      <c r="AE289" s="3">
        <f>(AE160-AD160)*-1</f>
        <v>0</v>
      </c>
      <c r="AF289" s="3">
        <f>(AF160-AE160)*-1</f>
        <v>0</v>
      </c>
      <c r="AG289" s="3">
        <f>SUM(AC289:AF289)</f>
        <v>0</v>
      </c>
      <c r="AH289" s="3">
        <f>(AH160-AG160)*-1</f>
        <v>0</v>
      </c>
      <c r="AI289" s="3">
        <f>(AI160-AH160)*-1</f>
        <v>0</v>
      </c>
      <c r="AJ289" s="3">
        <f>(AJ160-AI160)*-1</f>
        <v>0</v>
      </c>
      <c r="AK289" s="3">
        <f>(AK160-AJ160)*-1</f>
        <v>0</v>
      </c>
      <c r="AL289" s="3">
        <f>SUM(AH289:AK289)</f>
        <v>0</v>
      </c>
      <c r="AM289" s="3">
        <f>(AM160-AL160)*-1</f>
        <v>0</v>
      </c>
      <c r="AN289" s="3">
        <f>(AN160-AM160)*-1</f>
        <v>0</v>
      </c>
      <c r="AO289" s="3">
        <f>(AO160-AN160)*-1</f>
        <v>0</v>
      </c>
      <c r="AP289" s="3">
        <f>(AP160-AO160)*-1</f>
        <v>0</v>
      </c>
      <c r="AQ289" s="3">
        <f>SUM(AM289:AP289)</f>
        <v>0</v>
      </c>
      <c r="AR289" s="3">
        <f>(AR160-AQ160)*-1</f>
        <v>0</v>
      </c>
      <c r="AS289" s="3">
        <f>(AS160-AR160)*-1</f>
        <v>0</v>
      </c>
      <c r="AT289" s="3">
        <f>(AT160-AS160)*-1</f>
        <v>0</v>
      </c>
      <c r="AU289" s="3">
        <f>(AU160-AT160)*-1</f>
        <v>0</v>
      </c>
      <c r="AV289" s="3">
        <f>SUM(AR289:AU289)</f>
        <v>0</v>
      </c>
      <c r="AW289" s="3">
        <f>(AW160-AV160)*-1</f>
        <v>0</v>
      </c>
      <c r="AX289" s="3">
        <f>(AX160-AW160)*-1</f>
        <v>0</v>
      </c>
      <c r="AY289" s="3">
        <f>(AY160-AX160)*-1</f>
        <v>0</v>
      </c>
      <c r="AZ289" s="3">
        <f>(AZ160-AY160)*-1</f>
        <v>0</v>
      </c>
      <c r="BA289" s="3">
        <f>SUM(AW289:AZ289)</f>
        <v>0</v>
      </c>
      <c r="BB289" s="3">
        <f>(BB160-BA160)*-1</f>
        <v>0</v>
      </c>
      <c r="BC289" s="3">
        <f>(BC160-BB160)*-1</f>
        <v>0</v>
      </c>
      <c r="BD289" s="3">
        <f>(BD160-BC160)*-1</f>
        <v>0</v>
      </c>
      <c r="BE289" s="3">
        <f>(BE160-BD160)*-1</f>
        <v>0</v>
      </c>
      <c r="BF289" s="3">
        <f>SUM(BB289:BE289)</f>
        <v>0</v>
      </c>
      <c r="BG289" s="3">
        <f>(BG160-BF160)*-1</f>
        <v>0</v>
      </c>
      <c r="BH289" s="3">
        <f>(BH160-BG160)*-1</f>
        <v>0</v>
      </c>
      <c r="BI289" s="3">
        <f>(BI160-BH160)*-1</f>
        <v>0</v>
      </c>
      <c r="BJ289" s="3">
        <f>(BJ160-BI160)*-1</f>
        <v>0</v>
      </c>
      <c r="BK289" s="3">
        <f>SUM(BG289:BJ289)</f>
        <v>0</v>
      </c>
      <c r="BL289" s="3">
        <f>(BL160-BK160)*-1</f>
        <v>0</v>
      </c>
      <c r="BM289" s="3">
        <f>(BM160-BL160)*-1</f>
        <v>0</v>
      </c>
      <c r="BN289" s="3">
        <f>(BN160-BM160)*-1</f>
        <v>0</v>
      </c>
      <c r="BO289" s="3">
        <f>(BO160-BN160)*-1</f>
        <v>0</v>
      </c>
      <c r="BP289" s="3">
        <f>SUM(BL289:BO289)</f>
        <v>0</v>
      </c>
      <c r="BQ289" s="3">
        <f>(BQ160-BP160)*-1</f>
        <v>0</v>
      </c>
      <c r="BR289" s="3">
        <f>(BR160-BQ160)*-1</f>
        <v>0</v>
      </c>
      <c r="BS289" s="3">
        <f>(BS160-BR160)*-1</f>
        <v>0</v>
      </c>
      <c r="BT289" s="3">
        <f>(BT160-BS160)*-1</f>
        <v>0</v>
      </c>
      <c r="BU289" s="3">
        <f>SUM(BQ289:BT289)</f>
        <v>0</v>
      </c>
      <c r="BV289" s="3">
        <f>(BV160-BU160)*-1</f>
        <v>0</v>
      </c>
      <c r="BW289" s="3">
        <f>(BW160-BV160)*-1</f>
        <v>0</v>
      </c>
      <c r="BX289" s="3">
        <f>(BX160-BW160)*-1</f>
        <v>0</v>
      </c>
      <c r="BY289" s="3">
        <f>(BY160-BX160)*-1</f>
        <v>0</v>
      </c>
      <c r="BZ289" s="3">
        <f>SUM(BV289:BY289)</f>
        <v>0</v>
      </c>
      <c r="CA289" s="3">
        <f>(CA160-BZ160)*-1</f>
        <v>0</v>
      </c>
      <c r="CB289" s="3">
        <f>(CB160-CA160)*-1</f>
        <v>0</v>
      </c>
      <c r="CC289" s="3">
        <f>(CC160-CB160)*-1</f>
        <v>0</v>
      </c>
      <c r="CD289" s="3">
        <f>(CD160-CC160)*-1</f>
        <v>0</v>
      </c>
      <c r="CE289" s="3">
        <f>SUM(CA289:CD289)</f>
        <v>0</v>
      </c>
      <c r="CF289" s="3">
        <f>(CF160-CE160)*-1</f>
        <v>0</v>
      </c>
      <c r="CG289" s="3">
        <f>(CG160-CF160)*-1</f>
        <v>0</v>
      </c>
      <c r="CH289" s="3">
        <f>(CH160-CG160)*-1</f>
        <v>0</v>
      </c>
      <c r="CI289" s="3">
        <f>(CI160-CH160)*-1</f>
        <v>0</v>
      </c>
      <c r="CJ289" s="3">
        <f>SUM(CF289:CI289)</f>
        <v>0</v>
      </c>
      <c r="CK289" s="3">
        <f>(CK160-CJ160)*-1</f>
        <v>0</v>
      </c>
      <c r="CL289" s="3">
        <f>(CL160-CK160)*-1</f>
        <v>0</v>
      </c>
      <c r="CM289" s="3">
        <f>(CM160-CL160)*-1</f>
        <v>0</v>
      </c>
      <c r="CN289" s="3">
        <f>(CN160-CM160)*-1</f>
        <v>0</v>
      </c>
      <c r="CO289" s="3">
        <f>SUM(CK289:CN289)</f>
        <v>0</v>
      </c>
      <c r="CP289" s="3">
        <f>(CP160-CO160)*-1</f>
        <v>0</v>
      </c>
      <c r="CQ289" s="3">
        <f>(CQ160-CP160)*-1</f>
        <v>0</v>
      </c>
      <c r="CR289" s="3">
        <f>(CR160-CQ160)*-1</f>
        <v>0</v>
      </c>
      <c r="CS289" s="3">
        <f>(CS160-CR160)*-1</f>
        <v>0</v>
      </c>
      <c r="CT289" s="3">
        <f>SUM(CP289:CS289)</f>
        <v>0</v>
      </c>
      <c r="CU289" s="3">
        <f>(CU160-CT160)*-1</f>
        <v>0</v>
      </c>
      <c r="CV289" s="3">
        <f>(CV160-CU160)*-1</f>
        <v>0</v>
      </c>
      <c r="CW289" s="3">
        <f>(CW160-CV160)*-1</f>
        <v>0</v>
      </c>
      <c r="CX289" s="3">
        <f>(CX160-CW160)*-1</f>
        <v>0</v>
      </c>
      <c r="CY289" s="3">
        <f>SUM(CU289:CX289)</f>
        <v>0</v>
      </c>
    </row>
    <row r="290">
      <c r="C290" s="29" t="inlineStr">
        <is>
          <t>Dividends received from affiliates</t>
        </is>
      </c>
      <c r="D290" s="3" t="n"/>
      <c r="E290" s="3">
        <f>-E163</f>
        <v>0</v>
      </c>
      <c r="F290" s="3">
        <f>-F163</f>
        <v>0</v>
      </c>
      <c r="G290" s="3">
        <f>-G163</f>
        <v>0</v>
      </c>
      <c r="H290" s="3">
        <f>SUM(D290:G290)</f>
        <v>0</v>
      </c>
      <c r="I290" s="3">
        <f>-I163</f>
        <v>0</v>
      </c>
      <c r="J290" s="3">
        <f>-J163</f>
        <v>0</v>
      </c>
      <c r="K290" s="3">
        <f>-K163</f>
        <v>0</v>
      </c>
      <c r="L290" s="3">
        <f>-L163</f>
        <v>0</v>
      </c>
      <c r="M290" s="3">
        <f>SUM(I290:L290)</f>
        <v>0</v>
      </c>
      <c r="N290" s="3">
        <f>-N163</f>
        <v>0</v>
      </c>
      <c r="O290" s="3">
        <f>-O163</f>
        <v>0</v>
      </c>
      <c r="P290" s="3">
        <f>-P163</f>
        <v>0</v>
      </c>
      <c r="Q290" s="3">
        <f>-Q163</f>
        <v>0</v>
      </c>
      <c r="R290" s="3">
        <f>SUM(N290:Q290)</f>
        <v>0</v>
      </c>
      <c r="S290" s="3">
        <f>-S163</f>
        <v>0</v>
      </c>
      <c r="T290" s="3">
        <f>-T163</f>
        <v>0</v>
      </c>
      <c r="U290" s="3">
        <f>-U163</f>
        <v>0</v>
      </c>
      <c r="V290" s="3">
        <f>-V163</f>
        <v>0</v>
      </c>
      <c r="W290" s="3">
        <f>SUM(S290:V290)</f>
        <v>0</v>
      </c>
      <c r="X290" s="3">
        <f>-X163</f>
        <v>0</v>
      </c>
      <c r="Y290" s="3">
        <f>-Y163</f>
        <v>0</v>
      </c>
      <c r="Z290" s="3">
        <f>-Z163</f>
        <v>0</v>
      </c>
      <c r="AA290" s="3">
        <f>-AA163</f>
        <v>0</v>
      </c>
      <c r="AB290" s="3">
        <f>SUM(X290:AA290)</f>
        <v>0</v>
      </c>
      <c r="AC290" s="3">
        <f>-AC163</f>
        <v>0</v>
      </c>
      <c r="AD290" s="3">
        <f>-AD163</f>
        <v>0</v>
      </c>
      <c r="AE290" s="3">
        <f>-AE163</f>
        <v>0</v>
      </c>
      <c r="AF290" s="3">
        <f>-AF163</f>
        <v>0</v>
      </c>
      <c r="AG290" s="3">
        <f>SUM(AC290:AF290)</f>
        <v>0</v>
      </c>
      <c r="AH290" s="3">
        <f>-AH163</f>
        <v>0</v>
      </c>
      <c r="AI290" s="3">
        <f>-AI163</f>
        <v>0</v>
      </c>
      <c r="AJ290" s="3">
        <f>-AJ163</f>
        <v>0</v>
      </c>
      <c r="AK290" s="3">
        <f>-AK163</f>
        <v>0</v>
      </c>
      <c r="AL290" s="3">
        <f>SUM(AH290:AK290)</f>
        <v>0</v>
      </c>
      <c r="AM290" s="3">
        <f>-AM163</f>
        <v>0</v>
      </c>
      <c r="AN290" s="3">
        <f>-AN163</f>
        <v>0</v>
      </c>
      <c r="AO290" s="3">
        <f>-AO163</f>
        <v>0</v>
      </c>
      <c r="AP290" s="3">
        <f>-AP163</f>
        <v>0</v>
      </c>
      <c r="AQ290" s="3">
        <f>SUM(AM290:AP290)</f>
        <v>0</v>
      </c>
      <c r="AR290" s="3">
        <f>-AR163</f>
        <v>0</v>
      </c>
      <c r="AS290" s="3">
        <f>-AS163</f>
        <v>0</v>
      </c>
      <c r="AT290" s="3">
        <f>-AT163</f>
        <v>0</v>
      </c>
      <c r="AU290" s="3">
        <f>-AU163</f>
        <v>0</v>
      </c>
      <c r="AV290" s="3">
        <f>SUM(AR290:AU290)</f>
        <v>0</v>
      </c>
      <c r="AW290" s="3">
        <f>-AW163</f>
        <v>0</v>
      </c>
      <c r="AX290" s="3">
        <f>-AX163</f>
        <v>0</v>
      </c>
      <c r="AY290" s="3">
        <f>-AY163</f>
        <v>0</v>
      </c>
      <c r="AZ290" s="3">
        <f>-AZ163</f>
        <v>0</v>
      </c>
      <c r="BA290" s="3">
        <f>SUM(AW290:AZ290)</f>
        <v>0</v>
      </c>
      <c r="BB290" s="3">
        <f>-BB163</f>
        <v>0</v>
      </c>
      <c r="BC290" s="3">
        <f>-BC163</f>
        <v>0</v>
      </c>
      <c r="BD290" s="3">
        <f>-BD163</f>
        <v>0</v>
      </c>
      <c r="BE290" s="3">
        <f>-BE163</f>
        <v>0</v>
      </c>
      <c r="BF290" s="3">
        <f>SUM(BB290:BE290)</f>
        <v>0</v>
      </c>
      <c r="BG290" s="3">
        <f>-BG163</f>
        <v>0</v>
      </c>
      <c r="BH290" s="3">
        <f>-BH163</f>
        <v>0</v>
      </c>
      <c r="BI290" s="3">
        <f>-BI163</f>
        <v>0</v>
      </c>
      <c r="BJ290" s="3">
        <f>-BJ163</f>
        <v>0</v>
      </c>
      <c r="BK290" s="3">
        <f>SUM(BG290:BJ290)</f>
        <v>0</v>
      </c>
      <c r="BL290" s="3">
        <f>-BL163</f>
        <v>0</v>
      </c>
      <c r="BM290" s="3">
        <f>-BM163</f>
        <v>0</v>
      </c>
      <c r="BN290" s="3">
        <f>-BN163</f>
        <v>0</v>
      </c>
      <c r="BO290" s="3">
        <f>-BO163</f>
        <v>0</v>
      </c>
      <c r="BP290" s="3">
        <f>SUM(BL290:BO290)</f>
        <v>0</v>
      </c>
      <c r="BQ290" s="3">
        <f>-BQ163</f>
        <v>0</v>
      </c>
      <c r="BR290" s="3">
        <f>-BR163</f>
        <v>0</v>
      </c>
      <c r="BS290" s="3">
        <f>-BS163</f>
        <v>0</v>
      </c>
      <c r="BT290" s="3">
        <f>-BT163</f>
        <v>0</v>
      </c>
      <c r="BU290" s="3">
        <f>SUM(BQ290:BT290)</f>
        <v>0</v>
      </c>
      <c r="BV290" s="3">
        <f>-BV163</f>
        <v>0</v>
      </c>
      <c r="BW290" s="3">
        <f>-BW163</f>
        <v>0</v>
      </c>
      <c r="BX290" s="3">
        <f>-BX163</f>
        <v>0</v>
      </c>
      <c r="BY290" s="3">
        <f>-BY163</f>
        <v>0</v>
      </c>
      <c r="BZ290" s="3">
        <f>SUM(BV290:BY290)</f>
        <v>0</v>
      </c>
      <c r="CA290" s="3">
        <f>-CA163</f>
        <v>0</v>
      </c>
      <c r="CB290" s="3">
        <f>-CB163</f>
        <v>0</v>
      </c>
      <c r="CC290" s="3">
        <f>-CC163</f>
        <v>0</v>
      </c>
      <c r="CD290" s="3">
        <f>-CD163</f>
        <v>0</v>
      </c>
      <c r="CE290" s="3">
        <f>SUM(CA290:CD290)</f>
        <v>0</v>
      </c>
      <c r="CF290" s="3">
        <f>-CF163</f>
        <v>0</v>
      </c>
      <c r="CG290" s="3">
        <f>-CG163</f>
        <v>0</v>
      </c>
      <c r="CH290" s="3">
        <f>-CH163</f>
        <v>0</v>
      </c>
      <c r="CI290" s="3">
        <f>-CI163</f>
        <v>0</v>
      </c>
      <c r="CJ290" s="3">
        <f>SUM(CF290:CI290)</f>
        <v>0</v>
      </c>
      <c r="CK290" s="3">
        <f>-CK163</f>
        <v>0</v>
      </c>
      <c r="CL290" s="3">
        <f>-CL163</f>
        <v>0</v>
      </c>
      <c r="CM290" s="3">
        <f>-CM163</f>
        <v>0</v>
      </c>
      <c r="CN290" s="3">
        <f>-CN163</f>
        <v>0</v>
      </c>
      <c r="CO290" s="3">
        <f>SUM(CK290:CN290)</f>
        <v>0</v>
      </c>
      <c r="CP290" s="3">
        <f>-CP163</f>
        <v>0</v>
      </c>
      <c r="CQ290" s="3">
        <f>-CQ163</f>
        <v>0</v>
      </c>
      <c r="CR290" s="3">
        <f>-CR163</f>
        <v>0</v>
      </c>
      <c r="CS290" s="3">
        <f>-CS163</f>
        <v>0</v>
      </c>
      <c r="CT290" s="3">
        <f>SUM(CP290:CS290)</f>
        <v>0</v>
      </c>
      <c r="CU290" s="3">
        <f>-CU163</f>
        <v>0</v>
      </c>
      <c r="CV290" s="3">
        <f>-CV163</f>
        <v>0</v>
      </c>
      <c r="CW290" s="3">
        <f>-CW163</f>
        <v>0</v>
      </c>
      <c r="CX290" s="3">
        <f>-CX163</f>
        <v>0</v>
      </c>
      <c r="CY290" s="3">
        <f>SUM(CU290:CX290)</f>
        <v>0</v>
      </c>
    </row>
    <row r="291">
      <c r="C291" s="30" t="inlineStr">
        <is>
          <t>Minority interest expense</t>
        </is>
      </c>
      <c r="D291" s="3" t="n"/>
      <c r="E291" s="3">
        <f>-E135</f>
        <v>0</v>
      </c>
      <c r="F291" s="3">
        <f>-F135</f>
        <v>0</v>
      </c>
      <c r="G291" s="3">
        <f>-G135</f>
        <v>0</v>
      </c>
      <c r="H291" s="3">
        <f>SUM(D291:G291)</f>
        <v>0</v>
      </c>
      <c r="I291" s="3">
        <f>-I135</f>
        <v>0</v>
      </c>
      <c r="J291" s="3">
        <f>-J135</f>
        <v>0</v>
      </c>
      <c r="K291" s="3">
        <f>-K135</f>
        <v>0</v>
      </c>
      <c r="L291" s="3">
        <f>-L135</f>
        <v>0</v>
      </c>
      <c r="M291" s="3">
        <f>SUM(I291:L291)</f>
        <v>0</v>
      </c>
      <c r="N291" s="3">
        <f>-N135</f>
        <v>0</v>
      </c>
      <c r="O291" s="3">
        <f>-O135</f>
        <v>0</v>
      </c>
      <c r="P291" s="3">
        <f>-P135</f>
        <v>0</v>
      </c>
      <c r="Q291" s="3">
        <f>-Q135</f>
        <v>0</v>
      </c>
      <c r="R291" s="3">
        <f>SUM(N291:Q291)</f>
        <v>0</v>
      </c>
      <c r="S291" s="3">
        <f>-S135</f>
        <v>0</v>
      </c>
      <c r="T291" s="3">
        <f>-T135</f>
        <v>0</v>
      </c>
      <c r="U291" s="3">
        <f>-U135</f>
        <v>0</v>
      </c>
      <c r="V291" s="3">
        <f>-V135</f>
        <v>0</v>
      </c>
      <c r="W291" s="3">
        <f>SUM(S291:V291)</f>
        <v>0</v>
      </c>
      <c r="X291" s="3">
        <f>-X135</f>
        <v>0</v>
      </c>
      <c r="Y291" s="3">
        <f>-Y135</f>
        <v>0</v>
      </c>
      <c r="Z291" s="3">
        <f>-Z135</f>
        <v>0</v>
      </c>
      <c r="AA291" s="3">
        <f>-AA135</f>
        <v>0</v>
      </c>
      <c r="AB291" s="3">
        <f>SUM(X291:AA291)</f>
        <v>0</v>
      </c>
      <c r="AC291" s="3">
        <f>-AC135</f>
        <v>0</v>
      </c>
      <c r="AD291" s="3">
        <f>-AD135</f>
        <v>0</v>
      </c>
      <c r="AE291" s="3">
        <f>-AE135</f>
        <v>0</v>
      </c>
      <c r="AF291" s="3">
        <f>-AF135</f>
        <v>0</v>
      </c>
      <c r="AG291" s="3">
        <f>SUM(AC291:AF291)</f>
        <v>0</v>
      </c>
      <c r="AH291" s="3">
        <f>-AH135</f>
        <v>0</v>
      </c>
      <c r="AI291" s="3">
        <f>-AI135</f>
        <v>0</v>
      </c>
      <c r="AJ291" s="3">
        <f>-AJ135</f>
        <v>0</v>
      </c>
      <c r="AK291" s="3">
        <f>-AK135</f>
        <v>0</v>
      </c>
      <c r="AL291" s="3">
        <f>SUM(AH291:AK291)</f>
        <v>0</v>
      </c>
      <c r="AM291" s="3">
        <f>-AM135</f>
        <v>0</v>
      </c>
      <c r="AN291" s="3">
        <f>-AN135</f>
        <v>0</v>
      </c>
      <c r="AO291" s="3">
        <f>-AO135</f>
        <v>0</v>
      </c>
      <c r="AP291" s="3">
        <f>-AP135</f>
        <v>0</v>
      </c>
      <c r="AQ291" s="3">
        <f>SUM(AM291:AP291)</f>
        <v>0</v>
      </c>
      <c r="AR291" s="3">
        <f>-AR135</f>
        <v>0</v>
      </c>
      <c r="AS291" s="3">
        <f>-AS135</f>
        <v>0</v>
      </c>
      <c r="AT291" s="3">
        <f>-AT135</f>
        <v>0</v>
      </c>
      <c r="AU291" s="3">
        <f>-AU135</f>
        <v>0</v>
      </c>
      <c r="AV291" s="3">
        <f>SUM(AR291:AU291)</f>
        <v>0</v>
      </c>
      <c r="AW291" s="3">
        <f>-AW135</f>
        <v>0</v>
      </c>
      <c r="AX291" s="3">
        <f>-AX135</f>
        <v>0</v>
      </c>
      <c r="AY291" s="3">
        <f>-AY135</f>
        <v>0</v>
      </c>
      <c r="AZ291" s="3">
        <f>-AZ135</f>
        <v>0</v>
      </c>
      <c r="BA291" s="3">
        <f>SUM(AW291:AZ291)</f>
        <v>0</v>
      </c>
      <c r="BB291" s="3">
        <f>-BB135</f>
        <v>0</v>
      </c>
      <c r="BC291" s="3">
        <f>-BC135</f>
        <v>0</v>
      </c>
      <c r="BD291" s="3">
        <f>-BD135</f>
        <v>0</v>
      </c>
      <c r="BE291" s="3">
        <f>-BE135</f>
        <v>0</v>
      </c>
      <c r="BF291" s="3">
        <f>SUM(BB291:BE291)</f>
        <v>0</v>
      </c>
      <c r="BG291" s="3">
        <f>-BG135</f>
        <v>0</v>
      </c>
      <c r="BH291" s="3">
        <f>-BH135</f>
        <v>0</v>
      </c>
      <c r="BI291" s="3">
        <f>-BI135</f>
        <v>0</v>
      </c>
      <c r="BJ291" s="3">
        <f>-BJ135</f>
        <v>0</v>
      </c>
      <c r="BK291" s="3">
        <f>SUM(BG291:BJ291)</f>
        <v>0</v>
      </c>
      <c r="BL291" s="3">
        <f>-BL135</f>
        <v>0</v>
      </c>
      <c r="BM291" s="3">
        <f>-BM135</f>
        <v>0</v>
      </c>
      <c r="BN291" s="3">
        <f>-BN135</f>
        <v>0</v>
      </c>
      <c r="BO291" s="3">
        <f>-BO135</f>
        <v>0</v>
      </c>
      <c r="BP291" s="3">
        <f>SUM(BL291:BO291)</f>
        <v>0</v>
      </c>
      <c r="BQ291" s="3">
        <f>-BQ135</f>
        <v>0</v>
      </c>
      <c r="BR291" s="3">
        <f>-BR135</f>
        <v>0</v>
      </c>
      <c r="BS291" s="3">
        <f>-BS135</f>
        <v>0</v>
      </c>
      <c r="BT291" s="3">
        <f>-BT135</f>
        <v>0</v>
      </c>
      <c r="BU291" s="3">
        <f>SUM(BQ291:BT291)</f>
        <v>0</v>
      </c>
      <c r="BV291" s="3">
        <f>-BV135</f>
        <v>0</v>
      </c>
      <c r="BW291" s="3">
        <f>-BW135</f>
        <v>0</v>
      </c>
      <c r="BX291" s="3">
        <f>-BX135</f>
        <v>0</v>
      </c>
      <c r="BY291" s="3">
        <f>-BY135</f>
        <v>0</v>
      </c>
      <c r="BZ291" s="3">
        <f>SUM(BV291:BY291)</f>
        <v>0</v>
      </c>
      <c r="CA291" s="3">
        <f>-CA135</f>
        <v>0</v>
      </c>
      <c r="CB291" s="3">
        <f>-CB135</f>
        <v>0</v>
      </c>
      <c r="CC291" s="3">
        <f>-CC135</f>
        <v>0</v>
      </c>
      <c r="CD291" s="3">
        <f>-CD135</f>
        <v>0</v>
      </c>
      <c r="CE291" s="3">
        <f>SUM(CA291:CD291)</f>
        <v>0</v>
      </c>
      <c r="CF291" s="3">
        <f>-CF135</f>
        <v>0</v>
      </c>
      <c r="CG291" s="3">
        <f>-CG135</f>
        <v>0</v>
      </c>
      <c r="CH291" s="3">
        <f>-CH135</f>
        <v>0</v>
      </c>
      <c r="CI291" s="3">
        <f>-CI135</f>
        <v>0</v>
      </c>
      <c r="CJ291" s="3">
        <f>SUM(CF291:CI291)</f>
        <v>0</v>
      </c>
      <c r="CK291" s="3">
        <f>-CK135</f>
        <v>0</v>
      </c>
      <c r="CL291" s="3">
        <f>-CL135</f>
        <v>0</v>
      </c>
      <c r="CM291" s="3">
        <f>-CM135</f>
        <v>0</v>
      </c>
      <c r="CN291" s="3">
        <f>-CN135</f>
        <v>0</v>
      </c>
      <c r="CO291" s="3">
        <f>SUM(CK291:CN291)</f>
        <v>0</v>
      </c>
      <c r="CP291" s="3">
        <f>-CP135</f>
        <v>0</v>
      </c>
      <c r="CQ291" s="3">
        <f>-CQ135</f>
        <v>0</v>
      </c>
      <c r="CR291" s="3">
        <f>-CR135</f>
        <v>0</v>
      </c>
      <c r="CS291" s="3">
        <f>-CS135</f>
        <v>0</v>
      </c>
      <c r="CT291" s="3">
        <f>SUM(CP291:CS291)</f>
        <v>0</v>
      </c>
      <c r="CU291" s="3">
        <f>-CU135</f>
        <v>0</v>
      </c>
      <c r="CV291" s="3">
        <f>-CV135</f>
        <v>0</v>
      </c>
      <c r="CW291" s="3">
        <f>-CW135</f>
        <v>0</v>
      </c>
      <c r="CX291" s="3">
        <f>-CX135</f>
        <v>0</v>
      </c>
      <c r="CY291" s="3">
        <f>SUM(CU291:CX291)</f>
        <v>0</v>
      </c>
    </row>
    <row r="292">
      <c r="C292" s="26" t="inlineStr">
        <is>
          <t>Cash from operations</t>
        </is>
      </c>
      <c r="D292" s="3" t="n"/>
      <c r="E292" s="3">
        <f>SUM(E276,E277,E278,E289,E290,E291)</f>
        <v>966</v>
      </c>
      <c r="F292" s="3">
        <f>SUM(F276,F277,F278,F289,F290,F291)</f>
        <v>1306</v>
      </c>
      <c r="G292" s="3">
        <f>SUM(G276,G277,G278,G289,G290,G291)</f>
        <v>1620</v>
      </c>
      <c r="H292" s="3">
        <f>SUM(H276,H277,H278,H289,H290,H291)</f>
        <v>3892</v>
      </c>
      <c r="I292" s="3">
        <f>SUM(I276,I277,I278,I289,I290,I291)</f>
        <v>1334</v>
      </c>
      <c r="J292" s="3">
        <f>SUM(J276,J277,J278,J289,J290,J291)</f>
        <v>2231</v>
      </c>
      <c r="K292" s="3">
        <f>SUM(K276,K277,K278,K289,K290,K291)</f>
        <v>2558</v>
      </c>
      <c r="L292" s="3">
        <f>SUM(L276,L277,L278,L289,L290,L291)</f>
        <v>2670</v>
      </c>
      <c r="M292" s="3">
        <f>SUM(M276,M277,M278,M289,M290,M291)</f>
        <v>8793</v>
      </c>
      <c r="N292" s="3">
        <f>SUM(N276,N277,N278,N289,N290,N291)</f>
        <v>1001</v>
      </c>
      <c r="O292" s="3">
        <f>SUM(O276,O277,O278,O289,O290,O291)</f>
        <v>211</v>
      </c>
      <c r="P292" s="3">
        <f>SUM(P276,P277,P278,P289,P290,P291)</f>
        <v>132</v>
      </c>
      <c r="Q292" s="3">
        <f>SUM(Q276,Q277,Q278,Q289,Q290,Q291)</f>
        <v>1216</v>
      </c>
      <c r="R292" s="3">
        <f>SUM(R276,R277,R278,R289,R290,R291)</f>
        <v>2560</v>
      </c>
      <c r="S292" s="3">
        <f>SUM(S276,S277,S278,S289,S290,S291)</f>
        <v>2166</v>
      </c>
      <c r="T292" s="3">
        <f>SUM(T276,T277,T278,T289,T290,T291)</f>
        <v>5587</v>
      </c>
      <c r="U292" s="3">
        <f>SUM(U276,U277,U278,U289,U290,U291)</f>
        <v>6195</v>
      </c>
      <c r="V292" s="3">
        <f>SUM(V276,V277,V278,V289,V290,V291)</f>
        <v>10118</v>
      </c>
      <c r="W292" s="3">
        <f>SUM(W276,W277,W278,W289,W290,W291)</f>
        <v>24066</v>
      </c>
      <c r="X292" s="3">
        <f>SUM(X276,X277,X278,X289,X290,X291)</f>
        <v>14236</v>
      </c>
      <c r="Y292" s="3">
        <f>SUM(Y276,Y277,Y278,Y289,Y290,Y291)</f>
        <v>12706</v>
      </c>
      <c r="Z292" s="3">
        <f>SUM(Z276,Z277,Z278,Z289,Z290,Z291)</f>
        <v>17279</v>
      </c>
      <c r="AA292" s="3">
        <f>SUM(AA276,AA277,AA278,AA289,AA290,AA291)</f>
        <v>15736</v>
      </c>
      <c r="AB292" s="3">
        <f>SUM(AB276,AB277,AB278,AB289,AB290,AB291)</f>
        <v>59957</v>
      </c>
      <c r="AC292" s="3">
        <f>SUM(AC276,AC277,AC278,AC289,AC290,AC291)</f>
        <v>26214</v>
      </c>
      <c r="AD292" s="3">
        <f>SUM(AD276,AD277,AD278,AD289,AD290,AD291)</f>
        <v>15370</v>
      </c>
      <c r="AE292" s="3">
        <f>SUM(AE276,AE277,AE278,AE289,AE290,AE291)</f>
        <v>22920</v>
      </c>
      <c r="AF292" s="3">
        <f>SUM(AF276,AF277,AF278,AF289,AF290,AF291)</f>
        <v>30225</v>
      </c>
      <c r="AG292" s="3">
        <f>SUM(AG276,AG277,AG278,AG289,AG290,AG291)</f>
        <v>94729</v>
      </c>
      <c r="AH292" s="3">
        <f>SUM(AH276,AH277,AH278,AH289,AH290,AH291)</f>
        <v>47864</v>
      </c>
      <c r="AI292" s="3">
        <f>SUM(AI276,AI277,AI278,AI289,AI290,AI291)</f>
        <v>19332</v>
      </c>
      <c r="AJ292" s="3">
        <f>SUM(AJ276,AJ277,AJ278,AJ289,AJ290,AJ291)</f>
        <v>69084</v>
      </c>
      <c r="AK292" s="3">
        <f>SUM(AK276,AK277,AK278,AK289,AK290,AK291)</f>
        <v>8000</v>
      </c>
      <c r="AL292" s="3">
        <f>SUM(AL276,AL277,AL278,AL289,AL290,AL291)</f>
        <v>144280</v>
      </c>
      <c r="AM292" s="3" t="e">
        <f>SUM(AM276,AM277,AM278,AM289,AM290,AM291)</f>
        <v>#DIV/0!</v>
      </c>
      <c r="AN292" s="3" t="e">
        <f>SUM(AN276,AN277,AN278,AN289,AN290,AN291)</f>
        <v>#DIV/0!</v>
      </c>
      <c r="AO292" s="3" t="e">
        <f>SUM(AO276,AO277,AO278,AO289,AO290,AO291)</f>
        <v>#DIV/0!</v>
      </c>
      <c r="AP292" s="3" t="e">
        <f>SUM(AP276,AP277,AP278,AP289,AP290,AP291)</f>
        <v>#DIV/0!</v>
      </c>
      <c r="AQ292" s="3" t="e">
        <f>SUM(AQ276,AQ277,AQ278,AQ289,AQ290,AQ291)</f>
        <v>#DIV/0!</v>
      </c>
      <c r="AR292" s="3" t="e">
        <f>SUM(AR276,AR277,AR278,AR289,AR290,AR291)</f>
        <v>#DIV/0!</v>
      </c>
      <c r="AS292" s="3" t="e">
        <f>SUM(AS276,AS277,AS278,AS289,AS290,AS291)</f>
        <v>#DIV/0!</v>
      </c>
      <c r="AT292" s="3" t="e">
        <f>SUM(AT276,AT277,AT278,AT289,AT290,AT291)</f>
        <v>#DIV/0!</v>
      </c>
      <c r="AU292" s="3" t="e">
        <f>SUM(AU276,AU277,AU278,AU289,AU290,AU291)</f>
        <v>#DIV/0!</v>
      </c>
      <c r="AV292" s="3" t="e">
        <f>SUM(AV276,AV277,AV278,AV289,AV290,AV291)</f>
        <v>#DIV/0!</v>
      </c>
      <c r="AW292" s="3" t="e">
        <f>SUM(AW276,AW277,AW278,AW289,AW290,AW291)</f>
        <v>#DIV/0!</v>
      </c>
      <c r="AX292" s="3" t="e">
        <f>SUM(AX276,AX277,AX278,AX289,AX290,AX291)</f>
        <v>#DIV/0!</v>
      </c>
      <c r="AY292" s="3" t="e">
        <f>SUM(AY276,AY277,AY278,AY289,AY290,AY291)</f>
        <v>#DIV/0!</v>
      </c>
      <c r="AZ292" s="3" t="e">
        <f>SUM(AZ276,AZ277,AZ278,AZ289,AZ290,AZ291)</f>
        <v>#DIV/0!</v>
      </c>
      <c r="BA292" s="3" t="e">
        <f>SUM(BA276,BA277,BA278,BA289,BA290,BA291)</f>
        <v>#DIV/0!</v>
      </c>
      <c r="BB292" s="3" t="e">
        <f>SUM(BB276,BB277,BB278,BB289,BB290,BB291)</f>
        <v>#DIV/0!</v>
      </c>
      <c r="BC292" s="3" t="e">
        <f>SUM(BC276,BC277,BC278,BC289,BC290,BC291)</f>
        <v>#DIV/0!</v>
      </c>
      <c r="BD292" s="3" t="e">
        <f>SUM(BD276,BD277,BD278,BD289,BD290,BD291)</f>
        <v>#DIV/0!</v>
      </c>
      <c r="BE292" s="3" t="e">
        <f>SUM(BE276,BE277,BE278,BE289,BE290,BE291)</f>
        <v>#DIV/0!</v>
      </c>
      <c r="BF292" s="3" t="e">
        <f>SUM(BF276,BF277,BF278,BF289,BF290,BF291)</f>
        <v>#DIV/0!</v>
      </c>
      <c r="BG292" s="3" t="e">
        <f>SUM(BG276,BG277,BG278,BG289,BG290,BG291)</f>
        <v>#DIV/0!</v>
      </c>
      <c r="BH292" s="3" t="e">
        <f>SUM(BH276,BH277,BH278,BH289,BH290,BH291)</f>
        <v>#DIV/0!</v>
      </c>
      <c r="BI292" s="3" t="e">
        <f>SUM(BI276,BI277,BI278,BI289,BI290,BI291)</f>
        <v>#DIV/0!</v>
      </c>
      <c r="BJ292" s="3" t="e">
        <f>SUM(BJ276,BJ277,BJ278,BJ289,BJ290,BJ291)</f>
        <v>#DIV/0!</v>
      </c>
      <c r="BK292" s="3" t="e">
        <f>SUM(BK276,BK277,BK278,BK289,BK290,BK291)</f>
        <v>#DIV/0!</v>
      </c>
      <c r="BL292" s="3" t="e">
        <f>SUM(BL276,BL277,BL278,BL289,BL290,BL291)</f>
        <v>#DIV/0!</v>
      </c>
      <c r="BM292" s="3" t="e">
        <f>SUM(BM276,BM277,BM278,BM289,BM290,BM291)</f>
        <v>#DIV/0!</v>
      </c>
      <c r="BN292" s="3" t="e">
        <f>SUM(BN276,BN277,BN278,BN289,BN290,BN291)</f>
        <v>#DIV/0!</v>
      </c>
      <c r="BO292" s="3" t="e">
        <f>SUM(BO276,BO277,BO278,BO289,BO290,BO291)</f>
        <v>#DIV/0!</v>
      </c>
      <c r="BP292" s="3" t="e">
        <f>SUM(BP276,BP277,BP278,BP289,BP290,BP291)</f>
        <v>#DIV/0!</v>
      </c>
      <c r="BQ292" s="3" t="e">
        <f>SUM(BQ276,BQ277,BQ278,BQ289,BQ290,BQ291)</f>
        <v>#DIV/0!</v>
      </c>
      <c r="BR292" s="3" t="e">
        <f>SUM(BR276,BR277,BR278,BR289,BR290,BR291)</f>
        <v>#DIV/0!</v>
      </c>
      <c r="BS292" s="3" t="e">
        <f>SUM(BS276,BS277,BS278,BS289,BS290,BS291)</f>
        <v>#DIV/0!</v>
      </c>
      <c r="BT292" s="3" t="e">
        <f>SUM(BT276,BT277,BT278,BT289,BT290,BT291)</f>
        <v>#DIV/0!</v>
      </c>
      <c r="BU292" s="3" t="e">
        <f>SUM(BU276,BU277,BU278,BU289,BU290,BU291)</f>
        <v>#DIV/0!</v>
      </c>
      <c r="BV292" s="3" t="e">
        <f>SUM(BV276,BV277,BV278,BV289,BV290,BV291)</f>
        <v>#DIV/0!</v>
      </c>
      <c r="BW292" s="3" t="e">
        <f>SUM(BW276,BW277,BW278,BW289,BW290,BW291)</f>
        <v>#DIV/0!</v>
      </c>
      <c r="BX292" s="3" t="e">
        <f>SUM(BX276,BX277,BX278,BX289,BX290,BX291)</f>
        <v>#DIV/0!</v>
      </c>
      <c r="BY292" s="3" t="e">
        <f>SUM(BY276,BY277,BY278,BY289,BY290,BY291)</f>
        <v>#DIV/0!</v>
      </c>
      <c r="BZ292" s="3" t="e">
        <f>SUM(BZ276,BZ277,BZ278,BZ289,BZ290,BZ291)</f>
        <v>#DIV/0!</v>
      </c>
      <c r="CA292" s="3" t="e">
        <f>SUM(CA276,CA277,CA278,CA289,CA290,CA291)</f>
        <v>#DIV/0!</v>
      </c>
      <c r="CB292" s="3" t="e">
        <f>SUM(CB276,CB277,CB278,CB289,CB290,CB291)</f>
        <v>#DIV/0!</v>
      </c>
      <c r="CC292" s="3" t="e">
        <f>SUM(CC276,CC277,CC278,CC289,CC290,CC291)</f>
        <v>#DIV/0!</v>
      </c>
      <c r="CD292" s="3" t="e">
        <f>SUM(CD276,CD277,CD278,CD289,CD290,CD291)</f>
        <v>#DIV/0!</v>
      </c>
      <c r="CE292" s="3" t="e">
        <f>SUM(CE276,CE277,CE278,CE289,CE290,CE291)</f>
        <v>#DIV/0!</v>
      </c>
      <c r="CF292" s="3" t="e">
        <f>SUM(CF276,CF277,CF278,CF289,CF290,CF291)</f>
        <v>#DIV/0!</v>
      </c>
      <c r="CG292" s="3" t="e">
        <f>SUM(CG276,CG277,CG278,CG289,CG290,CG291)</f>
        <v>#DIV/0!</v>
      </c>
      <c r="CH292" s="3" t="e">
        <f>SUM(CH276,CH277,CH278,CH289,CH290,CH291)</f>
        <v>#DIV/0!</v>
      </c>
      <c r="CI292" s="3" t="e">
        <f>SUM(CI276,CI277,CI278,CI289,CI290,CI291)</f>
        <v>#DIV/0!</v>
      </c>
      <c r="CJ292" s="3" t="e">
        <f>SUM(CJ276,CJ277,CJ278,CJ289,CJ290,CJ291)</f>
        <v>#DIV/0!</v>
      </c>
      <c r="CK292" s="3" t="e">
        <f>SUM(CK276,CK277,CK278,CK289,CK290,CK291)</f>
        <v>#DIV/0!</v>
      </c>
      <c r="CL292" s="3" t="e">
        <f>SUM(CL276,CL277,CL278,CL289,CL290,CL291)</f>
        <v>#DIV/0!</v>
      </c>
      <c r="CM292" s="3" t="e">
        <f>SUM(CM276,CM277,CM278,CM289,CM290,CM291)</f>
        <v>#DIV/0!</v>
      </c>
      <c r="CN292" s="3" t="e">
        <f>SUM(CN276,CN277,CN278,CN289,CN290,CN291)</f>
        <v>#DIV/0!</v>
      </c>
      <c r="CO292" s="3" t="e">
        <f>SUM(CO276,CO277,CO278,CO289,CO290,CO291)</f>
        <v>#DIV/0!</v>
      </c>
      <c r="CP292" s="3" t="e">
        <f>SUM(CP276,CP277,CP278,CP289,CP290,CP291)</f>
        <v>#DIV/0!</v>
      </c>
      <c r="CQ292" s="3" t="e">
        <f>SUM(CQ276,CQ277,CQ278,CQ289,CQ290,CQ291)</f>
        <v>#DIV/0!</v>
      </c>
      <c r="CR292" s="3" t="e">
        <f>SUM(CR276,CR277,CR278,CR289,CR290,CR291)</f>
        <v>#DIV/0!</v>
      </c>
      <c r="CS292" s="3" t="e">
        <f>SUM(CS276,CS277,CS278,CS289,CS290,CS291)</f>
        <v>#DIV/0!</v>
      </c>
      <c r="CT292" s="3" t="e">
        <f>SUM(CT276,CT277,CT278,CT289,CT290,CT291)</f>
        <v>#DIV/0!</v>
      </c>
      <c r="CU292" s="3" t="e">
        <f>SUM(CU276,CU277,CU278,CU289,CU290,CU291)</f>
        <v>#DIV/0!</v>
      </c>
      <c r="CV292" s="3" t="e">
        <f>SUM(CV276,CV277,CV278,CV289,CV290,CV291)</f>
        <v>#DIV/0!</v>
      </c>
      <c r="CW292" s="3" t="e">
        <f>SUM(CW276,CW277,CW278,CW289,CW290,CW291)</f>
        <v>#DIV/0!</v>
      </c>
      <c r="CX292" s="3" t="e">
        <f>SUM(CX276,CX277,CX278,CX289,CX290,CX291)</f>
        <v>#DIV/0!</v>
      </c>
      <c r="CY292" s="3" t="e">
        <f>SUM(CY276,CY277,CY278,CY289,CY290,CY291)</f>
        <v>#DIV/0!</v>
      </c>
    </row>
    <row r="293">
      <c r="C293" s="26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  <c r="AB293" s="3" t="n"/>
      <c r="AC293" s="3" t="n"/>
      <c r="AD293" s="3" t="n"/>
      <c r="AE293" s="3" t="n"/>
      <c r="AF293" s="3" t="n"/>
      <c r="AG293" s="3" t="n"/>
      <c r="AH293" s="3" t="n"/>
      <c r="AI293" s="3" t="n"/>
      <c r="AJ293" s="3" t="n"/>
      <c r="AK293" s="3" t="n"/>
      <c r="AL293" s="3" t="n"/>
      <c r="AM293" s="3" t="n"/>
      <c r="AN293" s="3" t="n"/>
      <c r="AO293" s="3" t="n"/>
      <c r="AP293" s="3" t="n"/>
      <c r="AQ293" s="3" t="n"/>
      <c r="AR293" s="3" t="n"/>
      <c r="AS293" s="3" t="n"/>
      <c r="AT293" s="3" t="n"/>
      <c r="AU293" s="3" t="n"/>
      <c r="AV293" s="3" t="n"/>
      <c r="AW293" s="3" t="n"/>
      <c r="AX293" s="3" t="n"/>
      <c r="AY293" s="3" t="n"/>
      <c r="AZ293" s="3" t="n"/>
      <c r="BA293" s="3" t="n"/>
      <c r="BB293" s="3" t="n"/>
      <c r="BC293" s="3" t="n"/>
      <c r="BD293" s="3" t="n"/>
      <c r="BE293" s="3" t="n"/>
      <c r="BF293" s="3" t="n"/>
      <c r="BG293" s="3" t="n"/>
      <c r="BH293" s="3" t="n"/>
      <c r="BI293" s="3" t="n"/>
      <c r="BJ293" s="3" t="n"/>
      <c r="BK293" s="3" t="n"/>
      <c r="BL293" s="3" t="n"/>
      <c r="BM293" s="3" t="n"/>
      <c r="BN293" s="3" t="n"/>
      <c r="BO293" s="3" t="n"/>
      <c r="BP293" s="3" t="n"/>
      <c r="BQ293" s="3" t="n"/>
      <c r="BR293" s="3" t="n"/>
      <c r="BS293" s="3" t="n"/>
      <c r="BT293" s="3" t="n"/>
      <c r="BU293" s="3" t="n"/>
      <c r="BV293" s="3" t="n"/>
      <c r="BW293" s="3" t="n"/>
      <c r="BX293" s="3" t="n"/>
      <c r="BY293" s="3" t="n"/>
      <c r="BZ293" s="3" t="n"/>
      <c r="CA293" s="3" t="n"/>
      <c r="CB293" s="3" t="n"/>
      <c r="CC293" s="3" t="n"/>
      <c r="CD293" s="3" t="n"/>
      <c r="CE293" s="3" t="n"/>
      <c r="CF293" s="3" t="n"/>
      <c r="CG293" s="3" t="n"/>
      <c r="CH293" s="3" t="n"/>
      <c r="CI293" s="3" t="n"/>
      <c r="CJ293" s="3" t="n"/>
      <c r="CK293" s="3" t="n"/>
      <c r="CL293" s="3" t="n"/>
      <c r="CM293" s="3" t="n"/>
      <c r="CN293" s="3" t="n"/>
      <c r="CO293" s="3" t="n"/>
      <c r="CP293" s="3" t="n"/>
      <c r="CQ293" s="3" t="n"/>
      <c r="CR293" s="3" t="n"/>
      <c r="CS293" s="3" t="n"/>
      <c r="CT293" s="3" t="n"/>
      <c r="CU293" s="3" t="n"/>
      <c r="CV293" s="3" t="n"/>
      <c r="CW293" s="3" t="n"/>
      <c r="CX293" s="3" t="n"/>
      <c r="CY293" s="3" t="n"/>
    </row>
    <row r="294">
      <c r="C294" s="29" t="inlineStr">
        <is>
          <t>Purchase of fixed assets (capital expenditures)</t>
        </is>
      </c>
      <c r="D294" s="3" t="n"/>
      <c r="E294" s="3">
        <f>-E167</f>
        <v>-653</v>
      </c>
      <c r="F294" s="3">
        <f>-F167</f>
        <v>-394</v>
      </c>
      <c r="G294" s="3">
        <f>-G167</f>
        <v>-378</v>
      </c>
      <c r="H294" s="3">
        <f>SUM(D294:G294)</f>
        <v>-1425</v>
      </c>
      <c r="I294" s="3">
        <f>-I167</f>
        <v>-400</v>
      </c>
      <c r="J294" s="3">
        <f>-J167</f>
        <v>-382</v>
      </c>
      <c r="K294" s="3">
        <f>-K167</f>
        <v>-443</v>
      </c>
      <c r="L294" s="3">
        <f>-L167</f>
        <v>-578</v>
      </c>
      <c r="M294" s="3">
        <f>SUM(I294:L294)</f>
        <v>-1803</v>
      </c>
      <c r="N294" s="3">
        <f>-N167</f>
        <v>-472</v>
      </c>
      <c r="O294" s="3">
        <f>-O167</f>
        <v>-695</v>
      </c>
      <c r="P294" s="3">
        <f>-P167</f>
        <v>-947</v>
      </c>
      <c r="Q294" s="3">
        <f>-Q167</f>
        <v>-459</v>
      </c>
      <c r="R294" s="3">
        <f>SUM(N294:Q294)</f>
        <v>-2573</v>
      </c>
      <c r="S294" s="3">
        <f>-S167</f>
        <v>-317</v>
      </c>
      <c r="T294" s="3">
        <f>-T167</f>
        <v>-424</v>
      </c>
      <c r="U294" s="3">
        <f>-U167</f>
        <v>-417</v>
      </c>
      <c r="V294" s="3">
        <f>-V167</f>
        <v>-457</v>
      </c>
      <c r="W294" s="3">
        <f>SUM(S294:V294)</f>
        <v>-1615</v>
      </c>
      <c r="X294" s="3">
        <f>-X167</f>
        <v>-502</v>
      </c>
      <c r="Y294" s="3">
        <f>-Y167</f>
        <v>-1312</v>
      </c>
      <c r="Z294" s="3">
        <f>-Z167</f>
        <v>-936</v>
      </c>
      <c r="AA294" s="3">
        <f>-AA167</f>
        <v>-1483</v>
      </c>
      <c r="AB294" s="3">
        <f>SUM(X294:AA294)</f>
        <v>-4233</v>
      </c>
      <c r="AC294" s="3">
        <f>-AC167</f>
        <v>-1464</v>
      </c>
      <c r="AD294" s="3">
        <f>-AD167</f>
        <v>-2674</v>
      </c>
      <c r="AE294" s="3">
        <f>-AE167</f>
        <v>-1390</v>
      </c>
      <c r="AF294" s="3">
        <f>-AF167</f>
        <v>-1415</v>
      </c>
      <c r="AG294" s="3">
        <f>SUM(AC294:AF294)</f>
        <v>-6943</v>
      </c>
      <c r="AH294" s="3">
        <f>-AH167</f>
        <v>-3017</v>
      </c>
      <c r="AI294" s="3">
        <f>-AI167</f>
        <v>-3009</v>
      </c>
      <c r="AJ294" s="3">
        <f>-AJ167</f>
        <v>0</v>
      </c>
      <c r="AK294" s="3">
        <f>-AK167</f>
        <v>0</v>
      </c>
      <c r="AL294" s="3">
        <f>SUM(AH294:AK294)</f>
        <v>-6026</v>
      </c>
      <c r="AM294" s="3">
        <f>-AM167</f>
        <v>0</v>
      </c>
      <c r="AN294" s="3">
        <f>-AN167</f>
        <v>0</v>
      </c>
      <c r="AO294" s="3">
        <f>-AO167</f>
        <v>0</v>
      </c>
      <c r="AP294" s="3">
        <f>-AP167</f>
        <v>0</v>
      </c>
      <c r="AQ294" s="3">
        <f>SUM(AM294:AP294)</f>
        <v>0</v>
      </c>
      <c r="AR294" s="3">
        <f>-AR167</f>
        <v>0</v>
      </c>
      <c r="AS294" s="3">
        <f>-AS167</f>
        <v>0</v>
      </c>
      <c r="AT294" s="3">
        <f>-AT167</f>
        <v>0</v>
      </c>
      <c r="AU294" s="3">
        <f>-AU167</f>
        <v>0</v>
      </c>
      <c r="AV294" s="3">
        <f>SUM(AR294:AU294)</f>
        <v>0</v>
      </c>
      <c r="AW294" s="3">
        <f>-AW167</f>
        <v>0</v>
      </c>
      <c r="AX294" s="3">
        <f>-AX167</f>
        <v>0</v>
      </c>
      <c r="AY294" s="3">
        <f>-AY167</f>
        <v>0</v>
      </c>
      <c r="AZ294" s="3">
        <f>-AZ167</f>
        <v>0</v>
      </c>
      <c r="BA294" s="3">
        <f>SUM(AW294:AZ294)</f>
        <v>0</v>
      </c>
      <c r="BB294" s="3">
        <f>-BB167</f>
        <v>0</v>
      </c>
      <c r="BC294" s="3">
        <f>-BC167</f>
        <v>0</v>
      </c>
      <c r="BD294" s="3">
        <f>-BD167</f>
        <v>0</v>
      </c>
      <c r="BE294" s="3">
        <f>-BE167</f>
        <v>0</v>
      </c>
      <c r="BF294" s="3">
        <f>SUM(BB294:BE294)</f>
        <v>0</v>
      </c>
      <c r="BG294" s="3">
        <f>-BG167</f>
        <v>0</v>
      </c>
      <c r="BH294" s="3">
        <f>-BH167</f>
        <v>0</v>
      </c>
      <c r="BI294" s="3">
        <f>-BI167</f>
        <v>0</v>
      </c>
      <c r="BJ294" s="3">
        <f>-BJ167</f>
        <v>0</v>
      </c>
      <c r="BK294" s="3">
        <f>SUM(BG294:BJ294)</f>
        <v>0</v>
      </c>
      <c r="BL294" s="3">
        <f>-BL167</f>
        <v>0</v>
      </c>
      <c r="BM294" s="3">
        <f>-BM167</f>
        <v>0</v>
      </c>
      <c r="BN294" s="3">
        <f>-BN167</f>
        <v>0</v>
      </c>
      <c r="BO294" s="3">
        <f>-BO167</f>
        <v>0</v>
      </c>
      <c r="BP294" s="3">
        <f>SUM(BL294:BO294)</f>
        <v>0</v>
      </c>
      <c r="BQ294" s="3">
        <f>-BQ167</f>
        <v>0</v>
      </c>
      <c r="BR294" s="3">
        <f>-BR167</f>
        <v>0</v>
      </c>
      <c r="BS294" s="3">
        <f>-BS167</f>
        <v>0</v>
      </c>
      <c r="BT294" s="3">
        <f>-BT167</f>
        <v>0</v>
      </c>
      <c r="BU294" s="3">
        <f>SUM(BQ294:BT294)</f>
        <v>0</v>
      </c>
      <c r="BV294" s="3">
        <f>-BV167</f>
        <v>0</v>
      </c>
      <c r="BW294" s="3">
        <f>-BW167</f>
        <v>0</v>
      </c>
      <c r="BX294" s="3">
        <f>-BX167</f>
        <v>0</v>
      </c>
      <c r="BY294" s="3">
        <f>-BY167</f>
        <v>0</v>
      </c>
      <c r="BZ294" s="3">
        <f>SUM(BV294:BY294)</f>
        <v>0</v>
      </c>
      <c r="CA294" s="3">
        <f>-CA167</f>
        <v>0</v>
      </c>
      <c r="CB294" s="3">
        <f>-CB167</f>
        <v>0</v>
      </c>
      <c r="CC294" s="3">
        <f>-CC167</f>
        <v>0</v>
      </c>
      <c r="CD294" s="3">
        <f>-CD167</f>
        <v>0</v>
      </c>
      <c r="CE294" s="3">
        <f>SUM(CA294:CD294)</f>
        <v>0</v>
      </c>
      <c r="CF294" s="3">
        <f>-CF167</f>
        <v>0</v>
      </c>
      <c r="CG294" s="3">
        <f>-CG167</f>
        <v>0</v>
      </c>
      <c r="CH294" s="3">
        <f>-CH167</f>
        <v>0</v>
      </c>
      <c r="CI294" s="3">
        <f>-CI167</f>
        <v>0</v>
      </c>
      <c r="CJ294" s="3">
        <f>SUM(CF294:CI294)</f>
        <v>0</v>
      </c>
      <c r="CK294" s="3">
        <f>-CK167</f>
        <v>0</v>
      </c>
      <c r="CL294" s="3">
        <f>-CL167</f>
        <v>0</v>
      </c>
      <c r="CM294" s="3">
        <f>-CM167</f>
        <v>0</v>
      </c>
      <c r="CN294" s="3">
        <f>-CN167</f>
        <v>0</v>
      </c>
      <c r="CO294" s="3">
        <f>SUM(CK294:CN294)</f>
        <v>0</v>
      </c>
      <c r="CP294" s="3">
        <f>-CP167</f>
        <v>0</v>
      </c>
      <c r="CQ294" s="3">
        <f>-CQ167</f>
        <v>0</v>
      </c>
      <c r="CR294" s="3">
        <f>-CR167</f>
        <v>0</v>
      </c>
      <c r="CS294" s="3">
        <f>-CS167</f>
        <v>0</v>
      </c>
      <c r="CT294" s="3">
        <f>SUM(CP294:CS294)</f>
        <v>0</v>
      </c>
      <c r="CU294" s="3">
        <f>-CU167</f>
        <v>0</v>
      </c>
      <c r="CV294" s="3">
        <f>-CV167</f>
        <v>0</v>
      </c>
      <c r="CW294" s="3">
        <f>-CW167</f>
        <v>0</v>
      </c>
      <c r="CX294" s="3">
        <f>-CX167</f>
        <v>0</v>
      </c>
      <c r="CY294" s="3">
        <f>SUM(CU294:CX294)</f>
        <v>0</v>
      </c>
    </row>
    <row r="295">
      <c r="C295" s="29" t="inlineStr">
        <is>
          <t>Proceeds from sale of fixed assets</t>
        </is>
      </c>
      <c r="D295" s="3" t="n"/>
      <c r="E295" s="3">
        <f>-E168</f>
        <v>0</v>
      </c>
      <c r="F295" s="3">
        <f>-F168</f>
        <v>0</v>
      </c>
      <c r="G295" s="3">
        <f>-G168</f>
        <v>0</v>
      </c>
      <c r="H295" s="3">
        <f>SUM(D295:G295)</f>
        <v>0</v>
      </c>
      <c r="I295" s="3">
        <f>-I168</f>
        <v>0</v>
      </c>
      <c r="J295" s="3">
        <f>-J168</f>
        <v>0</v>
      </c>
      <c r="K295" s="3">
        <f>-K168</f>
        <v>0</v>
      </c>
      <c r="L295" s="3">
        <f>-L168</f>
        <v>0</v>
      </c>
      <c r="M295" s="3">
        <f>SUM(I295:L295)</f>
        <v>0</v>
      </c>
      <c r="N295" s="3">
        <f>-N168</f>
        <v>0</v>
      </c>
      <c r="O295" s="3">
        <f>-O168</f>
        <v>0</v>
      </c>
      <c r="P295" s="3">
        <f>-P168</f>
        <v>0</v>
      </c>
      <c r="Q295" s="3">
        <f>-Q168</f>
        <v>0</v>
      </c>
      <c r="R295" s="3">
        <f>SUM(N295:Q295)</f>
        <v>0</v>
      </c>
      <c r="S295" s="3">
        <f>-S168</f>
        <v>0</v>
      </c>
      <c r="T295" s="3">
        <f>-T168</f>
        <v>0</v>
      </c>
      <c r="U295" s="3">
        <f>-U168</f>
        <v>0</v>
      </c>
      <c r="V295" s="3">
        <f>-V168</f>
        <v>0</v>
      </c>
      <c r="W295" s="3">
        <f>SUM(S295:V295)</f>
        <v>0</v>
      </c>
      <c r="X295" s="3">
        <f>-X168</f>
        <v>0</v>
      </c>
      <c r="Y295" s="3">
        <f>-Y168</f>
        <v>0</v>
      </c>
      <c r="Z295" s="3">
        <f>-Z168</f>
        <v>0</v>
      </c>
      <c r="AA295" s="3">
        <f>-AA168</f>
        <v>0</v>
      </c>
      <c r="AB295" s="3">
        <f>SUM(X295:AA295)</f>
        <v>0</v>
      </c>
      <c r="AC295" s="3">
        <f>-AC168</f>
        <v>0</v>
      </c>
      <c r="AD295" s="3">
        <f>-AD168</f>
        <v>0</v>
      </c>
      <c r="AE295" s="3">
        <f>-AE168</f>
        <v>0</v>
      </c>
      <c r="AF295" s="3">
        <f>-AF168</f>
        <v>0</v>
      </c>
      <c r="AG295" s="3">
        <f>SUM(AC295:AF295)</f>
        <v>0</v>
      </c>
      <c r="AH295" s="3">
        <f>-AH168</f>
        <v>0</v>
      </c>
      <c r="AI295" s="3">
        <f>-AI168</f>
        <v>0</v>
      </c>
      <c r="AJ295" s="3">
        <f>-AJ168</f>
        <v>0</v>
      </c>
      <c r="AK295" s="3">
        <f>-AK168</f>
        <v>0</v>
      </c>
      <c r="AL295" s="3">
        <f>SUM(AH295:AK295)</f>
        <v>0</v>
      </c>
      <c r="AM295" s="3">
        <f>-AM168</f>
        <v>0</v>
      </c>
      <c r="AN295" s="3">
        <f>-AN168</f>
        <v>0</v>
      </c>
      <c r="AO295" s="3">
        <f>-AO168</f>
        <v>0</v>
      </c>
      <c r="AP295" s="3">
        <f>-AP168</f>
        <v>0</v>
      </c>
      <c r="AQ295" s="3">
        <f>SUM(AM295:AP295)</f>
        <v>0</v>
      </c>
      <c r="AR295" s="3">
        <f>-AR168</f>
        <v>0</v>
      </c>
      <c r="AS295" s="3">
        <f>-AS168</f>
        <v>0</v>
      </c>
      <c r="AT295" s="3">
        <f>-AT168</f>
        <v>0</v>
      </c>
      <c r="AU295" s="3">
        <f>-AU168</f>
        <v>0</v>
      </c>
      <c r="AV295" s="3">
        <f>SUM(AR295:AU295)</f>
        <v>0</v>
      </c>
      <c r="AW295" s="3">
        <f>-AW168</f>
        <v>0</v>
      </c>
      <c r="AX295" s="3">
        <f>-AX168</f>
        <v>0</v>
      </c>
      <c r="AY295" s="3">
        <f>-AY168</f>
        <v>0</v>
      </c>
      <c r="AZ295" s="3">
        <f>-AZ168</f>
        <v>0</v>
      </c>
      <c r="BA295" s="3">
        <f>SUM(AW295:AZ295)</f>
        <v>0</v>
      </c>
      <c r="BB295" s="3">
        <f>-BB168</f>
        <v>0</v>
      </c>
      <c r="BC295" s="3">
        <f>-BC168</f>
        <v>0</v>
      </c>
      <c r="BD295" s="3">
        <f>-BD168</f>
        <v>0</v>
      </c>
      <c r="BE295" s="3">
        <f>-BE168</f>
        <v>0</v>
      </c>
      <c r="BF295" s="3">
        <f>SUM(BB295:BE295)</f>
        <v>0</v>
      </c>
      <c r="BG295" s="3">
        <f>-BG168</f>
        <v>0</v>
      </c>
      <c r="BH295" s="3">
        <f>-BH168</f>
        <v>0</v>
      </c>
      <c r="BI295" s="3">
        <f>-BI168</f>
        <v>0</v>
      </c>
      <c r="BJ295" s="3">
        <f>-BJ168</f>
        <v>0</v>
      </c>
      <c r="BK295" s="3">
        <f>SUM(BG295:BJ295)</f>
        <v>0</v>
      </c>
      <c r="BL295" s="3">
        <f>-BL168</f>
        <v>0</v>
      </c>
      <c r="BM295" s="3">
        <f>-BM168</f>
        <v>0</v>
      </c>
      <c r="BN295" s="3">
        <f>-BN168</f>
        <v>0</v>
      </c>
      <c r="BO295" s="3">
        <f>-BO168</f>
        <v>0</v>
      </c>
      <c r="BP295" s="3">
        <f>SUM(BL295:BO295)</f>
        <v>0</v>
      </c>
      <c r="BQ295" s="3">
        <f>-BQ168</f>
        <v>0</v>
      </c>
      <c r="BR295" s="3">
        <f>-BR168</f>
        <v>0</v>
      </c>
      <c r="BS295" s="3">
        <f>-BS168</f>
        <v>0</v>
      </c>
      <c r="BT295" s="3">
        <f>-BT168</f>
        <v>0</v>
      </c>
      <c r="BU295" s="3">
        <f>SUM(BQ295:BT295)</f>
        <v>0</v>
      </c>
      <c r="BV295" s="3">
        <f>-BV168</f>
        <v>0</v>
      </c>
      <c r="BW295" s="3">
        <f>-BW168</f>
        <v>0</v>
      </c>
      <c r="BX295" s="3">
        <f>-BX168</f>
        <v>0</v>
      </c>
      <c r="BY295" s="3">
        <f>-BY168</f>
        <v>0</v>
      </c>
      <c r="BZ295" s="3">
        <f>SUM(BV295:BY295)</f>
        <v>0</v>
      </c>
      <c r="CA295" s="3">
        <f>-CA168</f>
        <v>0</v>
      </c>
      <c r="CB295" s="3">
        <f>-CB168</f>
        <v>0</v>
      </c>
      <c r="CC295" s="3">
        <f>-CC168</f>
        <v>0</v>
      </c>
      <c r="CD295" s="3">
        <f>-CD168</f>
        <v>0</v>
      </c>
      <c r="CE295" s="3">
        <f>SUM(CA295:CD295)</f>
        <v>0</v>
      </c>
      <c r="CF295" s="3">
        <f>-CF168</f>
        <v>0</v>
      </c>
      <c r="CG295" s="3">
        <f>-CG168</f>
        <v>0</v>
      </c>
      <c r="CH295" s="3">
        <f>-CH168</f>
        <v>0</v>
      </c>
      <c r="CI295" s="3">
        <f>-CI168</f>
        <v>0</v>
      </c>
      <c r="CJ295" s="3">
        <f>SUM(CF295:CI295)</f>
        <v>0</v>
      </c>
      <c r="CK295" s="3">
        <f>-CK168</f>
        <v>0</v>
      </c>
      <c r="CL295" s="3">
        <f>-CL168</f>
        <v>0</v>
      </c>
      <c r="CM295" s="3">
        <f>-CM168</f>
        <v>0</v>
      </c>
      <c r="CN295" s="3">
        <f>-CN168</f>
        <v>0</v>
      </c>
      <c r="CO295" s="3">
        <f>SUM(CK295:CN295)</f>
        <v>0</v>
      </c>
      <c r="CP295" s="3">
        <f>-CP168</f>
        <v>0</v>
      </c>
      <c r="CQ295" s="3">
        <f>-CQ168</f>
        <v>0</v>
      </c>
      <c r="CR295" s="3">
        <f>-CR168</f>
        <v>0</v>
      </c>
      <c r="CS295" s="3">
        <f>-CS168</f>
        <v>0</v>
      </c>
      <c r="CT295" s="3">
        <f>SUM(CP295:CS295)</f>
        <v>0</v>
      </c>
      <c r="CU295" s="3">
        <f>-CU168</f>
        <v>0</v>
      </c>
      <c r="CV295" s="3">
        <f>-CV168</f>
        <v>0</v>
      </c>
      <c r="CW295" s="3">
        <f>-CW168</f>
        <v>0</v>
      </c>
      <c r="CX295" s="3">
        <f>-CX168</f>
        <v>0</v>
      </c>
      <c r="CY295" s="3">
        <f>SUM(CU295:CX295)</f>
        <v>0</v>
      </c>
    </row>
    <row r="296">
      <c r="C296" s="29" t="inlineStr">
        <is>
          <t>Var.Right-of-use-assets</t>
        </is>
      </c>
      <c r="D296" s="3" t="n"/>
      <c r="E296" s="3">
        <f>(E175-D175)*-1</f>
        <v>-106</v>
      </c>
      <c r="F296" s="3">
        <f>(F175-E175)*-1</f>
        <v>20</v>
      </c>
      <c r="G296" s="3">
        <f>(G175-F175)*-1</f>
        <v>-26</v>
      </c>
      <c r="H296" s="3">
        <f>SUM(D296:G296)</f>
        <v>-112</v>
      </c>
      <c r="I296" s="3">
        <f>(I175-H175)*-1</f>
        <v>-20</v>
      </c>
      <c r="J296" s="3">
        <f>(J175-I175)*-1</f>
        <v>-74</v>
      </c>
      <c r="K296" s="3">
        <f>(K175-J175)*-1</f>
        <v>-29</v>
      </c>
      <c r="L296" s="3">
        <f>(L175-K175)*-1</f>
        <v>1</v>
      </c>
      <c r="M296" s="3">
        <f>SUM(I296:L296)</f>
        <v>-122</v>
      </c>
      <c r="N296" s="3">
        <f>(N175-M175)*-1</f>
        <v>-27</v>
      </c>
      <c r="O296" s="3">
        <f>(O175-N175)*-1</f>
        <v>4</v>
      </c>
      <c r="P296" s="3">
        <f>(P175-O175)*-1</f>
        <v>-75</v>
      </c>
      <c r="Q296" s="3">
        <f>(Q175-P175)*-1</f>
        <v>-111</v>
      </c>
      <c r="R296" s="3">
        <f>SUM(N296:Q296)</f>
        <v>-209</v>
      </c>
      <c r="S296" s="3">
        <f>(S175-R175)*-1</f>
        <v>-56</v>
      </c>
      <c r="T296" s="3">
        <f>(T175-S175)*-1</f>
        <v>-141</v>
      </c>
      <c r="U296" s="3">
        <f>(U175-T175)*-1</f>
        <v>-81</v>
      </c>
      <c r="V296" s="3">
        <f>(V175-U175)*-1</f>
        <v>-30</v>
      </c>
      <c r="W296" s="3">
        <f>SUM(S296:V296)</f>
        <v>-308</v>
      </c>
      <c r="X296" s="3">
        <f>(X175-W175)*-1</f>
        <v>-186</v>
      </c>
      <c r="Y296" s="3">
        <f>(Y175-X175)*-1</f>
        <v>-24</v>
      </c>
      <c r="Z296" s="3">
        <f>(Z175-Y175)*-1</f>
        <v>-199</v>
      </c>
      <c r="AA296" s="3">
        <f>(AA175-Z175)*-1</f>
        <v>-38</v>
      </c>
      <c r="AB296" s="3">
        <f>SUM(X296:AA296)</f>
        <v>-447</v>
      </c>
      <c r="AC296" s="3">
        <f>(AC175-AB175)*-1</f>
        <v>-17</v>
      </c>
      <c r="AD296" s="3">
        <f>(AD175-AC175)*-1</f>
        <v>-274</v>
      </c>
      <c r="AE296" s="3">
        <f>(AE175-AD175)*-1</f>
        <v>-197</v>
      </c>
      <c r="AF296" s="3">
        <f>(AF175-AE175)*-1</f>
        <v>-586</v>
      </c>
      <c r="AG296" s="3">
        <f>SUM(AC296:AF296)</f>
        <v>-1074</v>
      </c>
      <c r="AH296" s="3">
        <f>(AH175-AG175)*-1</f>
        <v>-1391</v>
      </c>
      <c r="AI296" s="3">
        <f>(AI175-AH175)*-1</f>
        <v>-1132</v>
      </c>
      <c r="AJ296" s="3">
        <f>(AJ175-AI175)*-1</f>
        <v>0</v>
      </c>
      <c r="AK296" s="3">
        <f>(AK175-AJ175)*-1</f>
        <v>0</v>
      </c>
      <c r="AL296" s="3">
        <f>SUM(AH296:AK296)</f>
        <v>-2523</v>
      </c>
      <c r="AM296" s="3">
        <f>(AM175-AL175)*-1</f>
        <v>0</v>
      </c>
      <c r="AN296" s="3">
        <f>(AN175-AM175)*-1</f>
        <v>0</v>
      </c>
      <c r="AO296" s="3">
        <f>(AO175-AN175)*-1</f>
        <v>0</v>
      </c>
      <c r="AP296" s="3">
        <f>(AP175-AO175)*-1</f>
        <v>0</v>
      </c>
      <c r="AQ296" s="3">
        <f>SUM(AM296:AP296)</f>
        <v>0</v>
      </c>
      <c r="AR296" s="3">
        <f>(AR175-AQ175)*-1</f>
        <v>0</v>
      </c>
      <c r="AS296" s="3">
        <f>(AS175-AR175)*-1</f>
        <v>0</v>
      </c>
      <c r="AT296" s="3">
        <f>(AT175-AS175)*-1</f>
        <v>0</v>
      </c>
      <c r="AU296" s="3">
        <f>(AU175-AT175)*-1</f>
        <v>0</v>
      </c>
      <c r="AV296" s="3">
        <f>SUM(AR296:AU296)</f>
        <v>0</v>
      </c>
      <c r="AW296" s="3">
        <f>(AW175-AV175)*-1</f>
        <v>0</v>
      </c>
      <c r="AX296" s="3">
        <f>(AX175-AW175)*-1</f>
        <v>0</v>
      </c>
      <c r="AY296" s="3">
        <f>(AY175-AX175)*-1</f>
        <v>0</v>
      </c>
      <c r="AZ296" s="3">
        <f>(AZ175-AY175)*-1</f>
        <v>0</v>
      </c>
      <c r="BA296" s="3">
        <f>SUM(AW296:AZ296)</f>
        <v>0</v>
      </c>
      <c r="BB296" s="3">
        <f>(BB175-BA175)*-1</f>
        <v>0</v>
      </c>
      <c r="BC296" s="3">
        <f>(BC175-BB175)*-1</f>
        <v>0</v>
      </c>
      <c r="BD296" s="3">
        <f>(BD175-BC175)*-1</f>
        <v>0</v>
      </c>
      <c r="BE296" s="3">
        <f>(BE175-BD175)*-1</f>
        <v>0</v>
      </c>
      <c r="BF296" s="3">
        <f>SUM(BB296:BE296)</f>
        <v>0</v>
      </c>
      <c r="BG296" s="3">
        <f>(BG175-BF175)*-1</f>
        <v>0</v>
      </c>
      <c r="BH296" s="3">
        <f>(BH175-BG175)*-1</f>
        <v>0</v>
      </c>
      <c r="BI296" s="3">
        <f>(BI175-BH175)*-1</f>
        <v>0</v>
      </c>
      <c r="BJ296" s="3">
        <f>(BJ175-BI175)*-1</f>
        <v>0</v>
      </c>
      <c r="BK296" s="3">
        <f>SUM(BG296:BJ296)</f>
        <v>0</v>
      </c>
      <c r="BL296" s="3">
        <f>(BL175-BK175)*-1</f>
        <v>0</v>
      </c>
      <c r="BM296" s="3">
        <f>(BM175-BL175)*-1</f>
        <v>0</v>
      </c>
      <c r="BN296" s="3">
        <f>(BN175-BM175)*-1</f>
        <v>0</v>
      </c>
      <c r="BO296" s="3">
        <f>(BO175-BN175)*-1</f>
        <v>0</v>
      </c>
      <c r="BP296" s="3">
        <f>SUM(BL296:BO296)</f>
        <v>0</v>
      </c>
      <c r="BQ296" s="3">
        <f>(BQ175-BP175)*-1</f>
        <v>0</v>
      </c>
      <c r="BR296" s="3">
        <f>(BR175-BQ175)*-1</f>
        <v>0</v>
      </c>
      <c r="BS296" s="3">
        <f>(BS175-BR175)*-1</f>
        <v>0</v>
      </c>
      <c r="BT296" s="3">
        <f>(BT175-BS175)*-1</f>
        <v>0</v>
      </c>
      <c r="BU296" s="3">
        <f>SUM(BQ296:BT296)</f>
        <v>0</v>
      </c>
      <c r="BV296" s="3">
        <f>(BV175-BU175)*-1</f>
        <v>0</v>
      </c>
      <c r="BW296" s="3">
        <f>(BW175-BV175)*-1</f>
        <v>0</v>
      </c>
      <c r="BX296" s="3">
        <f>(BX175-BW175)*-1</f>
        <v>0</v>
      </c>
      <c r="BY296" s="3">
        <f>(BY175-BX175)*-1</f>
        <v>0</v>
      </c>
      <c r="BZ296" s="3">
        <f>SUM(BV296:BY296)</f>
        <v>0</v>
      </c>
      <c r="CA296" s="3">
        <f>(CA175-BZ175)*-1</f>
        <v>0</v>
      </c>
      <c r="CB296" s="3">
        <f>(CB175-CA175)*-1</f>
        <v>0</v>
      </c>
      <c r="CC296" s="3">
        <f>(CC175-CB175)*-1</f>
        <v>0</v>
      </c>
      <c r="CD296" s="3">
        <f>(CD175-CC175)*-1</f>
        <v>0</v>
      </c>
      <c r="CE296" s="3">
        <f>SUM(CA296:CD296)</f>
        <v>0</v>
      </c>
      <c r="CF296" s="3">
        <f>(CF175-CE175)*-1</f>
        <v>0</v>
      </c>
      <c r="CG296" s="3">
        <f>(CG175-CF175)*-1</f>
        <v>0</v>
      </c>
      <c r="CH296" s="3">
        <f>(CH175-CG175)*-1</f>
        <v>0</v>
      </c>
      <c r="CI296" s="3">
        <f>(CI175-CH175)*-1</f>
        <v>0</v>
      </c>
      <c r="CJ296" s="3">
        <f>SUM(CF296:CI296)</f>
        <v>0</v>
      </c>
      <c r="CK296" s="3">
        <f>(CK175-CJ175)*-1</f>
        <v>0</v>
      </c>
      <c r="CL296" s="3">
        <f>(CL175-CK175)*-1</f>
        <v>0</v>
      </c>
      <c r="CM296" s="3">
        <f>(CM175-CL175)*-1</f>
        <v>0</v>
      </c>
      <c r="CN296" s="3">
        <f>(CN175-CM175)*-1</f>
        <v>0</v>
      </c>
      <c r="CO296" s="3">
        <f>SUM(CK296:CN296)</f>
        <v>0</v>
      </c>
      <c r="CP296" s="3">
        <f>(CP175-CO175)*-1</f>
        <v>0</v>
      </c>
      <c r="CQ296" s="3">
        <f>(CQ175-CP175)*-1</f>
        <v>0</v>
      </c>
      <c r="CR296" s="3">
        <f>(CR175-CQ175)*-1</f>
        <v>0</v>
      </c>
      <c r="CS296" s="3">
        <f>(CS175-CR175)*-1</f>
        <v>0</v>
      </c>
      <c r="CT296" s="3">
        <f>SUM(CP296:CS296)</f>
        <v>0</v>
      </c>
      <c r="CU296" s="3">
        <f>(CU175-CT175)*-1</f>
        <v>0</v>
      </c>
      <c r="CV296" s="3">
        <f>(CV175-CU175)*-1</f>
        <v>0</v>
      </c>
      <c r="CW296" s="3">
        <f>(CW175-CV175)*-1</f>
        <v>0</v>
      </c>
      <c r="CX296" s="3">
        <f>(CX175-CW175)*-1</f>
        <v>0</v>
      </c>
      <c r="CY296" s="3">
        <f>SUM(CU296:CX296)</f>
        <v>0</v>
      </c>
      <c r="CZ296" s="3" t="n"/>
      <c r="DA296" s="3" t="n"/>
      <c r="DB296" s="3" t="n"/>
      <c r="DC296" s="3" t="n"/>
    </row>
    <row r="297">
      <c r="C297" s="29" t="inlineStr">
        <is>
          <t>Purchases of intangible assets</t>
        </is>
      </c>
      <c r="D297" s="3" t="n"/>
      <c r="E297" s="3">
        <f>((E179-D179)*-1)+((E178-D178)*-1)</f>
        <v>-6339</v>
      </c>
      <c r="F297" s="3">
        <f>((F179-E179)*-1)+((F178-E178)*-1)</f>
        <v>-7</v>
      </c>
      <c r="G297" s="3">
        <f>((G179-F179)*-1)+((G178-F178)*-1)</f>
        <v>124</v>
      </c>
      <c r="H297" s="3">
        <f>SUM(D297:G297)</f>
        <v>-6222</v>
      </c>
      <c r="I297" s="3">
        <f>((I179-H179)*-1)+((I178-H178)*-1)</f>
        <v>124</v>
      </c>
      <c r="J297" s="3">
        <f>((J179-I179)*-1)+((J178-I178)*-1)</f>
        <v>135</v>
      </c>
      <c r="K297" s="3">
        <f>((K179-J179)*-1)+((K178-J178)*-1)</f>
        <v>-85</v>
      </c>
      <c r="L297" s="3">
        <f>((L179-K179)*-1)+((L178-K178)*-1)</f>
        <v>68</v>
      </c>
      <c r="M297" s="3">
        <f>SUM(I297:L297)</f>
        <v>242</v>
      </c>
      <c r="N297" s="3">
        <f>((N179-M179)*-1)+((N178-M178)*-1)</f>
        <v>112</v>
      </c>
      <c r="O297" s="3">
        <f>((O179-N179)*-1)+((O178-N178)*-1)</f>
        <v>168</v>
      </c>
      <c r="P297" s="3">
        <f>((P179-O179)*-1)+((P178-O178)*-1)</f>
        <v>186</v>
      </c>
      <c r="Q297" s="3">
        <f>((Q179-P179)*-1)+((Q178-P178)*-1)</f>
        <v>174</v>
      </c>
      <c r="R297" s="3">
        <f>SUM(N297:Q297)</f>
        <v>640</v>
      </c>
      <c r="S297" s="3">
        <f>((S179-R179)*-1)+((S178-R178)*-1)</f>
        <v>77</v>
      </c>
      <c r="T297" s="3">
        <f>((T179-S179)*-1)+((T178-S178)*-1)</f>
        <v>146</v>
      </c>
      <c r="U297" s="3">
        <f>((U179-T179)*-1)+((U178-T178)*-1)</f>
        <v>144</v>
      </c>
      <c r="V297" s="3">
        <f>((V179-U179)*-1)+((V178-U178)*-1)</f>
        <v>139</v>
      </c>
      <c r="W297" s="3">
        <f>SUM(S297:V297)</f>
        <v>506</v>
      </c>
      <c r="X297" s="3">
        <f>((X179-W179)*-1)+((X178-W178)*-1)</f>
        <v>103</v>
      </c>
      <c r="Y297" s="3">
        <f>((Y179-X179)*-1)+((Y178-X178)*-1)</f>
        <v>-135</v>
      </c>
      <c r="Z297" s="3">
        <f>((Z179-Y179)*-1)+((Z178-Y178)*-1)</f>
        <v>12</v>
      </c>
      <c r="AA297" s="3">
        <f>((AA179-Z179)*-1)+((AA178-Z178)*-1)</f>
        <v>-433</v>
      </c>
      <c r="AB297" s="3">
        <f>SUM(X297:AA297)</f>
        <v>-453</v>
      </c>
      <c r="AC297" s="3">
        <f>((AC179-AB179)*-1)+((AC178-AB178)*-1)</f>
        <v>-272</v>
      </c>
      <c r="AD297" s="3">
        <f>((AD179-AC179)*-1)+((AD178-AC178)*-1)</f>
        <v>-243</v>
      </c>
      <c r="AE297" s="3">
        <f>((AE179-AD179)*-1)+((AE178-AD178)*-1)</f>
        <v>-687</v>
      </c>
      <c r="AF297" s="3">
        <f>((AF179-AE179)*-1)+((AF178-AE178)*-1)</f>
        <v>-16941</v>
      </c>
      <c r="AG297" s="3">
        <f>SUM(AC297:AF297)</f>
        <v>-18143</v>
      </c>
      <c r="AH297" s="3">
        <f>((AH179-AG179)*-1)+((AH178-AG178)*-1)</f>
        <v>124</v>
      </c>
      <c r="AI297" s="3">
        <f>((AI179-AH179)*-1)+((AI178-AH178)*-1)</f>
        <v>-109</v>
      </c>
      <c r="AJ297" s="3">
        <f>((AJ179-AI179)*-1)+((AJ178-AI178)*-1)</f>
        <v>2998</v>
      </c>
      <c r="AK297" s="3">
        <f>((AK179-AJ179)*-1)+((AK178-AJ178)*-1)</f>
        <v>0</v>
      </c>
      <c r="AL297" s="3">
        <f>SUM(AH297:AK297)</f>
        <v>3013</v>
      </c>
      <c r="AM297" s="3">
        <f>((AM179-AL179)*-1)+((AM178-AL178)*-1)</f>
        <v>0</v>
      </c>
      <c r="AN297" s="3">
        <f>((AN179-AM179)*-1)+((AN178-AM178)*-1)</f>
        <v>0</v>
      </c>
      <c r="AO297" s="3">
        <f>((AO179-AN179)*-1)+((AO178-AN178)*-1)</f>
        <v>0</v>
      </c>
      <c r="AP297" s="3">
        <f>((AP179-AO179)*-1)+((AP178-AO178)*-1)</f>
        <v>0</v>
      </c>
      <c r="AQ297" s="3">
        <f>SUM(AM297:AP297)</f>
        <v>0</v>
      </c>
      <c r="AR297" s="3">
        <f>((AR179-AQ179)*-1)+((AR178-AQ178)*-1)</f>
        <v>0</v>
      </c>
      <c r="AS297" s="3">
        <f>((AS179-AR179)*-1)+((AS178-AR178)*-1)</f>
        <v>0</v>
      </c>
      <c r="AT297" s="3">
        <f>((AT179-AS179)*-1)+((AT178-AS178)*-1)</f>
        <v>0</v>
      </c>
      <c r="AU297" s="3">
        <f>((AU179-AT179)*-1)+((AU178-AT178)*-1)</f>
        <v>0</v>
      </c>
      <c r="AV297" s="3">
        <f>SUM(AR297:AU297)</f>
        <v>0</v>
      </c>
      <c r="AW297" s="3">
        <f>((AW179-AV179)*-1)+((AW178-AV178)*-1)</f>
        <v>0</v>
      </c>
      <c r="AX297" s="3">
        <f>((AX179-AW179)*-1)+((AX178-AW178)*-1)</f>
        <v>0</v>
      </c>
      <c r="AY297" s="3">
        <f>((AY179-AX179)*-1)+((AY178-AX178)*-1)</f>
        <v>0</v>
      </c>
      <c r="AZ297" s="3">
        <f>((AZ179-AY179)*-1)+((AZ178-AY178)*-1)</f>
        <v>0</v>
      </c>
      <c r="BA297" s="3">
        <f>SUM(AW297:AZ297)</f>
        <v>0</v>
      </c>
      <c r="BB297" s="3">
        <f>((BB179-BA179)*-1)+((BB178-BA178)*-1)</f>
        <v>0</v>
      </c>
      <c r="BC297" s="3">
        <f>((BC179-BB179)*-1)+((BC178-BB178)*-1)</f>
        <v>0</v>
      </c>
      <c r="BD297" s="3">
        <f>((BD179-BC179)*-1)+((BD178-BC178)*-1)</f>
        <v>0</v>
      </c>
      <c r="BE297" s="3">
        <f>((BE179-BD179)*-1)+((BE178-BD178)*-1)</f>
        <v>0</v>
      </c>
      <c r="BF297" s="3">
        <f>SUM(BB297:BE297)</f>
        <v>0</v>
      </c>
      <c r="BG297" s="3">
        <f>((BG179-BF179)*-1)+((BG178-BF178)*-1)</f>
        <v>0</v>
      </c>
      <c r="BH297" s="3">
        <f>((BH179-BG179)*-1)+((BH178-BG178)*-1)</f>
        <v>0</v>
      </c>
      <c r="BI297" s="3">
        <f>((BI179-BH179)*-1)+((BI178-BH178)*-1)</f>
        <v>0</v>
      </c>
      <c r="BJ297" s="3">
        <f>((BJ179-BI179)*-1)+((BJ178-BI178)*-1)</f>
        <v>0</v>
      </c>
      <c r="BK297" s="3">
        <f>SUM(BG297:BJ297)</f>
        <v>0</v>
      </c>
      <c r="BL297" s="3">
        <f>((BL179-BK179)*-1)+((BL178-BK178)*-1)</f>
        <v>0</v>
      </c>
      <c r="BM297" s="3">
        <f>((BM179-BL179)*-1)+((BM178-BL178)*-1)</f>
        <v>0</v>
      </c>
      <c r="BN297" s="3">
        <f>((BN179-BM179)*-1)+((BN178-BM178)*-1)</f>
        <v>0</v>
      </c>
      <c r="BO297" s="3">
        <f>((BO179-BN179)*-1)+((BO178-BN178)*-1)</f>
        <v>0</v>
      </c>
      <c r="BP297" s="3">
        <f>SUM(BL297:BO297)</f>
        <v>0</v>
      </c>
      <c r="BQ297" s="3">
        <f>((BQ179-BP179)*-1)+((BQ178-BP178)*-1)</f>
        <v>0</v>
      </c>
      <c r="BR297" s="3">
        <f>((BR179-BQ179)*-1)+((BR178-BQ178)*-1)</f>
        <v>0</v>
      </c>
      <c r="BS297" s="3">
        <f>((BS179-BR179)*-1)+((BS178-BR178)*-1)</f>
        <v>0</v>
      </c>
      <c r="BT297" s="3">
        <f>((BT179-BS179)*-1)+((BT178-BS178)*-1)</f>
        <v>0</v>
      </c>
      <c r="BU297" s="3">
        <f>SUM(BQ297:BT297)</f>
        <v>0</v>
      </c>
      <c r="BV297" s="3">
        <f>((BV179-BU179)*-1)+((BV178-BU178)*-1)</f>
        <v>0</v>
      </c>
      <c r="BW297" s="3">
        <f>((BW179-BV179)*-1)+((BW178-BV178)*-1)</f>
        <v>0</v>
      </c>
      <c r="BX297" s="3">
        <f>((BX179-BW179)*-1)+((BX178-BW178)*-1)</f>
        <v>0</v>
      </c>
      <c r="BY297" s="3">
        <f>((BY179-BX179)*-1)+((BY178-BX178)*-1)</f>
        <v>0</v>
      </c>
      <c r="BZ297" s="3">
        <f>SUM(BV297:BY297)</f>
        <v>0</v>
      </c>
      <c r="CA297" s="3">
        <f>((CA179-BZ179)*-1)+((CA178-BZ178)*-1)</f>
        <v>0</v>
      </c>
      <c r="CB297" s="3">
        <f>((CB179-CA179)*-1)+((CB178-CA178)*-1)</f>
        <v>0</v>
      </c>
      <c r="CC297" s="3">
        <f>((CC179-CB179)*-1)+((CC178-CB178)*-1)</f>
        <v>0</v>
      </c>
      <c r="CD297" s="3">
        <f>((CD179-CC179)*-1)+((CD178-CC178)*-1)</f>
        <v>0</v>
      </c>
      <c r="CE297" s="3">
        <f>SUM(CA297:CD297)</f>
        <v>0</v>
      </c>
      <c r="CF297" s="3">
        <f>((CF179-CE179)*-1)+((CF178-CE178)*-1)</f>
        <v>0</v>
      </c>
      <c r="CG297" s="3">
        <f>((CG179-CF179)*-1)+((CG178-CF178)*-1)</f>
        <v>0</v>
      </c>
      <c r="CH297" s="3">
        <f>((CH179-CG179)*-1)+((CH178-CG178)*-1)</f>
        <v>0</v>
      </c>
      <c r="CI297" s="3">
        <f>((CI179-CH179)*-1)+((CI178-CH178)*-1)</f>
        <v>0</v>
      </c>
      <c r="CJ297" s="3">
        <f>SUM(CF297:CI297)</f>
        <v>0</v>
      </c>
      <c r="CK297" s="3">
        <f>((CK179-CJ179)*-1)+((CK178-CJ178)*-1)</f>
        <v>0</v>
      </c>
      <c r="CL297" s="3">
        <f>((CL179-CK179)*-1)+((CL178-CK178)*-1)</f>
        <v>0</v>
      </c>
      <c r="CM297" s="3">
        <f>((CM179-CL179)*-1)+((CM178-CL178)*-1)</f>
        <v>0</v>
      </c>
      <c r="CN297" s="3">
        <f>((CN179-CM179)*-1)+((CN178-CM178)*-1)</f>
        <v>0</v>
      </c>
      <c r="CO297" s="3">
        <f>SUM(CK297:CN297)</f>
        <v>0</v>
      </c>
      <c r="CP297" s="3">
        <f>((CP179-CO179)*-1)+((CP178-CO178)*-1)</f>
        <v>0</v>
      </c>
      <c r="CQ297" s="3">
        <f>((CQ179-CP179)*-1)+((CQ178-CP178)*-1)</f>
        <v>0</v>
      </c>
      <c r="CR297" s="3">
        <f>((CR179-CQ179)*-1)+((CR178-CQ178)*-1)</f>
        <v>0</v>
      </c>
      <c r="CS297" s="3">
        <f>((CS179-CR179)*-1)+((CS178-CR178)*-1)</f>
        <v>0</v>
      </c>
      <c r="CT297" s="3">
        <f>SUM(CP297:CS297)</f>
        <v>0</v>
      </c>
      <c r="CU297" s="3">
        <f>((CU179-CT179)*-1)+((CU178-CT178)*-1)</f>
        <v>0</v>
      </c>
      <c r="CV297" s="3">
        <f>((CV179-CU179)*-1)+((CV178-CU178)*-1)</f>
        <v>0</v>
      </c>
      <c r="CW297" s="3">
        <f>((CW179-CV179)*-1)+((CW178-CV178)*-1)</f>
        <v>0</v>
      </c>
      <c r="CX297" s="3">
        <f>((CX179-CW179)*-1)+((CX178-CW178)*-1)</f>
        <v>0</v>
      </c>
      <c r="CY297" s="3">
        <f>SUM(CU297:CX297)</f>
        <v>0</v>
      </c>
      <c r="CZ297" s="3" t="n"/>
      <c r="DA297" s="3" t="n"/>
      <c r="DB297" s="3" t="n"/>
      <c r="DC297" s="3" t="n"/>
    </row>
    <row r="298">
      <c r="C298" s="30" t="inlineStr">
        <is>
          <t>Purchases/Proceeds from other long-term assets</t>
        </is>
      </c>
      <c r="D298" s="3" t="n"/>
      <c r="E298" s="3">
        <f>((E188-D188)*-1)+(E239-D239)</f>
        <v>473</v>
      </c>
      <c r="F298" s="3">
        <f>((F188-E188)*-1)+(F239-E239)</f>
        <v>-1845</v>
      </c>
      <c r="G298" s="3">
        <f>((G188-F188)*-1)+(G239-F239)</f>
        <v>-52</v>
      </c>
      <c r="H298" s="3">
        <f>SUM(D298:G298)</f>
        <v>-1424</v>
      </c>
      <c r="I298" s="3">
        <f>((I188-H188)*-1)+(I239-H239)</f>
        <v>93</v>
      </c>
      <c r="J298" s="3">
        <f>((J188-I188)*-1)+(J239-I239)</f>
        <v>22</v>
      </c>
      <c r="K298" s="3">
        <f>((K188-J188)*-1)+(K239-J239)</f>
        <v>-1572</v>
      </c>
      <c r="L298" s="3">
        <f>((L188-K188)*-1)+(L239-K239)</f>
        <v>-62</v>
      </c>
      <c r="M298" s="3">
        <f>SUM(I298:L298)</f>
        <v>-1519</v>
      </c>
      <c r="N298" s="3">
        <f>((N188-M188)*-1)+(N239-M239)</f>
        <v>414</v>
      </c>
      <c r="O298" s="3">
        <f>((O188-N188)*-1)+(O239-N239)</f>
        <v>143</v>
      </c>
      <c r="P298" s="3">
        <f>((P188-O188)*-1)+(P239-O239)</f>
        <v>-64</v>
      </c>
      <c r="Q298" s="3">
        <f>((Q188-P188)*-1)+(Q239-P239)</f>
        <v>-112</v>
      </c>
      <c r="R298" s="3">
        <f>SUM(N298:Q298)</f>
        <v>381</v>
      </c>
      <c r="S298" s="3">
        <f>((S188-R188)*-1)+(S239-R239)</f>
        <v>-260</v>
      </c>
      <c r="T298" s="3">
        <f>((T188-S188)*-1)+(T239-S239)</f>
        <v>-111</v>
      </c>
      <c r="U298" s="3">
        <f>((U188-T188)*-1)+(U239-T239)</f>
        <v>-155</v>
      </c>
      <c r="V298" s="3">
        <f>((V188-U188)*-1)+(V239-U239)</f>
        <v>474</v>
      </c>
      <c r="W298" s="3">
        <f>SUM(S298:V298)</f>
        <v>-52</v>
      </c>
      <c r="X298" s="3">
        <f>((X188-W188)*-1)+(X239-W239)</f>
        <v>357</v>
      </c>
      <c r="Y298" s="3">
        <f>((Y188-X188)*-1)+(Y239-X239)</f>
        <v>937</v>
      </c>
      <c r="Z298" s="3">
        <f>((Z188-Y188)*-1)+(Z239-Y239)</f>
        <v>-1089</v>
      </c>
      <c r="AA298" s="3">
        <f>((AA188-Z188)*-1)+(AA239-Z239)</f>
        <v>-426</v>
      </c>
      <c r="AB298" s="3">
        <f>SUM(X298:AA298)</f>
        <v>-221</v>
      </c>
      <c r="AC298" s="3">
        <f>((AC188-AB188)*-1)+(AC239-AB239)</f>
        <v>276</v>
      </c>
      <c r="AD298" s="3">
        <f>((AD188-AC188)*-1)+(AD239-AC239)</f>
        <v>743</v>
      </c>
      <c r="AE298" s="3">
        <f>((AE188-AD188)*-1)+(AE239-AD239)</f>
        <v>-3869</v>
      </c>
      <c r="AF298" s="3">
        <f>((AF188-AE188)*-1)+(AF239-AE239)</f>
        <v>-18216</v>
      </c>
      <c r="AG298" s="3">
        <f>SUM(AC298:AF298)</f>
        <v>-21066</v>
      </c>
      <c r="AH298" s="3">
        <f>((AH188-AG188)*-1)+(AH239-AG239)</f>
        <v>-24083</v>
      </c>
      <c r="AI298" s="3">
        <f>((AI188-AH188)*-1)+(AI239-AH239)</f>
        <v>-8656</v>
      </c>
      <c r="AJ298" s="3">
        <f>((AJ188-AI188)*-1)+(AJ239-AI239)</f>
        <v>0</v>
      </c>
      <c r="AK298" s="3">
        <f>((AK188-AJ188)*-1)+(AK239-AJ239)</f>
        <v>0</v>
      </c>
      <c r="AL298" s="3">
        <f>SUM(AH298:AK298)</f>
        <v>-32739</v>
      </c>
      <c r="AM298" s="3">
        <f>((AM188-AL188)*-1)+(AM239-AL239)</f>
        <v>0</v>
      </c>
      <c r="AN298" s="3">
        <f>((AN188-AM188)*-1)+(AN239-AM239)</f>
        <v>0</v>
      </c>
      <c r="AO298" s="3">
        <f>((AO188-AN188)*-1)+(AO239-AN239)</f>
        <v>0</v>
      </c>
      <c r="AP298" s="3">
        <f>((AP188-AO188)*-1)+(AP239-AO239)</f>
        <v>0</v>
      </c>
      <c r="AQ298" s="3">
        <f>SUM(AM298:AP298)</f>
        <v>0</v>
      </c>
      <c r="AR298" s="3">
        <f>((AR188-AQ188)*-1)+(AR239-AQ239)</f>
        <v>0</v>
      </c>
      <c r="AS298" s="3">
        <f>((AS188-AR188)*-1)+(AS239-AR239)</f>
        <v>0</v>
      </c>
      <c r="AT298" s="3">
        <f>((AT188-AS188)*-1)+(AT239-AS239)</f>
        <v>0</v>
      </c>
      <c r="AU298" s="3">
        <f>((AU188-AT188)*-1)+(AU239-AT239)</f>
        <v>0</v>
      </c>
      <c r="AV298" s="3">
        <f>SUM(AR298:AU298)</f>
        <v>0</v>
      </c>
      <c r="AW298" s="3">
        <f>((AW188-AV188)*-1)+(AW239-AV239)</f>
        <v>0</v>
      </c>
      <c r="AX298" s="3">
        <f>((AX188-AW188)*-1)+(AX239-AW239)</f>
        <v>0</v>
      </c>
      <c r="AY298" s="3">
        <f>((AY188-AX188)*-1)+(AY239-AX239)</f>
        <v>0</v>
      </c>
      <c r="AZ298" s="3">
        <f>((AZ188-AY188)*-1)+(AZ239-AY239)</f>
        <v>0</v>
      </c>
      <c r="BA298" s="3">
        <f>SUM(AW298:AZ298)</f>
        <v>0</v>
      </c>
      <c r="BB298" s="3">
        <f>((BB188-BA188)*-1)+(BB239-BA239)</f>
        <v>0</v>
      </c>
      <c r="BC298" s="3">
        <f>((BC188-BB188)*-1)+(BC239-BB239)</f>
        <v>0</v>
      </c>
      <c r="BD298" s="3">
        <f>((BD188-BC188)*-1)+(BD239-BC239)</f>
        <v>0</v>
      </c>
      <c r="BE298" s="3">
        <f>((BE188-BD188)*-1)+(BE239-BD239)</f>
        <v>0</v>
      </c>
      <c r="BF298" s="3">
        <f>SUM(BB298:BE298)</f>
        <v>0</v>
      </c>
      <c r="BG298" s="3">
        <f>((BG188-BF188)*-1)+(BG239-BF239)</f>
        <v>0</v>
      </c>
      <c r="BH298" s="3">
        <f>((BH188-BG188)*-1)+(BH239-BG239)</f>
        <v>0</v>
      </c>
      <c r="BI298" s="3">
        <f>((BI188-BH188)*-1)+(BI239-BH239)</f>
        <v>0</v>
      </c>
      <c r="BJ298" s="3">
        <f>((BJ188-BI188)*-1)+(BJ239-BI239)</f>
        <v>0</v>
      </c>
      <c r="BK298" s="3">
        <f>SUM(BG298:BJ298)</f>
        <v>0</v>
      </c>
      <c r="BL298" s="3">
        <f>((BL188-BK188)*-1)+(BL239-BK239)</f>
        <v>0</v>
      </c>
      <c r="BM298" s="3">
        <f>((BM188-BL188)*-1)+(BM239-BL239)</f>
        <v>0</v>
      </c>
      <c r="BN298" s="3">
        <f>((BN188-BM188)*-1)+(BN239-BM239)</f>
        <v>0</v>
      </c>
      <c r="BO298" s="3">
        <f>((BO188-BN188)*-1)+(BO239-BN239)</f>
        <v>0</v>
      </c>
      <c r="BP298" s="3">
        <f>SUM(BL298:BO298)</f>
        <v>0</v>
      </c>
      <c r="BQ298" s="3">
        <f>((BQ188-BP188)*-1)+(BQ239-BP239)</f>
        <v>0</v>
      </c>
      <c r="BR298" s="3">
        <f>((BR188-BQ188)*-1)+(BR239-BQ239)</f>
        <v>0</v>
      </c>
      <c r="BS298" s="3">
        <f>((BS188-BR188)*-1)+(BS239-BR239)</f>
        <v>0</v>
      </c>
      <c r="BT298" s="3">
        <f>((BT188-BS188)*-1)+(BT239-BS239)</f>
        <v>0</v>
      </c>
      <c r="BU298" s="3">
        <f>SUM(BQ298:BT298)</f>
        <v>0</v>
      </c>
      <c r="BV298" s="3">
        <f>((BV188-BU188)*-1)+(BV239-BU239)</f>
        <v>0</v>
      </c>
      <c r="BW298" s="3">
        <f>((BW188-BV188)*-1)+(BW239-BV239)</f>
        <v>0</v>
      </c>
      <c r="BX298" s="3">
        <f>((BX188-BW188)*-1)+(BX239-BW239)</f>
        <v>0</v>
      </c>
      <c r="BY298" s="3">
        <f>((BY188-BX188)*-1)+(BY239-BX239)</f>
        <v>0</v>
      </c>
      <c r="BZ298" s="3">
        <f>SUM(BV298:BY298)</f>
        <v>0</v>
      </c>
      <c r="CA298" s="3">
        <f>((CA188-BZ188)*-1)+(CA239-BZ239)</f>
        <v>0</v>
      </c>
      <c r="CB298" s="3">
        <f>((CB188-CA188)*-1)+(CB239-CA239)</f>
        <v>0</v>
      </c>
      <c r="CC298" s="3">
        <f>((CC188-CB188)*-1)+(CC239-CB239)</f>
        <v>0</v>
      </c>
      <c r="CD298" s="3">
        <f>((CD188-CC188)*-1)+(CD239-CC239)</f>
        <v>0</v>
      </c>
      <c r="CE298" s="3">
        <f>SUM(CA298:CD298)</f>
        <v>0</v>
      </c>
      <c r="CF298" s="3">
        <f>((CF188-CE188)*-1)+(CF239-CE239)</f>
        <v>0</v>
      </c>
      <c r="CG298" s="3">
        <f>((CG188-CF188)*-1)+(CG239-CF239)</f>
        <v>0</v>
      </c>
      <c r="CH298" s="3">
        <f>((CH188-CG188)*-1)+(CH239-CG239)</f>
        <v>0</v>
      </c>
      <c r="CI298" s="3">
        <f>((CI188-CH188)*-1)+(CI239-CH239)</f>
        <v>0</v>
      </c>
      <c r="CJ298" s="3">
        <f>SUM(CF298:CI298)</f>
        <v>0</v>
      </c>
      <c r="CK298" s="3">
        <f>((CK188-CJ188)*-1)+(CK239-CJ239)</f>
        <v>0</v>
      </c>
      <c r="CL298" s="3">
        <f>((CL188-CK188)*-1)+(CL239-CK239)</f>
        <v>0</v>
      </c>
      <c r="CM298" s="3">
        <f>((CM188-CL188)*-1)+(CM239-CL239)</f>
        <v>0</v>
      </c>
      <c r="CN298" s="3">
        <f>((CN188-CM188)*-1)+(CN239-CM239)</f>
        <v>0</v>
      </c>
      <c r="CO298" s="3">
        <f>SUM(CK298:CN298)</f>
        <v>0</v>
      </c>
      <c r="CP298" s="3">
        <f>((CP188-CO188)*-1)+(CP239-CO239)</f>
        <v>0</v>
      </c>
      <c r="CQ298" s="3">
        <f>((CQ188-CP188)*-1)+(CQ239-CP239)</f>
        <v>0</v>
      </c>
      <c r="CR298" s="3">
        <f>((CR188-CQ188)*-1)+(CR239-CQ239)</f>
        <v>0</v>
      </c>
      <c r="CS298" s="3">
        <f>((CS188-CR188)*-1)+(CS239-CR239)</f>
        <v>0</v>
      </c>
      <c r="CT298" s="3">
        <f>SUM(CP298:CS298)</f>
        <v>0</v>
      </c>
      <c r="CU298" s="3">
        <f>((CU188-CT188)*-1)+(CU239-CT239)</f>
        <v>0</v>
      </c>
      <c r="CV298" s="3">
        <f>((CV188-CU188)*-1)+(CV239-CU239)</f>
        <v>0</v>
      </c>
      <c r="CW298" s="3">
        <f>((CW188-CV188)*-1)+(CW239-CV239)</f>
        <v>0</v>
      </c>
      <c r="CX298" s="3">
        <f>((CX188-CW188)*-1)+(CX239-CW239)</f>
        <v>0</v>
      </c>
      <c r="CY298" s="3">
        <f>SUM(CU298:CX298)</f>
        <v>0</v>
      </c>
    </row>
    <row r="299">
      <c r="C299" s="26" t="inlineStr">
        <is>
          <t>Cash from investing</t>
        </is>
      </c>
      <c r="D299" s="3" t="n"/>
      <c r="E299" s="3">
        <f>SUM(E294,E295,E297,E298,E296)</f>
        <v>-6625</v>
      </c>
      <c r="F299" s="3">
        <f>SUM(F294,F295,F297,F298,F296)</f>
        <v>-2226</v>
      </c>
      <c r="G299" s="3">
        <f>SUM(G294,G295,G297,G298,G296)</f>
        <v>-332</v>
      </c>
      <c r="H299" s="3">
        <f>SUM(H294,H295,H297,H298)</f>
        <v>-9071</v>
      </c>
      <c r="I299" s="3">
        <f>SUM(I294,I295,I297,I298,I296)</f>
        <v>-203</v>
      </c>
      <c r="J299" s="3">
        <f>SUM(J294,J295,J297,J298,J296)</f>
        <v>-299</v>
      </c>
      <c r="K299" s="3">
        <f>SUM(K294,K295,K297,K298,K296)</f>
        <v>-2129</v>
      </c>
      <c r="L299" s="3">
        <f>SUM(L294,L295,L297,L298,L296)</f>
        <v>-571</v>
      </c>
      <c r="M299" s="3">
        <f>SUM(M294,M295,M297,M298)</f>
        <v>-3080</v>
      </c>
      <c r="N299" s="3">
        <f>SUM(N294,N295,N297,N298,N296)</f>
        <v>27</v>
      </c>
      <c r="O299" s="3">
        <f>SUM(O294,O295,O297,O298,O296)</f>
        <v>-380</v>
      </c>
      <c r="P299" s="3">
        <f>SUM(P294,P295,P297,P298,P296)</f>
        <v>-900</v>
      </c>
      <c r="Q299" s="3">
        <f>SUM(Q294,Q295,Q297,Q298,Q296)</f>
        <v>-508</v>
      </c>
      <c r="R299" s="3">
        <f>SUM(R294,R295,R297,R298)</f>
        <v>-1552</v>
      </c>
      <c r="S299" s="3">
        <f>SUM(S294,S295,S297,S298,S296)</f>
        <v>-556</v>
      </c>
      <c r="T299" s="3">
        <f>SUM(T294,T295,T297,T298,T296)</f>
        <v>-530</v>
      </c>
      <c r="U299" s="3">
        <f>SUM(U294,U295,U297,U298,U296)</f>
        <v>-509</v>
      </c>
      <c r="V299" s="3">
        <f>SUM(V294,V295,V297,V298,V296)</f>
        <v>126</v>
      </c>
      <c r="W299" s="3">
        <f>SUM(W294,W295,W297,W298)</f>
        <v>-1161</v>
      </c>
      <c r="X299" s="3">
        <f>SUM(X294,X295,X297,X298,X296)</f>
        <v>-228</v>
      </c>
      <c r="Y299" s="3">
        <f>SUM(Y294,Y295,Y297,Y298,Y296)</f>
        <v>-534</v>
      </c>
      <c r="Z299" s="3">
        <f>SUM(Z294,Z295,Z297,Z298,Z296)</f>
        <v>-2212</v>
      </c>
      <c r="AA299" s="3">
        <f>SUM(AA294,AA295,AA297,AA298,AA296)</f>
        <v>-2380</v>
      </c>
      <c r="AB299" s="3">
        <f>SUM(AB294,AB295,AB297,AB298)</f>
        <v>-4907</v>
      </c>
      <c r="AC299" s="3">
        <f>SUM(AC294,AC295,AC297,AC298,AC296)</f>
        <v>-1477</v>
      </c>
      <c r="AD299" s="3">
        <f>SUM(AD294,AD295,AD297,AD298,AD296)</f>
        <v>-2448</v>
      </c>
      <c r="AE299" s="3">
        <f>SUM(AE294,AE295,AE297,AE298,AE296)</f>
        <v>-6143</v>
      </c>
      <c r="AF299" s="3">
        <f>SUM(AF294,AF295,AF297,AF298,AF296)</f>
        <v>-37158</v>
      </c>
      <c r="AG299" s="3">
        <f>SUM(AG294,AG295,AG297,AG298)</f>
        <v>-46152</v>
      </c>
      <c r="AH299" s="3">
        <f>SUM(AH294,AH295,AH297,AH298,AH296)</f>
        <v>-28367</v>
      </c>
      <c r="AI299" s="3">
        <f>SUM(AI294,AI295,AI297,AI298,AI296)</f>
        <v>-12906</v>
      </c>
      <c r="AJ299" s="3">
        <f>SUM(AJ294,AJ295,AJ297,AJ298,AJ296)</f>
        <v>2998</v>
      </c>
      <c r="AK299" s="3">
        <f>SUM(AK294,AK295,AK297,AK298,AK296)</f>
        <v>0</v>
      </c>
      <c r="AL299" s="3">
        <f>SUM(AL294,AL295,AL297,AL298)</f>
        <v>-35752</v>
      </c>
      <c r="AM299" s="3">
        <f>SUM(AM294,AM295,AM297,AM298,AM296)</f>
        <v>0</v>
      </c>
      <c r="AN299" s="3">
        <f>SUM(AN294,AN295,AN297,AN298,AN296)</f>
        <v>0</v>
      </c>
      <c r="AO299" s="3">
        <f>SUM(AO294,AO295,AO297,AO298,AO296)</f>
        <v>0</v>
      </c>
      <c r="AP299" s="3">
        <f>SUM(AP294,AP295,AP297,AP298,AP296)</f>
        <v>0</v>
      </c>
      <c r="AQ299" s="3">
        <f>SUM(AQ294,AQ295,AQ297,AQ298)</f>
        <v>0</v>
      </c>
      <c r="AR299" s="3">
        <f>SUM(AR294,AR295,AR297,AR298,AR296)</f>
        <v>0</v>
      </c>
      <c r="AS299" s="3">
        <f>SUM(AS294,AS295,AS297,AS298,AS296)</f>
        <v>0</v>
      </c>
      <c r="AT299" s="3">
        <f>SUM(AT294,AT295,AT297,AT298,AT296)</f>
        <v>0</v>
      </c>
      <c r="AU299" s="3">
        <f>SUM(AU294,AU295,AU297,AU298,AU296)</f>
        <v>0</v>
      </c>
      <c r="AV299" s="3">
        <f>SUM(AV294,AV295,AV297,AV298)</f>
        <v>0</v>
      </c>
      <c r="AW299" s="3">
        <f>SUM(AW294,AW295,AW297,AW298,AW296)</f>
        <v>0</v>
      </c>
      <c r="AX299" s="3">
        <f>SUM(AX294,AX295,AX297,AX298,AX296)</f>
        <v>0</v>
      </c>
      <c r="AY299" s="3">
        <f>SUM(AY294,AY295,AY297,AY298,AY296)</f>
        <v>0</v>
      </c>
      <c r="AZ299" s="3">
        <f>SUM(AZ294,AZ295,AZ297,AZ298,AZ296)</f>
        <v>0</v>
      </c>
      <c r="BA299" s="3">
        <f>SUM(BA294,BA295,BA297,BA298)</f>
        <v>0</v>
      </c>
      <c r="BB299" s="3">
        <f>SUM(BB294,BB295,BB297,BB298,BB296)</f>
        <v>0</v>
      </c>
      <c r="BC299" s="3">
        <f>SUM(BC294,BC295,BC297,BC298,BC296)</f>
        <v>0</v>
      </c>
      <c r="BD299" s="3">
        <f>SUM(BD294,BD295,BD297,BD298,BD296)</f>
        <v>0</v>
      </c>
      <c r="BE299" s="3">
        <f>SUM(BE294,BE295,BE297,BE298,BE296)</f>
        <v>0</v>
      </c>
      <c r="BF299" s="3">
        <f>SUM(BF294,BF295,BF297,BF298)</f>
        <v>0</v>
      </c>
      <c r="BG299" s="3">
        <f>SUM(BG294,BG295,BG297,BG298,BG296)</f>
        <v>0</v>
      </c>
      <c r="BH299" s="3">
        <f>SUM(BH294,BH295,BH297,BH298,BH296)</f>
        <v>0</v>
      </c>
      <c r="BI299" s="3">
        <f>SUM(BI294,BI295,BI297,BI298,BI296)</f>
        <v>0</v>
      </c>
      <c r="BJ299" s="3">
        <f>SUM(BJ294,BJ295,BJ297,BJ298,BJ296)</f>
        <v>0</v>
      </c>
      <c r="BK299" s="3">
        <f>SUM(BK294,BK295,BK297,BK298)</f>
        <v>0</v>
      </c>
      <c r="BL299" s="3">
        <f>SUM(BL294,BL295,BL297,BL298,BL296)</f>
        <v>0</v>
      </c>
      <c r="BM299" s="3">
        <f>SUM(BM294,BM295,BM297,BM298,BM296)</f>
        <v>0</v>
      </c>
      <c r="BN299" s="3">
        <f>SUM(BN294,BN295,BN297,BN298,BN296)</f>
        <v>0</v>
      </c>
      <c r="BO299" s="3">
        <f>SUM(BO294,BO295,BO297,BO298,BO296)</f>
        <v>0</v>
      </c>
      <c r="BP299" s="3">
        <f>SUM(BP294,BP295,BP297,BP298)</f>
        <v>0</v>
      </c>
      <c r="BQ299" s="3">
        <f>SUM(BQ294,BQ295,BQ297,BQ298,BQ296)</f>
        <v>0</v>
      </c>
      <c r="BR299" s="3">
        <f>SUM(BR294,BR295,BR297,BR298,BR296)</f>
        <v>0</v>
      </c>
      <c r="BS299" s="3">
        <f>SUM(BS294,BS295,BS297,BS298,BS296)</f>
        <v>0</v>
      </c>
      <c r="BT299" s="3">
        <f>SUM(BT294,BT295,BT297,BT298,BT296)</f>
        <v>0</v>
      </c>
      <c r="BU299" s="3">
        <f>SUM(BU294,BU295,BU297,BU298)</f>
        <v>0</v>
      </c>
      <c r="BV299" s="3">
        <f>SUM(BV294,BV295,BV297,BV298,BV296)</f>
        <v>0</v>
      </c>
      <c r="BW299" s="3">
        <f>SUM(BW294,BW295,BW297,BW298,BW296)</f>
        <v>0</v>
      </c>
      <c r="BX299" s="3">
        <f>SUM(BX294,BX295,BX297,BX298,BX296)</f>
        <v>0</v>
      </c>
      <c r="BY299" s="3">
        <f>SUM(BY294,BY295,BY297,BY298,BY296)</f>
        <v>0</v>
      </c>
      <c r="BZ299" s="3">
        <f>SUM(BZ294,BZ295,BZ297,BZ298)</f>
        <v>0</v>
      </c>
      <c r="CA299" s="3">
        <f>SUM(CA294,CA295,CA297,CA298,CA296)</f>
        <v>0</v>
      </c>
      <c r="CB299" s="3">
        <f>SUM(CB294,CB295,CB297,CB298,CB296)</f>
        <v>0</v>
      </c>
      <c r="CC299" s="3">
        <f>SUM(CC294,CC295,CC297,CC298,CC296)</f>
        <v>0</v>
      </c>
      <c r="CD299" s="3">
        <f>SUM(CD294,CD295,CD297,CD298,CD296)</f>
        <v>0</v>
      </c>
      <c r="CE299" s="3">
        <f>SUM(CE294,CE295,CE297,CE298)</f>
        <v>0</v>
      </c>
      <c r="CF299" s="3">
        <f>SUM(CF294,CF295,CF297,CF298,CF296)</f>
        <v>0</v>
      </c>
      <c r="CG299" s="3">
        <f>SUM(CG294,CG295,CG297,CG298,CG296)</f>
        <v>0</v>
      </c>
      <c r="CH299" s="3">
        <f>SUM(CH294,CH295,CH297,CH298,CH296)</f>
        <v>0</v>
      </c>
      <c r="CI299" s="3">
        <f>SUM(CI294,CI295,CI297,CI298,CI296)</f>
        <v>0</v>
      </c>
      <c r="CJ299" s="3">
        <f>SUM(CJ294,CJ295,CJ297,CJ298)</f>
        <v>0</v>
      </c>
      <c r="CK299" s="3">
        <f>SUM(CK294,CK295,CK297,CK298,CK296)</f>
        <v>0</v>
      </c>
      <c r="CL299" s="3">
        <f>SUM(CL294,CL295,CL297,CL298,CL296)</f>
        <v>0</v>
      </c>
      <c r="CM299" s="3">
        <f>SUM(CM294,CM295,CM297,CM298,CM296)</f>
        <v>0</v>
      </c>
      <c r="CN299" s="3">
        <f>SUM(CN294,CN295,CN297,CN298,CN296)</f>
        <v>0</v>
      </c>
      <c r="CO299" s="3">
        <f>SUM(CO294,CO295,CO297,CO298)</f>
        <v>0</v>
      </c>
      <c r="CP299" s="3">
        <f>SUM(CP294,CP295,CP297,CP298,CP296)</f>
        <v>0</v>
      </c>
      <c r="CQ299" s="3">
        <f>SUM(CQ294,CQ295,CQ297,CQ298,CQ296)</f>
        <v>0</v>
      </c>
      <c r="CR299" s="3">
        <f>SUM(CR294,CR295,CR297,CR298,CR296)</f>
        <v>0</v>
      </c>
      <c r="CS299" s="3">
        <f>SUM(CS294,CS295,CS297,CS298,CS296)</f>
        <v>0</v>
      </c>
      <c r="CT299" s="3">
        <f>SUM(CT294,CT295,CT297,CT298)</f>
        <v>0</v>
      </c>
      <c r="CU299" s="3">
        <f>SUM(CU294,CU295,CU297,CU298,CU296)</f>
        <v>0</v>
      </c>
      <c r="CV299" s="3">
        <f>SUM(CV294,CV295,CV297,CV298,CV296)</f>
        <v>0</v>
      </c>
      <c r="CW299" s="3">
        <f>SUM(CW294,CW295,CW297,CW298,CW296)</f>
        <v>0</v>
      </c>
      <c r="CX299" s="3">
        <f>SUM(CX294,CX295,CX297,CX298,CX296)</f>
        <v>0</v>
      </c>
      <c r="CY299" s="3">
        <f>SUM(CY294,CY295,CY297,CY298)</f>
        <v>0</v>
      </c>
    </row>
    <row r="300">
      <c r="C300" s="26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  <c r="AB300" s="3" t="n"/>
      <c r="AC300" s="3" t="n"/>
      <c r="AD300" s="3" t="n"/>
      <c r="AE300" s="3" t="n"/>
      <c r="AF300" s="3" t="n"/>
      <c r="AG300" s="3" t="n"/>
      <c r="AH300" s="3" t="n"/>
      <c r="AI300" s="3" t="n"/>
      <c r="AJ300" s="3" t="n"/>
      <c r="AK300" s="3" t="n"/>
      <c r="AL300" s="3" t="n"/>
      <c r="AM300" s="3" t="n"/>
      <c r="AN300" s="3" t="n"/>
      <c r="AO300" s="3" t="n"/>
      <c r="AP300" s="3" t="n"/>
      <c r="AQ300" s="3" t="n"/>
      <c r="AR300" s="3" t="n"/>
      <c r="AS300" s="3" t="n"/>
      <c r="AT300" s="3" t="n"/>
      <c r="AU300" s="3" t="n"/>
      <c r="AV300" s="3" t="n"/>
      <c r="AW300" s="3" t="n"/>
      <c r="AX300" s="3" t="n"/>
      <c r="AY300" s="3" t="n"/>
      <c r="AZ300" s="3" t="n"/>
      <c r="BA300" s="3" t="n"/>
      <c r="BB300" s="3" t="n"/>
      <c r="BC300" s="3" t="n"/>
      <c r="BD300" s="3" t="n"/>
      <c r="BE300" s="3" t="n"/>
      <c r="BF300" s="3" t="n"/>
      <c r="BG300" s="3" t="n"/>
      <c r="BH300" s="3" t="n"/>
      <c r="BI300" s="3" t="n"/>
      <c r="BJ300" s="3" t="n"/>
      <c r="BK300" s="3" t="n"/>
      <c r="BL300" s="3" t="n"/>
      <c r="BM300" s="3" t="n"/>
      <c r="BN300" s="3" t="n"/>
      <c r="BO300" s="3" t="n"/>
      <c r="BP300" s="3" t="n"/>
      <c r="BQ300" s="3" t="n"/>
      <c r="BR300" s="3" t="n"/>
      <c r="BS300" s="3" t="n"/>
      <c r="BT300" s="3" t="n"/>
      <c r="BU300" s="3" t="n"/>
      <c r="BV300" s="3" t="n"/>
      <c r="BW300" s="3" t="n"/>
      <c r="BX300" s="3" t="n"/>
      <c r="BY300" s="3" t="n"/>
      <c r="BZ300" s="3" t="n"/>
      <c r="CA300" s="3" t="n"/>
      <c r="CB300" s="3" t="n"/>
      <c r="CC300" s="3" t="n"/>
      <c r="CD300" s="3" t="n"/>
      <c r="CE300" s="3" t="n"/>
      <c r="CF300" s="3" t="n"/>
      <c r="CG300" s="3" t="n"/>
      <c r="CH300" s="3" t="n"/>
      <c r="CI300" s="3" t="n"/>
      <c r="CJ300" s="3" t="n"/>
      <c r="CK300" s="3" t="n"/>
      <c r="CL300" s="3" t="n"/>
      <c r="CM300" s="3" t="n"/>
      <c r="CN300" s="3" t="n"/>
      <c r="CO300" s="3" t="n"/>
      <c r="CP300" s="3" t="n"/>
      <c r="CQ300" s="3" t="n"/>
      <c r="CR300" s="3" t="n"/>
      <c r="CS300" s="3" t="n"/>
      <c r="CT300" s="3" t="n"/>
      <c r="CU300" s="3" t="n"/>
      <c r="CV300" s="3" t="n"/>
      <c r="CW300" s="3" t="n"/>
      <c r="CX300" s="3" t="n"/>
      <c r="CY300" s="3" t="n"/>
    </row>
    <row r="301">
      <c r="C301" s="26" t="inlineStr">
        <is>
          <t>Convertible preferred stock</t>
        </is>
      </c>
      <c r="D301" s="3" t="n"/>
      <c r="E301" s="3">
        <f>E252-D252</f>
        <v>0</v>
      </c>
      <c r="F301" s="3">
        <f>F252-E252</f>
        <v>0</v>
      </c>
      <c r="G301" s="3">
        <f>G252-F252</f>
        <v>0</v>
      </c>
      <c r="H301" s="3">
        <f>SUM(D301:G301)</f>
        <v>0</v>
      </c>
      <c r="I301" s="3">
        <f>I252-H252</f>
        <v>0</v>
      </c>
      <c r="J301" s="3">
        <f>J252-I252</f>
        <v>0</v>
      </c>
      <c r="K301" s="3">
        <f>K252-J252</f>
        <v>0</v>
      </c>
      <c r="L301" s="3">
        <f>L252-K252</f>
        <v>0</v>
      </c>
      <c r="M301" s="3">
        <f>SUM(I301:L301)</f>
        <v>0</v>
      </c>
      <c r="N301" s="3">
        <f>N252-M252</f>
        <v>0</v>
      </c>
      <c r="O301" s="3">
        <f>O252-N252</f>
        <v>0</v>
      </c>
      <c r="P301" s="3">
        <f>P252-O252</f>
        <v>0</v>
      </c>
      <c r="Q301" s="3">
        <f>Q252-P252</f>
        <v>0</v>
      </c>
      <c r="R301" s="3">
        <f>SUM(N301:Q301)</f>
        <v>0</v>
      </c>
      <c r="S301" s="3">
        <f>S252-R252</f>
        <v>0</v>
      </c>
      <c r="T301" s="3">
        <f>T252-S252</f>
        <v>0</v>
      </c>
      <c r="U301" s="3">
        <f>U252-T252</f>
        <v>0</v>
      </c>
      <c r="V301" s="3">
        <f>V252-U252</f>
        <v>0</v>
      </c>
      <c r="W301" s="3">
        <f>SUM(S301:V301)</f>
        <v>0</v>
      </c>
      <c r="X301" s="3">
        <f>X252-W252</f>
        <v>0</v>
      </c>
      <c r="Y301" s="3">
        <f>Y252-X252</f>
        <v>0</v>
      </c>
      <c r="Z301" s="3">
        <f>Z252-Y252</f>
        <v>0</v>
      </c>
      <c r="AA301" s="3">
        <f>AA252-Z252</f>
        <v>0</v>
      </c>
      <c r="AB301" s="3">
        <f>SUM(X301:AA301)</f>
        <v>0</v>
      </c>
      <c r="AC301" s="3">
        <f>AC252-AB252</f>
        <v>0</v>
      </c>
      <c r="AD301" s="3">
        <f>AD252-AC252</f>
        <v>0</v>
      </c>
      <c r="AE301" s="3">
        <f>AE252-AD252</f>
        <v>0</v>
      </c>
      <c r="AF301" s="3">
        <f>AF252-AE252</f>
        <v>0</v>
      </c>
      <c r="AG301" s="3">
        <f>SUM(AC301:AF301)</f>
        <v>0</v>
      </c>
      <c r="AH301" s="3">
        <f>AH252-AG252</f>
        <v>0</v>
      </c>
      <c r="AI301" s="3">
        <f>AI252-AH252</f>
        <v>0</v>
      </c>
      <c r="AJ301" s="3">
        <f>AJ252-AI252</f>
        <v>0</v>
      </c>
      <c r="AK301" s="3">
        <f>AK252-AJ252</f>
        <v>0</v>
      </c>
      <c r="AL301" s="3">
        <f>SUM(AH301:AK301)</f>
        <v>0</v>
      </c>
      <c r="AM301" s="3">
        <f>AM252-AL252</f>
        <v>0</v>
      </c>
      <c r="AN301" s="3">
        <f>AN252-AM252</f>
        <v>0</v>
      </c>
      <c r="AO301" s="3">
        <f>AO252-AN252</f>
        <v>0</v>
      </c>
      <c r="AP301" s="3">
        <f>AP252-AO252</f>
        <v>0</v>
      </c>
      <c r="AQ301" s="3">
        <f>SUM(AM301:AP301)</f>
        <v>0</v>
      </c>
      <c r="AR301" s="3">
        <f>AR252-AQ252</f>
        <v>0</v>
      </c>
      <c r="AS301" s="3">
        <f>AS252-AR252</f>
        <v>0</v>
      </c>
      <c r="AT301" s="3">
        <f>AT252-AS252</f>
        <v>0</v>
      </c>
      <c r="AU301" s="3">
        <f>AU252-AT252</f>
        <v>0</v>
      </c>
      <c r="AV301" s="3">
        <f>SUM(AR301:AU301)</f>
        <v>0</v>
      </c>
      <c r="AW301" s="3">
        <f>AW252-AV252</f>
        <v>0</v>
      </c>
      <c r="AX301" s="3">
        <f>AX252-AW252</f>
        <v>0</v>
      </c>
      <c r="AY301" s="3">
        <f>AY252-AX252</f>
        <v>0</v>
      </c>
      <c r="AZ301" s="3">
        <f>AZ252-AY252</f>
        <v>0</v>
      </c>
      <c r="BA301" s="3">
        <f>SUM(AW301:AZ301)</f>
        <v>0</v>
      </c>
      <c r="BB301" s="3">
        <f>BB252-BA252</f>
        <v>0</v>
      </c>
      <c r="BC301" s="3">
        <f>BC252-BB252</f>
        <v>0</v>
      </c>
      <c r="BD301" s="3">
        <f>BD252-BC252</f>
        <v>0</v>
      </c>
      <c r="BE301" s="3">
        <f>BE252-BD252</f>
        <v>0</v>
      </c>
      <c r="BF301" s="3">
        <f>SUM(BB301:BE301)</f>
        <v>0</v>
      </c>
      <c r="BG301" s="3">
        <f>BG252-BF252</f>
        <v>0</v>
      </c>
      <c r="BH301" s="3">
        <f>BH252-BG252</f>
        <v>0</v>
      </c>
      <c r="BI301" s="3">
        <f>BI252-BH252</f>
        <v>0</v>
      </c>
      <c r="BJ301" s="3">
        <f>BJ252-BI252</f>
        <v>0</v>
      </c>
      <c r="BK301" s="3">
        <f>SUM(BG301:BJ301)</f>
        <v>0</v>
      </c>
      <c r="BL301" s="3">
        <f>BL252-BK252</f>
        <v>0</v>
      </c>
      <c r="BM301" s="3">
        <f>BM252-BL252</f>
        <v>0</v>
      </c>
      <c r="BN301" s="3">
        <f>BN252-BM252</f>
        <v>0</v>
      </c>
      <c r="BO301" s="3">
        <f>BO252-BN252</f>
        <v>0</v>
      </c>
      <c r="BP301" s="3">
        <f>SUM(BL301:BO301)</f>
        <v>0</v>
      </c>
      <c r="BQ301" s="3">
        <f>BQ252-BP252</f>
        <v>0</v>
      </c>
      <c r="BR301" s="3">
        <f>BR252-BQ252</f>
        <v>0</v>
      </c>
      <c r="BS301" s="3">
        <f>BS252-BR252</f>
        <v>0</v>
      </c>
      <c r="BT301" s="3">
        <f>BT252-BS252</f>
        <v>0</v>
      </c>
      <c r="BU301" s="3">
        <f>SUM(BQ301:BT301)</f>
        <v>0</v>
      </c>
      <c r="BV301" s="3">
        <f>BV252-BU252</f>
        <v>0</v>
      </c>
      <c r="BW301" s="3">
        <f>BW252-BV252</f>
        <v>0</v>
      </c>
      <c r="BX301" s="3">
        <f>BX252-BW252</f>
        <v>0</v>
      </c>
      <c r="BY301" s="3">
        <f>BY252-BX252</f>
        <v>0</v>
      </c>
      <c r="BZ301" s="3">
        <f>SUM(BV301:BY301)</f>
        <v>0</v>
      </c>
      <c r="CA301" s="3">
        <f>CA252-BZ252</f>
        <v>0</v>
      </c>
      <c r="CB301" s="3">
        <f>CB252-CA252</f>
        <v>0</v>
      </c>
      <c r="CC301" s="3">
        <f>CC252-CB252</f>
        <v>0</v>
      </c>
      <c r="CD301" s="3">
        <f>CD252-CC252</f>
        <v>0</v>
      </c>
      <c r="CE301" s="3">
        <f>SUM(CA301:CD301)</f>
        <v>0</v>
      </c>
      <c r="CF301" s="3">
        <f>CF252-CE252</f>
        <v>0</v>
      </c>
      <c r="CG301" s="3">
        <f>CG252-CF252</f>
        <v>0</v>
      </c>
      <c r="CH301" s="3">
        <f>CH252-CG252</f>
        <v>0</v>
      </c>
      <c r="CI301" s="3">
        <f>CI252-CH252</f>
        <v>0</v>
      </c>
      <c r="CJ301" s="3">
        <f>SUM(CF301:CI301)</f>
        <v>0</v>
      </c>
      <c r="CK301" s="3">
        <f>CK252-CJ252</f>
        <v>0</v>
      </c>
      <c r="CL301" s="3">
        <f>CL252-CK252</f>
        <v>0</v>
      </c>
      <c r="CM301" s="3">
        <f>CM252-CL252</f>
        <v>0</v>
      </c>
      <c r="CN301" s="3">
        <f>CN252-CM252</f>
        <v>0</v>
      </c>
      <c r="CO301" s="3">
        <f>SUM(CK301:CN301)</f>
        <v>0</v>
      </c>
      <c r="CP301" s="3">
        <f>CP252-CO252</f>
        <v>0</v>
      </c>
      <c r="CQ301" s="3">
        <f>CQ252-CP252</f>
        <v>0</v>
      </c>
      <c r="CR301" s="3">
        <f>CR252-CQ252</f>
        <v>0</v>
      </c>
      <c r="CS301" s="3">
        <f>CS252-CR252</f>
        <v>0</v>
      </c>
      <c r="CT301" s="3">
        <f>SUM(CP301:CS301)</f>
        <v>0</v>
      </c>
      <c r="CU301" s="3">
        <f>CU252-CT252</f>
        <v>0</v>
      </c>
      <c r="CV301" s="3">
        <f>CV252-CU252</f>
        <v>0</v>
      </c>
      <c r="CW301" s="3">
        <f>CW252-CV252</f>
        <v>0</v>
      </c>
      <c r="CX301" s="3">
        <f>CX252-CW252</f>
        <v>0</v>
      </c>
      <c r="CY301" s="3">
        <f>SUM(CU301:CX301)</f>
        <v>0</v>
      </c>
    </row>
    <row r="302">
      <c r="C302" s="26" t="inlineStr">
        <is>
          <t>Common stock and APIC</t>
        </is>
      </c>
      <c r="D302" s="3" t="n"/>
      <c r="E302" s="3">
        <f>E253-D253</f>
        <v>474</v>
      </c>
      <c r="F302" s="3">
        <f>F253-E253</f>
        <v>473</v>
      </c>
      <c r="G302" s="3">
        <f>G253-F253</f>
        <v>420</v>
      </c>
      <c r="H302" s="3">
        <f>SUM(D302:G302)</f>
        <v>1367</v>
      </c>
      <c r="I302" s="3">
        <f>I253-H253</f>
        <v>559</v>
      </c>
      <c r="J302" s="3">
        <f>J253-I253</f>
        <v>467</v>
      </c>
      <c r="K302" s="3">
        <f>K253-J253</f>
        <v>720</v>
      </c>
      <c r="L302" s="3">
        <f>L253-K253</f>
        <v>-80</v>
      </c>
      <c r="M302" s="3">
        <f>SUM(I302:L302)</f>
        <v>1666</v>
      </c>
      <c r="N302" s="3">
        <f>N253-M253</f>
        <v>238</v>
      </c>
      <c r="O302" s="3">
        <f>O253-N253</f>
        <v>344</v>
      </c>
      <c r="P302" s="3">
        <f>P253-O253</f>
        <v>597</v>
      </c>
      <c r="Q302" s="3">
        <f>Q253-P253</f>
        <v>406</v>
      </c>
      <c r="R302" s="3">
        <f>SUM(N302:Q302)</f>
        <v>1585</v>
      </c>
      <c r="S302" s="3">
        <f>S253-R253</f>
        <v>482</v>
      </c>
      <c r="T302" s="3">
        <f>T253-S253</f>
        <v>176</v>
      </c>
      <c r="U302" s="3">
        <f>U253-T253</f>
        <v>362</v>
      </c>
      <c r="V302" s="3">
        <f>V253-U253</f>
        <v>141</v>
      </c>
      <c r="W302" s="3">
        <f>SUM(S302:V302)</f>
        <v>1161</v>
      </c>
      <c r="X302" s="3">
        <f>X253-W253</f>
        <v>-481</v>
      </c>
      <c r="Y302" s="3">
        <f>Y253-X253</f>
        <v>-513</v>
      </c>
      <c r="Z302" s="3">
        <f>Z253-Y253</f>
        <v>-294</v>
      </c>
      <c r="AA302" s="3">
        <f>AA253-Z253</f>
        <v>-585</v>
      </c>
      <c r="AB302" s="3">
        <f>SUM(X302:AA302)</f>
        <v>-1873</v>
      </c>
      <c r="AC302" s="3">
        <f>AC253-AB253</f>
        <v>238</v>
      </c>
      <c r="AD302" s="3">
        <f>AD253-AC253</f>
        <v>-275</v>
      </c>
      <c r="AE302" s="3">
        <f>AE253-AD253</f>
        <v>-574</v>
      </c>
      <c r="AF302" s="3">
        <f>AF253-AE253</f>
        <v>-508</v>
      </c>
      <c r="AG302" s="3">
        <f>SUM(AC302:AF302)</f>
        <v>-1119</v>
      </c>
      <c r="AH302" s="3">
        <f>AH253-AG253</f>
        <v>157</v>
      </c>
      <c r="AI302" s="3">
        <f>AI253-AH253</f>
        <v>-447</v>
      </c>
      <c r="AJ302" s="3">
        <f>AJ253-AI253</f>
        <v>0</v>
      </c>
      <c r="AK302" s="3">
        <f>AK253-AJ253</f>
        <v>0</v>
      </c>
      <c r="AL302" s="3">
        <f>SUM(AH302:AK302)</f>
        <v>-290</v>
      </c>
      <c r="AM302" s="3">
        <f>AM253-AL253</f>
        <v>0</v>
      </c>
      <c r="AN302" s="3">
        <f>AN253-AM253</f>
        <v>0</v>
      </c>
      <c r="AO302" s="3">
        <f>AO253-AN253</f>
        <v>0</v>
      </c>
      <c r="AP302" s="3">
        <f>AP253-AO253</f>
        <v>0</v>
      </c>
      <c r="AQ302" s="3">
        <f>SUM(AM302:AP302)</f>
        <v>0</v>
      </c>
      <c r="AR302" s="3">
        <f>AR253-AQ253</f>
        <v>0</v>
      </c>
      <c r="AS302" s="3">
        <f>AS253-AR253</f>
        <v>0</v>
      </c>
      <c r="AT302" s="3">
        <f>AT253-AS253</f>
        <v>0</v>
      </c>
      <c r="AU302" s="3">
        <f>AU253-AT253</f>
        <v>0</v>
      </c>
      <c r="AV302" s="3">
        <f>SUM(AR302:AU302)</f>
        <v>0</v>
      </c>
      <c r="AW302" s="3">
        <f>AW253-AV253</f>
        <v>0</v>
      </c>
      <c r="AX302" s="3">
        <f>AX253-AW253</f>
        <v>0</v>
      </c>
      <c r="AY302" s="3">
        <f>AY253-AX253</f>
        <v>0</v>
      </c>
      <c r="AZ302" s="3">
        <f>AZ253-AY253</f>
        <v>0</v>
      </c>
      <c r="BA302" s="3">
        <f>SUM(AW302:AZ302)</f>
        <v>0</v>
      </c>
      <c r="BB302" s="3">
        <f>BB253-BA253</f>
        <v>0</v>
      </c>
      <c r="BC302" s="3">
        <f>BC253-BB253</f>
        <v>0</v>
      </c>
      <c r="BD302" s="3">
        <f>BD253-BC253</f>
        <v>0</v>
      </c>
      <c r="BE302" s="3">
        <f>BE253-BD253</f>
        <v>0</v>
      </c>
      <c r="BF302" s="3">
        <f>SUM(BB302:BE302)</f>
        <v>0</v>
      </c>
      <c r="BG302" s="3">
        <f>BG253-BF253</f>
        <v>0</v>
      </c>
      <c r="BH302" s="3">
        <f>BH253-BG253</f>
        <v>0</v>
      </c>
      <c r="BI302" s="3">
        <f>BI253-BH253</f>
        <v>0</v>
      </c>
      <c r="BJ302" s="3">
        <f>BJ253-BI253</f>
        <v>0</v>
      </c>
      <c r="BK302" s="3">
        <f>SUM(BG302:BJ302)</f>
        <v>0</v>
      </c>
      <c r="BL302" s="3">
        <f>BL253-BK253</f>
        <v>0</v>
      </c>
      <c r="BM302" s="3">
        <f>BM253-BL253</f>
        <v>0</v>
      </c>
      <c r="BN302" s="3">
        <f>BN253-BM253</f>
        <v>0</v>
      </c>
      <c r="BO302" s="3">
        <f>BO253-BN253</f>
        <v>0</v>
      </c>
      <c r="BP302" s="3">
        <f>SUM(BL302:BO302)</f>
        <v>0</v>
      </c>
      <c r="BQ302" s="3">
        <f>BQ253-BP253</f>
        <v>0</v>
      </c>
      <c r="BR302" s="3">
        <f>BR253-BQ253</f>
        <v>0</v>
      </c>
      <c r="BS302" s="3">
        <f>BS253-BR253</f>
        <v>0</v>
      </c>
      <c r="BT302" s="3">
        <f>BT253-BS253</f>
        <v>0</v>
      </c>
      <c r="BU302" s="3">
        <f>SUM(BQ302:BT302)</f>
        <v>0</v>
      </c>
      <c r="BV302" s="3">
        <f>BV253-BU253</f>
        <v>0</v>
      </c>
      <c r="BW302" s="3">
        <f>BW253-BV253</f>
        <v>0</v>
      </c>
      <c r="BX302" s="3">
        <f>BX253-BW253</f>
        <v>0</v>
      </c>
      <c r="BY302" s="3">
        <f>BY253-BX253</f>
        <v>0</v>
      </c>
      <c r="BZ302" s="3">
        <f>SUM(BV302:BY302)</f>
        <v>0</v>
      </c>
      <c r="CA302" s="3">
        <f>CA253-BZ253</f>
        <v>0</v>
      </c>
      <c r="CB302" s="3">
        <f>CB253-CA253</f>
        <v>0</v>
      </c>
      <c r="CC302" s="3">
        <f>CC253-CB253</f>
        <v>0</v>
      </c>
      <c r="CD302" s="3">
        <f>CD253-CC253</f>
        <v>0</v>
      </c>
      <c r="CE302" s="3">
        <f>SUM(CA302:CD302)</f>
        <v>0</v>
      </c>
      <c r="CF302" s="3">
        <f>CF253-CE253</f>
        <v>0</v>
      </c>
      <c r="CG302" s="3">
        <f>CG253-CF253</f>
        <v>0</v>
      </c>
      <c r="CH302" s="3">
        <f>CH253-CG253</f>
        <v>0</v>
      </c>
      <c r="CI302" s="3">
        <f>CI253-CH253</f>
        <v>0</v>
      </c>
      <c r="CJ302" s="3">
        <f>SUM(CF302:CI302)</f>
        <v>0</v>
      </c>
      <c r="CK302" s="3">
        <f>CK253-CJ253</f>
        <v>0</v>
      </c>
      <c r="CL302" s="3">
        <f>CL253-CK253</f>
        <v>0</v>
      </c>
      <c r="CM302" s="3">
        <f>CM253-CL253</f>
        <v>0</v>
      </c>
      <c r="CN302" s="3">
        <f>CN253-CM253</f>
        <v>0</v>
      </c>
      <c r="CO302" s="3">
        <f>SUM(CK302:CN302)</f>
        <v>0</v>
      </c>
      <c r="CP302" s="3">
        <f>CP253-CO253</f>
        <v>0</v>
      </c>
      <c r="CQ302" s="3">
        <f>CQ253-CP253</f>
        <v>0</v>
      </c>
      <c r="CR302" s="3">
        <f>CR253-CQ253</f>
        <v>0</v>
      </c>
      <c r="CS302" s="3">
        <f>CS253-CR253</f>
        <v>0</v>
      </c>
      <c r="CT302" s="3">
        <f>SUM(CP302:CS302)</f>
        <v>0</v>
      </c>
      <c r="CU302" s="3">
        <f>CU253-CT253</f>
        <v>0</v>
      </c>
      <c r="CV302" s="3">
        <f>CV253-CU253</f>
        <v>0</v>
      </c>
      <c r="CW302" s="3">
        <f>CW253-CV253</f>
        <v>0</v>
      </c>
      <c r="CX302" s="3">
        <f>CX253-CW253</f>
        <v>0</v>
      </c>
      <c r="CY302" s="3">
        <f>SUM(CU302:CX302)</f>
        <v>0</v>
      </c>
    </row>
    <row r="303">
      <c r="C303" s="26" t="inlineStr">
        <is>
          <t>Treasury stock repurchases</t>
        </is>
      </c>
      <c r="D303" s="3" t="n"/>
      <c r="E303" s="3">
        <f>E266-D266</f>
        <v>-196</v>
      </c>
      <c r="F303" s="3">
        <f>F266-E266</f>
        <v>-298</v>
      </c>
      <c r="G303" s="3">
        <f>G266-F266</f>
        <v>-226</v>
      </c>
      <c r="H303" s="3">
        <f>SUM(D303:G303)</f>
        <v>-720</v>
      </c>
      <c r="I303" s="3">
        <f>I266-H266</f>
        <v>-486</v>
      </c>
      <c r="J303" s="3">
        <f>J266-I266</f>
        <v>-362</v>
      </c>
      <c r="K303" s="3">
        <f>K266-J266</f>
        <v>-434</v>
      </c>
      <c r="L303" s="3">
        <f>L266-K266</f>
        <v>12038</v>
      </c>
      <c r="M303" s="3">
        <f>SUM(I303:L303)</f>
        <v>10756</v>
      </c>
      <c r="N303" s="3">
        <f>N266-M266</f>
        <v>0</v>
      </c>
      <c r="O303" s="3">
        <f>O266-N266</f>
        <v>0</v>
      </c>
      <c r="P303" s="3">
        <f>P266-O266</f>
        <v>0</v>
      </c>
      <c r="Q303" s="3">
        <f>Q266-P266</f>
        <v>0</v>
      </c>
      <c r="R303" s="3">
        <f>SUM(N303:Q303)</f>
        <v>0</v>
      </c>
      <c r="S303" s="3">
        <f>S266-R266</f>
        <v>0</v>
      </c>
      <c r="T303" s="3">
        <f>T266-S266</f>
        <v>0</v>
      </c>
      <c r="U303" s="3">
        <f>U266-T266</f>
        <v>0</v>
      </c>
      <c r="V303" s="3">
        <f>V266-U266</f>
        <v>0</v>
      </c>
      <c r="W303" s="3">
        <f>SUM(S303:V303)</f>
        <v>0</v>
      </c>
      <c r="X303" s="3">
        <f>X266-W266</f>
        <v>0</v>
      </c>
      <c r="Y303" s="3">
        <f>Y266-X266</f>
        <v>0</v>
      </c>
      <c r="Z303" s="3">
        <f>Z266-Y266</f>
        <v>0</v>
      </c>
      <c r="AA303" s="3">
        <f>AA266-Z266</f>
        <v>0</v>
      </c>
      <c r="AB303" s="3">
        <f>SUM(X303:AA303)</f>
        <v>0</v>
      </c>
      <c r="AC303" s="3">
        <f>AC266-AB266</f>
        <v>0</v>
      </c>
      <c r="AD303" s="3">
        <f>AD266-AC266</f>
        <v>0</v>
      </c>
      <c r="AE303" s="3">
        <f>AE266-AD266</f>
        <v>0</v>
      </c>
      <c r="AF303" s="3">
        <f>AF266-AE266</f>
        <v>0</v>
      </c>
      <c r="AG303" s="3">
        <f>SUM(AC303:AF303)</f>
        <v>0</v>
      </c>
      <c r="AH303" s="3">
        <f>AH266-AG266</f>
        <v>0</v>
      </c>
      <c r="AI303" s="3">
        <f>AI266-AH266</f>
        <v>0</v>
      </c>
      <c r="AJ303" s="3">
        <f>AJ266-AI266</f>
        <v>0</v>
      </c>
      <c r="AK303" s="3">
        <f>AK266-AJ266</f>
        <v>0</v>
      </c>
      <c r="AL303" s="3">
        <f>SUM(AH303:AK303)</f>
        <v>0</v>
      </c>
      <c r="AM303" s="3">
        <f>AM266-AL266</f>
        <v>0</v>
      </c>
      <c r="AN303" s="3">
        <f>AN266-AM266</f>
        <v>0</v>
      </c>
      <c r="AO303" s="3">
        <f>AO266-AN266</f>
        <v>0</v>
      </c>
      <c r="AP303" s="3">
        <f>AP266-AO266</f>
        <v>0</v>
      </c>
      <c r="AQ303" s="3">
        <f>SUM(AM303:AP303)</f>
        <v>0</v>
      </c>
      <c r="AR303" s="3">
        <f>AR266-AQ266</f>
        <v>0</v>
      </c>
      <c r="AS303" s="3">
        <f>AS266-AR266</f>
        <v>0</v>
      </c>
      <c r="AT303" s="3">
        <f>AT266-AS266</f>
        <v>0</v>
      </c>
      <c r="AU303" s="3">
        <f>AU266-AT266</f>
        <v>0</v>
      </c>
      <c r="AV303" s="3">
        <f>SUM(AR303:AU303)</f>
        <v>0</v>
      </c>
      <c r="AW303" s="3">
        <f>AW266-AV266</f>
        <v>0</v>
      </c>
      <c r="AX303" s="3">
        <f>AX266-AW266</f>
        <v>0</v>
      </c>
      <c r="AY303" s="3">
        <f>AY266-AX266</f>
        <v>0</v>
      </c>
      <c r="AZ303" s="3">
        <f>AZ266-AY266</f>
        <v>0</v>
      </c>
      <c r="BA303" s="3">
        <f>SUM(AW303:AZ303)</f>
        <v>0</v>
      </c>
      <c r="BB303" s="3">
        <f>BB266-BA266</f>
        <v>0</v>
      </c>
      <c r="BC303" s="3">
        <f>BC266-BB266</f>
        <v>0</v>
      </c>
      <c r="BD303" s="3">
        <f>BD266-BC266</f>
        <v>0</v>
      </c>
      <c r="BE303" s="3">
        <f>BE266-BD266</f>
        <v>0</v>
      </c>
      <c r="BF303" s="3">
        <f>SUM(BB303:BE303)</f>
        <v>0</v>
      </c>
      <c r="BG303" s="3">
        <f>BG266-BF266</f>
        <v>0</v>
      </c>
      <c r="BH303" s="3">
        <f>BH266-BG266</f>
        <v>0</v>
      </c>
      <c r="BI303" s="3">
        <f>BI266-BH266</f>
        <v>0</v>
      </c>
      <c r="BJ303" s="3">
        <f>BJ266-BI266</f>
        <v>0</v>
      </c>
      <c r="BK303" s="3">
        <f>SUM(BG303:BJ303)</f>
        <v>0</v>
      </c>
      <c r="BL303" s="3">
        <f>BL266-BK266</f>
        <v>0</v>
      </c>
      <c r="BM303" s="3">
        <f>BM266-BL266</f>
        <v>0</v>
      </c>
      <c r="BN303" s="3">
        <f>BN266-BM266</f>
        <v>0</v>
      </c>
      <c r="BO303" s="3">
        <f>BO266-BN266</f>
        <v>0</v>
      </c>
      <c r="BP303" s="3">
        <f>SUM(BL303:BO303)</f>
        <v>0</v>
      </c>
      <c r="BQ303" s="3">
        <f>BQ266-BP266</f>
        <v>0</v>
      </c>
      <c r="BR303" s="3">
        <f>BR266-BQ266</f>
        <v>0</v>
      </c>
      <c r="BS303" s="3">
        <f>BS266-BR266</f>
        <v>0</v>
      </c>
      <c r="BT303" s="3">
        <f>BT266-BS266</f>
        <v>0</v>
      </c>
      <c r="BU303" s="3">
        <f>SUM(BQ303:BT303)</f>
        <v>0</v>
      </c>
      <c r="BV303" s="3">
        <f>BV266-BU266</f>
        <v>0</v>
      </c>
      <c r="BW303" s="3">
        <f>BW266-BV266</f>
        <v>0</v>
      </c>
      <c r="BX303" s="3">
        <f>BX266-BW266</f>
        <v>0</v>
      </c>
      <c r="BY303" s="3">
        <f>BY266-BX266</f>
        <v>0</v>
      </c>
      <c r="BZ303" s="3">
        <f>SUM(BV303:BY303)</f>
        <v>0</v>
      </c>
      <c r="CA303" s="3">
        <f>CA266-BZ266</f>
        <v>0</v>
      </c>
      <c r="CB303" s="3">
        <f>CB266-CA266</f>
        <v>0</v>
      </c>
      <c r="CC303" s="3">
        <f>CC266-CB266</f>
        <v>0</v>
      </c>
      <c r="CD303" s="3">
        <f>CD266-CC266</f>
        <v>0</v>
      </c>
      <c r="CE303" s="3">
        <f>SUM(CA303:CD303)</f>
        <v>0</v>
      </c>
      <c r="CF303" s="3">
        <f>CF266-CE266</f>
        <v>0</v>
      </c>
      <c r="CG303" s="3">
        <f>CG266-CF266</f>
        <v>0</v>
      </c>
      <c r="CH303" s="3">
        <f>CH266-CG266</f>
        <v>0</v>
      </c>
      <c r="CI303" s="3">
        <f>CI266-CH266</f>
        <v>0</v>
      </c>
      <c r="CJ303" s="3">
        <f>SUM(CF303:CI303)</f>
        <v>0</v>
      </c>
      <c r="CK303" s="3">
        <f>CK266-CJ266</f>
        <v>0</v>
      </c>
      <c r="CL303" s="3">
        <f>CL266-CK266</f>
        <v>0</v>
      </c>
      <c r="CM303" s="3">
        <f>CM266-CL266</f>
        <v>0</v>
      </c>
      <c r="CN303" s="3">
        <f>CN266-CM266</f>
        <v>0</v>
      </c>
      <c r="CO303" s="3">
        <f>SUM(CK303:CN303)</f>
        <v>0</v>
      </c>
      <c r="CP303" s="3">
        <f>CP266-CO266</f>
        <v>0</v>
      </c>
      <c r="CQ303" s="3">
        <f>CQ266-CP266</f>
        <v>0</v>
      </c>
      <c r="CR303" s="3">
        <f>CR266-CQ266</f>
        <v>0</v>
      </c>
      <c r="CS303" s="3">
        <f>CS266-CR266</f>
        <v>0</v>
      </c>
      <c r="CT303" s="3">
        <f>SUM(CP303:CS303)</f>
        <v>0</v>
      </c>
      <c r="CU303" s="3">
        <f>CU266-CT266</f>
        <v>0</v>
      </c>
      <c r="CV303" s="3">
        <f>CV266-CU266</f>
        <v>0</v>
      </c>
      <c r="CW303" s="3">
        <f>CW266-CV266</f>
        <v>0</v>
      </c>
      <c r="CX303" s="3">
        <f>CX266-CW266</f>
        <v>0</v>
      </c>
      <c r="CY303" s="3">
        <f>SUM(CU303:CX303)</f>
        <v>0</v>
      </c>
    </row>
    <row r="304">
      <c r="C304" s="26" t="inlineStr">
        <is>
          <t>Comprehensive accumulated loss</t>
        </is>
      </c>
      <c r="D304" s="3" t="n"/>
      <c r="E304" s="3">
        <f>E267-D267</f>
        <v>14</v>
      </c>
      <c r="F304" s="3">
        <f>F267-E267</f>
        <v>8</v>
      </c>
      <c r="G304" s="3">
        <f>G267-F267</f>
        <v>7</v>
      </c>
      <c r="H304" s="3">
        <f>SUM(D304:G304)</f>
        <v>29</v>
      </c>
      <c r="I304" s="3">
        <f>I267-H267</f>
        <v>-5</v>
      </c>
      <c r="J304" s="3">
        <f>J267-I267</f>
        <v>-6</v>
      </c>
      <c r="K304" s="3">
        <f>K267-J267</f>
        <v>1</v>
      </c>
      <c r="L304" s="3">
        <f>L267-K267</f>
        <v>-20</v>
      </c>
      <c r="M304" s="3">
        <f>SUM(I304:L304)</f>
        <v>-30</v>
      </c>
      <c r="N304" s="3">
        <f>N267-M267</f>
        <v>-53</v>
      </c>
      <c r="O304" s="3">
        <f>O267-N267</f>
        <v>-26</v>
      </c>
      <c r="P304" s="3">
        <f>P267-O267</f>
        <v>-33</v>
      </c>
      <c r="Q304" s="3">
        <f>Q267-P267</f>
        <v>80</v>
      </c>
      <c r="R304" s="3">
        <f>SUM(N304:Q304)</f>
        <v>-32</v>
      </c>
      <c r="S304" s="3">
        <f>S267-R267</f>
        <v>-7</v>
      </c>
      <c r="T304" s="3">
        <f>T267-S267</f>
        <v>-1</v>
      </c>
      <c r="U304" s="3">
        <f>U267-T267</f>
        <v>-37</v>
      </c>
      <c r="V304" s="3">
        <f>V267-U267</f>
        <v>115</v>
      </c>
      <c r="W304" s="3">
        <f>SUM(S304:V304)</f>
        <v>70</v>
      </c>
      <c r="X304" s="3">
        <f>X267-W267</f>
        <v>-136</v>
      </c>
      <c r="Y304" s="3">
        <f>Y267-X267</f>
        <v>165</v>
      </c>
      <c r="Z304" s="3">
        <f>Z267-Y267</f>
        <v>47</v>
      </c>
      <c r="AA304" s="3">
        <f>AA267-Z267</f>
        <v>-75</v>
      </c>
      <c r="AB304" s="3">
        <f>SUM(X304:AA304)</f>
        <v>1</v>
      </c>
      <c r="AC304" s="3">
        <f>AC267-AB267</f>
        <v>158</v>
      </c>
      <c r="AD304" s="3">
        <f>AD267-AC267</f>
        <v>-16</v>
      </c>
      <c r="AE304" s="3">
        <f>AE267-AD267</f>
        <v>169</v>
      </c>
      <c r="AF304" s="3">
        <f>AF267-AE267</f>
        <v>-161</v>
      </c>
      <c r="AG304" s="3">
        <f>SUM(AC304:AF304)</f>
        <v>150</v>
      </c>
      <c r="AH304" s="3">
        <f>AH267-AG267</f>
        <v>-41</v>
      </c>
      <c r="AI304" s="3">
        <f>AI267-AH267</f>
        <v>-162</v>
      </c>
      <c r="AJ304" s="3">
        <f>AJ267-AI267</f>
        <v>0</v>
      </c>
      <c r="AK304" s="3">
        <f>AK267-AJ267</f>
        <v>0</v>
      </c>
      <c r="AL304" s="3">
        <f>SUM(AH304:AK304)</f>
        <v>-203</v>
      </c>
      <c r="AM304" s="3">
        <f>AM267-AL267</f>
        <v>0</v>
      </c>
      <c r="AN304" s="3">
        <f>AN267-AM267</f>
        <v>0</v>
      </c>
      <c r="AO304" s="3">
        <f>AO267-AN267</f>
        <v>0</v>
      </c>
      <c r="AP304" s="3">
        <f>AP267-AO267</f>
        <v>0</v>
      </c>
      <c r="AQ304" s="3">
        <f>SUM(AM304:AP304)</f>
        <v>0</v>
      </c>
      <c r="AR304" s="3">
        <f>AR267-AQ267</f>
        <v>0</v>
      </c>
      <c r="AS304" s="3">
        <f>AS267-AR267</f>
        <v>0</v>
      </c>
      <c r="AT304" s="3">
        <f>AT267-AS267</f>
        <v>0</v>
      </c>
      <c r="AU304" s="3">
        <f>AU267-AT267</f>
        <v>0</v>
      </c>
      <c r="AV304" s="3">
        <f>SUM(AR304:AU304)</f>
        <v>0</v>
      </c>
      <c r="AW304" s="3">
        <f>AW267-AV267</f>
        <v>0</v>
      </c>
      <c r="AX304" s="3">
        <f>AX267-AW267</f>
        <v>0</v>
      </c>
      <c r="AY304" s="3">
        <f>AY267-AX267</f>
        <v>0</v>
      </c>
      <c r="AZ304" s="3">
        <f>AZ267-AY267</f>
        <v>0</v>
      </c>
      <c r="BA304" s="3">
        <f>SUM(AW304:AZ304)</f>
        <v>0</v>
      </c>
      <c r="BB304" s="3">
        <f>BB267-BA267</f>
        <v>0</v>
      </c>
      <c r="BC304" s="3">
        <f>BC267-BB267</f>
        <v>0</v>
      </c>
      <c r="BD304" s="3">
        <f>BD267-BC267</f>
        <v>0</v>
      </c>
      <c r="BE304" s="3">
        <f>BE267-BD267</f>
        <v>0</v>
      </c>
      <c r="BF304" s="3">
        <f>SUM(BB304:BE304)</f>
        <v>0</v>
      </c>
      <c r="BG304" s="3">
        <f>BG267-BF267</f>
        <v>0</v>
      </c>
      <c r="BH304" s="3">
        <f>BH267-BG267</f>
        <v>0</v>
      </c>
      <c r="BI304" s="3">
        <f>BI267-BH267</f>
        <v>0</v>
      </c>
      <c r="BJ304" s="3">
        <f>BJ267-BI267</f>
        <v>0</v>
      </c>
      <c r="BK304" s="3">
        <f>SUM(BG304:BJ304)</f>
        <v>0</v>
      </c>
      <c r="BL304" s="3">
        <f>BL267-BK267</f>
        <v>0</v>
      </c>
      <c r="BM304" s="3">
        <f>BM267-BL267</f>
        <v>0</v>
      </c>
      <c r="BN304" s="3">
        <f>BN267-BM267</f>
        <v>0</v>
      </c>
      <c r="BO304" s="3">
        <f>BO267-BN267</f>
        <v>0</v>
      </c>
      <c r="BP304" s="3">
        <f>SUM(BL304:BO304)</f>
        <v>0</v>
      </c>
      <c r="BQ304" s="3">
        <f>BQ267-BP267</f>
        <v>0</v>
      </c>
      <c r="BR304" s="3">
        <f>BR267-BQ267</f>
        <v>0</v>
      </c>
      <c r="BS304" s="3">
        <f>BS267-BR267</f>
        <v>0</v>
      </c>
      <c r="BT304" s="3">
        <f>BT267-BS267</f>
        <v>0</v>
      </c>
      <c r="BU304" s="3">
        <f>SUM(BQ304:BT304)</f>
        <v>0</v>
      </c>
      <c r="BV304" s="3">
        <f>BV267-BU267</f>
        <v>0</v>
      </c>
      <c r="BW304" s="3">
        <f>BW267-BV267</f>
        <v>0</v>
      </c>
      <c r="BX304" s="3">
        <f>BX267-BW267</f>
        <v>0</v>
      </c>
      <c r="BY304" s="3">
        <f>BY267-BX267</f>
        <v>0</v>
      </c>
      <c r="BZ304" s="3">
        <f>SUM(BV304:BY304)</f>
        <v>0</v>
      </c>
      <c r="CA304" s="3">
        <f>CA267-BZ267</f>
        <v>0</v>
      </c>
      <c r="CB304" s="3">
        <f>CB267-CA267</f>
        <v>0</v>
      </c>
      <c r="CC304" s="3">
        <f>CC267-CB267</f>
        <v>0</v>
      </c>
      <c r="CD304" s="3">
        <f>CD267-CC267</f>
        <v>0</v>
      </c>
      <c r="CE304" s="3">
        <f>SUM(CA304:CD304)</f>
        <v>0</v>
      </c>
      <c r="CF304" s="3">
        <f>CF267-CE267</f>
        <v>0</v>
      </c>
      <c r="CG304" s="3">
        <f>CG267-CF267</f>
        <v>0</v>
      </c>
      <c r="CH304" s="3">
        <f>CH267-CG267</f>
        <v>0</v>
      </c>
      <c r="CI304" s="3">
        <f>CI267-CH267</f>
        <v>0</v>
      </c>
      <c r="CJ304" s="3">
        <f>SUM(CF304:CI304)</f>
        <v>0</v>
      </c>
      <c r="CK304" s="3">
        <f>CK267-CJ267</f>
        <v>0</v>
      </c>
      <c r="CL304" s="3">
        <f>CL267-CK267</f>
        <v>0</v>
      </c>
      <c r="CM304" s="3">
        <f>CM267-CL267</f>
        <v>0</v>
      </c>
      <c r="CN304" s="3">
        <f>CN267-CM267</f>
        <v>0</v>
      </c>
      <c r="CO304" s="3">
        <f>SUM(CK304:CN304)</f>
        <v>0</v>
      </c>
      <c r="CP304" s="3">
        <f>CP267-CO267</f>
        <v>0</v>
      </c>
      <c r="CQ304" s="3">
        <f>CQ267-CP267</f>
        <v>0</v>
      </c>
      <c r="CR304" s="3">
        <f>CR267-CQ267</f>
        <v>0</v>
      </c>
      <c r="CS304" s="3">
        <f>CS267-CR267</f>
        <v>0</v>
      </c>
      <c r="CT304" s="3">
        <f>SUM(CP304:CS304)</f>
        <v>0</v>
      </c>
      <c r="CU304" s="3">
        <f>CU267-CT267</f>
        <v>0</v>
      </c>
      <c r="CV304" s="3">
        <f>CV267-CU267</f>
        <v>0</v>
      </c>
      <c r="CW304" s="3">
        <f>CW267-CV267</f>
        <v>0</v>
      </c>
      <c r="CX304" s="3">
        <f>CX267-CW267</f>
        <v>0</v>
      </c>
      <c r="CY304" s="3">
        <f>SUM(CU304:CX304)</f>
        <v>0</v>
      </c>
    </row>
    <row r="305">
      <c r="C305" s="26" t="inlineStr">
        <is>
          <t>Other equity account</t>
        </is>
      </c>
      <c r="D305" s="3" t="n"/>
      <c r="E305" s="3">
        <f>E268-D268</f>
        <v>0</v>
      </c>
      <c r="F305" s="3">
        <f>F268-E268</f>
        <v>0</v>
      </c>
      <c r="G305" s="3">
        <f>G268-F268</f>
        <v>0</v>
      </c>
      <c r="H305" s="3">
        <f>SUM(D305:G305)</f>
        <v>0</v>
      </c>
      <c r="I305" s="3">
        <f>I268-H268</f>
        <v>0</v>
      </c>
      <c r="J305" s="3">
        <f>J268-I268</f>
        <v>0</v>
      </c>
      <c r="K305" s="3">
        <f>K268-J268</f>
        <v>0</v>
      </c>
      <c r="L305" s="3">
        <f>L268-K268</f>
        <v>0</v>
      </c>
      <c r="M305" s="3">
        <f>SUM(I305:L305)</f>
        <v>0</v>
      </c>
      <c r="N305" s="3">
        <f>N268-M268</f>
        <v>0</v>
      </c>
      <c r="O305" s="3">
        <f>O268-N268</f>
        <v>0</v>
      </c>
      <c r="P305" s="3">
        <f>P268-O268</f>
        <v>0</v>
      </c>
      <c r="Q305" s="3">
        <f>Q268-P268</f>
        <v>0</v>
      </c>
      <c r="R305" s="3">
        <f>SUM(N305:Q305)</f>
        <v>0</v>
      </c>
      <c r="S305" s="3">
        <f>S268-R268</f>
        <v>0</v>
      </c>
      <c r="T305" s="3">
        <f>T268-S268</f>
        <v>0</v>
      </c>
      <c r="U305" s="3">
        <f>U268-T268</f>
        <v>0</v>
      </c>
      <c r="V305" s="3">
        <f>V268-U268</f>
        <v>0</v>
      </c>
      <c r="W305" s="3">
        <f>SUM(S305:V305)</f>
        <v>0</v>
      </c>
      <c r="X305" s="3">
        <f>X268-W268</f>
        <v>0</v>
      </c>
      <c r="Y305" s="3">
        <f>Y268-X268</f>
        <v>0</v>
      </c>
      <c r="Z305" s="3">
        <f>Z268-Y268</f>
        <v>0</v>
      </c>
      <c r="AA305" s="3">
        <f>AA268-Z268</f>
        <v>0</v>
      </c>
      <c r="AB305" s="3">
        <f>SUM(X305:AA305)</f>
        <v>0</v>
      </c>
      <c r="AC305" s="3">
        <f>AC268-AB268</f>
        <v>0</v>
      </c>
      <c r="AD305" s="3">
        <f>AD268-AC268</f>
        <v>0</v>
      </c>
      <c r="AE305" s="3">
        <f>AE268-AD268</f>
        <v>0</v>
      </c>
      <c r="AF305" s="3">
        <f>AF268-AE268</f>
        <v>0</v>
      </c>
      <c r="AG305" s="3">
        <f>SUM(AC305:AF305)</f>
        <v>0</v>
      </c>
      <c r="AH305" s="3">
        <f>AH268-AG268</f>
        <v>0</v>
      </c>
      <c r="AI305" s="3">
        <f>AI268-AH268</f>
        <v>0</v>
      </c>
      <c r="AJ305" s="3">
        <f>AJ268-AI268</f>
        <v>0</v>
      </c>
      <c r="AK305" s="3">
        <f>AK268-AJ268</f>
        <v>0</v>
      </c>
      <c r="AL305" s="3">
        <f>SUM(AH305:AK305)</f>
        <v>0</v>
      </c>
      <c r="AM305" s="3">
        <f>AM268-AL268</f>
        <v>0</v>
      </c>
      <c r="AN305" s="3">
        <f>AN268-AM268</f>
        <v>0</v>
      </c>
      <c r="AO305" s="3">
        <f>AO268-AN268</f>
        <v>0</v>
      </c>
      <c r="AP305" s="3">
        <f>AP268-AO268</f>
        <v>0</v>
      </c>
      <c r="AQ305" s="3">
        <f>SUM(AM305:AP305)</f>
        <v>0</v>
      </c>
      <c r="AR305" s="3">
        <f>AR268-AQ268</f>
        <v>0</v>
      </c>
      <c r="AS305" s="3">
        <f>AS268-AR268</f>
        <v>0</v>
      </c>
      <c r="AT305" s="3">
        <f>AT268-AS268</f>
        <v>0</v>
      </c>
      <c r="AU305" s="3">
        <f>AU268-AT268</f>
        <v>0</v>
      </c>
      <c r="AV305" s="3">
        <f>SUM(AR305:AU305)</f>
        <v>0</v>
      </c>
      <c r="AW305" s="3">
        <f>AW268-AV268</f>
        <v>0</v>
      </c>
      <c r="AX305" s="3">
        <f>AX268-AW268</f>
        <v>0</v>
      </c>
      <c r="AY305" s="3">
        <f>AY268-AX268</f>
        <v>0</v>
      </c>
      <c r="AZ305" s="3">
        <f>AZ268-AY268</f>
        <v>0</v>
      </c>
      <c r="BA305" s="3">
        <f>SUM(AW305:AZ305)</f>
        <v>0</v>
      </c>
      <c r="BB305" s="3">
        <f>BB268-BA268</f>
        <v>0</v>
      </c>
      <c r="BC305" s="3">
        <f>BC268-BB268</f>
        <v>0</v>
      </c>
      <c r="BD305" s="3">
        <f>BD268-BC268</f>
        <v>0</v>
      </c>
      <c r="BE305" s="3">
        <f>BE268-BD268</f>
        <v>0</v>
      </c>
      <c r="BF305" s="3">
        <f>SUM(BB305:BE305)</f>
        <v>0</v>
      </c>
      <c r="BG305" s="3">
        <f>BG268-BF268</f>
        <v>0</v>
      </c>
      <c r="BH305" s="3">
        <f>BH268-BG268</f>
        <v>0</v>
      </c>
      <c r="BI305" s="3">
        <f>BI268-BH268</f>
        <v>0</v>
      </c>
      <c r="BJ305" s="3">
        <f>BJ268-BI268</f>
        <v>0</v>
      </c>
      <c r="BK305" s="3">
        <f>SUM(BG305:BJ305)</f>
        <v>0</v>
      </c>
      <c r="BL305" s="3">
        <f>BL268-BK268</f>
        <v>0</v>
      </c>
      <c r="BM305" s="3">
        <f>BM268-BL268</f>
        <v>0</v>
      </c>
      <c r="BN305" s="3">
        <f>BN268-BM268</f>
        <v>0</v>
      </c>
      <c r="BO305" s="3">
        <f>BO268-BN268</f>
        <v>0</v>
      </c>
      <c r="BP305" s="3">
        <f>SUM(BL305:BO305)</f>
        <v>0</v>
      </c>
      <c r="BQ305" s="3">
        <f>BQ268-BP268</f>
        <v>0</v>
      </c>
      <c r="BR305" s="3">
        <f>BR268-BQ268</f>
        <v>0</v>
      </c>
      <c r="BS305" s="3">
        <f>BS268-BR268</f>
        <v>0</v>
      </c>
      <c r="BT305" s="3">
        <f>BT268-BS268</f>
        <v>0</v>
      </c>
      <c r="BU305" s="3">
        <f>SUM(BQ305:BT305)</f>
        <v>0</v>
      </c>
      <c r="BV305" s="3">
        <f>BV268-BU268</f>
        <v>0</v>
      </c>
      <c r="BW305" s="3">
        <f>BW268-BV268</f>
        <v>0</v>
      </c>
      <c r="BX305" s="3">
        <f>BX268-BW268</f>
        <v>0</v>
      </c>
      <c r="BY305" s="3">
        <f>BY268-BX268</f>
        <v>0</v>
      </c>
      <c r="BZ305" s="3">
        <f>SUM(BV305:BY305)</f>
        <v>0</v>
      </c>
      <c r="CA305" s="3">
        <f>CA268-BZ268</f>
        <v>0</v>
      </c>
      <c r="CB305" s="3">
        <f>CB268-CA268</f>
        <v>0</v>
      </c>
      <c r="CC305" s="3">
        <f>CC268-CB268</f>
        <v>0</v>
      </c>
      <c r="CD305" s="3">
        <f>CD268-CC268</f>
        <v>0</v>
      </c>
      <c r="CE305" s="3">
        <f>SUM(CA305:CD305)</f>
        <v>0</v>
      </c>
      <c r="CF305" s="3">
        <f>CF268-CE268</f>
        <v>0</v>
      </c>
      <c r="CG305" s="3">
        <f>CG268-CF268</f>
        <v>0</v>
      </c>
      <c r="CH305" s="3">
        <f>CH268-CG268</f>
        <v>0</v>
      </c>
      <c r="CI305" s="3">
        <f>CI268-CH268</f>
        <v>0</v>
      </c>
      <c r="CJ305" s="3">
        <f>SUM(CF305:CI305)</f>
        <v>0</v>
      </c>
      <c r="CK305" s="3">
        <f>CK268-CJ268</f>
        <v>0</v>
      </c>
      <c r="CL305" s="3">
        <f>CL268-CK268</f>
        <v>0</v>
      </c>
      <c r="CM305" s="3">
        <f>CM268-CL268</f>
        <v>0</v>
      </c>
      <c r="CN305" s="3">
        <f>CN268-CM268</f>
        <v>0</v>
      </c>
      <c r="CO305" s="3">
        <f>SUM(CK305:CN305)</f>
        <v>0</v>
      </c>
      <c r="CP305" s="3">
        <f>CP268-CO268</f>
        <v>0</v>
      </c>
      <c r="CQ305" s="3">
        <f>CQ268-CP268</f>
        <v>0</v>
      </c>
      <c r="CR305" s="3">
        <f>CR268-CQ268</f>
        <v>0</v>
      </c>
      <c r="CS305" s="3">
        <f>CS268-CR268</f>
        <v>0</v>
      </c>
      <c r="CT305" s="3">
        <f>SUM(CP305:CS305)</f>
        <v>0</v>
      </c>
      <c r="CU305" s="3">
        <f>CU268-CT268</f>
        <v>0</v>
      </c>
      <c r="CV305" s="3">
        <f>CV268-CU268</f>
        <v>0</v>
      </c>
      <c r="CW305" s="3">
        <f>CW268-CV268</f>
        <v>0</v>
      </c>
      <c r="CX305" s="3">
        <f>CX268-CW268</f>
        <v>0</v>
      </c>
      <c r="CY305" s="3">
        <f>SUM(CU305:CX305)</f>
        <v>0</v>
      </c>
    </row>
    <row r="306">
      <c r="C306" s="29" t="inlineStr">
        <is>
          <t>Common and preferred dividends</t>
        </is>
      </c>
      <c r="D306" s="3" t="n"/>
      <c r="E306" s="3">
        <f>(E269-D269)-E276</f>
        <v>-99</v>
      </c>
      <c r="F306" s="3">
        <f>(F269-E269)-F276</f>
        <v>-99</v>
      </c>
      <c r="G306" s="3">
        <f>(G269-F269)-G276</f>
        <v>-99</v>
      </c>
      <c r="H306" s="3">
        <f>SUM(D306:G306)</f>
        <v>-297</v>
      </c>
      <c r="I306" s="3">
        <f>(I269-H269)-I276</f>
        <v>-99</v>
      </c>
      <c r="J306" s="3">
        <f>(J269-I269)-J276</f>
        <v>-100</v>
      </c>
      <c r="K306" s="3">
        <f>(K269-J269)-K276</f>
        <v>-100</v>
      </c>
      <c r="L306" s="3">
        <f>(L269-K269)-L276</f>
        <v>-12127</v>
      </c>
      <c r="M306" s="3">
        <f>SUM(I306:L306)</f>
        <v>-12426</v>
      </c>
      <c r="N306" s="3">
        <f>(N269-M269)-N276</f>
        <v>-2095</v>
      </c>
      <c r="O306" s="3">
        <f>(O269-N269)-O276</f>
        <v>-3443</v>
      </c>
      <c r="P306" s="3">
        <f>(P269-O269)-P276</f>
        <v>-3746</v>
      </c>
      <c r="Q306" s="3">
        <f>(Q269-P269)-Q276</f>
        <v>-1148</v>
      </c>
      <c r="R306" s="3">
        <f>SUM(N306:Q306)</f>
        <v>-10432</v>
      </c>
      <c r="S306" s="3">
        <f>(S269-R269)-S276</f>
        <v>-99</v>
      </c>
      <c r="T306" s="3">
        <f>(T269-S269)-T276</f>
        <v>-3382</v>
      </c>
      <c r="U306" s="3">
        <f>(U269-T269)-U276</f>
        <v>-3804</v>
      </c>
      <c r="V306" s="3">
        <f>(V269-U269)-V276</f>
        <v>-2828</v>
      </c>
      <c r="W306" s="3">
        <f>SUM(S306:V306)</f>
        <v>-10113</v>
      </c>
      <c r="X306" s="3">
        <f>(X269-W269)-X276</f>
        <v>-8100</v>
      </c>
      <c r="Y306" s="3">
        <f>(Y269-X269)-Y276</f>
        <v>-7236</v>
      </c>
      <c r="Z306" s="3">
        <f>(Z269-Y269)-Z276</f>
        <v>-11320</v>
      </c>
      <c r="AA306" s="3">
        <f>(AA269-Z269)-AA276</f>
        <v>-8003</v>
      </c>
      <c r="AB306" s="3">
        <f>SUM(X306:AA306)</f>
        <v>-34659</v>
      </c>
      <c r="AC306" s="3">
        <f>(AC269-AB269)-AC276</f>
        <v>-14655</v>
      </c>
      <c r="AD306" s="3">
        <f>(AD269-AC269)-AD276</f>
        <v>-9843</v>
      </c>
      <c r="AE306" s="3">
        <f>(AE269-AD269)-AE276</f>
        <v>-12739</v>
      </c>
      <c r="AF306" s="3">
        <f>(AF269-AE269)-AF276</f>
        <v>-3895</v>
      </c>
      <c r="AG306" s="3">
        <f>SUM(AC306:AF306)</f>
        <v>-41132</v>
      </c>
      <c r="AH306" s="3">
        <f>(AH269-AG269)-AH276</f>
        <v>-20256</v>
      </c>
      <c r="AI306" s="3">
        <f>(AI269-AH269)-AI276</f>
        <v>-25569</v>
      </c>
      <c r="AJ306" s="3">
        <f>(AJ269-AI269)-AJ276</f>
        <v>0</v>
      </c>
      <c r="AK306" s="3">
        <f>(AK269-AJ269)-AK276</f>
        <v>0</v>
      </c>
      <c r="AL306" s="3">
        <f>SUM(AH306:AK306)</f>
        <v>-45825</v>
      </c>
      <c r="AM306" s="3">
        <f>(AM269-AL269)-AM276</f>
        <v>0</v>
      </c>
      <c r="AN306" s="3">
        <f>(AN269-AM269)-AN276</f>
        <v>0</v>
      </c>
      <c r="AO306" s="3">
        <f>(AO269-AN269)-AO276</f>
        <v>0</v>
      </c>
      <c r="AP306" s="3">
        <f>(AP269-AO269)-AP276</f>
        <v>0</v>
      </c>
      <c r="AQ306" s="3">
        <f>SUM(AM306:AP306)</f>
        <v>0</v>
      </c>
      <c r="AR306" s="3">
        <f>(AR269-AQ269)-AR276</f>
        <v>0</v>
      </c>
      <c r="AS306" s="3">
        <f>(AS269-AR269)-AS276</f>
        <v>0</v>
      </c>
      <c r="AT306" s="3">
        <f>(AT269-AS269)-AT276</f>
        <v>0</v>
      </c>
      <c r="AU306" s="3">
        <f>(AU269-AT269)-AU276</f>
        <v>0</v>
      </c>
      <c r="AV306" s="3">
        <f>SUM(AR306:AU306)</f>
        <v>0</v>
      </c>
      <c r="AW306" s="3">
        <f>(AW269-AV269)-AW276</f>
        <v>0</v>
      </c>
      <c r="AX306" s="3">
        <f>(AX269-AW269)-AX276</f>
        <v>0</v>
      </c>
      <c r="AY306" s="3">
        <f>(AY269-AX269)-AY276</f>
        <v>0</v>
      </c>
      <c r="AZ306" s="3">
        <f>(AZ269-AY269)-AZ276</f>
        <v>0</v>
      </c>
      <c r="BA306" s="3">
        <f>SUM(AW306:AZ306)</f>
        <v>0</v>
      </c>
      <c r="BB306" s="3">
        <f>(BB269-BA269)-BB276</f>
        <v>0</v>
      </c>
      <c r="BC306" s="3">
        <f>(BC269-BB269)-BC276</f>
        <v>0</v>
      </c>
      <c r="BD306" s="3">
        <f>(BD269-BC269)-BD276</f>
        <v>0</v>
      </c>
      <c r="BE306" s="3">
        <f>(BE269-BD269)-BE276</f>
        <v>0</v>
      </c>
      <c r="BF306" s="3">
        <f>SUM(BB306:BE306)</f>
        <v>0</v>
      </c>
      <c r="BG306" s="3">
        <f>(BG269-BF269)-BG276</f>
        <v>0</v>
      </c>
      <c r="BH306" s="3">
        <f>(BH269-BG269)-BH276</f>
        <v>0</v>
      </c>
      <c r="BI306" s="3">
        <f>(BI269-BH269)-BI276</f>
        <v>0</v>
      </c>
      <c r="BJ306" s="3">
        <f>(BJ269-BI269)-BJ276</f>
        <v>0</v>
      </c>
      <c r="BK306" s="3">
        <f>SUM(BG306:BJ306)</f>
        <v>0</v>
      </c>
      <c r="BL306" s="3">
        <f>(BL269-BK269)-BL276</f>
        <v>0</v>
      </c>
      <c r="BM306" s="3">
        <f>(BM269-BL269)-BM276</f>
        <v>0</v>
      </c>
      <c r="BN306" s="3">
        <f>(BN269-BM269)-BN276</f>
        <v>0</v>
      </c>
      <c r="BO306" s="3">
        <f>(BO269-BN269)-BO276</f>
        <v>0</v>
      </c>
      <c r="BP306" s="3">
        <f>SUM(BL306:BO306)</f>
        <v>0</v>
      </c>
      <c r="BQ306" s="3">
        <f>(BQ269-BP269)-BQ276</f>
        <v>0</v>
      </c>
      <c r="BR306" s="3">
        <f>(BR269-BQ269)-BR276</f>
        <v>0</v>
      </c>
      <c r="BS306" s="3">
        <f>(BS269-BR269)-BS276</f>
        <v>0</v>
      </c>
      <c r="BT306" s="3">
        <f>(BT269-BS269)-BT276</f>
        <v>0</v>
      </c>
      <c r="BU306" s="3">
        <f>SUM(BQ306:BT306)</f>
        <v>0</v>
      </c>
      <c r="BV306" s="3">
        <f>(BV269-BU269)-BV276</f>
        <v>0</v>
      </c>
      <c r="BW306" s="3">
        <f>(BW269-BV269)-BW276</f>
        <v>0</v>
      </c>
      <c r="BX306" s="3">
        <f>(BX269-BW269)-BX276</f>
        <v>0</v>
      </c>
      <c r="BY306" s="3">
        <f>(BY269-BX269)-BY276</f>
        <v>0</v>
      </c>
      <c r="BZ306" s="3">
        <f>SUM(BV306:BY306)</f>
        <v>0</v>
      </c>
      <c r="CA306" s="3">
        <f>(CA269-BZ269)-CA276</f>
        <v>0</v>
      </c>
      <c r="CB306" s="3">
        <f>(CB269-CA269)-CB276</f>
        <v>0</v>
      </c>
      <c r="CC306" s="3">
        <f>(CC269-CB269)-CC276</f>
        <v>0</v>
      </c>
      <c r="CD306" s="3">
        <f>(CD269-CC269)-CD276</f>
        <v>0</v>
      </c>
      <c r="CE306" s="3">
        <f>SUM(CA306:CD306)</f>
        <v>0</v>
      </c>
      <c r="CF306" s="3">
        <f>(CF269-CE269)-CF276</f>
        <v>0</v>
      </c>
      <c r="CG306" s="3">
        <f>(CG269-CF269)-CG276</f>
        <v>0</v>
      </c>
      <c r="CH306" s="3">
        <f>(CH269-CG269)-CH276</f>
        <v>0</v>
      </c>
      <c r="CI306" s="3">
        <f>(CI269-CH269)-CI276</f>
        <v>0</v>
      </c>
      <c r="CJ306" s="3">
        <f>SUM(CF306:CI306)</f>
        <v>0</v>
      </c>
      <c r="CK306" s="3">
        <f>(CK269-CJ269)-CK276</f>
        <v>0</v>
      </c>
      <c r="CL306" s="3">
        <f>(CL269-CK269)-CL276</f>
        <v>0</v>
      </c>
      <c r="CM306" s="3">
        <f>(CM269-CL269)-CM276</f>
        <v>0</v>
      </c>
      <c r="CN306" s="3">
        <f>(CN269-CM269)-CN276</f>
        <v>0</v>
      </c>
      <c r="CO306" s="3">
        <f>SUM(CK306:CN306)</f>
        <v>0</v>
      </c>
      <c r="CP306" s="3">
        <f>(CP269-CO269)-CP276</f>
        <v>0</v>
      </c>
      <c r="CQ306" s="3">
        <f>(CQ269-CP269)-CQ276</f>
        <v>0</v>
      </c>
      <c r="CR306" s="3">
        <f>(CR269-CQ269)-CR276</f>
        <v>0</v>
      </c>
      <c r="CS306" s="3">
        <f>(CS269-CR269)-CS276</f>
        <v>0</v>
      </c>
      <c r="CT306" s="3">
        <f>SUM(CP306:CS306)</f>
        <v>0</v>
      </c>
      <c r="CU306" s="3">
        <f>(CU269-CT269)-CU276</f>
        <v>0</v>
      </c>
      <c r="CV306" s="3">
        <f>(CV269-CU269)-CV276</f>
        <v>0</v>
      </c>
      <c r="CW306" s="3">
        <f>(CW269-CV269)-CW276</f>
        <v>0</v>
      </c>
      <c r="CX306" s="3">
        <f>(CX269-CW269)-CX276</f>
        <v>0</v>
      </c>
      <c r="CY306" s="3">
        <f>SUM(CU306:CX306)</f>
        <v>0</v>
      </c>
    </row>
    <row r="307">
      <c r="C307" s="26" t="inlineStr">
        <is>
          <t>Dividends to minority interests</t>
        </is>
      </c>
      <c r="D307" s="3" t="n"/>
      <c r="E307" s="3">
        <f>(E247-D247)+E135</f>
        <v>0</v>
      </c>
      <c r="F307" s="3">
        <f>(F247-E247)+F135</f>
        <v>0</v>
      </c>
      <c r="G307" s="3">
        <f>(G247-F247)+G135</f>
        <v>0</v>
      </c>
      <c r="H307" s="3">
        <f>SUM(D307:G307)</f>
        <v>0</v>
      </c>
      <c r="I307" s="3">
        <f>(I247-H247)+I135</f>
        <v>0</v>
      </c>
      <c r="J307" s="3">
        <f>(J247-I247)+J135</f>
        <v>0</v>
      </c>
      <c r="K307" s="3">
        <f>(K247-J247)+K135</f>
        <v>0</v>
      </c>
      <c r="L307" s="3">
        <f>(L247-K247)+L135</f>
        <v>0</v>
      </c>
      <c r="M307" s="3">
        <f>SUM(I307:L307)</f>
        <v>0</v>
      </c>
      <c r="N307" s="3">
        <f>(N247-M247)+N135</f>
        <v>0</v>
      </c>
      <c r="O307" s="3">
        <f>(O247-N247)+O135</f>
        <v>0</v>
      </c>
      <c r="P307" s="3">
        <f>(P247-O247)+P135</f>
        <v>0</v>
      </c>
      <c r="Q307" s="3">
        <f>(Q247-P247)+Q135</f>
        <v>0</v>
      </c>
      <c r="R307" s="3">
        <f>SUM(N307:Q307)</f>
        <v>0</v>
      </c>
      <c r="S307" s="3">
        <f>(S247-R247)+S135</f>
        <v>0</v>
      </c>
      <c r="T307" s="3">
        <f>(T247-S247)+T135</f>
        <v>0</v>
      </c>
      <c r="U307" s="3">
        <f>(U247-T247)+U135</f>
        <v>0</v>
      </c>
      <c r="V307" s="3">
        <f>(V247-U247)+V135</f>
        <v>0</v>
      </c>
      <c r="W307" s="3">
        <f>SUM(S307:V307)</f>
        <v>0</v>
      </c>
      <c r="X307" s="3">
        <f>(X247-W247)+X135</f>
        <v>0</v>
      </c>
      <c r="Y307" s="3">
        <f>(Y247-X247)+Y135</f>
        <v>0</v>
      </c>
      <c r="Z307" s="3">
        <f>(Z247-Y247)+Z135</f>
        <v>0</v>
      </c>
      <c r="AA307" s="3">
        <f>(AA247-Z247)+AA135</f>
        <v>0</v>
      </c>
      <c r="AB307" s="3">
        <f>SUM(X307:AA307)</f>
        <v>0</v>
      </c>
      <c r="AC307" s="3">
        <f>(AC247-AB247)+AC135</f>
        <v>0</v>
      </c>
      <c r="AD307" s="3">
        <f>(AD247-AC247)+AD135</f>
        <v>0</v>
      </c>
      <c r="AE307" s="3">
        <f>(AE247-AD247)+AE135</f>
        <v>0</v>
      </c>
      <c r="AF307" s="3">
        <f>(AF247-AE247)+AF135</f>
        <v>0</v>
      </c>
      <c r="AG307" s="3">
        <f>SUM(AC307:AF307)</f>
        <v>0</v>
      </c>
      <c r="AH307" s="3">
        <f>(AH247-AG247)+AH135</f>
        <v>0</v>
      </c>
      <c r="AI307" s="3">
        <f>(AI247-AH247)+AI135</f>
        <v>0</v>
      </c>
      <c r="AJ307" s="3">
        <f>(AJ247-AI247)+AJ135</f>
        <v>0</v>
      </c>
      <c r="AK307" s="3">
        <f>(AK247-AJ247)+AK135</f>
        <v>0</v>
      </c>
      <c r="AL307" s="3">
        <f>SUM(AH307:AK307)</f>
        <v>0</v>
      </c>
      <c r="AM307" s="3">
        <f>(AM247-AL247)+AM135</f>
        <v>0</v>
      </c>
      <c r="AN307" s="3">
        <f>(AN247-AM247)+AN135</f>
        <v>0</v>
      </c>
      <c r="AO307" s="3">
        <f>(AO247-AN247)+AO135</f>
        <v>0</v>
      </c>
      <c r="AP307" s="3">
        <f>(AP247-AO247)+AP135</f>
        <v>0</v>
      </c>
      <c r="AQ307" s="3">
        <f>SUM(AM307:AP307)</f>
        <v>0</v>
      </c>
      <c r="AR307" s="3">
        <f>(AR247-AQ247)+AR135</f>
        <v>0</v>
      </c>
      <c r="AS307" s="3">
        <f>(AS247-AR247)+AS135</f>
        <v>0</v>
      </c>
      <c r="AT307" s="3">
        <f>(AT247-AS247)+AT135</f>
        <v>0</v>
      </c>
      <c r="AU307" s="3">
        <f>(AU247-AT247)+AU135</f>
        <v>0</v>
      </c>
      <c r="AV307" s="3">
        <f>SUM(AR307:AU307)</f>
        <v>0</v>
      </c>
      <c r="AW307" s="3">
        <f>(AW247-AV247)+AW135</f>
        <v>0</v>
      </c>
      <c r="AX307" s="3">
        <f>(AX247-AW247)+AX135</f>
        <v>0</v>
      </c>
      <c r="AY307" s="3">
        <f>(AY247-AX247)+AY135</f>
        <v>0</v>
      </c>
      <c r="AZ307" s="3">
        <f>(AZ247-AY247)+AZ135</f>
        <v>0</v>
      </c>
      <c r="BA307" s="3">
        <f>SUM(AW307:AZ307)</f>
        <v>0</v>
      </c>
      <c r="BB307" s="3">
        <f>(BB247-BA247)+BB135</f>
        <v>0</v>
      </c>
      <c r="BC307" s="3">
        <f>(BC247-BB247)+BC135</f>
        <v>0</v>
      </c>
      <c r="BD307" s="3">
        <f>(BD247-BC247)+BD135</f>
        <v>0</v>
      </c>
      <c r="BE307" s="3">
        <f>(BE247-BD247)+BE135</f>
        <v>0</v>
      </c>
      <c r="BF307" s="3">
        <f>SUM(BB307:BE307)</f>
        <v>0</v>
      </c>
      <c r="BG307" s="3">
        <f>(BG247-BF247)+BG135</f>
        <v>0</v>
      </c>
      <c r="BH307" s="3">
        <f>(BH247-BG247)+BH135</f>
        <v>0</v>
      </c>
      <c r="BI307" s="3">
        <f>(BI247-BH247)+BI135</f>
        <v>0</v>
      </c>
      <c r="BJ307" s="3">
        <f>(BJ247-BI247)+BJ135</f>
        <v>0</v>
      </c>
      <c r="BK307" s="3">
        <f>SUM(BG307:BJ307)</f>
        <v>0</v>
      </c>
      <c r="BL307" s="3">
        <f>(BL247-BK247)+BL135</f>
        <v>0</v>
      </c>
      <c r="BM307" s="3">
        <f>(BM247-BL247)+BM135</f>
        <v>0</v>
      </c>
      <c r="BN307" s="3">
        <f>(BN247-BM247)+BN135</f>
        <v>0</v>
      </c>
      <c r="BO307" s="3">
        <f>(BO247-BN247)+BO135</f>
        <v>0</v>
      </c>
      <c r="BP307" s="3">
        <f>SUM(BL307:BO307)</f>
        <v>0</v>
      </c>
      <c r="BQ307" s="3">
        <f>(BQ247-BP247)+BQ135</f>
        <v>0</v>
      </c>
      <c r="BR307" s="3">
        <f>(BR247-BQ247)+BR135</f>
        <v>0</v>
      </c>
      <c r="BS307" s="3">
        <f>(BS247-BR247)+BS135</f>
        <v>0</v>
      </c>
      <c r="BT307" s="3">
        <f>(BT247-BS247)+BT135</f>
        <v>0</v>
      </c>
      <c r="BU307" s="3">
        <f>SUM(BQ307:BT307)</f>
        <v>0</v>
      </c>
      <c r="BV307" s="3">
        <f>(BV247-BU247)+BV135</f>
        <v>0</v>
      </c>
      <c r="BW307" s="3">
        <f>(BW247-BV247)+BW135</f>
        <v>0</v>
      </c>
      <c r="BX307" s="3">
        <f>(BX247-BW247)+BX135</f>
        <v>0</v>
      </c>
      <c r="BY307" s="3">
        <f>(BY247-BX247)+BY135</f>
        <v>0</v>
      </c>
      <c r="BZ307" s="3">
        <f>SUM(BV307:BY307)</f>
        <v>0</v>
      </c>
      <c r="CA307" s="3">
        <f>(CA247-BZ247)+CA135</f>
        <v>0</v>
      </c>
      <c r="CB307" s="3">
        <f>(CB247-CA247)+CB135</f>
        <v>0</v>
      </c>
      <c r="CC307" s="3">
        <f>(CC247-CB247)+CC135</f>
        <v>0</v>
      </c>
      <c r="CD307" s="3">
        <f>(CD247-CC247)+CD135</f>
        <v>0</v>
      </c>
      <c r="CE307" s="3">
        <f>SUM(CA307:CD307)</f>
        <v>0</v>
      </c>
      <c r="CF307" s="3">
        <f>(CF247-CE247)+CF135</f>
        <v>0</v>
      </c>
      <c r="CG307" s="3">
        <f>(CG247-CF247)+CG135</f>
        <v>0</v>
      </c>
      <c r="CH307" s="3">
        <f>(CH247-CG247)+CH135</f>
        <v>0</v>
      </c>
      <c r="CI307" s="3">
        <f>(CI247-CH247)+CI135</f>
        <v>0</v>
      </c>
      <c r="CJ307" s="3">
        <f>SUM(CF307:CI307)</f>
        <v>0</v>
      </c>
      <c r="CK307" s="3">
        <f>(CK247-CJ247)+CK135</f>
        <v>0</v>
      </c>
      <c r="CL307" s="3">
        <f>(CL247-CK247)+CL135</f>
        <v>0</v>
      </c>
      <c r="CM307" s="3">
        <f>(CM247-CL247)+CM135</f>
        <v>0</v>
      </c>
      <c r="CN307" s="3">
        <f>(CN247-CM247)+CN135</f>
        <v>0</v>
      </c>
      <c r="CO307" s="3">
        <f>SUM(CK307:CN307)</f>
        <v>0</v>
      </c>
      <c r="CP307" s="3">
        <f>(CP247-CO247)+CP135</f>
        <v>0</v>
      </c>
      <c r="CQ307" s="3">
        <f>(CQ247-CP247)+CQ135</f>
        <v>0</v>
      </c>
      <c r="CR307" s="3">
        <f>(CR247-CQ247)+CR135</f>
        <v>0</v>
      </c>
      <c r="CS307" s="3">
        <f>(CS247-CR247)+CS135</f>
        <v>0</v>
      </c>
      <c r="CT307" s="3">
        <f>SUM(CP307:CS307)</f>
        <v>0</v>
      </c>
      <c r="CU307" s="3">
        <f>(CU247-CT247)+CU135</f>
        <v>0</v>
      </c>
      <c r="CV307" s="3">
        <f>(CV247-CU247)+CV135</f>
        <v>0</v>
      </c>
      <c r="CW307" s="3">
        <f>(CW247-CV247)+CW135</f>
        <v>0</v>
      </c>
      <c r="CX307" s="3">
        <f>(CX247-CW247)+CX135</f>
        <v>0</v>
      </c>
      <c r="CY307" s="3">
        <f>SUM(CU307:CX307)</f>
        <v>0</v>
      </c>
    </row>
    <row r="308">
      <c r="C308" s="28" t="inlineStr">
        <is>
          <t>Increases / (decreases) in debt</t>
        </is>
      </c>
      <c r="D308" s="3" t="n"/>
      <c r="E308" s="3">
        <f>SUM(E211:E213,E216,E237,E234)-SUM(D211:D213,D216,D237,D234)</f>
        <v>93</v>
      </c>
      <c r="F308" s="3">
        <f>SUM(F211:F213,F216,F237,F234)-SUM(E211:E213,E216,E237,E234)</f>
        <v>-6</v>
      </c>
      <c r="G308" s="3">
        <f>SUM(G211:G213,G216,G237,G234)-SUM(F211:F213,F216,F237,F234)</f>
        <v>32</v>
      </c>
      <c r="H308" s="3">
        <f>SUM(D308:G308)</f>
        <v>119</v>
      </c>
      <c r="I308" s="3">
        <f>SUM(I211:I213,I216,I237,I234)-SUM(H211:H213,H216,H237,H234)</f>
        <v>6</v>
      </c>
      <c r="J308" s="3">
        <f>SUM(J211:J213,J216,J237,J234)-SUM(I211:I213,I216,I237,I234)</f>
        <v>5056</v>
      </c>
      <c r="K308" s="3">
        <f>SUM(K211:K213,K216,K237,K234)-SUM(J211:J213,J216,J237,J234)</f>
        <v>-972</v>
      </c>
      <c r="L308" s="3">
        <f>SUM(L211:L213,L216,L237,L234)-SUM(K211:K213,K216,K237,K234)</f>
        <v>0</v>
      </c>
      <c r="M308" s="3">
        <f>SUM(I308:L308)</f>
        <v>4090</v>
      </c>
      <c r="N308" s="3">
        <f>SUM(N211:N213,N216,N237,N234)-SUM(M211:M213,M216,M237,M234)</f>
        <v>12</v>
      </c>
      <c r="O308" s="3">
        <f>SUM(O211:O213,O216,O237,O234)-SUM(N211:N213,N216,N237,N234)</f>
        <v>-7</v>
      </c>
      <c r="P308" s="3">
        <f>SUM(P211:P213,P216,P237,P234)-SUM(O211:O213,O216,O237,O234)</f>
        <v>56</v>
      </c>
      <c r="Q308" s="3">
        <f>SUM(Q211:Q213,Q216,Q237,Q234)-SUM(P211:P213,P216,P237,P234)</f>
        <v>107</v>
      </c>
      <c r="R308" s="3">
        <f>SUM(N308:Q308)</f>
        <v>168</v>
      </c>
      <c r="S308" s="3">
        <f>SUM(S211:S213,S216,S237,S234)-SUM(R211:R213,R216,R237,R234)</f>
        <v>38</v>
      </c>
      <c r="T308" s="3">
        <f>SUM(T211:T213,T216,T237,T234)-SUM(S211:S213,S216,S237,S234)</f>
        <v>-1147</v>
      </c>
      <c r="U308" s="3">
        <f>SUM(U211:U213,U216,U237,U234)-SUM(T211:T213,T216,T237,T234)</f>
        <v>51</v>
      </c>
      <c r="V308" s="3">
        <f>SUM(V211:V213,V216,V237,V234)-SUM(U211:U213,U216,U237,U234)</f>
        <v>31</v>
      </c>
      <c r="W308" s="3">
        <f>SUM(S308:V308)</f>
        <v>-1027</v>
      </c>
      <c r="X308" s="3">
        <f>SUM(X211:X213,X216,X237,X234)-SUM(W211:W213,W216,W237,W234)</f>
        <v>163</v>
      </c>
      <c r="Y308" s="3">
        <f>SUM(Y211:Y213,Y216,Y237,Y234)-SUM(X211:X213,X216,X237,X234)</f>
        <v>-1226</v>
      </c>
      <c r="Z308" s="3">
        <f>SUM(Z211:Z213,Z216,Z237,Z234)-SUM(Y211:Y213,Y216,Y237,Y234)</f>
        <v>187</v>
      </c>
      <c r="AA308" s="3">
        <f>SUM(AA211:AA213,AA216,AA237,AA234)-SUM(Z211:Z213,Z216,Z237,Z234)</f>
        <v>30</v>
      </c>
      <c r="AB308" s="3">
        <f>SUM(X308:AA308)</f>
        <v>-846</v>
      </c>
      <c r="AC308" s="3">
        <f>SUM(AC211:AC213,AC216,AC237,AC234)-SUM(AB211:AB213,AB216,AB237,AB234)</f>
        <v>3</v>
      </c>
      <c r="AD308" s="3">
        <f>SUM(AD211:AD213,AD216,AD237,AD234)-SUM(AC211:AC213,AC216,AC237,AC234)</f>
        <v>312</v>
      </c>
      <c r="AE308" s="3">
        <f>SUM(AE211:AE213,AE216,AE237,AE234)-SUM(AD211:AD213,AD216,AD237,AD234)</f>
        <v>184</v>
      </c>
      <c r="AF308" s="3">
        <f>SUM(AF211:AF213,AF216,AF237,AF234)-SUM(AE211:AE213,AE216,AE237,AE234)</f>
        <v>559</v>
      </c>
      <c r="AG308" s="3">
        <f>SUM(AC308:AF308)</f>
        <v>1058</v>
      </c>
      <c r="AH308" s="3">
        <f>SUM(AH211:AH213,AH216,AH237,AH234)-SUM(AG211:AG213,AG216,AG237,AG234)</f>
        <v>1308</v>
      </c>
      <c r="AI308" s="3">
        <f>SUM(AI211:AI213,AI216,AI237,AI234)-SUM(AH211:AH213,AH216,AH237,AH234)</f>
        <v>26003</v>
      </c>
      <c r="AJ308" s="3">
        <f>SUM(AJ211:AJ213,AJ216,AJ237,AJ234)-SUM(AI211:AI213,AI216,AI237,AI234)</f>
        <v>0</v>
      </c>
      <c r="AK308" s="3">
        <f>SUM(AK211:AK213,AK216,AK237,AK234)-SUM(AJ211:AJ213,AJ216,AJ237,AJ234)</f>
        <v>0</v>
      </c>
      <c r="AL308" s="3">
        <f>SUM(AH308:AK308)</f>
        <v>27311</v>
      </c>
      <c r="AM308" s="3">
        <f>SUM(AM211:AM213,AM216,AM237,AM234)-SUM(AL211:AL213,AL216,AL237,AL234)</f>
        <v>0</v>
      </c>
      <c r="AN308" s="3">
        <f>SUM(AN211:AN213,AN216,AN237,AN234)-SUM(AM211:AM213,AM216,AM237,AM234)</f>
        <v>0</v>
      </c>
      <c r="AO308" s="3">
        <f>SUM(AO211:AO213,AO216,AO237,AO234)-SUM(AN211:AN213,AN216,AN237,AN234)</f>
        <v>0</v>
      </c>
      <c r="AP308" s="3">
        <f>SUM(AP211:AP213,AP216,AP237,AP234)-SUM(AO211:AO213,AO216,AO237,AO234)</f>
        <v>0</v>
      </c>
      <c r="AQ308" s="3">
        <f>SUM(AM308:AP308)</f>
        <v>0</v>
      </c>
      <c r="AR308" s="3">
        <f>SUM(AR211:AR213,AR216,AR237,AR234)-SUM(AQ211:AQ213,AQ216,AQ237,AQ234)</f>
        <v>0</v>
      </c>
      <c r="AS308" s="3">
        <f>SUM(AS211:AS213,AS216,AS237,AS234)-SUM(AR211:AR213,AR216,AR237,AR234)</f>
        <v>0</v>
      </c>
      <c r="AT308" s="3">
        <f>SUM(AT211:AT213,AT216,AT237,AT234)-SUM(AS211:AS213,AS216,AS237,AS234)</f>
        <v>0</v>
      </c>
      <c r="AU308" s="3">
        <f>SUM(AU211:AU213,AU216,AU237,AU234)-SUM(AT211:AT213,AT216,AT237,AT234)</f>
        <v>0</v>
      </c>
      <c r="AV308" s="3">
        <f>SUM(AR308:AU308)</f>
        <v>0</v>
      </c>
      <c r="AW308" s="3">
        <f>SUM(AW211:AW213,AW216,AW237,AW234)-SUM(AV211:AV213,AV216,AV237,AV234)</f>
        <v>0</v>
      </c>
      <c r="AX308" s="3">
        <f>SUM(AX211:AX213,AX216,AX237,AX234)-SUM(AW211:AW213,AW216,AW237,AW234)</f>
        <v>0</v>
      </c>
      <c r="AY308" s="3">
        <f>SUM(AY211:AY213,AY216,AY237,AY234)-SUM(AX211:AX213,AX216,AX237,AX234)</f>
        <v>0</v>
      </c>
      <c r="AZ308" s="3">
        <f>SUM(AZ211:AZ213,AZ216,AZ237,AZ234)-SUM(AY211:AY213,AY216,AY237,AY234)</f>
        <v>0</v>
      </c>
      <c r="BA308" s="3">
        <f>SUM(AW308:AZ308)</f>
        <v>0</v>
      </c>
      <c r="BB308" s="3">
        <f>SUM(BB211:BB213,BB216,BB237,BB234)-SUM(BA211:BA213,BA216,BA237,BA234)</f>
        <v>0</v>
      </c>
      <c r="BC308" s="3">
        <f>SUM(BC211:BC213,BC216,BC237,BC234)-SUM(BB211:BB213,BB216,BB237,BB234)</f>
        <v>0</v>
      </c>
      <c r="BD308" s="3">
        <f>SUM(BD211:BD213,BD216,BD237,BD234)-SUM(BC211:BC213,BC216,BC237,BC234)</f>
        <v>0</v>
      </c>
      <c r="BE308" s="3">
        <f>SUM(BE211:BE213,BE216,BE237,BE234)-SUM(BD211:BD213,BD216,BD237,BD234)</f>
        <v>0</v>
      </c>
      <c r="BF308" s="3">
        <f>SUM(BB308:BE308)</f>
        <v>0</v>
      </c>
      <c r="BG308" s="3">
        <f>SUM(BG211:BG213,BG216,BG237,BG234)-SUM(BF211:BF213,BF216,BF237,BF234)</f>
        <v>0</v>
      </c>
      <c r="BH308" s="3">
        <f>SUM(BH211:BH213,BH216,BH237,BH234)-SUM(BG211:BG213,BG216,BG237,BG234)</f>
        <v>0</v>
      </c>
      <c r="BI308" s="3">
        <f>SUM(BI211:BI213,BI216,BI237,BI234)-SUM(BH211:BH213,BH216,BH237,BH234)</f>
        <v>0</v>
      </c>
      <c r="BJ308" s="3">
        <f>SUM(BJ211:BJ213,BJ216,BJ237,BJ234)-SUM(BI211:BI213,BI216,BI237,BI234)</f>
        <v>0</v>
      </c>
      <c r="BK308" s="3">
        <f>SUM(BG308:BJ308)</f>
        <v>0</v>
      </c>
      <c r="BL308" s="3">
        <f>SUM(BL211:BL213,BL216,BL237,BL234)-SUM(BK211:BK213,BK216,BK237,BK234)</f>
        <v>0</v>
      </c>
      <c r="BM308" s="3">
        <f>SUM(BM211:BM213,BM216,BM237,BM234)-SUM(BL211:BL213,BL216,BL237,BL234)</f>
        <v>0</v>
      </c>
      <c r="BN308" s="3">
        <f>SUM(BN211:BN213,BN216,BN237,BN234)-SUM(BM211:BM213,BM216,BM237,BM234)</f>
        <v>0</v>
      </c>
      <c r="BO308" s="3">
        <f>SUM(BO211:BO213,BO216,BO237,BO234)-SUM(BN211:BN213,BN216,BN237,BN234)</f>
        <v>0</v>
      </c>
      <c r="BP308" s="3">
        <f>SUM(BL308:BO308)</f>
        <v>0</v>
      </c>
      <c r="BQ308" s="3">
        <f>SUM(BQ211:BQ213,BQ216,BQ237,BQ234)-SUM(BP211:BP213,BP216,BP237,BP234)</f>
        <v>0</v>
      </c>
      <c r="BR308" s="3">
        <f>SUM(BR211:BR213,BR216,BR237,BR234)-SUM(BQ211:BQ213,BQ216,BQ237,BQ234)</f>
        <v>0</v>
      </c>
      <c r="BS308" s="3">
        <f>SUM(BS211:BS213,BS216,BS237,BS234)-SUM(BR211:BR213,BR216,BR237,BR234)</f>
        <v>0</v>
      </c>
      <c r="BT308" s="3">
        <f>SUM(BT211:BT213,BT216,BT237,BT234)-SUM(BS211:BS213,BS216,BS237,BS234)</f>
        <v>0</v>
      </c>
      <c r="BU308" s="3">
        <f>SUM(BQ308:BT308)</f>
        <v>0</v>
      </c>
      <c r="BV308" s="3">
        <f>SUM(BV211:BV213,BV216,BV237,BV234)-SUM(BU211:BU213,BU216,BU237,BU234)</f>
        <v>0</v>
      </c>
      <c r="BW308" s="3">
        <f>SUM(BW211:BW213,BW216,BW237,BW234)-SUM(BV211:BV213,BV216,BV237,BV234)</f>
        <v>0</v>
      </c>
      <c r="BX308" s="3">
        <f>SUM(BX211:BX213,BX216,BX237,BX234)-SUM(BW211:BW213,BW216,BW237,BW234)</f>
        <v>0</v>
      </c>
      <c r="BY308" s="3">
        <f>SUM(BY211:BY213,BY216,BY237,BY234)-SUM(BX211:BX213,BX216,BX237,BX234)</f>
        <v>0</v>
      </c>
      <c r="BZ308" s="3">
        <f>SUM(BV308:BY308)</f>
        <v>0</v>
      </c>
      <c r="CA308" s="3">
        <f>SUM(CA211:CA213,CA216,CA237,CA234)-SUM(BZ211:BZ213,BZ216,BZ237,BZ234)</f>
        <v>0</v>
      </c>
      <c r="CB308" s="3">
        <f>SUM(CB211:CB213,CB216,CB237,CB234)-SUM(CA211:CA213,CA216,CA237,CA234)</f>
        <v>0</v>
      </c>
      <c r="CC308" s="3">
        <f>SUM(CC211:CC213,CC216,CC237,CC234)-SUM(CB211:CB213,CB216,CB237,CB234)</f>
        <v>0</v>
      </c>
      <c r="CD308" s="3">
        <f>SUM(CD211:CD213,CD216,CD237,CD234)-SUM(CC211:CC213,CC216,CC237,CC234)</f>
        <v>0</v>
      </c>
      <c r="CE308" s="3">
        <f>SUM(CA308:CD308)</f>
        <v>0</v>
      </c>
      <c r="CF308" s="3">
        <f>SUM(CF211:CF213,CF216,CF237,CF234)-SUM(CE211:CE213,CE216,CE237,CE234)</f>
        <v>0</v>
      </c>
      <c r="CG308" s="3">
        <f>SUM(CG211:CG213,CG216,CG237,CG234)-SUM(CF211:CF213,CF216,CF237,CF234)</f>
        <v>0</v>
      </c>
      <c r="CH308" s="3">
        <f>SUM(CH211:CH213,CH216,CH237,CH234)-SUM(CG211:CG213,CG216,CG237,CG234)</f>
        <v>0</v>
      </c>
      <c r="CI308" s="3">
        <f>SUM(CI211:CI213,CI216,CI237,CI234)-SUM(CH211:CH213,CH216,CH237,CH234)</f>
        <v>0</v>
      </c>
      <c r="CJ308" s="3">
        <f>SUM(CF308:CI308)</f>
        <v>0</v>
      </c>
      <c r="CK308" s="3">
        <f>SUM(CK211:CK213,CK216,CK237,CK234)-SUM(CJ211:CJ213,CJ216,CJ237,CJ234)</f>
        <v>0</v>
      </c>
      <c r="CL308" s="3">
        <f>SUM(CL211:CL213,CL216,CL237,CL234)-SUM(CK211:CK213,CK216,CK237,CK234)</f>
        <v>0</v>
      </c>
      <c r="CM308" s="3">
        <f>SUM(CM211:CM213,CM216,CM237,CM234)-SUM(CL211:CL213,CL216,CL237,CL234)</f>
        <v>0</v>
      </c>
      <c r="CN308" s="3">
        <f>SUM(CN211:CN213,CN216,CN237,CN234)-SUM(CM211:CM213,CM216,CM237,CM234)</f>
        <v>0</v>
      </c>
      <c r="CO308" s="3">
        <f>SUM(CK308:CN308)</f>
        <v>0</v>
      </c>
      <c r="CP308" s="3">
        <f>SUM(CP211:CP213,CP216,CP237,CP234)-SUM(CO211:CO213,CO216,CO237,CO234)</f>
        <v>0</v>
      </c>
      <c r="CQ308" s="3">
        <f>SUM(CQ211:CQ213,CQ216,CQ237,CQ234)-SUM(CP211:CP213,CP216,CP237,CP234)</f>
        <v>0</v>
      </c>
      <c r="CR308" s="3">
        <f>SUM(CR211:CR213,CR216,CR237,CR234)-SUM(CQ211:CQ213,CQ216,CQ237,CQ234)</f>
        <v>0</v>
      </c>
      <c r="CS308" s="3">
        <f>SUM(CS211:CS213,CS216,CS237,CS234)-SUM(CR211:CR213,CR216,CR237,CR234)</f>
        <v>0</v>
      </c>
      <c r="CT308" s="3">
        <f>SUM(CP308:CS308)</f>
        <v>0</v>
      </c>
      <c r="CU308" s="3">
        <f>SUM(CU211:CU213,CU216,CU237,CU234)-SUM(CT211:CT213,CT216,CT237,CT234)</f>
        <v>0</v>
      </c>
      <c r="CV308" s="3">
        <f>SUM(CV211:CV213,CV216,CV237,CV234)-SUM(CU211:CU213,CU216,CU237,CU234)</f>
        <v>0</v>
      </c>
      <c r="CW308" s="3">
        <f>SUM(CW211:CW213,CW216,CW237,CW234)-SUM(CV211:CV213,CV216,CV237,CV234)</f>
        <v>0</v>
      </c>
      <c r="CX308" s="3">
        <f>SUM(CX211:CX213,CX216,CX237,CX234)-SUM(CW211:CW213,CW216,CW237,CW234)</f>
        <v>0</v>
      </c>
      <c r="CY308" s="3">
        <f>SUM(CU308:CX308)</f>
        <v>0</v>
      </c>
      <c r="CZ308" s="3" t="n"/>
      <c r="DA308" s="3" t="n"/>
      <c r="DB308" s="3" t="n"/>
      <c r="DC308" s="3" t="n"/>
    </row>
    <row r="309">
      <c r="C309" s="26" t="inlineStr">
        <is>
          <t>Cash from financing</t>
        </is>
      </c>
      <c r="D309" s="3" t="n"/>
      <c r="E309" s="3">
        <f>SUM(E301,E302,E303,E304,E305,E306,E307,E308)</f>
        <v>286</v>
      </c>
      <c r="F309" s="3">
        <f>SUM(F301,F302,F303,F304,F305,F306,F307,F308)</f>
        <v>78</v>
      </c>
      <c r="G309" s="3">
        <f>SUM(G301,G302,G303,G304,G305,G306,G307,G308)</f>
        <v>134</v>
      </c>
      <c r="H309" s="3">
        <f>SUM(H301,H302,H303,H304,H305,H306,H307,H308)</f>
        <v>498</v>
      </c>
      <c r="I309" s="3">
        <f>SUM(I301,I302,I303,I304,I305,I306,I307,I308)</f>
        <v>-25</v>
      </c>
      <c r="J309" s="3">
        <f>SUM(J301,J302,J303,J304,J305,J306,J307,J308)</f>
        <v>5055</v>
      </c>
      <c r="K309" s="3">
        <f>SUM(K301,K302,K303,K304,K305,K306,K307,K308)</f>
        <v>-785</v>
      </c>
      <c r="L309" s="3">
        <f>SUM(L301,L302,L303,L304,L305,L306,L307,L308)</f>
        <v>-189</v>
      </c>
      <c r="M309" s="3">
        <f>SUM(M301,M302,M303,M304,M305,M306,M307,M308)</f>
        <v>4056</v>
      </c>
      <c r="N309" s="3">
        <f>SUM(N301,N302,N303,N304,N305,N306,N307,N308)</f>
        <v>-1898</v>
      </c>
      <c r="O309" s="3">
        <f>SUM(O301,O302,O303,O304,O305,O306,O307,O308)</f>
        <v>-3132</v>
      </c>
      <c r="P309" s="3">
        <f>SUM(P301,P302,P303,P304,P305,P306,P307,P308)</f>
        <v>-3126</v>
      </c>
      <c r="Q309" s="3">
        <f>SUM(Q301,Q302,Q303,Q304,Q305,Q306,Q307,Q308)</f>
        <v>-555</v>
      </c>
      <c r="R309" s="3">
        <f>SUM(R301,R302,R303,R304,R305,R306,R307,R308)</f>
        <v>-8711</v>
      </c>
      <c r="S309" s="3">
        <f>SUM(S301,S302,S303,S304,S305,S306,S307,S308)</f>
        <v>414</v>
      </c>
      <c r="T309" s="3">
        <f>SUM(T301,T302,T303,T304,T305,T306,T307,T308)</f>
        <v>-4354</v>
      </c>
      <c r="U309" s="3">
        <f>SUM(U301,U302,U303,U304,U305,U306,U307,U308)</f>
        <v>-3428</v>
      </c>
      <c r="V309" s="3">
        <f>SUM(V301,V302,V303,V304,V305,V306,V307,V308)</f>
        <v>-2541</v>
      </c>
      <c r="W309" s="3">
        <f>SUM(W301,W302,W303,W304,W305,W306,W307,W308)</f>
        <v>-9909</v>
      </c>
      <c r="X309" s="3">
        <f>SUM(X301,X302,X303,X304,X305,X306,X307,X308)</f>
        <v>-8554</v>
      </c>
      <c r="Y309" s="3">
        <f>SUM(Y301,Y302,Y303,Y304,Y305,Y306,Y307,Y308)</f>
        <v>-8810</v>
      </c>
      <c r="Z309" s="3">
        <f>SUM(Z301,Z302,Z303,Z304,Z305,Z306,Z307,Z308)</f>
        <v>-11380</v>
      </c>
      <c r="AA309" s="3">
        <f>SUM(AA301,AA302,AA303,AA304,AA305,AA306,AA307,AA308)</f>
        <v>-8633</v>
      </c>
      <c r="AB309" s="3">
        <f>SUM(AB301,AB302,AB303,AB304,AB305,AB306,AB307,AB308)</f>
        <v>-37377</v>
      </c>
      <c r="AC309" s="3">
        <f>SUM(AC301,AC302,AC303,AC304,AC305,AC306,AC307,AC308)</f>
        <v>-14256</v>
      </c>
      <c r="AD309" s="3">
        <f>SUM(AD301,AD302,AD303,AD304,AD305,AD306,AD307,AD308)</f>
        <v>-9822</v>
      </c>
      <c r="AE309" s="3">
        <f>SUM(AE301,AE302,AE303,AE304,AE305,AE306,AE307,AE308)</f>
        <v>-12960</v>
      </c>
      <c r="AF309" s="3">
        <f>SUM(AF301,AF302,AF303,AF304,AF305,AF306,AF307,AF308)</f>
        <v>-4005</v>
      </c>
      <c r="AG309" s="3">
        <f>SUM(AG301,AG302,AG303,AG304,AG305,AG306,AG307,AG308)</f>
        <v>-41043</v>
      </c>
      <c r="AH309" s="3">
        <f>SUM(AH301,AH302,AH303,AH304,AH305,AH306,AH307,AH308)</f>
        <v>-18832</v>
      </c>
      <c r="AI309" s="3">
        <f>SUM(AI301,AI302,AI303,AI304,AI305,AI306,AI307,AI308)</f>
        <v>-175</v>
      </c>
      <c r="AJ309" s="3">
        <f>SUM(AJ301,AJ302,AJ303,AJ304,AJ305,AJ306,AJ307,AJ308)</f>
        <v>0</v>
      </c>
      <c r="AK309" s="3">
        <f>SUM(AK301,AK302,AK303,AK304,AK305,AK306,AK307,AK308)</f>
        <v>0</v>
      </c>
      <c r="AL309" s="3">
        <f>SUM(AL301,AL302,AL303,AL304,AL305,AL306,AL307,AL308)</f>
        <v>-19007</v>
      </c>
      <c r="AM309" s="3">
        <f>SUM(AM301,AM302,AM303,AM304,AM305,AM306,AM307,AM308)</f>
        <v>0</v>
      </c>
      <c r="AN309" s="3">
        <f>SUM(AN301,AN302,AN303,AN304,AN305,AN306,AN307,AN308)</f>
        <v>0</v>
      </c>
      <c r="AO309" s="3">
        <f>SUM(AO301,AO302,AO303,AO304,AO305,AO306,AO307,AO308)</f>
        <v>0</v>
      </c>
      <c r="AP309" s="3">
        <f>SUM(AP301,AP302,AP303,AP304,AP305,AP306,AP307,AP308)</f>
        <v>0</v>
      </c>
      <c r="AQ309" s="3">
        <f>SUM(AQ301,AQ302,AQ303,AQ304,AQ305,AQ306,AQ307,AQ308)</f>
        <v>0</v>
      </c>
      <c r="AR309" s="3">
        <f>SUM(AR301,AR302,AR303,AR304,AR305,AR306,AR307,AR308)</f>
        <v>0</v>
      </c>
      <c r="AS309" s="3">
        <f>SUM(AS301,AS302,AS303,AS304,AS305,AS306,AS307,AS308)</f>
        <v>0</v>
      </c>
      <c r="AT309" s="3">
        <f>SUM(AT301,AT302,AT303,AT304,AT305,AT306,AT307,AT308)</f>
        <v>0</v>
      </c>
      <c r="AU309" s="3">
        <f>SUM(AU301,AU302,AU303,AU304,AU305,AU306,AU307,AU308)</f>
        <v>0</v>
      </c>
      <c r="AV309" s="3">
        <f>SUM(AV301,AV302,AV303,AV304,AV305,AV306,AV307,AV308)</f>
        <v>0</v>
      </c>
      <c r="AW309" s="3">
        <f>SUM(AW301,AW302,AW303,AW304,AW305,AW306,AW307,AW308)</f>
        <v>0</v>
      </c>
      <c r="AX309" s="3">
        <f>SUM(AX301,AX302,AX303,AX304,AX305,AX306,AX307,AX308)</f>
        <v>0</v>
      </c>
      <c r="AY309" s="3">
        <f>SUM(AY301,AY302,AY303,AY304,AY305,AY306,AY307,AY308)</f>
        <v>0</v>
      </c>
      <c r="AZ309" s="3">
        <f>SUM(AZ301,AZ302,AZ303,AZ304,AZ305,AZ306,AZ307,AZ308)</f>
        <v>0</v>
      </c>
      <c r="BA309" s="3">
        <f>SUM(BA301,BA302,BA303,BA304,BA305,BA306,BA307,BA308)</f>
        <v>0</v>
      </c>
      <c r="BB309" s="3">
        <f>SUM(BB301,BB302,BB303,BB304,BB305,BB306,BB307,BB308)</f>
        <v>0</v>
      </c>
      <c r="BC309" s="3">
        <f>SUM(BC301,BC302,BC303,BC304,BC305,BC306,BC307,BC308)</f>
        <v>0</v>
      </c>
      <c r="BD309" s="3">
        <f>SUM(BD301,BD302,BD303,BD304,BD305,BD306,BD307,BD308)</f>
        <v>0</v>
      </c>
      <c r="BE309" s="3">
        <f>SUM(BE301,BE302,BE303,BE304,BE305,BE306,BE307,BE308)</f>
        <v>0</v>
      </c>
      <c r="BF309" s="3">
        <f>SUM(BF301,BF302,BF303,BF304,BF305,BF306,BF307,BF308)</f>
        <v>0</v>
      </c>
      <c r="BG309" s="3">
        <f>SUM(BG301,BG302,BG303,BG304,BG305,BG306,BG307,BG308)</f>
        <v>0</v>
      </c>
      <c r="BH309" s="3">
        <f>SUM(BH301,BH302,BH303,BH304,BH305,BH306,BH307,BH308)</f>
        <v>0</v>
      </c>
      <c r="BI309" s="3">
        <f>SUM(BI301,BI302,BI303,BI304,BI305,BI306,BI307,BI308)</f>
        <v>0</v>
      </c>
      <c r="BJ309" s="3">
        <f>SUM(BJ301,BJ302,BJ303,BJ304,BJ305,BJ306,BJ307,BJ308)</f>
        <v>0</v>
      </c>
      <c r="BK309" s="3">
        <f>SUM(BK301,BK302,BK303,BK304,BK305,BK306,BK307,BK308)</f>
        <v>0</v>
      </c>
      <c r="BL309" s="3">
        <f>SUM(BL301,BL302,BL303,BL304,BL305,BL306,BL307,BL308)</f>
        <v>0</v>
      </c>
      <c r="BM309" s="3">
        <f>SUM(BM301,BM302,BM303,BM304,BM305,BM306,BM307,BM308)</f>
        <v>0</v>
      </c>
      <c r="BN309" s="3">
        <f>SUM(BN301,BN302,BN303,BN304,BN305,BN306,BN307,BN308)</f>
        <v>0</v>
      </c>
      <c r="BO309" s="3">
        <f>SUM(BO301,BO302,BO303,BO304,BO305,BO306,BO307,BO308)</f>
        <v>0</v>
      </c>
      <c r="BP309" s="3">
        <f>SUM(BP301,BP302,BP303,BP304,BP305,BP306,BP307,BP308)</f>
        <v>0</v>
      </c>
      <c r="BQ309" s="3">
        <f>SUM(BQ301,BQ302,BQ303,BQ304,BQ305,BQ306,BQ307,BQ308)</f>
        <v>0</v>
      </c>
      <c r="BR309" s="3">
        <f>SUM(BR301,BR302,BR303,BR304,BR305,BR306,BR307,BR308)</f>
        <v>0</v>
      </c>
      <c r="BS309" s="3">
        <f>SUM(BS301,BS302,BS303,BS304,BS305,BS306,BS307,BS308)</f>
        <v>0</v>
      </c>
      <c r="BT309" s="3">
        <f>SUM(BT301,BT302,BT303,BT304,BT305,BT306,BT307,BT308)</f>
        <v>0</v>
      </c>
      <c r="BU309" s="3">
        <f>SUM(BU301,BU302,BU303,BU304,BU305,BU306,BU307,BU308)</f>
        <v>0</v>
      </c>
      <c r="BV309" s="3">
        <f>SUM(BV301,BV302,BV303,BV304,BV305,BV306,BV307,BV308)</f>
        <v>0</v>
      </c>
      <c r="BW309" s="3">
        <f>SUM(BW301,BW302,BW303,BW304,BW305,BW306,BW307,BW308)</f>
        <v>0</v>
      </c>
      <c r="BX309" s="3">
        <f>SUM(BX301,BX302,BX303,BX304,BX305,BX306,BX307,BX308)</f>
        <v>0</v>
      </c>
      <c r="BY309" s="3">
        <f>SUM(BY301,BY302,BY303,BY304,BY305,BY306,BY307,BY308)</f>
        <v>0</v>
      </c>
      <c r="BZ309" s="3">
        <f>SUM(BZ301,BZ302,BZ303,BZ304,BZ305,BZ306,BZ307,BZ308)</f>
        <v>0</v>
      </c>
      <c r="CA309" s="3">
        <f>SUM(CA301,CA302,CA303,CA304,CA305,CA306,CA307,CA308)</f>
        <v>0</v>
      </c>
      <c r="CB309" s="3">
        <f>SUM(CB301,CB302,CB303,CB304,CB305,CB306,CB307,CB308)</f>
        <v>0</v>
      </c>
      <c r="CC309" s="3">
        <f>SUM(CC301,CC302,CC303,CC304,CC305,CC306,CC307,CC308)</f>
        <v>0</v>
      </c>
      <c r="CD309" s="3">
        <f>SUM(CD301,CD302,CD303,CD304,CD305,CD306,CD307,CD308)</f>
        <v>0</v>
      </c>
      <c r="CE309" s="3">
        <f>SUM(CE301,CE302,CE303,CE304,CE305,CE306,CE307,CE308)</f>
        <v>0</v>
      </c>
      <c r="CF309" s="3">
        <f>SUM(CF301,CF302,CF303,CF304,CF305,CF306,CF307,CF308)</f>
        <v>0</v>
      </c>
      <c r="CG309" s="3">
        <f>SUM(CG301,CG302,CG303,CG304,CG305,CG306,CG307,CG308)</f>
        <v>0</v>
      </c>
      <c r="CH309" s="3">
        <f>SUM(CH301,CH302,CH303,CH304,CH305,CH306,CH307,CH308)</f>
        <v>0</v>
      </c>
      <c r="CI309" s="3">
        <f>SUM(CI301,CI302,CI303,CI304,CI305,CI306,CI307,CI308)</f>
        <v>0</v>
      </c>
      <c r="CJ309" s="3">
        <f>SUM(CJ301,CJ302,CJ303,CJ304,CJ305,CJ306,CJ307,CJ308)</f>
        <v>0</v>
      </c>
      <c r="CK309" s="3">
        <f>SUM(CK301,CK302,CK303,CK304,CK305,CK306,CK307,CK308)</f>
        <v>0</v>
      </c>
      <c r="CL309" s="3">
        <f>SUM(CL301,CL302,CL303,CL304,CL305,CL306,CL307,CL308)</f>
        <v>0</v>
      </c>
      <c r="CM309" s="3">
        <f>SUM(CM301,CM302,CM303,CM304,CM305,CM306,CM307,CM308)</f>
        <v>0</v>
      </c>
      <c r="CN309" s="3">
        <f>SUM(CN301,CN302,CN303,CN304,CN305,CN306,CN307,CN308)</f>
        <v>0</v>
      </c>
      <c r="CO309" s="3">
        <f>SUM(CO301,CO302,CO303,CO304,CO305,CO306,CO307,CO308)</f>
        <v>0</v>
      </c>
      <c r="CP309" s="3">
        <f>SUM(CP301,CP302,CP303,CP304,CP305,CP306,CP307,CP308)</f>
        <v>0</v>
      </c>
      <c r="CQ309" s="3">
        <f>SUM(CQ301,CQ302,CQ303,CQ304,CQ305,CQ306,CQ307,CQ308)</f>
        <v>0</v>
      </c>
      <c r="CR309" s="3">
        <f>SUM(CR301,CR302,CR303,CR304,CR305,CR306,CR307,CR308)</f>
        <v>0</v>
      </c>
      <c r="CS309" s="3">
        <f>SUM(CS301,CS302,CS303,CS304,CS305,CS306,CS307,CS308)</f>
        <v>0</v>
      </c>
      <c r="CT309" s="3">
        <f>SUM(CT301,CT302,CT303,CT304,CT305,CT306,CT307,CT308)</f>
        <v>0</v>
      </c>
      <c r="CU309" s="3">
        <f>SUM(CU301,CU302,CU303,CU304,CU305,CU306,CU307,CU308)</f>
        <v>0</v>
      </c>
      <c r="CV309" s="3">
        <f>SUM(CV301,CV302,CV303,CV304,CV305,CV306,CV307,CV308)</f>
        <v>0</v>
      </c>
      <c r="CW309" s="3">
        <f>SUM(CW301,CW302,CW303,CW304,CW305,CW306,CW307,CW308)</f>
        <v>0</v>
      </c>
      <c r="CX309" s="3">
        <f>SUM(CX301,CX302,CX303,CX304,CX305,CX306,CX307,CX308)</f>
        <v>0</v>
      </c>
      <c r="CY309" s="3">
        <f>SUM(CY301,CY302,CY303,CY304,CY305,CY306,CY307,CY308)</f>
        <v>0</v>
      </c>
    </row>
    <row r="310">
      <c r="C310" s="26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  <c r="AA310" s="3" t="n"/>
      <c r="AB310" s="3" t="n"/>
      <c r="AC310" s="3" t="n"/>
      <c r="AD310" s="3" t="n"/>
      <c r="AE310" s="3" t="n"/>
      <c r="AF310" s="3" t="n"/>
      <c r="AG310" s="3" t="n"/>
      <c r="AH310" s="3" t="n"/>
      <c r="AI310" s="3" t="n"/>
      <c r="AJ310" s="3" t="n"/>
      <c r="AK310" s="3" t="n"/>
      <c r="AL310" s="3" t="n"/>
      <c r="AM310" s="3" t="n"/>
      <c r="AN310" s="3" t="n"/>
      <c r="AO310" s="3" t="n"/>
      <c r="AP310" s="3" t="n"/>
      <c r="AQ310" s="3" t="n"/>
      <c r="AR310" s="3" t="n"/>
      <c r="AS310" s="3" t="n"/>
      <c r="AT310" s="3" t="n"/>
      <c r="AU310" s="3" t="n"/>
      <c r="AV310" s="3" t="n"/>
      <c r="AW310" s="3" t="n"/>
      <c r="AX310" s="3" t="n"/>
      <c r="AY310" s="3" t="n"/>
      <c r="AZ310" s="3" t="n"/>
      <c r="BA310" s="3" t="n"/>
      <c r="BB310" s="3" t="n"/>
      <c r="BC310" s="3" t="n"/>
      <c r="BD310" s="3" t="n"/>
      <c r="BE310" s="3" t="n"/>
      <c r="BF310" s="3" t="n"/>
      <c r="BG310" s="3" t="n"/>
      <c r="BH310" s="3" t="n"/>
      <c r="BI310" s="3" t="n"/>
      <c r="BJ310" s="3" t="n"/>
      <c r="BK310" s="3" t="n"/>
      <c r="BL310" s="3" t="n"/>
      <c r="BM310" s="3" t="n"/>
      <c r="BN310" s="3" t="n"/>
      <c r="BO310" s="3" t="n"/>
      <c r="BP310" s="3" t="n"/>
      <c r="BQ310" s="3" t="n"/>
      <c r="BR310" s="3" t="n"/>
      <c r="BS310" s="3" t="n"/>
      <c r="BT310" s="3" t="n"/>
      <c r="BU310" s="3" t="n"/>
      <c r="BV310" s="3" t="n"/>
      <c r="BW310" s="3" t="n"/>
      <c r="BX310" s="3" t="n"/>
      <c r="BY310" s="3" t="n"/>
      <c r="BZ310" s="3" t="n"/>
      <c r="CA310" s="3" t="n"/>
      <c r="CB310" s="3" t="n"/>
      <c r="CC310" s="3" t="n"/>
      <c r="CD310" s="3" t="n"/>
      <c r="CE310" s="3" t="n"/>
      <c r="CF310" s="3" t="n"/>
      <c r="CG310" s="3" t="n"/>
      <c r="CH310" s="3" t="n"/>
      <c r="CI310" s="3" t="n"/>
      <c r="CJ310" s="3" t="n"/>
      <c r="CK310" s="3" t="n"/>
      <c r="CL310" s="3" t="n"/>
      <c r="CM310" s="3" t="n"/>
      <c r="CN310" s="3" t="n"/>
      <c r="CO310" s="3" t="n"/>
      <c r="CP310" s="3" t="n"/>
      <c r="CQ310" s="3" t="n"/>
      <c r="CR310" s="3" t="n"/>
      <c r="CS310" s="3" t="n"/>
      <c r="CT310" s="3" t="n"/>
      <c r="CU310" s="3" t="n"/>
      <c r="CV310" s="3" t="n"/>
      <c r="CW310" s="3" t="n"/>
      <c r="CX310" s="3" t="n"/>
      <c r="CY310" s="3" t="n"/>
    </row>
    <row r="311">
      <c r="C311" s="26" t="inlineStr">
        <is>
          <t>Others</t>
        </is>
      </c>
      <c r="D311" s="3" t="n"/>
      <c r="E311" s="3" t="n"/>
      <c r="F311" s="3" t="n"/>
      <c r="G311" s="3" t="n"/>
      <c r="H311" s="3">
        <f>SUM(D311:G311)</f>
        <v>0</v>
      </c>
      <c r="I311" s="3" t="n"/>
      <c r="J311" s="3" t="n"/>
      <c r="K311" s="3" t="n"/>
      <c r="L311" s="3" t="n"/>
      <c r="M311" s="3">
        <f>SUM(I311:L311)</f>
        <v>0</v>
      </c>
      <c r="N311" s="3" t="n"/>
      <c r="O311" s="3" t="n"/>
      <c r="P311" s="3" t="n"/>
      <c r="Q311" s="3" t="n"/>
      <c r="R311" s="3">
        <f>SUM(N311:Q311)</f>
        <v>0</v>
      </c>
      <c r="S311" s="3" t="n"/>
      <c r="T311" s="3" t="n"/>
      <c r="U311" s="3" t="n"/>
      <c r="V311" s="3" t="n"/>
      <c r="W311" s="3">
        <f>SUM(S311:V311)</f>
        <v>0</v>
      </c>
      <c r="X311" s="3" t="n"/>
      <c r="Y311" s="3" t="n"/>
      <c r="Z311" s="3" t="n"/>
      <c r="AA311" s="3" t="n"/>
      <c r="AB311" s="3">
        <f>SUM(X311:AA311)</f>
        <v>0</v>
      </c>
      <c r="AC311" s="3" t="n"/>
      <c r="AD311" s="3" t="n"/>
      <c r="AE311" s="3" t="n"/>
      <c r="AF311" s="3" t="n"/>
      <c r="AG311" s="3">
        <f>SUM(AC311:AF311)</f>
        <v>0</v>
      </c>
      <c r="AH311" s="3" t="n"/>
      <c r="AI311" s="3" t="n"/>
      <c r="AJ311" s="3" t="n"/>
      <c r="AK311" s="3" t="n"/>
      <c r="AL311" s="3">
        <f>SUM(AH311:AK311)</f>
        <v>0</v>
      </c>
      <c r="AM311" s="3" t="n"/>
      <c r="AN311" s="3" t="n"/>
      <c r="AO311" s="3" t="n"/>
      <c r="AP311" s="3" t="n"/>
      <c r="AQ311" s="3">
        <f>SUM(AM311:AP311)</f>
        <v>0</v>
      </c>
      <c r="AR311" s="3" t="n"/>
      <c r="AS311" s="3" t="n"/>
      <c r="AT311" s="3" t="n"/>
      <c r="AU311" s="3" t="n"/>
      <c r="AV311" s="3">
        <f>SUM(AR311:AU311)</f>
        <v>0</v>
      </c>
      <c r="AW311" s="3" t="n"/>
      <c r="AX311" s="3" t="n"/>
      <c r="AY311" s="3" t="n"/>
      <c r="AZ311" s="3" t="n"/>
      <c r="BA311" s="3">
        <f>SUM(AW311:AZ311)</f>
        <v>0</v>
      </c>
      <c r="BB311" s="3" t="n"/>
      <c r="BC311" s="3" t="n"/>
      <c r="BD311" s="3" t="n"/>
      <c r="BE311" s="3" t="n"/>
      <c r="BF311" s="3">
        <f>SUM(BB311:BE311)</f>
        <v>0</v>
      </c>
      <c r="BG311" s="3" t="n"/>
      <c r="BH311" s="3" t="n"/>
      <c r="BI311" s="3" t="n"/>
      <c r="BJ311" s="3" t="n"/>
      <c r="BK311" s="3">
        <f>SUM(BG311:BJ311)</f>
        <v>0</v>
      </c>
      <c r="BL311" s="3" t="n"/>
      <c r="BM311" s="3" t="n"/>
      <c r="BN311" s="3" t="n"/>
      <c r="BO311" s="3" t="n"/>
      <c r="BP311" s="3">
        <f>SUM(BL311:BO311)</f>
        <v>0</v>
      </c>
      <c r="BQ311" s="3" t="n"/>
      <c r="BR311" s="3" t="n"/>
      <c r="BS311" s="3" t="n"/>
      <c r="BT311" s="3" t="n"/>
      <c r="BU311" s="3">
        <f>SUM(BQ311:BT311)</f>
        <v>0</v>
      </c>
      <c r="BV311" s="3" t="n"/>
      <c r="BW311" s="3" t="n"/>
      <c r="BX311" s="3" t="n"/>
      <c r="BY311" s="3" t="n"/>
      <c r="BZ311" s="3">
        <f>SUM(BV311:BY311)</f>
        <v>0</v>
      </c>
      <c r="CA311" s="3" t="n"/>
      <c r="CB311" s="3" t="n"/>
      <c r="CC311" s="3" t="n"/>
      <c r="CD311" s="3" t="n"/>
      <c r="CE311" s="3">
        <f>SUM(CA311:CD311)</f>
        <v>0</v>
      </c>
      <c r="CF311" s="3" t="n"/>
      <c r="CG311" s="3" t="n"/>
      <c r="CH311" s="3" t="n"/>
      <c r="CI311" s="3" t="n"/>
      <c r="CJ311" s="3">
        <f>SUM(CF311:CI311)</f>
        <v>0</v>
      </c>
      <c r="CK311" s="3" t="n"/>
      <c r="CL311" s="3" t="n"/>
      <c r="CM311" s="3" t="n"/>
      <c r="CN311" s="3" t="n"/>
      <c r="CO311" s="3">
        <f>SUM(CK311:CN311)</f>
        <v>0</v>
      </c>
      <c r="CP311" s="3" t="n"/>
      <c r="CQ311" s="3" t="n"/>
      <c r="CR311" s="3" t="n"/>
      <c r="CS311" s="3" t="n"/>
      <c r="CT311" s="3">
        <f>SUM(CP311:CS311)</f>
        <v>0</v>
      </c>
      <c r="CU311" s="3" t="n"/>
      <c r="CV311" s="3" t="n"/>
      <c r="CW311" s="3" t="n"/>
      <c r="CX311" s="3" t="n"/>
      <c r="CY311" s="3">
        <f>SUM(CU311:CX311)</f>
        <v>0</v>
      </c>
    </row>
    <row r="312">
      <c r="C312" s="26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  <c r="AA312" s="3" t="n"/>
      <c r="AB312" s="3" t="n"/>
      <c r="AC312" s="3" t="n"/>
      <c r="AD312" s="3" t="n"/>
      <c r="AE312" s="3" t="n"/>
      <c r="AF312" s="3" t="n"/>
      <c r="AG312" s="3" t="n"/>
      <c r="AH312" s="3" t="n"/>
      <c r="AI312" s="3" t="n"/>
      <c r="AJ312" s="3" t="n"/>
      <c r="AK312" s="3" t="n"/>
      <c r="AL312" s="3" t="n"/>
      <c r="AM312" s="3" t="n"/>
      <c r="AN312" s="3" t="n"/>
      <c r="AO312" s="3" t="n"/>
      <c r="AP312" s="3" t="n"/>
      <c r="AQ312" s="3" t="n"/>
      <c r="AR312" s="3" t="n"/>
      <c r="AS312" s="3" t="n"/>
      <c r="AT312" s="3" t="n"/>
      <c r="AU312" s="3" t="n"/>
      <c r="AV312" s="3" t="n"/>
      <c r="AW312" s="3" t="n"/>
      <c r="AX312" s="3" t="n"/>
      <c r="AY312" s="3" t="n"/>
      <c r="AZ312" s="3" t="n"/>
      <c r="BA312" s="3" t="n"/>
      <c r="BB312" s="3" t="n"/>
      <c r="BC312" s="3" t="n"/>
      <c r="BD312" s="3" t="n"/>
      <c r="BE312" s="3" t="n"/>
      <c r="BF312" s="3" t="n"/>
      <c r="BG312" s="3" t="n"/>
      <c r="BH312" s="3" t="n"/>
      <c r="BI312" s="3" t="n"/>
      <c r="BJ312" s="3" t="n"/>
      <c r="BK312" s="3" t="n"/>
      <c r="BL312" s="3" t="n"/>
      <c r="BM312" s="3" t="n"/>
      <c r="BN312" s="3" t="n"/>
      <c r="BO312" s="3" t="n"/>
      <c r="BP312" s="3" t="n"/>
      <c r="BQ312" s="3" t="n"/>
      <c r="BR312" s="3" t="n"/>
      <c r="BS312" s="3" t="n"/>
      <c r="BT312" s="3" t="n"/>
      <c r="BU312" s="3" t="n"/>
      <c r="BV312" s="3" t="n"/>
      <c r="BW312" s="3" t="n"/>
      <c r="BX312" s="3" t="n"/>
      <c r="BY312" s="3" t="n"/>
      <c r="BZ312" s="3" t="n"/>
      <c r="CA312" s="3" t="n"/>
      <c r="CB312" s="3" t="n"/>
      <c r="CC312" s="3" t="n"/>
      <c r="CD312" s="3" t="n"/>
      <c r="CE312" s="3" t="n"/>
      <c r="CF312" s="3" t="n"/>
      <c r="CG312" s="3" t="n"/>
      <c r="CH312" s="3" t="n"/>
      <c r="CI312" s="3" t="n"/>
      <c r="CJ312" s="3" t="n"/>
      <c r="CK312" s="3" t="n"/>
      <c r="CL312" s="3" t="n"/>
      <c r="CM312" s="3" t="n"/>
      <c r="CN312" s="3" t="n"/>
      <c r="CO312" s="3" t="n"/>
      <c r="CP312" s="3" t="n"/>
      <c r="CQ312" s="3" t="n"/>
      <c r="CR312" s="3" t="n"/>
      <c r="CS312" s="3" t="n"/>
      <c r="CT312" s="3" t="n"/>
      <c r="CU312" s="3" t="n"/>
      <c r="CV312" s="3" t="n"/>
      <c r="CW312" s="3" t="n"/>
      <c r="CX312" s="3" t="n"/>
      <c r="CY312" s="3" t="n"/>
    </row>
    <row r="313">
      <c r="C313" s="26" t="inlineStr">
        <is>
          <t>Total increase/decrease of cash</t>
        </is>
      </c>
      <c r="D313" s="3" t="n"/>
      <c r="E313" s="3">
        <f>SUM(E292,E299,E309,E311)</f>
        <v>-5373</v>
      </c>
      <c r="F313" s="3">
        <f>SUM(F292,F299,F309,F311)</f>
        <v>-842</v>
      </c>
      <c r="G313" s="3">
        <f>SUM(G292,G299,G309,G311)</f>
        <v>1422</v>
      </c>
      <c r="H313" s="3">
        <f>SUM(D313:G313)</f>
        <v>-4793</v>
      </c>
      <c r="I313" s="3">
        <f>SUM(I292,I299,I309,I311)</f>
        <v>1106</v>
      </c>
      <c r="J313" s="3">
        <f>SUM(J292,J299,J309,J311)</f>
        <v>6987</v>
      </c>
      <c r="K313" s="3">
        <f>SUM(K292,K299,K309,K311)</f>
        <v>-356</v>
      </c>
      <c r="L313" s="3">
        <f>SUM(L292,L299,L309,L311)</f>
        <v>1910</v>
      </c>
      <c r="M313" s="3">
        <f>SUM(I313:L313)</f>
        <v>9647</v>
      </c>
      <c r="N313" s="3">
        <f>SUM(N292,N299,N309,N311)</f>
        <v>-870</v>
      </c>
      <c r="O313" s="3">
        <f>SUM(O292,O299,O309,O311)</f>
        <v>-3301</v>
      </c>
      <c r="P313" s="3">
        <f>SUM(P292,P299,P309,P311)</f>
        <v>-3894</v>
      </c>
      <c r="Q313" s="3">
        <f>SUM(Q292,Q299,Q309,Q311)</f>
        <v>153</v>
      </c>
      <c r="R313" s="3">
        <f>SUM(N313:Q313)</f>
        <v>-7912</v>
      </c>
      <c r="S313" s="3">
        <f>SUM(S292,S299,S309,S311)</f>
        <v>2024</v>
      </c>
      <c r="T313" s="3">
        <f>SUM(T292,T299,T309,T311)</f>
        <v>703</v>
      </c>
      <c r="U313" s="3">
        <f>SUM(U292,U299,U309,U311)</f>
        <v>2258</v>
      </c>
      <c r="V313" s="3">
        <f>SUM(V292,V299,V309,V311)</f>
        <v>7703</v>
      </c>
      <c r="W313" s="3">
        <f>SUM(S313:V313)</f>
        <v>12688</v>
      </c>
      <c r="X313" s="3">
        <f>SUM(X292,X299,X309,X311)</f>
        <v>5454</v>
      </c>
      <c r="Y313" s="3">
        <f>SUM(Y292,Y299,Y309,Y311)</f>
        <v>3362</v>
      </c>
      <c r="Z313" s="3">
        <f>SUM(Z292,Z299,Z309,Z311)</f>
        <v>3687</v>
      </c>
      <c r="AA313" s="3">
        <f>SUM(AA292,AA299,AA309,AA311)</f>
        <v>4723</v>
      </c>
      <c r="AB313" s="3">
        <f>SUM(X313:AA313)</f>
        <v>17226</v>
      </c>
      <c r="AC313" s="3">
        <f>SUM(AC292,AC299,AC309,AC311)</f>
        <v>10481</v>
      </c>
      <c r="AD313" s="3">
        <f>SUM(AD292,AD299,AD309,AD311)</f>
        <v>3100</v>
      </c>
      <c r="AE313" s="3">
        <f>SUM(AE292,AE299,AE309,AE311)</f>
        <v>3817</v>
      </c>
      <c r="AF313" s="3">
        <f>SUM(AF292,AF299,AF309,AF311)</f>
        <v>-10938</v>
      </c>
      <c r="AG313" s="3">
        <f>SUM(AC313:AF313)</f>
        <v>6460</v>
      </c>
      <c r="AH313" s="3">
        <f>SUM(AH292,AH299,AH309,AH311)</f>
        <v>665</v>
      </c>
      <c r="AI313" s="3">
        <f>SUM(AI292,AI299,AI309,AI311)</f>
        <v>6251</v>
      </c>
      <c r="AJ313" s="3">
        <f>SUM(AJ292,AJ299,AJ309,AJ311)</f>
        <v>72082</v>
      </c>
      <c r="AK313" s="3">
        <f>SUM(AK292,AK299,AK309,AK311)</f>
        <v>8000</v>
      </c>
      <c r="AL313" s="3">
        <f>SUM(AH313:AK313)</f>
        <v>86998</v>
      </c>
      <c r="AM313" s="3" t="e">
        <f>SUM(AM292,AM299,AM309,AM311)</f>
        <v>#DIV/0!</v>
      </c>
      <c r="AN313" s="3" t="e">
        <f>SUM(AN292,AN299,AN309,AN311)</f>
        <v>#DIV/0!</v>
      </c>
      <c r="AO313" s="3" t="e">
        <f>SUM(AO292,AO299,AO309,AO311)</f>
        <v>#DIV/0!</v>
      </c>
      <c r="AP313" s="3" t="e">
        <f>SUM(AP292,AP299,AP309,AP311)</f>
        <v>#DIV/0!</v>
      </c>
      <c r="AQ313" s="3" t="e">
        <f>SUM(AM313:AP313)</f>
        <v>#DIV/0!</v>
      </c>
      <c r="AR313" s="3" t="e">
        <f>SUM(AR292,AR299,AR309,AR311)</f>
        <v>#DIV/0!</v>
      </c>
      <c r="AS313" s="3" t="e">
        <f>SUM(AS292,AS299,AS309,AS311)</f>
        <v>#DIV/0!</v>
      </c>
      <c r="AT313" s="3" t="e">
        <f>SUM(AT292,AT299,AT309,AT311)</f>
        <v>#DIV/0!</v>
      </c>
      <c r="AU313" s="3" t="e">
        <f>SUM(AU292,AU299,AU309,AU311)</f>
        <v>#DIV/0!</v>
      </c>
      <c r="AV313" s="3" t="e">
        <f>SUM(AR313:AU313)</f>
        <v>#DIV/0!</v>
      </c>
      <c r="AW313" s="3" t="e">
        <f>SUM(AW292,AW299,AW309,AW311)</f>
        <v>#DIV/0!</v>
      </c>
      <c r="AX313" s="3" t="e">
        <f>SUM(AX292,AX299,AX309,AX311)</f>
        <v>#DIV/0!</v>
      </c>
      <c r="AY313" s="3" t="e">
        <f>SUM(AY292,AY299,AY309,AY311)</f>
        <v>#DIV/0!</v>
      </c>
      <c r="AZ313" s="3" t="e">
        <f>SUM(AZ292,AZ299,AZ309,AZ311)</f>
        <v>#DIV/0!</v>
      </c>
      <c r="BA313" s="3" t="e">
        <f>SUM(AW313:AZ313)</f>
        <v>#DIV/0!</v>
      </c>
      <c r="BB313" s="3" t="e">
        <f>SUM(BB292,BB299,BB309,BB311)</f>
        <v>#DIV/0!</v>
      </c>
      <c r="BC313" s="3" t="e">
        <f>SUM(BC292,BC299,BC309,BC311)</f>
        <v>#DIV/0!</v>
      </c>
      <c r="BD313" s="3" t="e">
        <f>SUM(BD292,BD299,BD309,BD311)</f>
        <v>#DIV/0!</v>
      </c>
      <c r="BE313" s="3" t="e">
        <f>SUM(BE292,BE299,BE309,BE311)</f>
        <v>#DIV/0!</v>
      </c>
      <c r="BF313" s="3" t="e">
        <f>SUM(BB313:BE313)</f>
        <v>#DIV/0!</v>
      </c>
      <c r="BG313" s="3" t="e">
        <f>SUM(BG292,BG299,BG309,BG311)</f>
        <v>#DIV/0!</v>
      </c>
      <c r="BH313" s="3" t="e">
        <f>SUM(BH292,BH299,BH309,BH311)</f>
        <v>#DIV/0!</v>
      </c>
      <c r="BI313" s="3" t="e">
        <f>SUM(BI292,BI299,BI309,BI311)</f>
        <v>#DIV/0!</v>
      </c>
      <c r="BJ313" s="3" t="e">
        <f>SUM(BJ292,BJ299,BJ309,BJ311)</f>
        <v>#DIV/0!</v>
      </c>
      <c r="BK313" s="3" t="e">
        <f>SUM(BG313:BJ313)</f>
        <v>#DIV/0!</v>
      </c>
      <c r="BL313" s="3" t="e">
        <f>SUM(BL292,BL299,BL309,BL311)</f>
        <v>#DIV/0!</v>
      </c>
      <c r="BM313" s="3" t="e">
        <f>SUM(BM292,BM299,BM309,BM311)</f>
        <v>#DIV/0!</v>
      </c>
      <c r="BN313" s="3" t="e">
        <f>SUM(BN292,BN299,BN309,BN311)</f>
        <v>#DIV/0!</v>
      </c>
      <c r="BO313" s="3" t="e">
        <f>SUM(BO292,BO299,BO309,BO311)</f>
        <v>#DIV/0!</v>
      </c>
      <c r="BP313" s="3" t="e">
        <f>SUM(BL313:BO313)</f>
        <v>#DIV/0!</v>
      </c>
      <c r="BQ313" s="3" t="e">
        <f>SUM(BQ292,BQ299,BQ309,BQ311)</f>
        <v>#DIV/0!</v>
      </c>
      <c r="BR313" s="3" t="e">
        <f>SUM(BR292,BR299,BR309,BR311)</f>
        <v>#DIV/0!</v>
      </c>
      <c r="BS313" s="3" t="e">
        <f>SUM(BS292,BS299,BS309,BS311)</f>
        <v>#DIV/0!</v>
      </c>
      <c r="BT313" s="3" t="e">
        <f>SUM(BT292,BT299,BT309,BT311)</f>
        <v>#DIV/0!</v>
      </c>
      <c r="BU313" s="3" t="e">
        <f>SUM(BQ313:BT313)</f>
        <v>#DIV/0!</v>
      </c>
      <c r="BV313" s="3" t="e">
        <f>SUM(BV292,BV299,BV309,BV311)</f>
        <v>#DIV/0!</v>
      </c>
      <c r="BW313" s="3" t="e">
        <f>SUM(BW292,BW299,BW309,BW311)</f>
        <v>#DIV/0!</v>
      </c>
      <c r="BX313" s="3" t="e">
        <f>SUM(BX292,BX299,BX309,BX311)</f>
        <v>#DIV/0!</v>
      </c>
      <c r="BY313" s="3" t="e">
        <f>SUM(BY292,BY299,BY309,BY311)</f>
        <v>#DIV/0!</v>
      </c>
      <c r="BZ313" s="3" t="e">
        <f>SUM(BV313:BY313)</f>
        <v>#DIV/0!</v>
      </c>
      <c r="CA313" s="3" t="e">
        <f>SUM(CA292,CA299,CA309,CA311)</f>
        <v>#DIV/0!</v>
      </c>
      <c r="CB313" s="3" t="e">
        <f>SUM(CB292,CB299,CB309,CB311)</f>
        <v>#DIV/0!</v>
      </c>
      <c r="CC313" s="3" t="e">
        <f>SUM(CC292,CC299,CC309,CC311)</f>
        <v>#DIV/0!</v>
      </c>
      <c r="CD313" s="3" t="e">
        <f>SUM(CD292,CD299,CD309,CD311)</f>
        <v>#DIV/0!</v>
      </c>
      <c r="CE313" s="3" t="e">
        <f>SUM(CA313:CD313)</f>
        <v>#DIV/0!</v>
      </c>
      <c r="CF313" s="3" t="e">
        <f>SUM(CF292,CF299,CF309,CF311)</f>
        <v>#DIV/0!</v>
      </c>
      <c r="CG313" s="3" t="e">
        <f>SUM(CG292,CG299,CG309,CG311)</f>
        <v>#DIV/0!</v>
      </c>
      <c r="CH313" s="3" t="e">
        <f>SUM(CH292,CH299,CH309,CH311)</f>
        <v>#DIV/0!</v>
      </c>
      <c r="CI313" s="3" t="e">
        <f>SUM(CI292,CI299,CI309,CI311)</f>
        <v>#DIV/0!</v>
      </c>
      <c r="CJ313" s="3" t="e">
        <f>SUM(CF313:CI313)</f>
        <v>#DIV/0!</v>
      </c>
      <c r="CK313" s="3" t="e">
        <f>SUM(CK292,CK299,CK309,CK311)</f>
        <v>#DIV/0!</v>
      </c>
      <c r="CL313" s="3" t="e">
        <f>SUM(CL292,CL299,CL309,CL311)</f>
        <v>#DIV/0!</v>
      </c>
      <c r="CM313" s="3" t="e">
        <f>SUM(CM292,CM299,CM309,CM311)</f>
        <v>#DIV/0!</v>
      </c>
      <c r="CN313" s="3" t="e">
        <f>SUM(CN292,CN299,CN309,CN311)</f>
        <v>#DIV/0!</v>
      </c>
      <c r="CO313" s="3" t="e">
        <f>SUM(CK313:CN313)</f>
        <v>#DIV/0!</v>
      </c>
      <c r="CP313" s="3" t="e">
        <f>SUM(CP292,CP299,CP309,CP311)</f>
        <v>#DIV/0!</v>
      </c>
      <c r="CQ313" s="3" t="e">
        <f>SUM(CQ292,CQ299,CQ309,CQ311)</f>
        <v>#DIV/0!</v>
      </c>
      <c r="CR313" s="3" t="e">
        <f>SUM(CR292,CR299,CR309,CR311)</f>
        <v>#DIV/0!</v>
      </c>
      <c r="CS313" s="3" t="e">
        <f>SUM(CS292,CS299,CS309,CS311)</f>
        <v>#DIV/0!</v>
      </c>
      <c r="CT313" s="3" t="e">
        <f>SUM(CP313:CS313)</f>
        <v>#DIV/0!</v>
      </c>
      <c r="CU313" s="3" t="e">
        <f>SUM(CU292,CU299,CU309,CU311)</f>
        <v>#DIV/0!</v>
      </c>
      <c r="CV313" s="3" t="e">
        <f>SUM(CV292,CV299,CV309,CV311)</f>
        <v>#DIV/0!</v>
      </c>
      <c r="CW313" s="3" t="e">
        <f>SUM(CW292,CW299,CW309,CW311)</f>
        <v>#DIV/0!</v>
      </c>
      <c r="CX313" s="3" t="e">
        <f>SUM(CX292,CX299,CX309,CX311)</f>
        <v>#DIV/0!</v>
      </c>
      <c r="CY313" s="3" t="e">
        <f>SUM(CU313:CX313)</f>
        <v>#DIV/0!</v>
      </c>
    </row>
    <row r="314">
      <c r="C314" s="4" t="inlineStr">
        <is>
          <t>Check</t>
        </is>
      </c>
      <c r="E314" s="51">
        <f>(E313)-(E143-D143)</f>
        <v>0</v>
      </c>
      <c r="F314" s="51">
        <f>(F313)-(F143-E143)</f>
        <v>0</v>
      </c>
      <c r="G314" s="51">
        <f>(G313)-(G143-F143)</f>
        <v>0</v>
      </c>
      <c r="I314" s="51">
        <f>(I313)-(I143-H143)</f>
        <v>0</v>
      </c>
      <c r="J314" s="51">
        <f>(J313)-(J143-I143)</f>
        <v>0</v>
      </c>
      <c r="K314" s="51">
        <f>(K313)-(K143-J143)</f>
        <v>0</v>
      </c>
      <c r="L314" s="51">
        <f>(L313)-(L143-K143)</f>
        <v>0</v>
      </c>
      <c r="N314" s="51">
        <f>(N313)-(N143-M143)</f>
        <v>0</v>
      </c>
      <c r="O314" s="51">
        <f>(O313)-(O143-N143)</f>
        <v>0</v>
      </c>
      <c r="P314" s="51">
        <f>(P313)-(P143-O143)</f>
        <v>0</v>
      </c>
      <c r="Q314" s="51">
        <f>(Q313)-(Q143-P143)</f>
        <v>0</v>
      </c>
      <c r="S314" s="51">
        <f>(S313)-(S143-R143)</f>
        <v>0</v>
      </c>
      <c r="T314" s="51">
        <f>(T313)-(T143-S143)</f>
        <v>0</v>
      </c>
      <c r="U314" s="51">
        <f>(U313)-(U143-T143)</f>
        <v>0</v>
      </c>
      <c r="V314" s="51">
        <f>(V313)-(V143-U143)</f>
        <v>0</v>
      </c>
      <c r="X314" s="51">
        <f>(X313)-(X143-W143)</f>
        <v>0</v>
      </c>
      <c r="Y314" s="51">
        <f>(Y313)-(Y143-X143)</f>
        <v>0</v>
      </c>
      <c r="Z314" s="51">
        <f>(Z313)-(Z143-Y143)</f>
        <v>0</v>
      </c>
      <c r="AA314" s="51">
        <f>(AA313)-(AA143-Z143)</f>
        <v>0</v>
      </c>
      <c r="AC314" s="51">
        <f>(AC313)-(AC143-AB143)</f>
        <v>0</v>
      </c>
      <c r="AD314" s="51">
        <f>(AD313)-(AD143-AC143)</f>
        <v>0</v>
      </c>
      <c r="AE314" s="51">
        <f>(AE313)-(AE143-AD143)</f>
        <v>0</v>
      </c>
      <c r="AF314" s="51">
        <f>(AF313)-(AF143-AE143)</f>
        <v>0</v>
      </c>
      <c r="AH314" s="51">
        <f>(AH313)-(AH143-AG143)</f>
        <v>0</v>
      </c>
      <c r="AI314" s="51">
        <f>(AI313)-(AI143-AH143)</f>
        <v>0</v>
      </c>
      <c r="AJ314" s="51">
        <f>(AJ313)-(AJ143-AI143)</f>
        <v>0</v>
      </c>
      <c r="AK314" s="51">
        <f>(AK313)-(AK143-AJ143)</f>
        <v>0</v>
      </c>
      <c r="AM314" s="51" t="e">
        <f>(AM313)-(AM143-AL143)</f>
        <v>#DIV/0!</v>
      </c>
      <c r="AN314" s="51" t="e">
        <f>(AN313)-(AN143-AM143)</f>
        <v>#DIV/0!</v>
      </c>
      <c r="AO314" s="51" t="e">
        <f>(AO313)-(AO143-AN143)</f>
        <v>#DIV/0!</v>
      </c>
      <c r="AP314" s="51" t="e">
        <f>(AP313)-(AP143-AO143)</f>
        <v>#DIV/0!</v>
      </c>
      <c r="AR314" s="51" t="e">
        <f>(AR313)-(AR143-AQ143)</f>
        <v>#DIV/0!</v>
      </c>
      <c r="AS314" s="51" t="e">
        <f>(AS313)-(AS143-AR143)</f>
        <v>#DIV/0!</v>
      </c>
      <c r="AT314" s="51" t="e">
        <f>(AT313)-(AT143-AS143)</f>
        <v>#DIV/0!</v>
      </c>
      <c r="AU314" s="51" t="e">
        <f>(AU313)-(AU143-AT143)</f>
        <v>#DIV/0!</v>
      </c>
      <c r="AW314" s="51" t="e">
        <f>(AW313)-(AW143-AV143)</f>
        <v>#DIV/0!</v>
      </c>
      <c r="AX314" s="51" t="e">
        <f>(AX313)-(AX143-AW143)</f>
        <v>#DIV/0!</v>
      </c>
      <c r="AY314" s="51" t="e">
        <f>(AY313)-(AY143-AX143)</f>
        <v>#DIV/0!</v>
      </c>
      <c r="AZ314" s="51" t="e">
        <f>(AZ313)-(AZ143-AY143)</f>
        <v>#DIV/0!</v>
      </c>
      <c r="BB314" s="51" t="e">
        <f>(BB313)-(BB143-BA143)</f>
        <v>#DIV/0!</v>
      </c>
      <c r="BC314" s="51" t="e">
        <f>(BC313)-(BC143-BB143)</f>
        <v>#DIV/0!</v>
      </c>
      <c r="BD314" s="51" t="e">
        <f>(BD313)-(BD143-BC143)</f>
        <v>#DIV/0!</v>
      </c>
      <c r="BE314" s="51" t="e">
        <f>(BE313)-(BE143-BD143)</f>
        <v>#DIV/0!</v>
      </c>
      <c r="BG314" s="51" t="e">
        <f>(BG313)-(BG143-BF143)</f>
        <v>#DIV/0!</v>
      </c>
      <c r="BH314" s="51" t="e">
        <f>(BH313)-(BH143-BG143)</f>
        <v>#DIV/0!</v>
      </c>
      <c r="BI314" s="51" t="e">
        <f>(BI313)-(BI143-BH143)</f>
        <v>#DIV/0!</v>
      </c>
      <c r="BJ314" s="51" t="e">
        <f>(BJ313)-(BJ143-BI143)</f>
        <v>#DIV/0!</v>
      </c>
      <c r="BL314" s="51" t="e">
        <f>(BL313)-(BL143-BK143)</f>
        <v>#DIV/0!</v>
      </c>
      <c r="BM314" s="51" t="e">
        <f>(BM313)-(BM143-BL143)</f>
        <v>#DIV/0!</v>
      </c>
      <c r="BN314" s="51" t="e">
        <f>(BN313)-(BN143-BM143)</f>
        <v>#DIV/0!</v>
      </c>
      <c r="BO314" s="51" t="e">
        <f>(BO313)-(BO143-BN143)</f>
        <v>#DIV/0!</v>
      </c>
      <c r="BQ314" s="51" t="e">
        <f>(BQ313)-(BQ143-BP143)</f>
        <v>#DIV/0!</v>
      </c>
      <c r="BR314" s="51" t="e">
        <f>(BR313)-(BR143-BQ143)</f>
        <v>#DIV/0!</v>
      </c>
      <c r="BS314" s="51" t="e">
        <f>(BS313)-(BS143-BR143)</f>
        <v>#DIV/0!</v>
      </c>
      <c r="BT314" s="51" t="e">
        <f>(BT313)-(BT143-BS143)</f>
        <v>#DIV/0!</v>
      </c>
      <c r="BV314" s="51" t="e">
        <f>(BV313)-(BV143-BU143)</f>
        <v>#DIV/0!</v>
      </c>
      <c r="BW314" s="51" t="e">
        <f>(BW313)-(BW143-BV143)</f>
        <v>#DIV/0!</v>
      </c>
      <c r="BX314" s="51" t="e">
        <f>(BX313)-(BX143-BW143)</f>
        <v>#DIV/0!</v>
      </c>
      <c r="BY314" s="51" t="e">
        <f>(BY313)-(BY143-BX143)</f>
        <v>#DIV/0!</v>
      </c>
      <c r="CA314" s="51" t="e">
        <f>(CA313)-(CA143-BZ143)</f>
        <v>#DIV/0!</v>
      </c>
      <c r="CB314" s="51" t="e">
        <f>(CB313)-(CB143-CA143)</f>
        <v>#DIV/0!</v>
      </c>
      <c r="CC314" s="51" t="e">
        <f>(CC313)-(CC143-CB143)</f>
        <v>#DIV/0!</v>
      </c>
      <c r="CD314" s="51" t="e">
        <f>(CD313)-(CD143-CC143)</f>
        <v>#DIV/0!</v>
      </c>
      <c r="CF314" s="51" t="e">
        <f>(CF313)-(CF143-CE143)</f>
        <v>#DIV/0!</v>
      </c>
      <c r="CG314" s="51" t="e">
        <f>(CG313)-(CG143-CF143)</f>
        <v>#DIV/0!</v>
      </c>
      <c r="CH314" s="51" t="e">
        <f>(CH313)-(CH143-CG143)</f>
        <v>#DIV/0!</v>
      </c>
      <c r="CI314" s="51" t="e">
        <f>(CI313)-(CI143-CH143)</f>
        <v>#DIV/0!</v>
      </c>
      <c r="CK314" s="51" t="e">
        <f>(CK313)-(CK143-CJ143)</f>
        <v>#DIV/0!</v>
      </c>
      <c r="CL314" s="51" t="e">
        <f>(CL313)-(CL143-CK143)</f>
        <v>#DIV/0!</v>
      </c>
      <c r="CM314" s="51" t="e">
        <f>(CM313)-(CM143-CL143)</f>
        <v>#DIV/0!</v>
      </c>
      <c r="CN314" s="51" t="e">
        <f>(CN313)-(CN143-CM143)</f>
        <v>#DIV/0!</v>
      </c>
      <c r="CP314" s="51" t="e">
        <f>(CP313)-(CP143-CO143)</f>
        <v>#DIV/0!</v>
      </c>
      <c r="CQ314" s="51" t="e">
        <f>(CQ313)-(CQ143-CP143)</f>
        <v>#DIV/0!</v>
      </c>
      <c r="CR314" s="51" t="e">
        <f>(CR313)-(CR143-CQ143)</f>
        <v>#DIV/0!</v>
      </c>
      <c r="CS314" s="51" t="e">
        <f>(CS313)-(CS143-CR143)</f>
        <v>#DIV/0!</v>
      </c>
      <c r="CU314" s="51" t="e">
        <f>(CU313)-(CU143-CT143)</f>
        <v>#DIV/0!</v>
      </c>
      <c r="CV314" s="51" t="e">
        <f>(CV313)-(CV143-CU143)</f>
        <v>#DIV/0!</v>
      </c>
      <c r="CW314" s="51" t="e">
        <f>(CW313)-(CW143-CV143)</f>
        <v>#DIV/0!</v>
      </c>
      <c r="CX314" s="51" t="e">
        <f>(CX313)-(CX143-CW143)</f>
        <v>#DIV/0!</v>
      </c>
    </row>
    <row r="316">
      <c r="C316" s="53" t="inlineStr">
        <is>
          <t>Ratio Analysis</t>
        </is>
      </c>
      <c r="D316" s="53" t="n"/>
      <c r="E316" s="53" t="n"/>
      <c r="F316" s="53" t="n"/>
      <c r="G316" s="53" t="n"/>
      <c r="H316" s="53" t="n"/>
      <c r="I316" s="53" t="n"/>
      <c r="J316" s="53" t="n"/>
      <c r="K316" s="53" t="n"/>
      <c r="L316" s="53" t="n"/>
      <c r="M316" s="53" t="n"/>
      <c r="N316" s="53" t="n"/>
      <c r="O316" s="53" t="n"/>
      <c r="P316" s="53" t="n"/>
      <c r="Q316" s="53" t="n"/>
      <c r="R316" s="53" t="n"/>
      <c r="S316" s="53" t="n"/>
      <c r="T316" s="53" t="n"/>
      <c r="U316" s="53" t="n"/>
      <c r="V316" s="53" t="n"/>
      <c r="W316" s="53" t="n"/>
      <c r="X316" s="53" t="n"/>
      <c r="Y316" s="53" t="n"/>
      <c r="Z316" s="53" t="n"/>
      <c r="AA316" s="53" t="n"/>
      <c r="AB316" s="53" t="n"/>
      <c r="AC316" s="53" t="n"/>
      <c r="AD316" s="53" t="n"/>
      <c r="AE316" s="53" t="n"/>
      <c r="AF316" s="53" t="n"/>
      <c r="AG316" s="53" t="n"/>
      <c r="AH316" s="53" t="n"/>
      <c r="AI316" s="53" t="n"/>
      <c r="AJ316" s="53" t="n"/>
      <c r="AK316" s="53" t="n"/>
      <c r="AL316" s="53" t="n"/>
      <c r="AM316" s="53" t="n"/>
      <c r="AN316" s="53" t="n"/>
      <c r="AO316" s="53" t="n"/>
      <c r="AP316" s="53" t="n"/>
      <c r="AQ316" s="53" t="n"/>
      <c r="AR316" s="53" t="n"/>
      <c r="AS316" s="53" t="n"/>
      <c r="AT316" s="53" t="n"/>
      <c r="AU316" s="53" t="n"/>
      <c r="AV316" s="53" t="n"/>
      <c r="AW316" s="53" t="n"/>
      <c r="AX316" s="53" t="n"/>
      <c r="AY316" s="53" t="n"/>
      <c r="AZ316" s="53" t="n"/>
      <c r="BA316" s="53" t="n"/>
      <c r="BB316" s="53" t="n"/>
      <c r="BC316" s="53" t="n"/>
      <c r="BD316" s="53" t="n"/>
      <c r="BE316" s="53" t="n"/>
      <c r="BF316" s="53" t="n"/>
      <c r="BG316" s="53" t="n"/>
      <c r="BH316" s="53" t="n"/>
      <c r="BI316" s="53" t="n"/>
      <c r="BJ316" s="53" t="n"/>
      <c r="BK316" s="53" t="n"/>
      <c r="BL316" s="53" t="n"/>
      <c r="BM316" s="53" t="n"/>
      <c r="BN316" s="53" t="n"/>
      <c r="BO316" s="53" t="n"/>
      <c r="BP316" s="53" t="n"/>
      <c r="BQ316" s="53" t="n"/>
      <c r="BR316" s="53" t="n"/>
      <c r="BS316" s="53" t="n"/>
      <c r="BT316" s="53" t="n"/>
      <c r="BU316" s="53" t="n"/>
      <c r="BV316" s="53" t="n"/>
      <c r="BW316" s="53" t="n"/>
      <c r="BX316" s="53" t="n"/>
      <c r="BY316" s="53" t="n"/>
      <c r="BZ316" s="53" t="n"/>
      <c r="CA316" s="53" t="n"/>
      <c r="CB316" s="53" t="n"/>
      <c r="CC316" s="53" t="n"/>
      <c r="CD316" s="53" t="n"/>
      <c r="CE316" s="53" t="n"/>
      <c r="CF316" s="53" t="n"/>
      <c r="CG316" s="53" t="n"/>
      <c r="CH316" s="53" t="n"/>
      <c r="CI316" s="53" t="n"/>
      <c r="CJ316" s="53" t="n"/>
      <c r="CK316" s="53" t="n"/>
      <c r="CL316" s="53" t="n"/>
      <c r="CM316" s="53" t="n"/>
      <c r="CN316" s="53" t="n"/>
      <c r="CO316" s="53" t="n"/>
      <c r="CP316" s="53" t="n"/>
      <c r="CQ316" s="53" t="n"/>
      <c r="CR316" s="53" t="n"/>
      <c r="CS316" s="53" t="n"/>
      <c r="CT316" s="53" t="n"/>
      <c r="CU316" s="53" t="n"/>
      <c r="CV316" s="53" t="n"/>
      <c r="CW316" s="53" t="n"/>
      <c r="CX316" s="53" t="n"/>
      <c r="CY316" s="53" t="n"/>
    </row>
    <row r="318" customFormat="1" s="234">
      <c r="C318" s="234" t="inlineStr">
        <is>
          <t>YEAR</t>
        </is>
      </c>
      <c r="D318" s="234" t="str">
        <f>D274</f>
        <v>1Q20</v>
      </c>
      <c r="E318" s="235" t="str">
        <f>E274</f>
        <v>2Q20</v>
      </c>
      <c r="F318" s="235" t="str">
        <f>F274</f>
        <v>3Q20</v>
      </c>
      <c r="G318" s="235" t="str">
        <f>G274</f>
        <v>4Q20</v>
      </c>
      <c r="H318" s="235">
        <f>H274</f>
        <v>2020</v>
      </c>
      <c r="I318" s="235" t="str">
        <f>I274</f>
        <v>1Q21</v>
      </c>
      <c r="J318" s="235" t="str">
        <f>J274</f>
        <v>2Q21</v>
      </c>
      <c r="K318" s="235" t="str">
        <f>K274</f>
        <v>3Q21</v>
      </c>
      <c r="L318" s="235" t="str">
        <f>L274</f>
        <v>4Q21</v>
      </c>
      <c r="M318" s="235">
        <f>M274</f>
        <v>2021</v>
      </c>
      <c r="N318" s="235" t="str">
        <f>N274</f>
        <v>1Q22</v>
      </c>
      <c r="O318" s="235" t="str">
        <f>O274</f>
        <v>2Q22</v>
      </c>
      <c r="P318" s="235" t="str">
        <f>P274</f>
        <v>3Q22</v>
      </c>
      <c r="Q318" s="235" t="str">
        <f>Q274</f>
        <v>4Q22</v>
      </c>
      <c r="R318" s="235">
        <f>R274</f>
        <v>2022</v>
      </c>
      <c r="S318" s="235" t="str">
        <f>S274</f>
        <v>1Q23</v>
      </c>
      <c r="T318" s="235" t="str">
        <f>T274</f>
        <v>2Q23</v>
      </c>
      <c r="U318" s="235" t="str">
        <f>U274</f>
        <v>3Q23</v>
      </c>
      <c r="V318" s="235" t="str">
        <f>V274</f>
        <v>4Q23</v>
      </c>
      <c r="W318" s="235">
        <f>W274</f>
        <v>2023</v>
      </c>
      <c r="X318" s="235" t="str">
        <f>X274</f>
        <v>1Q24</v>
      </c>
      <c r="Y318" s="235" t="str">
        <f>Y274</f>
        <v>2Q24</v>
      </c>
      <c r="Z318" s="235" t="str">
        <f>Z274</f>
        <v>3Q24</v>
      </c>
      <c r="AA318" s="235" t="str">
        <f>AA274</f>
        <v>4Q24</v>
      </c>
      <c r="AB318" s="235">
        <f>AB274</f>
        <v>2024</v>
      </c>
      <c r="AC318" s="235" t="str">
        <f>AC274</f>
        <v>1Q25</v>
      </c>
      <c r="AD318" s="235" t="str">
        <f>AD274</f>
        <v>2Q25</v>
      </c>
      <c r="AE318" s="235" t="str">
        <f>AE274</f>
        <v>3Q25</v>
      </c>
      <c r="AF318" s="235" t="str">
        <f>AF274</f>
        <v>4Q25</v>
      </c>
      <c r="AG318" s="235">
        <f>AG274</f>
        <v>2025</v>
      </c>
      <c r="AH318" s="235" t="str">
        <f>AH274</f>
        <v>1Q26</v>
      </c>
      <c r="AI318" s="235" t="str">
        <f>AI274</f>
        <v>2Q26</v>
      </c>
      <c r="AJ318" s="235" t="str">
        <f>AJ274</f>
        <v>3Q26</v>
      </c>
      <c r="AK318" s="235" t="str">
        <f>AK274</f>
        <v>4Q26</v>
      </c>
      <c r="AL318" s="235">
        <f>AL274</f>
        <v>2026</v>
      </c>
      <c r="AM318" s="235" t="str">
        <f>AM274</f>
        <v>1Q27</v>
      </c>
      <c r="AN318" s="235" t="str">
        <f>AN274</f>
        <v>2Q27</v>
      </c>
      <c r="AO318" s="235" t="str">
        <f>AO274</f>
        <v>3Q27</v>
      </c>
      <c r="AP318" s="235" t="str">
        <f>AP274</f>
        <v>4Q27</v>
      </c>
      <c r="AQ318" s="235">
        <f>AQ274</f>
        <v>2027</v>
      </c>
      <c r="AR318" s="235" t="str">
        <f>AR274</f>
        <v>1Q28</v>
      </c>
      <c r="AS318" s="235" t="str">
        <f>AS274</f>
        <v>2Q28</v>
      </c>
      <c r="AT318" s="235" t="str">
        <f>AT274</f>
        <v>3Q28</v>
      </c>
      <c r="AU318" s="235" t="str">
        <f>AU274</f>
        <v>4Q28</v>
      </c>
      <c r="AV318" s="235">
        <f>AV274</f>
        <v>2028</v>
      </c>
      <c r="AW318" s="235" t="str">
        <f>AW274</f>
        <v>1Q29</v>
      </c>
      <c r="AX318" s="235" t="str">
        <f>AX274</f>
        <v>2Q29</v>
      </c>
      <c r="AY318" s="235" t="str">
        <f>AY274</f>
        <v>3Q29</v>
      </c>
      <c r="AZ318" s="235" t="str">
        <f>AZ274</f>
        <v>4Q29</v>
      </c>
      <c r="BA318" s="235">
        <f>BA274</f>
        <v>2029</v>
      </c>
      <c r="BB318" s="235" t="str">
        <f>BB274</f>
        <v>1Q30</v>
      </c>
      <c r="BC318" s="235" t="str">
        <f>BC274</f>
        <v>2Q30</v>
      </c>
      <c r="BD318" s="235" t="str">
        <f>BD274</f>
        <v>3Q30</v>
      </c>
      <c r="BE318" s="235" t="str">
        <f>BE274</f>
        <v>4Q30</v>
      </c>
      <c r="BF318" s="235">
        <f>BF274</f>
        <v>2030</v>
      </c>
      <c r="BG318" s="235" t="str">
        <f>BG274</f>
        <v>1Q31</v>
      </c>
      <c r="BH318" s="235" t="str">
        <f>BH274</f>
        <v>2Q31</v>
      </c>
      <c r="BI318" s="235" t="str">
        <f>BI274</f>
        <v>3Q31</v>
      </c>
      <c r="BJ318" s="235" t="str">
        <f>BJ274</f>
        <v>4Q31</v>
      </c>
      <c r="BK318" s="235">
        <f>BK274</f>
        <v>2031</v>
      </c>
      <c r="BL318" s="235" t="str">
        <f>BL274</f>
        <v>1Q32</v>
      </c>
      <c r="BM318" s="235" t="str">
        <f>BM274</f>
        <v>2Q32</v>
      </c>
      <c r="BN318" s="235" t="str">
        <f>BN274</f>
        <v>3Q32</v>
      </c>
      <c r="BO318" s="235" t="str">
        <f>BO274</f>
        <v>4Q32</v>
      </c>
      <c r="BP318" s="235">
        <f>BP274</f>
        <v>2032</v>
      </c>
      <c r="BQ318" s="235" t="str">
        <f>BQ274</f>
        <v>1Q33</v>
      </c>
      <c r="BR318" s="235" t="str">
        <f>BR274</f>
        <v>2Q33</v>
      </c>
      <c r="BS318" s="235" t="str">
        <f>BS274</f>
        <v>3Q33</v>
      </c>
      <c r="BT318" s="235" t="str">
        <f>BT274</f>
        <v>4Q33</v>
      </c>
      <c r="BU318" s="235">
        <f>BU274</f>
        <v>2033</v>
      </c>
      <c r="BV318" s="235" t="str">
        <f>BV274</f>
        <v>1Q34</v>
      </c>
      <c r="BW318" s="235" t="str">
        <f>BW274</f>
        <v>2Q34</v>
      </c>
      <c r="BX318" s="235" t="str">
        <f>BX274</f>
        <v>3Q34</v>
      </c>
      <c r="BY318" s="235" t="str">
        <f>BY274</f>
        <v>4Q34</v>
      </c>
      <c r="BZ318" s="235">
        <f>BZ274</f>
        <v>2034</v>
      </c>
      <c r="CA318" s="235" t="str">
        <f>CA274</f>
        <v>1Q35</v>
      </c>
      <c r="CB318" s="235" t="str">
        <f>CB274</f>
        <v>2Q35</v>
      </c>
      <c r="CC318" s="235" t="str">
        <f>CC274</f>
        <v>3Q35</v>
      </c>
      <c r="CD318" s="235" t="str">
        <f>CD274</f>
        <v>4Q35</v>
      </c>
      <c r="CE318" s="235">
        <f>CE274</f>
        <v>2035</v>
      </c>
      <c r="CF318" s="235" t="str">
        <f>CF274</f>
        <v>1Q36</v>
      </c>
      <c r="CG318" s="235" t="str">
        <f>CG274</f>
        <v>2Q36</v>
      </c>
      <c r="CH318" s="235" t="str">
        <f>CH274</f>
        <v>3Q36</v>
      </c>
      <c r="CI318" s="235" t="str">
        <f>CI274</f>
        <v>4Q36</v>
      </c>
      <c r="CJ318" s="235">
        <f>CJ274</f>
        <v>2036</v>
      </c>
      <c r="CK318" s="235" t="str">
        <f>CK274</f>
        <v>1Q37</v>
      </c>
      <c r="CL318" s="235" t="str">
        <f>CL274</f>
        <v>2Q37</v>
      </c>
      <c r="CM318" s="235" t="str">
        <f>CM274</f>
        <v>3Q37</v>
      </c>
      <c r="CN318" s="235" t="str">
        <f>CN274</f>
        <v>4Q37</v>
      </c>
      <c r="CO318" s="235">
        <f>CO274</f>
        <v>2037</v>
      </c>
      <c r="CP318" s="235" t="str">
        <f>CP274</f>
        <v>1Q38</v>
      </c>
      <c r="CQ318" s="235" t="str">
        <f>CQ274</f>
        <v>2Q38</v>
      </c>
      <c r="CR318" s="235" t="str">
        <f>CR274</f>
        <v>3Q38</v>
      </c>
      <c r="CS318" s="235" t="str">
        <f>CS274</f>
        <v>4Q38</v>
      </c>
      <c r="CT318" s="235">
        <f>CT274</f>
        <v>2038</v>
      </c>
      <c r="CU318" s="235" t="str">
        <f>CU274</f>
        <v>1Q39</v>
      </c>
      <c r="CV318" s="235" t="str">
        <f>CV274</f>
        <v>2Q39</v>
      </c>
      <c r="CW318" s="235" t="str">
        <f>CW274</f>
        <v>3Q39</v>
      </c>
      <c r="CX318" s="235" t="str">
        <f>CX274</f>
        <v>4Q39</v>
      </c>
      <c r="CY318" s="235">
        <f>CY274</f>
        <v>2039</v>
      </c>
    </row>
    <row r="319" customFormat="1" s="233">
      <c r="A319" s="224" t="n"/>
      <c r="B319" s="224" t="n"/>
      <c r="C319" s="234" t="inlineStr">
        <is>
          <t>GROWTH &amp; MARGINS</t>
        </is>
      </c>
    </row>
    <row r="320" customFormat="1" s="233">
      <c r="A320" s="224" t="n"/>
      <c r="B320" s="224" t="n"/>
      <c r="C320" s="233" t="inlineStr">
        <is>
          <t>NET REVENUE GROWTH</t>
        </is>
      </c>
      <c r="E320" s="236">
        <f>E15/D15-1</f>
        <v>0.255194805194805</v>
      </c>
      <c r="F320" s="236">
        <f>F15/E15-1</f>
        <v>0.222452146921883</v>
      </c>
      <c r="G320" s="236">
        <f>G15/F15-1</f>
        <v>0.058611933982226</v>
      </c>
      <c r="H320" s="236" t="n"/>
      <c r="I320" s="220">
        <f>I15/H15-1</f>
        <v>-0.660509745127436</v>
      </c>
      <c r="J320" s="220">
        <f>J15/I15-1</f>
        <v>0.149443561208267</v>
      </c>
      <c r="K320" s="220">
        <f>K15/J15-1</f>
        <v>0.0915936683571539</v>
      </c>
      <c r="L320" s="220">
        <f>L15/K15-1</f>
        <v>0.0760242151203716</v>
      </c>
      <c r="M320" s="236" t="n"/>
      <c r="N320" s="220">
        <f>N15/M15-1</f>
        <v>-0.692056178940328</v>
      </c>
      <c r="O320" s="220">
        <f>O15/N15-1</f>
        <v>-0.191119691119691</v>
      </c>
      <c r="P320" s="220">
        <f>P15/O15-1</f>
        <v>-0.115304295942721</v>
      </c>
      <c r="Q320" s="220">
        <f>Q15/P15-1</f>
        <v>0.0202326757713707</v>
      </c>
      <c r="R320" s="236" t="n"/>
      <c r="S320" s="220">
        <f>S15/R15-1</f>
        <v>-0.733372877585823</v>
      </c>
      <c r="T320" s="220">
        <f>T15/S15-1</f>
        <v>0.878058954393771</v>
      </c>
      <c r="U320" s="220">
        <f>U15/T15-1</f>
        <v>0.34152661582883</v>
      </c>
      <c r="V320" s="220">
        <f>V15/U15-1</f>
        <v>0.219812362030905</v>
      </c>
      <c r="W320" s="236" t="n"/>
      <c r="X320" s="220">
        <f>X15/W15-1</f>
        <v>-0.572502544236893</v>
      </c>
      <c r="Y320" s="220">
        <f>Y15/X15-1</f>
        <v>0.153432652434342</v>
      </c>
      <c r="Z320" s="220">
        <f>Z15/Y15-1</f>
        <v>0.167842876165113</v>
      </c>
      <c r="AA320" s="220">
        <f>AA15/Z15-1</f>
        <v>0.121116241947437</v>
      </c>
      <c r="AB320" s="236" t="n"/>
      <c r="AC320" s="220">
        <f>AC15/AB15-1</f>
        <v>-0.662352391242711</v>
      </c>
      <c r="AD320" s="220">
        <f>AD15/AC15-1</f>
        <v>0.0608460805228996</v>
      </c>
      <c r="AE320" s="220">
        <f>AE15/AD15-1</f>
        <v>0.219562287401322</v>
      </c>
      <c r="AF320" s="220">
        <f>AF15/AE15-1</f>
        <v>0.195084727923377</v>
      </c>
      <c r="AG320" s="236" t="n"/>
      <c r="AH320" s="220">
        <f>AH15/AG15-1</f>
        <v>-0.622044290490789</v>
      </c>
      <c r="AI320" s="220">
        <f>AI15/AH15-1</f>
        <v>0.178962200575875</v>
      </c>
      <c r="AJ320" s="220">
        <f>AJ15/AI15-1</f>
        <v>-0.407551366125898</v>
      </c>
      <c r="AK320" s="220">
        <f>AK15/AJ15-1</f>
        <v>0.195084727923377</v>
      </c>
      <c r="AL320" s="236" t="n"/>
      <c r="AM320" s="220">
        <f>AM15/AL15-1</f>
        <v>-0.730616003617532</v>
      </c>
      <c r="AN320" s="220">
        <f>AN15/AM15-1</f>
        <v>0.178962200575875</v>
      </c>
      <c r="AO320" s="220">
        <f>AO15/AN15-1</f>
        <v>-0.407551366125898</v>
      </c>
      <c r="AP320" s="220">
        <f>AP15/AO15-1</f>
        <v>0.195084727923377</v>
      </c>
      <c r="AQ320" s="236" t="n"/>
      <c r="AR320" s="220">
        <f>AR15/AQ15-1</f>
        <v>-0.730616003617532</v>
      </c>
      <c r="AS320" s="220">
        <f>AS15/AR15-1</f>
        <v>0.178962200575875</v>
      </c>
      <c r="AT320" s="220">
        <f>AT15/AS15-1</f>
        <v>-0.407551366125898</v>
      </c>
      <c r="AU320" s="220">
        <f>AU15/AT15-1</f>
        <v>0.195084727923377</v>
      </c>
      <c r="AV320" s="236" t="n"/>
      <c r="AW320" s="220">
        <f>AW15/AV15-1</f>
        <v>-0.730616003617532</v>
      </c>
      <c r="AX320" s="220">
        <f>AX15/AW15-1</f>
        <v>0.178962200575875</v>
      </c>
      <c r="AY320" s="220">
        <f>AY15/AX15-1</f>
        <v>-0.407551366125898</v>
      </c>
      <c r="AZ320" s="220">
        <f>AZ15/AY15-1</f>
        <v>0.195084727923377</v>
      </c>
      <c r="BA320" s="236" t="n"/>
      <c r="BB320" s="220">
        <f>BB15/BA15-1</f>
        <v>-0.730616003617532</v>
      </c>
      <c r="BC320" s="220">
        <f>BC15/BB15-1</f>
        <v>0.178962200575875</v>
      </c>
      <c r="BD320" s="220">
        <f>BD15/BC15-1</f>
        <v>-0.407551366125898</v>
      </c>
      <c r="BE320" s="220">
        <f>BE15/BD15-1</f>
        <v>0.195084727923377</v>
      </c>
      <c r="BF320" s="236" t="n"/>
      <c r="BG320" s="220">
        <f>BG15/BF15-1</f>
        <v>-0.730616003617532</v>
      </c>
      <c r="BH320" s="220">
        <f>BH15/BG15-1</f>
        <v>0.178962200575875</v>
      </c>
      <c r="BI320" s="220">
        <f>BI15/BH15-1</f>
        <v>-0.407551366125898</v>
      </c>
      <c r="BJ320" s="220">
        <f>BJ15/BI15-1</f>
        <v>0.195084727923377</v>
      </c>
      <c r="BK320" s="236" t="n"/>
      <c r="BL320" s="220">
        <f>BL15/BK15-1</f>
        <v>-0.730616003617532</v>
      </c>
      <c r="BM320" s="220">
        <f>BM15/BL15-1</f>
        <v>0.178962200575875</v>
      </c>
      <c r="BN320" s="220">
        <f>BN15/BM15-1</f>
        <v>-0.407551366125898</v>
      </c>
      <c r="BO320" s="220">
        <f>BO15/BN15-1</f>
        <v>0.195084727923377</v>
      </c>
      <c r="BP320" s="236" t="n"/>
      <c r="BQ320" s="220">
        <f>BQ15/BP15-1</f>
        <v>-0.730616003617532</v>
      </c>
      <c r="BR320" s="220">
        <f>BR15/BQ15-1</f>
        <v>0.178962200575875</v>
      </c>
      <c r="BS320" s="220">
        <f>BS15/BR15-1</f>
        <v>-0.407551366125898</v>
      </c>
      <c r="BT320" s="220">
        <f>BT15/BS15-1</f>
        <v>0.195084727923377</v>
      </c>
      <c r="BU320" s="236" t="n"/>
      <c r="BV320" s="220">
        <f>BV15/BU15-1</f>
        <v>-0.730616003617532</v>
      </c>
      <c r="BW320" s="220">
        <f>BW15/BV15-1</f>
        <v>0.178962200575875</v>
      </c>
      <c r="BX320" s="220">
        <f>BX15/BW15-1</f>
        <v>-0.407551366125898</v>
      </c>
      <c r="BY320" s="220">
        <f>BY15/BX15-1</f>
        <v>0.195084727923377</v>
      </c>
      <c r="BZ320" s="236" t="n"/>
      <c r="CA320" s="220">
        <f>CA15/BZ15-1</f>
        <v>-0.730616003617532</v>
      </c>
      <c r="CB320" s="220">
        <f>CB15/CA15-1</f>
        <v>0.178962200575875</v>
      </c>
      <c r="CC320" s="220">
        <f>CC15/CB15-1</f>
        <v>-0.407551366125898</v>
      </c>
      <c r="CD320" s="220">
        <f>CD15/CC15-1</f>
        <v>0.195084727923377</v>
      </c>
      <c r="CE320" s="236" t="n"/>
      <c r="CF320" s="220">
        <f>CF15/CE15-1</f>
        <v>-0.730616003617532</v>
      </c>
      <c r="CG320" s="220">
        <f>CG15/CF15-1</f>
        <v>0.178962200575875</v>
      </c>
      <c r="CH320" s="220">
        <f>CH15/CG15-1</f>
        <v>-0.407551366125898</v>
      </c>
      <c r="CI320" s="220">
        <f>CI15/CH15-1</f>
        <v>0.195084727923377</v>
      </c>
      <c r="CJ320" s="236" t="n"/>
      <c r="CK320" s="220">
        <f>CK15/CJ15-1</f>
        <v>-0.730616003617532</v>
      </c>
      <c r="CL320" s="220">
        <f>CL15/CK15-1</f>
        <v>0.178962200575875</v>
      </c>
      <c r="CM320" s="220">
        <f>CM15/CL15-1</f>
        <v>-0.407551366125898</v>
      </c>
      <c r="CN320" s="220">
        <f>CN15/CM15-1</f>
        <v>0.195084727923377</v>
      </c>
      <c r="CO320" s="236" t="n"/>
      <c r="CP320" s="220">
        <f>CP15/CO15-1</f>
        <v>-0.730616003617532</v>
      </c>
      <c r="CQ320" s="220">
        <f>CQ15/CP15-1</f>
        <v>0.178962200575875</v>
      </c>
      <c r="CR320" s="220">
        <f>CR15/CQ15-1</f>
        <v>-0.407551366125898</v>
      </c>
      <c r="CS320" s="220">
        <f>CS15/CR15-1</f>
        <v>0.195084727923377</v>
      </c>
      <c r="CT320" s="236" t="n"/>
      <c r="CU320" s="220">
        <f>CU15/CT15-1</f>
        <v>-0.730616003617532</v>
      </c>
      <c r="CV320" s="220">
        <f>CV15/CU15-1</f>
        <v>0.178962200575875</v>
      </c>
      <c r="CW320" s="220">
        <f>CW15/CV15-1</f>
        <v>-0.407551366125898</v>
      </c>
      <c r="CX320" s="220">
        <f>CX15/CW15-1</f>
        <v>0.195084727923377</v>
      </c>
      <c r="CY320" s="236" t="n"/>
    </row>
    <row r="321" customFormat="1" s="233">
      <c r="A321" s="224" t="n"/>
      <c r="B321" s="224" t="n"/>
      <c r="C321" s="233" t="inlineStr">
        <is>
          <t>GROSS MARGIN</t>
        </is>
      </c>
      <c r="D321" s="220">
        <f>SUM(D15,D53)/D15</f>
        <v>0.650649350649351</v>
      </c>
      <c r="E321" s="220">
        <f>SUM(E15,E53)/E15</f>
        <v>0.588463528194516</v>
      </c>
      <c r="F321" s="220">
        <f>SUM(F15,F53)/F15</f>
        <v>0.626322471434617</v>
      </c>
      <c r="G321" s="220">
        <f>SUM(G15,G53)/G15</f>
        <v>0.630821507095743</v>
      </c>
      <c r="I321" s="221">
        <f>SUM(I15,I53)/I15</f>
        <v>0.641052817523406</v>
      </c>
      <c r="J321" s="221">
        <f>SUM(J15,J53)/J15</f>
        <v>0.647763946519133</v>
      </c>
      <c r="K321" s="221">
        <f>SUM(K15,K53)/K15</f>
        <v>0.651978037448965</v>
      </c>
      <c r="L321" s="221">
        <f>SUM(L15,L53)/L15</f>
        <v>0.654062540887086</v>
      </c>
      <c r="N321" s="221">
        <f>SUM(N15,N53)/N15</f>
        <v>0.655284749034749</v>
      </c>
      <c r="O321" s="221">
        <f>SUM(O15,O53)/O15</f>
        <v>0.434815035799523</v>
      </c>
      <c r="P321" s="221">
        <f>SUM(P15,P53)/P15</f>
        <v>0.535660091047041</v>
      </c>
      <c r="Q321" s="221">
        <f>SUM(Q15,Q53)/Q15</f>
        <v>0.633449016691456</v>
      </c>
      <c r="S321" s="221">
        <f>SUM(S15,S53)/S15</f>
        <v>0.646273637374861</v>
      </c>
      <c r="T321" s="221">
        <f>SUM(T15,T53)/T15</f>
        <v>0.700525653364922</v>
      </c>
      <c r="U321" s="221">
        <f>SUM(U15,U53)/U15</f>
        <v>0.739514348785872</v>
      </c>
      <c r="V321" s="221">
        <f>SUM(V15,V53)/V15</f>
        <v>0.759670632945754</v>
      </c>
      <c r="X321" s="221">
        <f>SUM(X15,X53)/X15</f>
        <v>0.783520196590386</v>
      </c>
      <c r="Y321" s="221">
        <f>SUM(Y15,Y53)/Y15</f>
        <v>0.751464713715047</v>
      </c>
      <c r="Z321" s="221">
        <f>SUM(Z15,Z53)/Z15</f>
        <v>0.745567527506984</v>
      </c>
      <c r="AA321" s="221">
        <f>SUM(AA15,AA53)/AA15</f>
        <v>0.730289084945717</v>
      </c>
      <c r="AC321" s="221">
        <f>SUM(AC15,AC53)/AC15</f>
        <v>0.60523807362353</v>
      </c>
      <c r="AD321" s="221">
        <f>SUM(AD15,AD53)/AD15</f>
        <v>0.724236784117408</v>
      </c>
      <c r="AE321" s="221">
        <f>SUM(AE15,AE53)/AE15</f>
        <v>0.734115707118549</v>
      </c>
      <c r="AF321" s="221">
        <f>SUM(AF15,AF53)/AF15</f>
        <v>0.749966973446651</v>
      </c>
      <c r="AH321" s="221">
        <f>SUM(AH15,AH53)/AH15</f>
        <v>0.749335293757275</v>
      </c>
      <c r="AI321" s="221">
        <f>SUM(AI15,AI53)/AI15</f>
        <v>0.749753172384407</v>
      </c>
      <c r="AJ321" s="221">
        <f>SUM(AJ15,AJ53)/AJ15</f>
        <v>0</v>
      </c>
      <c r="AK321" s="221">
        <f>SUM(AK15,AK53)/AK15</f>
        <v>0</v>
      </c>
      <c r="AM321" s="221">
        <f>SUM(AM15,AM53)/AM15</f>
        <v>0</v>
      </c>
      <c r="AN321" s="221">
        <f>SUM(AN15,AN53)/AN15</f>
        <v>0</v>
      </c>
      <c r="AO321" s="221">
        <f>SUM(AO15,AO53)/AO15</f>
        <v>0</v>
      </c>
      <c r="AP321" s="221">
        <f>SUM(AP15,AP53)/AP15</f>
        <v>0</v>
      </c>
      <c r="AR321" s="221">
        <f>SUM(AR15,AR53)/AR15</f>
        <v>0</v>
      </c>
      <c r="AS321" s="221">
        <f>SUM(AS15,AS53)/AS15</f>
        <v>0</v>
      </c>
      <c r="AT321" s="221">
        <f>SUM(AT15,AT53)/AT15</f>
        <v>0</v>
      </c>
      <c r="AU321" s="221">
        <f>SUM(AU15,AU53)/AU15</f>
        <v>0</v>
      </c>
      <c r="AW321" s="221">
        <f>SUM(AW15,AW53)/AW15</f>
        <v>0</v>
      </c>
      <c r="AX321" s="221">
        <f>SUM(AX15,AX53)/AX15</f>
        <v>0</v>
      </c>
      <c r="AY321" s="221">
        <f>SUM(AY15,AY53)/AY15</f>
        <v>0</v>
      </c>
      <c r="AZ321" s="221">
        <f>SUM(AZ15,AZ53)/AZ15</f>
        <v>0</v>
      </c>
      <c r="BB321" s="221">
        <f>SUM(BB15,BB53)/BB15</f>
        <v>0</v>
      </c>
      <c r="BC321" s="221">
        <f>SUM(BC15,BC53)/BC15</f>
        <v>0</v>
      </c>
      <c r="BD321" s="221">
        <f>SUM(BD15,BD53)/BD15</f>
        <v>0</v>
      </c>
      <c r="BE321" s="221">
        <f>SUM(BE15,BE53)/BE15</f>
        <v>0</v>
      </c>
      <c r="BG321" s="221">
        <f>SUM(BG15,BG53)/BG15</f>
        <v>0</v>
      </c>
      <c r="BH321" s="221">
        <f>SUM(BH15,BH53)/BH15</f>
        <v>0</v>
      </c>
      <c r="BI321" s="221">
        <f>SUM(BI15,BI53)/BI15</f>
        <v>0</v>
      </c>
      <c r="BJ321" s="221">
        <f>SUM(BJ15,BJ53)/BJ15</f>
        <v>0</v>
      </c>
      <c r="BL321" s="221">
        <f>SUM(BL15,BL53)/BL15</f>
        <v>0</v>
      </c>
      <c r="BM321" s="221">
        <f>SUM(BM15,BM53)/BM15</f>
        <v>0</v>
      </c>
      <c r="BN321" s="221">
        <f>SUM(BN15,BN53)/BN15</f>
        <v>0</v>
      </c>
      <c r="BO321" s="221">
        <f>SUM(BO15,BO53)/BO15</f>
        <v>0</v>
      </c>
      <c r="BQ321" s="221">
        <f>SUM(BQ15,BQ53)/BQ15</f>
        <v>0</v>
      </c>
      <c r="BR321" s="221">
        <f>SUM(BR15,BR53)/BR15</f>
        <v>0</v>
      </c>
      <c r="BS321" s="221">
        <f>SUM(BS15,BS53)/BS15</f>
        <v>0</v>
      </c>
      <c r="BT321" s="221">
        <f>SUM(BT15,BT53)/BT15</f>
        <v>0</v>
      </c>
      <c r="BV321" s="221">
        <f>SUM(BV15,BV53)/BV15</f>
        <v>0</v>
      </c>
      <c r="BW321" s="221">
        <f>SUM(BW15,BW53)/BW15</f>
        <v>0</v>
      </c>
      <c r="BX321" s="221">
        <f>SUM(BX15,BX53)/BX15</f>
        <v>0</v>
      </c>
      <c r="BY321" s="221">
        <f>SUM(BY15,BY53)/BY15</f>
        <v>0</v>
      </c>
      <c r="CA321" s="221">
        <f>SUM(CA15,CA53)/CA15</f>
        <v>0</v>
      </c>
      <c r="CB321" s="221">
        <f>SUM(CB15,CB53)/CB15</f>
        <v>0</v>
      </c>
      <c r="CC321" s="221">
        <f>SUM(CC15,CC53)/CC15</f>
        <v>0</v>
      </c>
      <c r="CD321" s="221">
        <f>SUM(CD15,CD53)/CD15</f>
        <v>0</v>
      </c>
      <c r="CF321" s="221">
        <f>SUM(CF15,CF53)/CF15</f>
        <v>0</v>
      </c>
      <c r="CG321" s="221">
        <f>SUM(CG15,CG53)/CG15</f>
        <v>0</v>
      </c>
      <c r="CH321" s="221">
        <f>SUM(CH15,CH53)/CH15</f>
        <v>0</v>
      </c>
      <c r="CI321" s="221">
        <f>SUM(CI15,CI53)/CI15</f>
        <v>0</v>
      </c>
      <c r="CK321" s="221">
        <f>SUM(CK15,CK53)/CK15</f>
        <v>0</v>
      </c>
      <c r="CL321" s="221">
        <f>SUM(CL15,CL53)/CL15</f>
        <v>0</v>
      </c>
      <c r="CM321" s="221">
        <f>SUM(CM15,CM53)/CM15</f>
        <v>0</v>
      </c>
      <c r="CN321" s="221">
        <f>SUM(CN15,CN53)/CN15</f>
        <v>0</v>
      </c>
      <c r="CP321" s="221">
        <f>SUM(CP15,CP53)/CP15</f>
        <v>0</v>
      </c>
      <c r="CQ321" s="221">
        <f>SUM(CQ15,CQ53)/CQ15</f>
        <v>0</v>
      </c>
      <c r="CR321" s="221">
        <f>SUM(CR15,CR53)/CR15</f>
        <v>0</v>
      </c>
      <c r="CS321" s="221">
        <f>SUM(CS15,CS53)/CS15</f>
        <v>0</v>
      </c>
      <c r="CU321" s="221">
        <f>SUM(CU15,CU53)/CU15</f>
        <v>0</v>
      </c>
      <c r="CV321" s="221">
        <f>SUM(CV15,CV53)/CV15</f>
        <v>0</v>
      </c>
      <c r="CW321" s="221">
        <f>SUM(CW15,CW53)/CW15</f>
        <v>0</v>
      </c>
      <c r="CX321" s="221">
        <f>SUM(CX15,CX53)/CX15</f>
        <v>0</v>
      </c>
    </row>
    <row r="322" customFormat="1" s="233">
      <c r="A322" s="224" t="n"/>
      <c r="B322" s="224" t="n"/>
      <c r="C322" s="233" t="inlineStr">
        <is>
          <t>EBIT MARGIN</t>
        </is>
      </c>
      <c r="D322" s="236">
        <f>(D72/D15)</f>
        <v>0.316883116883117</v>
      </c>
      <c r="E322" s="236">
        <f>(E72/E15)</f>
        <v>0.168391101914123</v>
      </c>
      <c r="F322" s="236">
        <f>(F72/F15)</f>
        <v>0.295810410495133</v>
      </c>
      <c r="G322" s="236">
        <f>(G72/G15)</f>
        <v>0.301219268438937</v>
      </c>
      <c r="I322" s="222">
        <f>(I72/I15)</f>
        <v>0.345521992580816</v>
      </c>
      <c r="J322" s="222">
        <f>(J72/J15)</f>
        <v>0.375595512524973</v>
      </c>
      <c r="K322" s="222">
        <f>(K72/K15)</f>
        <v>0.376038293678727</v>
      </c>
      <c r="L322" s="222">
        <f>(L72/L15)</f>
        <v>0.388590867460421</v>
      </c>
      <c r="N322" s="222">
        <f>(N72/N15)</f>
        <v>0.2253861003861</v>
      </c>
      <c r="O322" s="222">
        <f>(O72/O15)</f>
        <v>0.0744331742243437</v>
      </c>
      <c r="P322" s="222">
        <f>(P72/P15)</f>
        <v>0.101331984488282</v>
      </c>
      <c r="Q322" s="222">
        <f>(Q72/Q15)</f>
        <v>0.207568996860023</v>
      </c>
      <c r="S322" s="222">
        <f>(S72/S15)</f>
        <v>0.297552836484983</v>
      </c>
      <c r="T322" s="222">
        <f>(T72/T15)</f>
        <v>0.503442659361812</v>
      </c>
      <c r="U322" s="222">
        <f>(U72/U15)</f>
        <v>0.574889624724062</v>
      </c>
      <c r="V322" s="222">
        <f>(V72/V15)</f>
        <v>0.615934488530969</v>
      </c>
      <c r="X322" s="222">
        <f>(X72/X15)</f>
        <v>0.649247427430502</v>
      </c>
      <c r="Y322" s="222">
        <f>(Y72/Y15)</f>
        <v>0.620572569906791</v>
      </c>
      <c r="Z322" s="222">
        <f>(Z72/Z15)</f>
        <v>0.623368109001767</v>
      </c>
      <c r="AA322" s="222">
        <f>(AA72/AA15)</f>
        <v>0.611070148229132</v>
      </c>
      <c r="AC322" s="222">
        <f>(AC72/AC15)</f>
        <v>0.491080749852481</v>
      </c>
      <c r="AD322" s="222">
        <f>(AD72/AD15)</f>
        <v>0.608433348308838</v>
      </c>
      <c r="AE322" s="222">
        <f>(AE72/AE15)</f>
        <v>0.631687892502544</v>
      </c>
      <c r="AF322" s="222">
        <f>(AF72/AF15)</f>
        <v>0.650241460801151</v>
      </c>
      <c r="AH322" s="222">
        <f>(AH72/AH15)</f>
        <v>0.655957850885254</v>
      </c>
      <c r="AI322" s="222">
        <f>(AI72/AI15)</f>
        <v>0.662371000093535</v>
      </c>
      <c r="AJ322" s="222">
        <f>(AJ72/AJ15)</f>
        <v>0</v>
      </c>
      <c r="AK322" s="222">
        <f>(AK72/AK15)</f>
        <v>0</v>
      </c>
      <c r="AM322" s="222">
        <f>(AM72/AM15)</f>
        <v>0</v>
      </c>
      <c r="AN322" s="222">
        <f>(AN72/AN15)</f>
        <v>0</v>
      </c>
      <c r="AO322" s="222">
        <f>(AO72/AO15)</f>
        <v>0</v>
      </c>
      <c r="AP322" s="222">
        <f>(AP72/AP15)</f>
        <v>0</v>
      </c>
      <c r="AR322" s="222">
        <f>(AR72/AR15)</f>
        <v>0</v>
      </c>
      <c r="AS322" s="222">
        <f>(AS72/AS15)</f>
        <v>0</v>
      </c>
      <c r="AT322" s="222">
        <f>(AT72/AT15)</f>
        <v>0</v>
      </c>
      <c r="AU322" s="222">
        <f>(AU72/AU15)</f>
        <v>0</v>
      </c>
      <c r="AW322" s="222">
        <f>(AW72/AW15)</f>
        <v>0</v>
      </c>
      <c r="AX322" s="222">
        <f>(AX72/AX15)</f>
        <v>0</v>
      </c>
      <c r="AY322" s="222">
        <f>(AY72/AY15)</f>
        <v>0</v>
      </c>
      <c r="AZ322" s="222">
        <f>(AZ72/AZ15)</f>
        <v>0</v>
      </c>
      <c r="BB322" s="222">
        <f>(BB72/BB15)</f>
        <v>0</v>
      </c>
      <c r="BC322" s="222">
        <f>(BC72/BC15)</f>
        <v>0</v>
      </c>
      <c r="BD322" s="222">
        <f>(BD72/BD15)</f>
        <v>0</v>
      </c>
      <c r="BE322" s="222">
        <f>(BE72/BE15)</f>
        <v>0</v>
      </c>
      <c r="BG322" s="222">
        <f>(BG72/BG15)</f>
        <v>0</v>
      </c>
      <c r="BH322" s="222">
        <f>(BH72/BH15)</f>
        <v>0</v>
      </c>
      <c r="BI322" s="222">
        <f>(BI72/BI15)</f>
        <v>0</v>
      </c>
      <c r="BJ322" s="222">
        <f>(BJ72/BJ15)</f>
        <v>0</v>
      </c>
      <c r="BL322" s="222">
        <f>(BL72/BL15)</f>
        <v>0</v>
      </c>
      <c r="BM322" s="222">
        <f>(BM72/BM15)</f>
        <v>0</v>
      </c>
      <c r="BN322" s="222">
        <f>(BN72/BN15)</f>
        <v>0</v>
      </c>
      <c r="BO322" s="222">
        <f>(BO72/BO15)</f>
        <v>0</v>
      </c>
      <c r="BQ322" s="222">
        <f>(BQ72/BQ15)</f>
        <v>0</v>
      </c>
      <c r="BR322" s="222">
        <f>(BR72/BR15)</f>
        <v>0</v>
      </c>
      <c r="BS322" s="222">
        <f>(BS72/BS15)</f>
        <v>0</v>
      </c>
      <c r="BT322" s="222">
        <f>(BT72/BT15)</f>
        <v>0</v>
      </c>
      <c r="BV322" s="222">
        <f>(BV72/BV15)</f>
        <v>0</v>
      </c>
      <c r="BW322" s="222">
        <f>(BW72/BW15)</f>
        <v>0</v>
      </c>
      <c r="BX322" s="222">
        <f>(BX72/BX15)</f>
        <v>0</v>
      </c>
      <c r="BY322" s="222">
        <f>(BY72/BY15)</f>
        <v>0</v>
      </c>
      <c r="CA322" s="222">
        <f>(CA72/CA15)</f>
        <v>0</v>
      </c>
      <c r="CB322" s="222">
        <f>(CB72/CB15)</f>
        <v>0</v>
      </c>
      <c r="CC322" s="222">
        <f>(CC72/CC15)</f>
        <v>0</v>
      </c>
      <c r="CD322" s="222">
        <f>(CD72/CD15)</f>
        <v>0</v>
      </c>
      <c r="CF322" s="222">
        <f>(CF72/CF15)</f>
        <v>0</v>
      </c>
      <c r="CG322" s="222">
        <f>(CG72/CG15)</f>
        <v>0</v>
      </c>
      <c r="CH322" s="222">
        <f>(CH72/CH15)</f>
        <v>0</v>
      </c>
      <c r="CI322" s="222">
        <f>(CI72/CI15)</f>
        <v>0</v>
      </c>
      <c r="CK322" s="222">
        <f>(CK72/CK15)</f>
        <v>0</v>
      </c>
      <c r="CL322" s="222">
        <f>(CL72/CL15)</f>
        <v>0</v>
      </c>
      <c r="CM322" s="222">
        <f>(CM72/CM15)</f>
        <v>0</v>
      </c>
      <c r="CN322" s="222">
        <f>(CN72/CN15)</f>
        <v>0</v>
      </c>
      <c r="CP322" s="222">
        <f>(CP72/CP15)</f>
        <v>0</v>
      </c>
      <c r="CQ322" s="222">
        <f>(CQ72/CQ15)</f>
        <v>0</v>
      </c>
      <c r="CR322" s="222">
        <f>(CR72/CR15)</f>
        <v>0</v>
      </c>
      <c r="CS322" s="222">
        <f>(CS72/CS15)</f>
        <v>0</v>
      </c>
      <c r="CU322" s="222">
        <f>(CU72/CU15)</f>
        <v>0</v>
      </c>
      <c r="CV322" s="222">
        <f>(CV72/CV15)</f>
        <v>0</v>
      </c>
      <c r="CW322" s="222">
        <f>(CW72/CW15)</f>
        <v>0</v>
      </c>
      <c r="CX322" s="222">
        <f>(CX72/CX15)</f>
        <v>0</v>
      </c>
    </row>
    <row r="323" customFormat="1" s="233">
      <c r="A323" s="224" t="n"/>
      <c r="B323" s="224" t="n"/>
      <c r="C323" s="233" t="inlineStr">
        <is>
          <t>EBITDA MARTGIN</t>
        </is>
      </c>
      <c r="D323" s="236">
        <f>D68/D15</f>
        <v>0.351623376623377</v>
      </c>
      <c r="E323" s="236">
        <f>E68/E15</f>
        <v>0.272891877909985</v>
      </c>
      <c r="F323" s="236">
        <f>F68/F15</f>
        <v>0.359077443927211</v>
      </c>
      <c r="G323" s="236">
        <f>G68/G15</f>
        <v>0.358784729162503</v>
      </c>
      <c r="I323" s="222">
        <f>I68/I15</f>
        <v>0.395159865748101</v>
      </c>
      <c r="J323" s="222">
        <f>J68/J15</f>
        <v>0.419548178884279</v>
      </c>
      <c r="K323" s="222">
        <f>K68/K15</f>
        <v>0.417992397578488</v>
      </c>
      <c r="L323" s="222">
        <f>L68/L15</f>
        <v>0.429020018317415</v>
      </c>
      <c r="N323" s="222">
        <f>N68/N15</f>
        <v>0.265685328185328</v>
      </c>
      <c r="O323" s="222">
        <f>O68/O15</f>
        <v>0.130817422434368</v>
      </c>
      <c r="P323" s="222">
        <f>P68/P15</f>
        <v>0.169785870848086</v>
      </c>
      <c r="Q323" s="222">
        <f>Q68/Q15</f>
        <v>0.277970583374649</v>
      </c>
      <c r="S323" s="222">
        <f>S68/S15</f>
        <v>0.350945494994438</v>
      </c>
      <c r="T323" s="222">
        <f>T68/T15</f>
        <v>0.53046568445991</v>
      </c>
      <c r="U323" s="222">
        <f>U68/U15</f>
        <v>0.595419426048565</v>
      </c>
      <c r="V323" s="222">
        <f>V68/V15</f>
        <v>0.633443423969597</v>
      </c>
      <c r="X323" s="222">
        <f>X68/X15</f>
        <v>0.664990016894486</v>
      </c>
      <c r="Y323" s="222">
        <f>Y68/Y15</f>
        <v>0.634986684420772</v>
      </c>
      <c r="Z323" s="222">
        <f>Z68/Z15</f>
        <v>0.636993329912776</v>
      </c>
      <c r="AA323" s="222">
        <f>AA68/AA15</f>
        <v>0.624876051969185</v>
      </c>
      <c r="AC323" s="222">
        <f>AC68/AC15</f>
        <v>0.504947573873179</v>
      </c>
      <c r="AD323" s="222">
        <f>AD68/AD15</f>
        <v>0.622745651755343</v>
      </c>
      <c r="AE323" s="222">
        <f>AE68/AE15</f>
        <v>0.644861944356734</v>
      </c>
      <c r="AF323" s="222">
        <f>AF68/AF15</f>
        <v>0.662160376943062</v>
      </c>
      <c r="AH323" s="222">
        <f>AH68/AH15</f>
        <v>0.668173742571831</v>
      </c>
      <c r="AI323" s="222">
        <f>AI68/AI15</f>
        <v>0.674083619999792</v>
      </c>
      <c r="AJ323" s="222">
        <f>AJ68/AJ15</f>
        <v>0</v>
      </c>
      <c r="AK323" s="222">
        <f>AK68/AK15</f>
        <v>0</v>
      </c>
      <c r="AM323" s="222">
        <f>AM68/AM15</f>
        <v>0</v>
      </c>
      <c r="AN323" s="222">
        <f>AN68/AN15</f>
        <v>0</v>
      </c>
      <c r="AO323" s="222">
        <f>AO68/AO15</f>
        <v>0</v>
      </c>
      <c r="AP323" s="222">
        <f>AP68/AP15</f>
        <v>0</v>
      </c>
      <c r="AR323" s="222">
        <f>AR68/AR15</f>
        <v>0</v>
      </c>
      <c r="AS323" s="222">
        <f>AS68/AS15</f>
        <v>0</v>
      </c>
      <c r="AT323" s="222">
        <f>AT68/AT15</f>
        <v>0</v>
      </c>
      <c r="AU323" s="222">
        <f>AU68/AU15</f>
        <v>0</v>
      </c>
      <c r="AW323" s="222">
        <f>AW68/AW15</f>
        <v>0</v>
      </c>
      <c r="AX323" s="222">
        <f>AX68/AX15</f>
        <v>0</v>
      </c>
      <c r="AY323" s="222">
        <f>AY68/AY15</f>
        <v>0</v>
      </c>
      <c r="AZ323" s="222">
        <f>AZ68/AZ15</f>
        <v>0</v>
      </c>
      <c r="BB323" s="222">
        <f>BB68/BB15</f>
        <v>0</v>
      </c>
      <c r="BC323" s="222">
        <f>BC68/BC15</f>
        <v>0</v>
      </c>
      <c r="BD323" s="222">
        <f>BD68/BD15</f>
        <v>0</v>
      </c>
      <c r="BE323" s="222">
        <f>BE68/BE15</f>
        <v>0</v>
      </c>
      <c r="BG323" s="222">
        <f>BG68/BG15</f>
        <v>0</v>
      </c>
      <c r="BH323" s="222">
        <f>BH68/BH15</f>
        <v>0</v>
      </c>
      <c r="BI323" s="222">
        <f>BI68/BI15</f>
        <v>0</v>
      </c>
      <c r="BJ323" s="222">
        <f>BJ68/BJ15</f>
        <v>0</v>
      </c>
      <c r="BL323" s="222">
        <f>BL68/BL15</f>
        <v>0</v>
      </c>
      <c r="BM323" s="222">
        <f>BM68/BM15</f>
        <v>0</v>
      </c>
      <c r="BN323" s="222">
        <f>BN68/BN15</f>
        <v>0</v>
      </c>
      <c r="BO323" s="222">
        <f>BO68/BO15</f>
        <v>0</v>
      </c>
      <c r="BQ323" s="222">
        <f>BQ68/BQ15</f>
        <v>0</v>
      </c>
      <c r="BR323" s="222">
        <f>BR68/BR15</f>
        <v>0</v>
      </c>
      <c r="BS323" s="222">
        <f>BS68/BS15</f>
        <v>0</v>
      </c>
      <c r="BT323" s="222">
        <f>BT68/BT15</f>
        <v>0</v>
      </c>
      <c r="BV323" s="222">
        <f>BV68/BV15</f>
        <v>0</v>
      </c>
      <c r="BW323" s="222">
        <f>BW68/BW15</f>
        <v>0</v>
      </c>
      <c r="BX323" s="222">
        <f>BX68/BX15</f>
        <v>0</v>
      </c>
      <c r="BY323" s="222">
        <f>BY68/BY15</f>
        <v>0</v>
      </c>
      <c r="CA323" s="222">
        <f>CA68/CA15</f>
        <v>0</v>
      </c>
      <c r="CB323" s="222">
        <f>CB68/CB15</f>
        <v>0</v>
      </c>
      <c r="CC323" s="222">
        <f>CC68/CC15</f>
        <v>0</v>
      </c>
      <c r="CD323" s="222">
        <f>CD68/CD15</f>
        <v>0</v>
      </c>
      <c r="CF323" s="222">
        <f>CF68/CF15</f>
        <v>0</v>
      </c>
      <c r="CG323" s="222">
        <f>CG68/CG15</f>
        <v>0</v>
      </c>
      <c r="CH323" s="222">
        <f>CH68/CH15</f>
        <v>0</v>
      </c>
      <c r="CI323" s="222">
        <f>CI68/CI15</f>
        <v>0</v>
      </c>
      <c r="CK323" s="222">
        <f>CK68/CK15</f>
        <v>0</v>
      </c>
      <c r="CL323" s="222">
        <f>CL68/CL15</f>
        <v>0</v>
      </c>
      <c r="CM323" s="222">
        <f>CM68/CM15</f>
        <v>0</v>
      </c>
      <c r="CN323" s="222">
        <f>CN68/CN15</f>
        <v>0</v>
      </c>
      <c r="CP323" s="222">
        <f>CP68/CP15</f>
        <v>0</v>
      </c>
      <c r="CQ323" s="222">
        <f>CQ68/CQ15</f>
        <v>0</v>
      </c>
      <c r="CR323" s="222">
        <f>CR68/CR15</f>
        <v>0</v>
      </c>
      <c r="CS323" s="222">
        <f>CS68/CS15</f>
        <v>0</v>
      </c>
      <c r="CU323" s="222">
        <f>CU68/CU15</f>
        <v>0</v>
      </c>
      <c r="CV323" s="222">
        <f>CV68/CV15</f>
        <v>0</v>
      </c>
      <c r="CW323" s="222">
        <f>CW68/CW15</f>
        <v>0</v>
      </c>
      <c r="CX323" s="222">
        <f>CX68/CX15</f>
        <v>0</v>
      </c>
    </row>
    <row r="324" customFormat="1" s="233">
      <c r="A324" s="224" t="n"/>
      <c r="B324" s="224" t="n"/>
      <c r="C324" s="233" t="inlineStr">
        <is>
          <t>ETR</t>
        </is>
      </c>
      <c r="D324" s="236">
        <f>-D130/D129</f>
        <v>0.0652395514780836</v>
      </c>
      <c r="E324" s="236">
        <f>-E130/E129</f>
        <v>-0.0213464696223317</v>
      </c>
      <c r="F324" s="236">
        <f>-F130/F129</f>
        <v>0.00890207715133531</v>
      </c>
      <c r="G324" s="236">
        <f>-G130/G129</f>
        <v>0.00884353741496599</v>
      </c>
      <c r="I324" s="222">
        <f>-I130/I129</f>
        <v>0.0645792563600783</v>
      </c>
      <c r="J324" s="222">
        <f>-J130/J129</f>
        <v>0.00835421888053467</v>
      </c>
      <c r="K324" s="222">
        <f>-K130/K129</f>
        <v>0.065959059893859</v>
      </c>
      <c r="L324" s="222">
        <f>-L130/L129</f>
        <v>-0.0481675392670157</v>
      </c>
      <c r="N324" s="222">
        <f>-N130/N129</f>
        <v>0.103601108033241</v>
      </c>
      <c r="O324" s="222">
        <f>-O130/O129</f>
        <v>-0.381052631578947</v>
      </c>
      <c r="P324" s="222">
        <f>-P130/P129</f>
        <v>-0.109298531810767</v>
      </c>
      <c r="Q324" s="222">
        <f>-Q130/Q129</f>
        <v>-0.0978260869565217</v>
      </c>
      <c r="S324" s="222">
        <f>-S130/S129</f>
        <v>0.0751471253961068</v>
      </c>
      <c r="T324" s="222">
        <f>-T130/T129</f>
        <v>0.113594040968343</v>
      </c>
      <c r="U324" s="222">
        <f>-U130/U129</f>
        <v>0.121554837483368</v>
      </c>
      <c r="V324" s="222">
        <f>-V130/V129</f>
        <v>0.129094002552105</v>
      </c>
      <c r="X324" s="222">
        <f>-X130/X129</f>
        <v>0.138781179466404</v>
      </c>
      <c r="Y324" s="222">
        <f>-Y130/Y129</f>
        <v>0.136098678047257</v>
      </c>
      <c r="Z324" s="222">
        <f>-Z130/Z129</f>
        <v>0.134746370317261</v>
      </c>
      <c r="AA324" s="222">
        <f>-AA130/AA129</f>
        <v>0.123963992544712</v>
      </c>
      <c r="AC324" s="222">
        <f>-AC130/AC129</f>
        <v>0.143085349155637</v>
      </c>
      <c r="AD324" s="222">
        <f>-AD130/AD129</f>
        <v>0.153303851823367</v>
      </c>
      <c r="AE324" s="222">
        <f>-AE130/AE129</f>
        <v>0.158846478279207</v>
      </c>
      <c r="AF324" s="222">
        <f>-AF130/AF129</f>
        <v>0.147585221635779</v>
      </c>
      <c r="AH324" s="222">
        <f>-AH130/AH129</f>
        <v>0.165686737336023</v>
      </c>
      <c r="AI324" s="222">
        <f>-AI130/AI129</f>
        <v>0.165284517599676</v>
      </c>
      <c r="AJ324" s="222">
        <f>-AJ130/AJ129</f>
        <v>0</v>
      </c>
      <c r="AK324" s="222">
        <f>-AK130/AK129</f>
        <v>0</v>
      </c>
      <c r="AM324" s="222">
        <f>-AM130/AM129</f>
        <v>0</v>
      </c>
      <c r="AN324" s="222">
        <f>-AN130/AN129</f>
        <v>0</v>
      </c>
      <c r="AO324" s="222">
        <f>-AO130/AO129</f>
        <v>0</v>
      </c>
      <c r="AP324" s="222">
        <f>-AP130/AP129</f>
        <v>0</v>
      </c>
      <c r="AR324" s="222">
        <f>-AR130/AR129</f>
        <v>0</v>
      </c>
      <c r="AS324" s="222">
        <f>-AS130/AS129</f>
        <v>0</v>
      </c>
      <c r="AT324" s="222">
        <f>-AT130/AT129</f>
        <v>0</v>
      </c>
      <c r="AU324" s="222">
        <f>-AU130/AU129</f>
        <v>0</v>
      </c>
      <c r="AW324" s="222">
        <f>-AW130/AW129</f>
        <v>0</v>
      </c>
      <c r="AX324" s="222">
        <f>-AX130/AX129</f>
        <v>0</v>
      </c>
      <c r="AY324" s="222">
        <f>-AY130/AY129</f>
        <v>0</v>
      </c>
      <c r="AZ324" s="222">
        <f>-AZ130/AZ129</f>
        <v>0</v>
      </c>
      <c r="BB324" s="222">
        <f>-BB130/BB129</f>
        <v>0</v>
      </c>
      <c r="BC324" s="222">
        <f>-BC130/BC129</f>
        <v>0</v>
      </c>
      <c r="BD324" s="222">
        <f>-BD130/BD129</f>
        <v>0</v>
      </c>
      <c r="BE324" s="222">
        <f>-BE130/BE129</f>
        <v>0</v>
      </c>
      <c r="BG324" s="222">
        <f>-BG130/BG129</f>
        <v>0</v>
      </c>
      <c r="BH324" s="222">
        <f>-BH130/BH129</f>
        <v>0</v>
      </c>
      <c r="BI324" s="222">
        <f>-BI130/BI129</f>
        <v>0</v>
      </c>
      <c r="BJ324" s="222">
        <f>-BJ130/BJ129</f>
        <v>0</v>
      </c>
      <c r="BL324" s="222">
        <f>-BL130/BL129</f>
        <v>0</v>
      </c>
      <c r="BM324" s="222">
        <f>-BM130/BM129</f>
        <v>0</v>
      </c>
      <c r="BN324" s="222">
        <f>-BN130/BN129</f>
        <v>0</v>
      </c>
      <c r="BO324" s="222">
        <f>-BO130/BO129</f>
        <v>0</v>
      </c>
      <c r="BQ324" s="222">
        <f>-BQ130/BQ129</f>
        <v>0</v>
      </c>
      <c r="BR324" s="222">
        <f>-BR130/BR129</f>
        <v>0</v>
      </c>
      <c r="BS324" s="222">
        <f>-BS130/BS129</f>
        <v>0</v>
      </c>
      <c r="BT324" s="222">
        <f>-BT130/BT129</f>
        <v>0</v>
      </c>
      <c r="BV324" s="222">
        <f>-BV130/BV129</f>
        <v>0</v>
      </c>
      <c r="BW324" s="222">
        <f>-BW130/BW129</f>
        <v>0</v>
      </c>
      <c r="BX324" s="222">
        <f>-BX130/BX129</f>
        <v>0</v>
      </c>
      <c r="BY324" s="222">
        <f>-BY130/BY129</f>
        <v>0</v>
      </c>
      <c r="CA324" s="222">
        <f>-CA130/CA129</f>
        <v>0</v>
      </c>
      <c r="CB324" s="222">
        <f>-CB130/CB129</f>
        <v>0</v>
      </c>
      <c r="CC324" s="222">
        <f>-CC130/CC129</f>
        <v>0</v>
      </c>
      <c r="CD324" s="222">
        <f>-CD130/CD129</f>
        <v>0</v>
      </c>
      <c r="CF324" s="222">
        <f>-CF130/CF129</f>
        <v>0</v>
      </c>
      <c r="CG324" s="222">
        <f>-CG130/CG129</f>
        <v>0</v>
      </c>
      <c r="CH324" s="222">
        <f>-CH130/CH129</f>
        <v>0</v>
      </c>
      <c r="CI324" s="222">
        <f>-CI130/CI129</f>
        <v>0</v>
      </c>
      <c r="CK324" s="222">
        <f>-CK130/CK129</f>
        <v>0</v>
      </c>
      <c r="CL324" s="222">
        <f>-CL130/CL129</f>
        <v>0</v>
      </c>
      <c r="CM324" s="222">
        <f>-CM130/CM129</f>
        <v>0</v>
      </c>
      <c r="CN324" s="222">
        <f>-CN130/CN129</f>
        <v>0</v>
      </c>
      <c r="CP324" s="222">
        <f>-CP130/CP129</f>
        <v>0</v>
      </c>
      <c r="CQ324" s="222">
        <f>-CQ130/CQ129</f>
        <v>0</v>
      </c>
      <c r="CR324" s="222">
        <f>-CR130/CR129</f>
        <v>0</v>
      </c>
      <c r="CS324" s="222">
        <f>-CS130/CS129</f>
        <v>0</v>
      </c>
      <c r="CU324" s="222">
        <f>-CU130/CU129</f>
        <v>0</v>
      </c>
      <c r="CV324" s="222">
        <f>-CV130/CV129</f>
        <v>0</v>
      </c>
      <c r="CW324" s="222">
        <f>-CW130/CW129</f>
        <v>0</v>
      </c>
      <c r="CX324" s="222">
        <f>-CX130/CX129</f>
        <v>0</v>
      </c>
    </row>
    <row r="325" customFormat="1" s="233">
      <c r="A325" s="224" t="n"/>
      <c r="B325" s="224" t="n"/>
    </row>
    <row r="326" customFormat="1" s="233">
      <c r="A326" s="224" t="n"/>
      <c r="B326" s="224" t="n"/>
      <c r="C326" s="234" t="inlineStr">
        <is>
          <t>CAPITAL STRUCTURE</t>
        </is>
      </c>
    </row>
    <row r="327" customFormat="1" s="233">
      <c r="A327" s="224" t="n"/>
      <c r="B327" s="224" t="n"/>
      <c r="C327" s="233" t="inlineStr">
        <is>
          <t>MARKET DEBT / EQUITY</t>
        </is>
      </c>
    </row>
    <row r="328" customFormat="1" s="233">
      <c r="A328" s="224" t="n"/>
      <c r="B328" s="224" t="n"/>
      <c r="C328" s="233" t="inlineStr">
        <is>
          <t>NET DEBT / (NET DEBT + MARKET CAP)</t>
        </is>
      </c>
    </row>
    <row r="329" customFormat="1" s="233">
      <c r="A329" s="224" t="n"/>
      <c r="B329" s="224" t="n"/>
    </row>
    <row r="330" customFormat="1" s="233">
      <c r="A330" s="224" t="n"/>
      <c r="B330" s="224" t="n"/>
      <c r="C330" s="234" t="inlineStr">
        <is>
          <t>FINANCIAL RISK RATIOS</t>
        </is>
      </c>
    </row>
    <row r="331" customFormat="1" s="233">
      <c r="A331" s="224" t="n"/>
      <c r="B331" s="224" t="n"/>
      <c r="C331" s="233" t="inlineStr">
        <is>
          <t>EBITDA / TOTAL INTEREST</t>
        </is>
      </c>
      <c r="D331" s="219">
        <f>D68/-D73</f>
        <v>43.32</v>
      </c>
      <c r="E331" s="219">
        <f>E68/-E73</f>
        <v>19.537037037037</v>
      </c>
      <c r="F331" s="219">
        <f>F68/-F73</f>
        <v>32.0188679245283</v>
      </c>
      <c r="G331" s="219">
        <f>G68/-G73</f>
        <v>33.8679245283019</v>
      </c>
      <c r="I331" s="219">
        <f>I68/-I73</f>
        <v>42.2075471698113</v>
      </c>
      <c r="J331" s="219">
        <f>J68/-J73</f>
        <v>45.5</v>
      </c>
      <c r="K331" s="219">
        <f>K68/-K73</f>
        <v>47.8870967741936</v>
      </c>
      <c r="L331" s="219">
        <f>L68/-L73</f>
        <v>53.7540983606557</v>
      </c>
      <c r="N331" s="219">
        <f>N68/-N73</f>
        <v>32.3823529411765</v>
      </c>
      <c r="O331" s="219">
        <f>O68/-O73</f>
        <v>13.4923076923077</v>
      </c>
      <c r="P331" s="219">
        <f>P68/-P73</f>
        <v>15.4923076923077</v>
      </c>
      <c r="Q331" s="219">
        <f>Q68/-Q73</f>
        <v>26.28125</v>
      </c>
      <c r="S331" s="219">
        <f>S68/-S73</f>
        <v>38.2424242424242</v>
      </c>
      <c r="T331" s="219">
        <f>T68/-T73</f>
        <v>110.230769230769</v>
      </c>
      <c r="U331" s="219">
        <f>U68/-U73</f>
        <v>171.253968253968</v>
      </c>
      <c r="V331" s="219">
        <f>V68/-V73</f>
        <v>222.238095238095</v>
      </c>
      <c r="X331" s="219">
        <f>X68/-X73</f>
        <v>270.609375</v>
      </c>
      <c r="Y331" s="219">
        <f>Y68/-Y73</f>
        <v>312.704918032787</v>
      </c>
      <c r="Z331" s="219">
        <f>Z68/-Z73</f>
        <v>366.344262295082</v>
      </c>
      <c r="AA331" s="219">
        <f>AA68/-AA73</f>
        <v>402.901639344262</v>
      </c>
      <c r="AC331" s="219">
        <f>AC68/-AC73</f>
        <v>353.15873015873</v>
      </c>
      <c r="AD331" s="219">
        <f>AD68/-AD73</f>
        <v>469.5</v>
      </c>
      <c r="AE331" s="219">
        <f>AE68/-AE73</f>
        <v>602.639344262295</v>
      </c>
      <c r="AF331" s="219">
        <f>AF68/-AF73</f>
        <v>617.958904109589</v>
      </c>
      <c r="AH331" s="219">
        <f>AH68/-AH73</f>
        <v>534.637254901961</v>
      </c>
      <c r="AI331" s="219">
        <f>AI68/-AI73</f>
        <v>285.73127753304</v>
      </c>
      <c r="AJ331" s="219" t="e">
        <f>AJ68/-AJ73</f>
        <v>#DIV/0!</v>
      </c>
      <c r="AK331" s="219" t="e">
        <f>AK68/-AK73</f>
        <v>#DIV/0!</v>
      </c>
      <c r="AM331" s="219" t="e">
        <f>AM68/-AM73</f>
        <v>#DIV/0!</v>
      </c>
      <c r="AN331" s="219" t="e">
        <f>AN68/-AN73</f>
        <v>#DIV/0!</v>
      </c>
      <c r="AO331" s="219" t="e">
        <f>AO68/-AO73</f>
        <v>#DIV/0!</v>
      </c>
      <c r="AP331" s="219" t="e">
        <f>AP68/-AP73</f>
        <v>#DIV/0!</v>
      </c>
      <c r="AR331" s="219" t="e">
        <f>AR68/-AR73</f>
        <v>#DIV/0!</v>
      </c>
      <c r="AS331" s="219" t="e">
        <f>AS68/-AS73</f>
        <v>#DIV/0!</v>
      </c>
      <c r="AT331" s="219" t="e">
        <f>AT68/-AT73</f>
        <v>#DIV/0!</v>
      </c>
      <c r="AU331" s="219" t="e">
        <f>AU68/-AU73</f>
        <v>#DIV/0!</v>
      </c>
      <c r="AW331" s="219" t="e">
        <f>AW68/-AW73</f>
        <v>#DIV/0!</v>
      </c>
      <c r="AX331" s="219" t="e">
        <f>AX68/-AX73</f>
        <v>#DIV/0!</v>
      </c>
      <c r="AY331" s="219" t="e">
        <f>AY68/-AY73</f>
        <v>#DIV/0!</v>
      </c>
      <c r="AZ331" s="219" t="e">
        <f>AZ68/-AZ73</f>
        <v>#DIV/0!</v>
      </c>
      <c r="BB331" s="219" t="e">
        <f>BB68/-BB73</f>
        <v>#DIV/0!</v>
      </c>
      <c r="BC331" s="219" t="e">
        <f>BC68/-BC73</f>
        <v>#DIV/0!</v>
      </c>
      <c r="BD331" s="219" t="e">
        <f>BD68/-BD73</f>
        <v>#DIV/0!</v>
      </c>
      <c r="BE331" s="219" t="e">
        <f>BE68/-BE73</f>
        <v>#DIV/0!</v>
      </c>
      <c r="BG331" s="219" t="e">
        <f>BG68/-BG73</f>
        <v>#DIV/0!</v>
      </c>
      <c r="BH331" s="219" t="e">
        <f>BH68/-BH73</f>
        <v>#DIV/0!</v>
      </c>
      <c r="BI331" s="219" t="e">
        <f>BI68/-BI73</f>
        <v>#DIV/0!</v>
      </c>
      <c r="BJ331" s="219" t="e">
        <f>BJ68/-BJ73</f>
        <v>#DIV/0!</v>
      </c>
      <c r="BL331" s="219" t="e">
        <f>BL68/-BL73</f>
        <v>#DIV/0!</v>
      </c>
      <c r="BM331" s="219" t="e">
        <f>BM68/-BM73</f>
        <v>#DIV/0!</v>
      </c>
      <c r="BN331" s="219" t="e">
        <f>BN68/-BN73</f>
        <v>#DIV/0!</v>
      </c>
      <c r="BO331" s="219" t="e">
        <f>BO68/-BO73</f>
        <v>#DIV/0!</v>
      </c>
      <c r="BQ331" s="219" t="e">
        <f>BQ68/-BQ73</f>
        <v>#DIV/0!</v>
      </c>
      <c r="BR331" s="219" t="e">
        <f>BR68/-BR73</f>
        <v>#DIV/0!</v>
      </c>
      <c r="BS331" s="219" t="e">
        <f>BS68/-BS73</f>
        <v>#DIV/0!</v>
      </c>
      <c r="BT331" s="219" t="e">
        <f>BT68/-BT73</f>
        <v>#DIV/0!</v>
      </c>
      <c r="BV331" s="219" t="e">
        <f>BV68/-BV73</f>
        <v>#DIV/0!</v>
      </c>
      <c r="BW331" s="219" t="e">
        <f>BW68/-BW73</f>
        <v>#DIV/0!</v>
      </c>
      <c r="BX331" s="219" t="e">
        <f>BX68/-BX73</f>
        <v>#DIV/0!</v>
      </c>
      <c r="BY331" s="219" t="e">
        <f>BY68/-BY73</f>
        <v>#DIV/0!</v>
      </c>
      <c r="CA331" s="219" t="e">
        <f>CA68/-CA73</f>
        <v>#DIV/0!</v>
      </c>
      <c r="CB331" s="219" t="e">
        <f>CB68/-CB73</f>
        <v>#DIV/0!</v>
      </c>
      <c r="CC331" s="219" t="e">
        <f>CC68/-CC73</f>
        <v>#DIV/0!</v>
      </c>
      <c r="CD331" s="219" t="e">
        <f>CD68/-CD73</f>
        <v>#DIV/0!</v>
      </c>
      <c r="CF331" s="219" t="e">
        <f>CF68/-CF73</f>
        <v>#DIV/0!</v>
      </c>
      <c r="CG331" s="219" t="e">
        <f>CG68/-CG73</f>
        <v>#DIV/0!</v>
      </c>
      <c r="CH331" s="219" t="e">
        <f>CH68/-CH73</f>
        <v>#DIV/0!</v>
      </c>
      <c r="CI331" s="219" t="e">
        <f>CI68/-CI73</f>
        <v>#DIV/0!</v>
      </c>
      <c r="CK331" s="219" t="e">
        <f>CK68/-CK73</f>
        <v>#DIV/0!</v>
      </c>
      <c r="CL331" s="219" t="e">
        <f>CL68/-CL73</f>
        <v>#DIV/0!</v>
      </c>
      <c r="CM331" s="219" t="e">
        <f>CM68/-CM73</f>
        <v>#DIV/0!</v>
      </c>
      <c r="CN331" s="219" t="e">
        <f>CN68/-CN73</f>
        <v>#DIV/0!</v>
      </c>
      <c r="CP331" s="219" t="e">
        <f>CP68/-CP73</f>
        <v>#DIV/0!</v>
      </c>
      <c r="CQ331" s="219" t="e">
        <f>CQ68/-CQ73</f>
        <v>#DIV/0!</v>
      </c>
      <c r="CR331" s="219" t="e">
        <f>CR68/-CR73</f>
        <v>#DIV/0!</v>
      </c>
      <c r="CS331" s="219" t="e">
        <f>CS68/-CS73</f>
        <v>#DIV/0!</v>
      </c>
      <c r="CU331" s="219" t="e">
        <f>CU68/-CU73</f>
        <v>#DIV/0!</v>
      </c>
      <c r="CV331" s="219" t="e">
        <f>CV68/-CV73</f>
        <v>#DIV/0!</v>
      </c>
      <c r="CW331" s="219" t="e">
        <f>CW68/-CW73</f>
        <v>#DIV/0!</v>
      </c>
      <c r="CX331" s="219" t="e">
        <f>CX68/-CX73</f>
        <v>#DIV/0!</v>
      </c>
    </row>
    <row r="332" customFormat="1" s="233">
      <c r="A332" s="224" t="n"/>
      <c r="B332" s="224" t="n"/>
      <c r="C332" s="233" t="inlineStr">
        <is>
          <t>(EBITDA - CAPEX) / TOTAL INTEREST</t>
        </is>
      </c>
      <c r="D332" s="219">
        <f>(D68-D167)/-D73</f>
        <v>43.32</v>
      </c>
      <c r="E332" s="219">
        <f>(E68-E167)/-E73</f>
        <v>7.44444444444445</v>
      </c>
      <c r="F332" s="219">
        <f>(F68-F167)/-F73</f>
        <v>24.5849056603774</v>
      </c>
      <c r="G332" s="219">
        <f>(G68-G167)/-G73</f>
        <v>26.7358490566038</v>
      </c>
      <c r="I332" s="219">
        <f>(I68-I167)/-I73</f>
        <v>34.6603773584906</v>
      </c>
      <c r="J332" s="219">
        <f>(J68-J167)/-J73</f>
        <v>39.1333333333333</v>
      </c>
      <c r="K332" s="219">
        <f>(K68-K167)/-K73</f>
        <v>40.741935483871</v>
      </c>
      <c r="L332" s="219">
        <f>(L68-L167)/-L73</f>
        <v>44.2786885245902</v>
      </c>
      <c r="N332" s="219">
        <f>(N68-N167)/-N73</f>
        <v>25.4411764705882</v>
      </c>
      <c r="O332" s="219">
        <f>(O68-O167)/-O73</f>
        <v>2.8</v>
      </c>
      <c r="P332" s="219">
        <f>(P68-P167)/-P73</f>
        <v>0.923076923076923</v>
      </c>
      <c r="Q332" s="219">
        <f>(Q68-Q167)/-Q73</f>
        <v>19.109375</v>
      </c>
      <c r="S332" s="219">
        <f>(S68-S167)/-S73</f>
        <v>33.4393939393939</v>
      </c>
      <c r="T332" s="219">
        <f>(T68-T167)/-T73</f>
        <v>103.707692307692</v>
      </c>
      <c r="U332" s="219">
        <f>(U68-U167)/-U73</f>
        <v>164.634920634921</v>
      </c>
      <c r="V332" s="219">
        <f>(V68-V167)/-V73</f>
        <v>214.984126984127</v>
      </c>
      <c r="X332" s="219">
        <f>(X68-X167)/-X73</f>
        <v>262.765625</v>
      </c>
      <c r="Y332" s="219">
        <f>(Y68-Y167)/-Y73</f>
        <v>291.196721311475</v>
      </c>
      <c r="Z332" s="219">
        <f>(Z68-Z167)/-Z73</f>
        <v>351</v>
      </c>
      <c r="AA332" s="219">
        <f>(AA68-AA167)/-AA73</f>
        <v>378.590163934426</v>
      </c>
      <c r="AC332" s="219">
        <f>(AC68-AC167)/-AC73</f>
        <v>329.920634920635</v>
      </c>
      <c r="AD332" s="219">
        <f>(AD68-AD167)/-AD73</f>
        <v>426.370967741936</v>
      </c>
      <c r="AE332" s="219">
        <f>(AE68-AE167)/-AE73</f>
        <v>579.852459016394</v>
      </c>
      <c r="AF332" s="219">
        <f>(AF68-AF167)/-AF73</f>
        <v>598.575342465754</v>
      </c>
      <c r="AH332" s="219">
        <f>(AH68-AH167)/-AH73</f>
        <v>505.058823529412</v>
      </c>
      <c r="AI332" s="219">
        <f>(AI68-AI167)/-AI73</f>
        <v>272.47577092511</v>
      </c>
      <c r="AJ332" s="219" t="e">
        <f>(AJ68-AJ167)/-AJ73</f>
        <v>#DIV/0!</v>
      </c>
      <c r="AK332" s="219" t="e">
        <f>(AK68-AK167)/-AK73</f>
        <v>#DIV/0!</v>
      </c>
      <c r="AM332" s="219" t="e">
        <f>(AM68-AM167)/-AM73</f>
        <v>#DIV/0!</v>
      </c>
      <c r="AN332" s="219" t="e">
        <f>(AN68-AN167)/-AN73</f>
        <v>#DIV/0!</v>
      </c>
      <c r="AO332" s="219" t="e">
        <f>(AO68-AO167)/-AO73</f>
        <v>#DIV/0!</v>
      </c>
      <c r="AP332" s="219" t="e">
        <f>(AP68-AP167)/-AP73</f>
        <v>#DIV/0!</v>
      </c>
      <c r="AR332" s="219" t="e">
        <f>(AR68-AR167)/-AR73</f>
        <v>#DIV/0!</v>
      </c>
      <c r="AS332" s="219" t="e">
        <f>(AS68-AS167)/-AS73</f>
        <v>#DIV/0!</v>
      </c>
      <c r="AT332" s="219" t="e">
        <f>(AT68-AT167)/-AT73</f>
        <v>#DIV/0!</v>
      </c>
      <c r="AU332" s="219" t="e">
        <f>(AU68-AU167)/-AU73</f>
        <v>#DIV/0!</v>
      </c>
      <c r="AW332" s="219" t="e">
        <f>(AW68-AW167)/-AW73</f>
        <v>#DIV/0!</v>
      </c>
      <c r="AX332" s="219" t="e">
        <f>(AX68-AX167)/-AX73</f>
        <v>#DIV/0!</v>
      </c>
      <c r="AY332" s="219" t="e">
        <f>(AY68-AY167)/-AY73</f>
        <v>#DIV/0!</v>
      </c>
      <c r="AZ332" s="219" t="e">
        <f>(AZ68-AZ167)/-AZ73</f>
        <v>#DIV/0!</v>
      </c>
      <c r="BB332" s="219" t="e">
        <f>(BB68-BB167)/-BB73</f>
        <v>#DIV/0!</v>
      </c>
      <c r="BC332" s="219" t="e">
        <f>(BC68-BC167)/-BC73</f>
        <v>#DIV/0!</v>
      </c>
      <c r="BD332" s="219" t="e">
        <f>(BD68-BD167)/-BD73</f>
        <v>#DIV/0!</v>
      </c>
      <c r="BE332" s="219" t="e">
        <f>(BE68-BE167)/-BE73</f>
        <v>#DIV/0!</v>
      </c>
      <c r="BG332" s="219" t="e">
        <f>(BG68-BG167)/-BG73</f>
        <v>#DIV/0!</v>
      </c>
      <c r="BH332" s="219" t="e">
        <f>(BH68-BH167)/-BH73</f>
        <v>#DIV/0!</v>
      </c>
      <c r="BI332" s="219" t="e">
        <f>(BI68-BI167)/-BI73</f>
        <v>#DIV/0!</v>
      </c>
      <c r="BJ332" s="219" t="e">
        <f>(BJ68-BJ167)/-BJ73</f>
        <v>#DIV/0!</v>
      </c>
      <c r="BL332" s="219" t="e">
        <f>(BL68-BL167)/-BL73</f>
        <v>#DIV/0!</v>
      </c>
      <c r="BM332" s="219" t="e">
        <f>(BM68-BM167)/-BM73</f>
        <v>#DIV/0!</v>
      </c>
      <c r="BN332" s="219" t="e">
        <f>(BN68-BN167)/-BN73</f>
        <v>#DIV/0!</v>
      </c>
      <c r="BO332" s="219" t="e">
        <f>(BO68-BO167)/-BO73</f>
        <v>#DIV/0!</v>
      </c>
      <c r="BQ332" s="219" t="e">
        <f>(BQ68-BQ167)/-BQ73</f>
        <v>#DIV/0!</v>
      </c>
      <c r="BR332" s="219" t="e">
        <f>(BR68-BR167)/-BR73</f>
        <v>#DIV/0!</v>
      </c>
      <c r="BS332" s="219" t="e">
        <f>(BS68-BS167)/-BS73</f>
        <v>#DIV/0!</v>
      </c>
      <c r="BT332" s="219" t="e">
        <f>(BT68-BT167)/-BT73</f>
        <v>#DIV/0!</v>
      </c>
      <c r="BV332" s="219" t="e">
        <f>(BV68-BV167)/-BV73</f>
        <v>#DIV/0!</v>
      </c>
      <c r="BW332" s="219" t="e">
        <f>(BW68-BW167)/-BW73</f>
        <v>#DIV/0!</v>
      </c>
      <c r="BX332" s="219" t="e">
        <f>(BX68-BX167)/-BX73</f>
        <v>#DIV/0!</v>
      </c>
      <c r="BY332" s="219" t="e">
        <f>(BY68-BY167)/-BY73</f>
        <v>#DIV/0!</v>
      </c>
      <c r="CA332" s="219" t="e">
        <f>(CA68-CA167)/-CA73</f>
        <v>#DIV/0!</v>
      </c>
      <c r="CB332" s="219" t="e">
        <f>(CB68-CB167)/-CB73</f>
        <v>#DIV/0!</v>
      </c>
      <c r="CC332" s="219" t="e">
        <f>(CC68-CC167)/-CC73</f>
        <v>#DIV/0!</v>
      </c>
      <c r="CD332" s="219" t="e">
        <f>(CD68-CD167)/-CD73</f>
        <v>#DIV/0!</v>
      </c>
      <c r="CF332" s="219" t="e">
        <f>(CF68-CF167)/-CF73</f>
        <v>#DIV/0!</v>
      </c>
      <c r="CG332" s="219" t="e">
        <f>(CG68-CG167)/-CG73</f>
        <v>#DIV/0!</v>
      </c>
      <c r="CH332" s="219" t="e">
        <f>(CH68-CH167)/-CH73</f>
        <v>#DIV/0!</v>
      </c>
      <c r="CI332" s="219" t="e">
        <f>(CI68-CI167)/-CI73</f>
        <v>#DIV/0!</v>
      </c>
      <c r="CK332" s="219" t="e">
        <f>(CK68-CK167)/-CK73</f>
        <v>#DIV/0!</v>
      </c>
      <c r="CL332" s="219" t="e">
        <f>(CL68-CL167)/-CL73</f>
        <v>#DIV/0!</v>
      </c>
      <c r="CM332" s="219" t="e">
        <f>(CM68-CM167)/-CM73</f>
        <v>#DIV/0!</v>
      </c>
      <c r="CN332" s="219" t="e">
        <f>(CN68-CN167)/-CN73</f>
        <v>#DIV/0!</v>
      </c>
      <c r="CP332" s="219" t="e">
        <f>(CP68-CP167)/-CP73</f>
        <v>#DIV/0!</v>
      </c>
      <c r="CQ332" s="219" t="e">
        <f>(CQ68-CQ167)/-CQ73</f>
        <v>#DIV/0!</v>
      </c>
      <c r="CR332" s="219" t="e">
        <f>(CR68-CR167)/-CR73</f>
        <v>#DIV/0!</v>
      </c>
      <c r="CS332" s="219" t="e">
        <f>(CS68-CS167)/-CS73</f>
        <v>#DIV/0!</v>
      </c>
      <c r="CU332" s="219" t="e">
        <f>(CU68-CU167)/-CU73</f>
        <v>#DIV/0!</v>
      </c>
      <c r="CV332" s="219" t="e">
        <f>(CV68-CV167)/-CV73</f>
        <v>#DIV/0!</v>
      </c>
      <c r="CW332" s="219" t="e">
        <f>(CW68-CW167)/-CW73</f>
        <v>#DIV/0!</v>
      </c>
      <c r="CX332" s="219" t="e">
        <f>(CX68-CX167)/-CX73</f>
        <v>#DIV/0!</v>
      </c>
    </row>
    <row r="333" customFormat="1" s="233">
      <c r="A333" s="224" t="n"/>
      <c r="B333" s="224" t="n"/>
      <c r="C333" s="233" t="inlineStr">
        <is>
          <t>TOTAL DEBT / EBITDA LTM</t>
        </is>
      </c>
      <c r="D333" s="219" t="str">
        <f>""</f>
        <v/>
      </c>
      <c r="E333" s="219" t="str">
        <f>""</f>
        <v/>
      </c>
      <c r="F333" s="219" t="str">
        <f>""</f>
        <v/>
      </c>
      <c r="G333" s="219">
        <f>IFERROR(SUM(G211,G212,G213,G216,G234,G237)/(G68+F68+E68+D68),"")</f>
        <v>1.349378330373</v>
      </c>
      <c r="I333" s="219">
        <f>IFERROR(SUM(I211,I212,I213,I216,I234,I237)/(I68+G68+F68+E68),"")</f>
        <v>1.12072523584906</v>
      </c>
      <c r="J333" s="219">
        <f>IFERROR(SUM(J211,J212,J213,J216,J234,J237)/(J68+I68+G68+F68),"")</f>
        <v>1.49651259014068</v>
      </c>
      <c r="K333" s="219">
        <f>IFERROR(SUM(K211,K212,K213,K216,K234,K237)/(K68+J68+I68+G68),"")</f>
        <v>1.20100709074093</v>
      </c>
      <c r="L333" s="219">
        <f>IFERROR(SUM(L211,L212,L213,L216,L234,L237)/(L68+K68+J68+I68),"")</f>
        <v>1.04208649130629</v>
      </c>
      <c r="N333" s="219">
        <f>IFERROR(SUM(N211,N212,N213,N216,N234,N237)/(N68+L68+K68+J68),"")</f>
        <v>1.04642218246869</v>
      </c>
      <c r="O333" s="219">
        <f>IFERROR(SUM(O211,O212,O213,O216,O234,O237)/(O68+N68+L68+K68),"")</f>
        <v>1.25356491905221</v>
      </c>
      <c r="P333" s="219">
        <f>IFERROR(SUM(P211,P212,P213,P216,P234,P237)/(P68+O68+N68+L68),"")</f>
        <v>1.59511201629328</v>
      </c>
      <c r="Q333" s="219">
        <f>IFERROR(SUM(Q211,Q212,Q213,Q216,Q234,Q237)/(Q68+P68+O68+N68),"")</f>
        <v>2.05530513176144</v>
      </c>
      <c r="S333" s="219">
        <f>IFERROR(SUM(S211,S212,S213,S216,S234,S237)/(S68+Q68+P68+O68),"")</f>
        <v>1.95287356321839</v>
      </c>
      <c r="T333" s="219">
        <f>IFERROR(SUM(T211,T212,T213,T216,T234,T237)/(T68+S68+Q68+P68),"")</f>
        <v>0.868153174987882</v>
      </c>
      <c r="U333" s="219">
        <f>IFERROR(SUM(U211,U212,U213,U216,U234,U237)/(U68+T68+S68+Q68),"")</f>
        <v>0.487229241877256</v>
      </c>
      <c r="V333" s="219">
        <f>IFERROR(SUM(V211,V212,V213,V216,V234,V237)/(V68+U68+T68+S68),"")</f>
        <v>0.314046231039183</v>
      </c>
      <c r="X333" s="219">
        <f>IFERROR(SUM(X211,X212,X213,X216,X234,X237)/(X68+V68+U68+T68),"")</f>
        <v>0.223058813978975</v>
      </c>
      <c r="Y333" s="219">
        <f>IFERROR(SUM(Y211,Y212,Y213,Y216,Y234,Y237)/(Y68+X68+V68+U68),"")</f>
        <v>0.15960054916318</v>
      </c>
      <c r="Z333" s="219">
        <f>IFERROR(SUM(Z211,Z212,Z213,Z216,Z234,Z237)/(Z68+Y68+X68+V68),"")</f>
        <v>0.136812295510159</v>
      </c>
      <c r="AA333" s="219">
        <f>IFERROR(SUM(AA211,AA212,AA213,AA216,AA234,AA237)/(AA68+Z68+Y68+X68),"")</f>
        <v>0.119806044312153</v>
      </c>
      <c r="AC333" s="219">
        <f>IFERROR(SUM(AC211,AC212,AC213,AC216,AC234,AC237)/(AC68+AA68+Z68+Y68),"")</f>
        <v>0.11314704015955</v>
      </c>
      <c r="AD333" s="219">
        <f>IFERROR(SUM(AD211,AD212,AD213,AD216,AD234,AD237)/(AD68+AC68+AA68+Z68),"")</f>
        <v>0.104769947701512</v>
      </c>
      <c r="AE333" s="219">
        <f>IFERROR(SUM(AE211,AE212,AE213,AE216,AE234,AE237)/(AE68+AD68+AC68+AA68),"")</f>
        <v>0.0930024135727976</v>
      </c>
      <c r="AF333" s="219">
        <f>IFERROR(SUM(AF211,AF212,AF213,AF216,AF234,AF237)/(AF68+AE68+AD68+AC68),"")</f>
        <v>0.082864219770322</v>
      </c>
      <c r="AH333" s="219">
        <f>IFERROR(SUM(AH211,AH212,AH213,AH216,AH234,AH237)/(AH68+AF68+AE68+AD68),"")</f>
        <v>0.0746039609942361</v>
      </c>
      <c r="AI333" s="219">
        <f>IFERROR(SUM(AI211,AI212,AI213,AI216,AI234,AI237)/(AI68+AH68+AF68+AE68),"")</f>
        <v>0.190548825931851</v>
      </c>
      <c r="AJ333" s="219">
        <f>IFERROR(SUM(AJ211,AJ212,AJ213,AJ216,AJ234,AJ237)/(AJ68+AI68+AH68+AF68),"")</f>
        <v>0.233129692106623</v>
      </c>
      <c r="AK333" s="219">
        <f>IFERROR(SUM(AK211,AK212,AK213,AK216,AK234,AK237)/(AK68+AJ68+AI68+AH68),"")</f>
        <v>0.321213796338174</v>
      </c>
      <c r="AM333" s="219">
        <f>IFERROR(SUM(AM211,AM212,AM213,AM216,AM234,AM237)/(AM68+AK68+AJ68+AI68),"")</f>
        <v>0.59127981375557</v>
      </c>
      <c r="AN333" s="219" t="str">
        <f>IFERROR(SUM(AN211,AN212,AN213,AN216,AN234,AN237)/(AN68+AM68+AK68+AJ68),"")</f>
        <v/>
      </c>
      <c r="AO333" s="219" t="str">
        <f>IFERROR(SUM(AO211,AO212,AO213,AO216,AO234,AO237)/(AO68+AN68+AM68+AK68),"")</f>
        <v/>
      </c>
      <c r="AP333" s="219" t="str">
        <f>IFERROR(SUM(AP211,AP212,AP213,AP216,AP234,AP237)/(AP68+AO68+AN68+AM68),"")</f>
        <v/>
      </c>
      <c r="AR333" s="219" t="str">
        <f>IFERROR(SUM(AR211,AR212,AR213,AR216,AR234,AR237)/(AR68+AP68+AO68+AN68),"")</f>
        <v/>
      </c>
      <c r="AS333" s="219" t="str">
        <f>IFERROR(SUM(AS211,AS212,AS213,AS216,AS234,AS237)/(AS68+AR68+AP68+AO68),"")</f>
        <v/>
      </c>
      <c r="AT333" s="219" t="str">
        <f>IFERROR(SUM(AT211,AT212,AT213,AT216,AT234,AT237)/(AT68+AS68+AR68+AP68),"")</f>
        <v/>
      </c>
      <c r="AU333" s="219" t="str">
        <f>IFERROR(SUM(AU211,AU212,AU213,AU216,AU234,AU237)/(AU68+AT68+AS68+AR68),"")</f>
        <v/>
      </c>
      <c r="AW333" s="219" t="str">
        <f>IFERROR(SUM(AW211,AW212,AW213,AW216,AW234,AW237)/(AW68+AU68+AT68+AS68),"")</f>
        <v/>
      </c>
      <c r="AX333" s="219" t="str">
        <f>IFERROR(SUM(AX211,AX212,AX213,AX216,AX234,AX237)/(AX68+AW68+AU68+AT68),"")</f>
        <v/>
      </c>
      <c r="AY333" s="219" t="str">
        <f>IFERROR(SUM(AY211,AY212,AY213,AY216,AY234,AY237)/(AY68+AX68+AW68+AU68),"")</f>
        <v/>
      </c>
      <c r="AZ333" s="219" t="str">
        <f>IFERROR(SUM(AZ211,AZ212,AZ213,AZ216,AZ234,AZ237)/(AZ68+AY68+AX68+AW68),"")</f>
        <v/>
      </c>
      <c r="BB333" s="219" t="str">
        <f>IFERROR(SUM(BB211,BB212,BB213,BB216,BB234,BB237)/(BB68+AZ68+AY68+AX68),"")</f>
        <v/>
      </c>
      <c r="BC333" s="219" t="str">
        <f>IFERROR(SUM(BC211,BC212,BC213,BC216,BC234,BC237)/(BC68+BB68+AZ68+AY68),"")</f>
        <v/>
      </c>
      <c r="BD333" s="219" t="str">
        <f>IFERROR(SUM(BD211,BD212,BD213,BD216,BD234,BD237)/(BD68+BC68+BB68+AZ68),"")</f>
        <v/>
      </c>
      <c r="BE333" s="219" t="str">
        <f>IFERROR(SUM(BE211,BE212,BE213,BE216,BE234,BE237)/(BE68+BD68+BC68+BB68),"")</f>
        <v/>
      </c>
      <c r="BG333" s="219" t="str">
        <f>IFERROR(SUM(BG211,BG212,BG213,BG216,BG234,BG237)/(BG68+BE68+BD68+BC68),"")</f>
        <v/>
      </c>
      <c r="BH333" s="219" t="str">
        <f>IFERROR(SUM(BH211,BH212,BH213,BH216,BH234,BH237)/(BH68+BG68+BE68+BD68),"")</f>
        <v/>
      </c>
      <c r="BI333" s="219" t="str">
        <f>IFERROR(SUM(BI211,BI212,BI213,BI216,BI234,BI237)/(BI68+BH68+BG68+BE68),"")</f>
        <v/>
      </c>
      <c r="BJ333" s="219" t="str">
        <f>IFERROR(SUM(BJ211,BJ212,BJ213,BJ216,BJ234,BJ237)/(BJ68+BI68+BH68+BG68),"")</f>
        <v/>
      </c>
      <c r="BL333" s="219" t="str">
        <f>IFERROR(SUM(BL211,BL212,BL213,BL216,BL234,BL237)/(BL68+BJ68+BI68+BH68),"")</f>
        <v/>
      </c>
      <c r="BM333" s="219" t="str">
        <f>IFERROR(SUM(BM211,BM212,BM213,BM216,BM234,BM237)/(BM68+BL68+BJ68+BI68),"")</f>
        <v/>
      </c>
      <c r="BN333" s="219" t="str">
        <f>IFERROR(SUM(BN211,BN212,BN213,BN216,BN234,BN237)/(BN68+BM68+BL68+BJ68),"")</f>
        <v/>
      </c>
      <c r="BO333" s="219" t="str">
        <f>IFERROR(SUM(BO211,BO212,BO213,BO216,BO234,BO237)/(BO68+BN68+BM68+BL68),"")</f>
        <v/>
      </c>
      <c r="BQ333" s="219" t="str">
        <f>IFERROR(SUM(BQ211,BQ212,BQ213,BQ216,BQ234,BQ237)/(BQ68+BO68+BN68+BM68),"")</f>
        <v/>
      </c>
      <c r="BR333" s="219" t="str">
        <f>IFERROR(SUM(BR211,BR212,BR213,BR216,BR234,BR237)/(BR68+BQ68+BO68+BN68),"")</f>
        <v/>
      </c>
      <c r="BS333" s="219" t="str">
        <f>IFERROR(SUM(BS211,BS212,BS213,BS216,BS234,BS237)/(BS68+BR68+BQ68+BO68),"")</f>
        <v/>
      </c>
      <c r="BT333" s="219" t="str">
        <f>IFERROR(SUM(BT211,BT212,BT213,BT216,BT234,BT237)/(BT68+BS68+BR68+BQ68),"")</f>
        <v/>
      </c>
      <c r="BV333" s="219" t="str">
        <f>IFERROR(SUM(BV211,BV212,BV213,BV216,BV234,BV237)/(BV68+BT68+BS68+BR68),"")</f>
        <v/>
      </c>
      <c r="BW333" s="219" t="str">
        <f>IFERROR(SUM(BW211,BW212,BW213,BW216,BW234,BW237)/(BW68+BV68+BT68+BS68),"")</f>
        <v/>
      </c>
      <c r="BX333" s="219" t="str">
        <f>IFERROR(SUM(BX211,BX212,BX213,BX216,BX234,BX237)/(BX68+BW68+BV68+BT68),"")</f>
        <v/>
      </c>
      <c r="BY333" s="219" t="str">
        <f>IFERROR(SUM(BY211,BY212,BY213,BY216,BY234,BY237)/(BY68+BX68+BW68+BV68),"")</f>
        <v/>
      </c>
      <c r="CA333" s="219" t="str">
        <f>IFERROR(SUM(CA211,CA212,CA213,CA216,CA234,CA237)/(CA68+BY68+BX68+BW68),"")</f>
        <v/>
      </c>
      <c r="CB333" s="219" t="str">
        <f>IFERROR(SUM(CB211,CB212,CB213,CB216,CB234,CB237)/(CB68+CA68+BY68+BX68),"")</f>
        <v/>
      </c>
      <c r="CC333" s="219" t="str">
        <f>IFERROR(SUM(CC211,CC212,CC213,CC216,CC234,CC237)/(CC68+CB68+CA68+BY68),"")</f>
        <v/>
      </c>
      <c r="CD333" s="219" t="str">
        <f>IFERROR(SUM(CD211,CD212,CD213,CD216,CD234,CD237)/(CD68+CC68+CB68+CA68),"")</f>
        <v/>
      </c>
      <c r="CF333" s="219" t="str">
        <f>IFERROR(SUM(CF211,CF212,CF213,CF216,CF234,CF237)/(CF68+CD68+CC68+CB68),"")</f>
        <v/>
      </c>
      <c r="CG333" s="219" t="str">
        <f>IFERROR(SUM(CG211,CG212,CG213,CG216,CG234,CG237)/(CG68+CF68+CD68+CC68),"")</f>
        <v/>
      </c>
      <c r="CH333" s="219" t="str">
        <f>IFERROR(SUM(CH211,CH212,CH213,CH216,CH234,CH237)/(CH68+CG68+CF68+CD68),"")</f>
        <v/>
      </c>
      <c r="CI333" s="219" t="str">
        <f>IFERROR(SUM(CI211,CI212,CI213,CI216,CI234,CI237)/(CI68+CH68+CG68+CF68),"")</f>
        <v/>
      </c>
      <c r="CK333" s="219" t="str">
        <f>IFERROR(SUM(CK211,CK212,CK213,CK216,CK234,CK237)/(CK68+CI68+CH68+CG68),"")</f>
        <v/>
      </c>
      <c r="CL333" s="219" t="str">
        <f>IFERROR(SUM(CL211,CL212,CL213,CL216,CL234,CL237)/(CL68+CK68+CI68+CH68),"")</f>
        <v/>
      </c>
      <c r="CM333" s="219" t="str">
        <f>IFERROR(SUM(CM211,CM212,CM213,CM216,CM234,CM237)/(CM68+CL68+CK68+CI68),"")</f>
        <v/>
      </c>
      <c r="CN333" s="219" t="str">
        <f>IFERROR(SUM(CN211,CN212,CN213,CN216,CN234,CN237)/(CN68+CM68+CL68+CK68),"")</f>
        <v/>
      </c>
      <c r="CP333" s="219" t="str">
        <f>IFERROR(SUM(CP211,CP212,CP213,CP216,CP234,CP237)/(CP68+CN68+CM68+CL68),"")</f>
        <v/>
      </c>
      <c r="CQ333" s="219" t="str">
        <f>IFERROR(SUM(CQ211,CQ212,CQ213,CQ216,CQ234,CQ237)/(CQ68+CP68+CN68+CM68),"")</f>
        <v/>
      </c>
      <c r="CR333" s="219" t="str">
        <f>IFERROR(SUM(CR211,CR212,CR213,CR216,CR234,CR237)/(CR68+CQ68+CP68+CN68),"")</f>
        <v/>
      </c>
      <c r="CS333" s="219" t="str">
        <f>IFERROR(SUM(CS211,CS212,CS213,CS216,CS234,CS237)/(CS68+CR68+CQ68+CP68),"")</f>
        <v/>
      </c>
      <c r="CU333" s="219" t="str">
        <f>IFERROR(SUM(CU211,CU212,CU213,CU216,CU234,CU237)/(CU68+CS68+CR68+CQ68),"")</f>
        <v/>
      </c>
      <c r="CV333" s="219" t="str">
        <f>IFERROR(SUM(CV211,CV212,CV213,CV216,CV234,CV237)/(CV68+CU68+CS68+CR68),"")</f>
        <v/>
      </c>
      <c r="CW333" s="219" t="str">
        <f>IFERROR(SUM(CW211,CW212,CW213,CW216,CW234,CW237)/(CW68+CV68+CU68+CS68),"")</f>
        <v/>
      </c>
      <c r="CX333" s="219" t="str">
        <f>IFERROR(SUM(CX211,CX212,CX213,CX216,CX234,CX237)/(CX68+CW68+CV68+CU68),"")</f>
        <v/>
      </c>
    </row>
    <row r="334" customFormat="1" s="233">
      <c r="A334" s="224" t="n"/>
      <c r="B334" s="224" t="n"/>
      <c r="C334" s="233" t="inlineStr">
        <is>
          <t>TOTAL DEBT / TOTAL CAPITALIZATION</t>
        </is>
      </c>
      <c r="D334" s="221">
        <f>SUM(D211+D212+D213+D216+D234+D237)/(SUM(D211+D212+D213+D216+D234+D237)+D270)</f>
        <v>0.363415463867425</v>
      </c>
      <c r="E334" s="221">
        <f>SUM(E211+E212+E213+E216+E234+E237)/(SUM(E211+E212+E213+E216+E234+E237)+E270)</f>
        <v>0.352385385152432</v>
      </c>
      <c r="F334" s="221">
        <f>SUM(F211+F212+F213+F216+F234+F237)/(SUM(F211+F212+F213+F216+F234+F237)+F270)</f>
        <v>0.330363771343727</v>
      </c>
      <c r="G334" s="221">
        <f>SUM(G211+G212+G213+G216+G234+G237)/(SUM(G211+G212+G213+G216+G234+G237)+G270)</f>
        <v>0.310208248264598</v>
      </c>
      <c r="I334" s="221">
        <f>SUM(I211+I212+I213+I216+I234+I237)/(SUM(I211+I212+I213+I216+I234+I237)+I270)</f>
        <v>0.288243545513136</v>
      </c>
      <c r="J334" s="221">
        <f>SUM(J211+J212+J213+J216+J234+J237)/(SUM(J211+J212+J213+J216+J234+J237)+J270)</f>
        <v>0.374460155002071</v>
      </c>
      <c r="K334" s="221">
        <f>SUM(K211+K212+K213+K216+K234+K237)/(SUM(K211+K212+K213+K216+K234+K237)+K270)</f>
        <v>0.329350429759053</v>
      </c>
      <c r="L334" s="221">
        <f>SUM(L211+L212+L213+L216+L234+L237)/(SUM(L211+L212+L213+L216+L234+L237)+L270)</f>
        <v>0.30515157053709</v>
      </c>
      <c r="N334" s="221">
        <f>SUM(N211+N212+N213+N216+N234+N237)/(SUM(N211+N212+N213+N216+N234+N237)+N270)</f>
        <v>0.307714563770746</v>
      </c>
      <c r="O334" s="221">
        <f>SUM(O211+O212+O213+O216+O234+O237)/(SUM(O211+O212+O213+O216+O234+O237)+O270)</f>
        <v>0.32895366176181</v>
      </c>
      <c r="P334" s="221">
        <f>SUM(P211+P212+P213+P216+P234+P237)/(SUM(P211+P212+P213+P216+P234+P237)+P270)</f>
        <v>0.354956642596006</v>
      </c>
      <c r="Q334" s="221">
        <f>SUM(Q211+Q212+Q213+Q216+Q234+Q237)/(SUM(Q211+Q212+Q213+Q216+Q234+Q237)+Q270)</f>
        <v>0.349128283661209</v>
      </c>
      <c r="S334" s="221">
        <f>SUM(S211+S212+S213+S216+S234+S237)/(SUM(S211+S212+S213+S216+S234+S237)+S270)</f>
        <v>0.326614121330294</v>
      </c>
      <c r="T334" s="221">
        <f>SUM(T211+T212+T213+T216+T234+T237)/(SUM(T211+T212+T213+T216+T234+T237)+T270)</f>
        <v>0.280963212801004</v>
      </c>
      <c r="U334" s="221">
        <f>SUM(U211+U212+U213+U216+U234+U237)/(SUM(U211+U212+U213+U216+U234+U237)+U270)</f>
        <v>0.245041078480323</v>
      </c>
      <c r="V334" s="221">
        <f>SUM(V211+V212+V213+V216+V234+V237)/(SUM(V211+V212+V213+V216+V234+V237)+V270)</f>
        <v>0.201241497230792</v>
      </c>
      <c r="X334" s="221">
        <f>SUM(X211+X212+X213+X216+X234+X237)/(SUM(X211+X212+X213+X216+X234+X237)+X270)</f>
        <v>0.182778175045316</v>
      </c>
      <c r="Y334" s="221">
        <f>SUM(Y211+Y212+Y213+Y216+Y234+Y237)/(SUM(Y211+Y212+Y213+Y216+Y234+Y237)+Y270)</f>
        <v>0.143767851358912</v>
      </c>
      <c r="Z334" s="221">
        <f>SUM(Z211+Z212+Z213+Z216+Z234+Z237)/(SUM(Z211+Z212+Z213+Z216+Z234+Z237)+Z270)</f>
        <v>0.131204598489143</v>
      </c>
      <c r="AA334" s="221">
        <f>SUM(AA211+AA212+AA213+AA216+AA234+AA237)/(SUM(AA211+AA212+AA213+AA216+AA234+AA237)+AA270)</f>
        <v>0.111769250579449</v>
      </c>
      <c r="AC334" s="221">
        <f>SUM(AC211+AC212+AC213+AC216+AC234+AC237)/(SUM(AC211+AC212+AC213+AC216+AC234+AC237)+AC270)</f>
        <v>0.106418126785181</v>
      </c>
      <c r="AD334" s="221">
        <f>SUM(AD211+AD212+AD213+AD216+AD234+AD237)/(SUM(AD211+AD212+AD213+AD216+AD234+AD237)+AD270)</f>
        <v>0.0932462781178687</v>
      </c>
      <c r="AE334" s="221">
        <f>SUM(AE211+AE212+AE213+AE216+AE234+AE237)/(SUM(AE211+AE212+AE213+AE216+AE234+AE237)+AE270)</f>
        <v>0.0810106818779082</v>
      </c>
      <c r="AF334" s="221">
        <f>SUM(AF211+AF212+AF213+AF216+AF234+AF237)/(SUM(AF211+AF212+AF213+AF216+AF234+AF237)+AF270)</f>
        <v>0.0655842882857194</v>
      </c>
      <c r="AH334" s="221">
        <f>SUM(AH211+AH212+AH213+AH216+AH234+AH237)/(SUM(AH211+AH212+AH213+AH216+AH234+AH237)+AH270)</f>
        <v>0.059416231197852</v>
      </c>
      <c r="AI334" s="221">
        <f>SUM(AI211+AI212+AI213+AI216+AI234+AI237)/(SUM(AI211+AI212+AI213+AI216+AI234+AI237)+AI270)</f>
        <v>0.143456711616511</v>
      </c>
      <c r="AJ334" s="221">
        <f>SUM(AJ211+AJ212+AJ213+AJ216+AJ234+AJ237)/(SUM(AJ211+AJ212+AJ213+AJ216+AJ234+AJ237)+AJ270)</f>
        <v>0.135131992501868</v>
      </c>
      <c r="AK334" s="221">
        <f>SUM(AK211+AK212+AK213+AK216+AK234+AK237)/(SUM(AK211+AK212+AK213+AK216+AK234+AK237)+AK270)</f>
        <v>0.131427259393291</v>
      </c>
      <c r="AM334" s="221">
        <f>SUM(AM211+AM212+AM213+AM216+AM234+AM237)/(SUM(AM211+AM212+AM213+AM216+AM234+AM237)+AM270)</f>
        <v>0.127920241224267</v>
      </c>
      <c r="AN334" s="221">
        <f>SUM(AN211+AN212+AN213+AN216+AN234+AN237)/(SUM(AN211+AN212+AN213+AN216+AN234+AN237)+AN270)</f>
        <v>0.109969547688549</v>
      </c>
      <c r="AO334" s="221">
        <f>SUM(AO211+AO212+AO213+AO216+AO234+AO237)/(SUM(AO211+AO212+AO213+AO216+AO234+AO237)+AO270)</f>
        <v>0.10750346188562</v>
      </c>
      <c r="AP334" s="221">
        <f>SUM(AP211+AP212+AP213+AP216+AP234+AP237)/(SUM(AP211+AP212+AP213+AP216+AP234+AP237)+AP270)</f>
        <v>0.0945351015578781</v>
      </c>
      <c r="AR334" s="221">
        <f>SUM(AR211+AR212+AR213+AR216+AR234+AR237)/(SUM(AR211+AR212+AR213+AR216+AR234+AR237)+AR270)</f>
        <v>0.0843587363456792</v>
      </c>
      <c r="AS334" s="221">
        <f>SUM(AS211+AS212+AS213+AS216+AS234+AS237)/(SUM(AS211+AS212+AS213+AS216+AS234+AS237)+AS270)</f>
        <v>0.067460694396071</v>
      </c>
      <c r="AT334" s="221">
        <f>SUM(AT211+AT212+AT213+AT216+AT234+AT237)/(SUM(AT211+AT212+AT213+AT216+AT234+AT237)+AT270)</f>
        <v>0.0621137226447609</v>
      </c>
      <c r="AU334" s="221">
        <f>SUM(AU211+AU212+AU213+AU216+AU234+AU237)/(SUM(AU211+AU212+AU213+AU216+AU234+AU237)+AU270)</f>
        <v>0.0524416524911528</v>
      </c>
      <c r="AW334" s="221">
        <f>SUM(AW211+AW212+AW213+AW216+AW234+AW237)/(SUM(AW211+AW212+AW213+AW216+AW234+AW237)+AW270)</f>
        <v>0.0453759181432682</v>
      </c>
      <c r="AX334" s="221">
        <f>SUM(AX211+AX212+AX213+AX216+AX234+AX237)/(SUM(AX211+AX212+AX213+AX216+AX234+AX237)+AX270)</f>
        <v>0.0327558993245713</v>
      </c>
      <c r="AY334" s="221">
        <f>SUM(AY211+AY212+AY213+AY216+AY234+AY237)/(SUM(AY211+AY212+AY213+AY216+AY234+AY237)+AY270)</f>
        <v>0.0298523843921637</v>
      </c>
      <c r="AZ334" s="221">
        <f>SUM(AZ211+AZ212+AZ213+AZ216+AZ234+AZ237)/(SUM(AZ211+AZ212+AZ213+AZ216+AZ234+AZ237)+AZ270)</f>
        <v>0.023815822484531</v>
      </c>
      <c r="BB334" s="221">
        <f>SUM(BB211+BB212+BB213+BB216+BB234+BB237)/(SUM(BB211+BB212+BB213+BB216+BB234+BB237)+BB270)</f>
        <v>0.0198099738422186</v>
      </c>
      <c r="BC334" s="221">
        <f>SUM(BC211+BC212+BC213+BC216+BC234+BC237)/(SUM(BC211+BC212+BC213+BC216+BC234+BC237)+BC270)</f>
        <v>0.0136240333760576</v>
      </c>
      <c r="BD334" s="221">
        <f>SUM(BD211+BD212+BD213+BD216+BD234+BD237)/(SUM(BD211+BD212+BD213+BD216+BD234+BD237)+BD270)</f>
        <v>0.0122114386514593</v>
      </c>
      <c r="BE334" s="221">
        <f>SUM(BE211+BE212+BE213+BE216+BE234+BE237)/(SUM(BE211+BE212+BE213+BE216+BE234+BE237)+BE270)</f>
        <v>0.00954102758790204</v>
      </c>
      <c r="BG334" s="221">
        <f>SUM(BG211+BG212+BG213+BG216+BG234+BG237)/(SUM(BG211+BG212+BG213+BG216+BG234+BG237)+BG270)</f>
        <v>0.00782897793571872</v>
      </c>
      <c r="BH334" s="221">
        <f>SUM(BH211+BH212+BH213+BH216+BH234+BH237)/(SUM(BH211+BH212+BH213+BH216+BH234+BH237)+BH270)</f>
        <v>0.00524790540825313</v>
      </c>
      <c r="BI334" s="221">
        <f>SUM(BI211+BI212+BI213+BI216+BI234+BI237)/(SUM(BI211+BI212+BI213+BI216+BI234+BI237)+BI270)</f>
        <v>0.00468444862240493</v>
      </c>
      <c r="BJ334" s="221">
        <f>SUM(BJ211+BJ212+BJ213+BJ216+BJ234+BJ237)/(SUM(BJ211+BJ212+BJ213+BJ216+BJ234+BJ237)+BJ270)</f>
        <v>0.00361933412028598</v>
      </c>
      <c r="BL334" s="221">
        <f>SUM(BL211+BL212+BL213+BL216+BL234+BL237)/(SUM(BL211+BL212+BL213+BL216+BL234+BL237)+BL270)</f>
        <v>0.00294884748051197</v>
      </c>
      <c r="BM334" s="221">
        <f>SUM(BM211+BM212+BM213+BM216+BM234+BM237)/(SUM(BM211+BM212+BM213+BM216+BM234+BM237)+BM270)</f>
        <v>0.00195848427993492</v>
      </c>
      <c r="BN334" s="221">
        <f>SUM(BN211+BN212+BN213+BN216+BN234+BN237)/(SUM(BN211+BN212+BN213+BN216+BN234+BN237)+BN270)</f>
        <v>0.00174392071902045</v>
      </c>
      <c r="BO334" s="221">
        <f>SUM(BO211+BO212+BO213+BO216+BO234+BO237)/(SUM(BO211+BO212+BO213+BO216+BO234+BO237)+BO270)</f>
        <v>0.00134245492794478</v>
      </c>
      <c r="BQ334" s="221">
        <f>SUM(BQ211+BQ212+BQ213+BQ216+BQ234+BQ237)/(SUM(BQ211+BQ212+BQ213+BQ216+BQ234+BQ237)+BQ270)</f>
        <v>0.0010912415791638</v>
      </c>
      <c r="BR334" s="221">
        <f>SUM(BR211+BR212+BR213+BR216+BR234+BR237)/(SUM(BR211+BR212+BR213+BR216+BR234+BR237)+BR270)</f>
        <v>0.000722023006385492</v>
      </c>
      <c r="BS334" s="221">
        <f>SUM(BS211+BS212+BS213+BS216+BS234+BS237)/(SUM(BS211+BS212+BS213+BS216+BS234+BS237)+BS270)</f>
        <v>0.00064247498969554</v>
      </c>
      <c r="BT334" s="221">
        <f>SUM(BT211+BT212+BT213+BT216+BT234+BT237)/(SUM(BT211+BT212+BT213+BT216+BT234+BT237)+BT270)</f>
        <v>0.000493805001167847</v>
      </c>
      <c r="BV334" s="221">
        <f>SUM(BV211+BV212+BV213+BV216+BV234+BV237)/(SUM(BV211+BV212+BV213+BV216+BV234+BV237)+BV270)</f>
        <v>0.00040101039856111</v>
      </c>
      <c r="BW334" s="221">
        <f>SUM(BW211+BW212+BW213+BW216+BW234+BW237)/(SUM(BW211+BW212+BW213+BW216+BW234+BW237)+BW270)</f>
        <v>0.000264978729153973</v>
      </c>
      <c r="BX334" s="221">
        <f>SUM(BX211+BX212+BX213+BX216+BX234+BX237)/(SUM(BX211+BX212+BX213+BX216+BX234+BX237)+BX270)</f>
        <v>0.000235710194675195</v>
      </c>
      <c r="BY334" s="221">
        <f>SUM(BY211+BY212+BY213+BY216+BY234+BY237)/(SUM(BY211+BY212+BY213+BY216+BY234+BY237)+BY270)</f>
        <v>0.000181071352037137</v>
      </c>
      <c r="CA334" s="221">
        <f>SUM(CA211+CA212+CA213+CA216+CA234+CA237)/(SUM(CA211+CA212+CA213+CA216+CA234+CA237)+CA270)</f>
        <v>0.000146996745826049</v>
      </c>
      <c r="CB334" s="221">
        <f>SUM(CB211+CB212+CB213+CB216+CB234+CB237)/(SUM(CB211+CB212+CB213+CB216+CB234+CB237)+CB270)</f>
        <v>9.70829901680455e-05</v>
      </c>
      <c r="CC334" s="221">
        <f>SUM(CC211+CC212+CC213+CC216+CC234+CC237)/(SUM(CC211+CC212+CC213+CC216+CC234+CC237)+CC270)</f>
        <v>8.63509202147218e-05</v>
      </c>
      <c r="CD334" s="221">
        <f>SUM(CD211+CD212+CD213+CD216+CD234+CD237)/(SUM(CD211+CD212+CD213+CD216+CD234+CD237)+CD270)</f>
        <v>6.63207095128575e-05</v>
      </c>
      <c r="CF334" s="221">
        <f>SUM(CF211+CF212+CF213+CF216+CF234+CF237)/(SUM(CF211+CF212+CF213+CF216+CF234+CF237)+CF270)</f>
        <v>5.38333654322489e-05</v>
      </c>
      <c r="CG334" s="221">
        <f>SUM(CG211+CG212+CG213+CG216+CG234+CG237)/(SUM(CG211+CG212+CG213+CG216+CG234+CG237)+CG270)</f>
        <v>3.55474640740742e-05</v>
      </c>
      <c r="CH334" s="221">
        <f>SUM(CH211+CH212+CH213+CH216+CH234+CH237)/(SUM(CH211+CH212+CH213+CH216+CH234+CH237)+CH270)</f>
        <v>3.1616558572183e-05</v>
      </c>
      <c r="CI334" s="221">
        <f>SUM(CI211+CI212+CI213+CI216+CI234+CI237)/(SUM(CI211+CI212+CI213+CI216+CI234+CI237)+CI270)</f>
        <v>2.42809456052091e-05</v>
      </c>
      <c r="CK334" s="221">
        <f>SUM(CK211+CK212+CK213+CK216+CK234+CK237)/(SUM(CK211+CK212+CK213+CK216+CK234+CK237)+CK270)</f>
        <v>1.97082706452802e-05</v>
      </c>
      <c r="CL334" s="221">
        <f>SUM(CL211+CL212+CL213+CL216+CL234+CL237)/(SUM(CL211+CL212+CL213+CL216+CL234+CL237)+CL270)</f>
        <v>1.30129662184836e-05</v>
      </c>
      <c r="CM334" s="221">
        <f>SUM(CM211+CM212+CM213+CM216+CM234+CM237)/(SUM(CM211+CM212+CM213+CM216+CM234+CM237)+CM270)</f>
        <v>1.15738072586388e-05</v>
      </c>
      <c r="CN334" s="221">
        <f>SUM(CN211+CN212+CN213+CN216+CN234+CN237)/(SUM(CN211+CN212+CN213+CN216+CN234+CN237)+CN270)</f>
        <v>8.88823290676468e-06</v>
      </c>
      <c r="CP334" s="221">
        <f>SUM(CP211+CP212+CP213+CP216+CP234+CP237)/(SUM(CP211+CP212+CP213+CP216+CP234+CP237)+CP270)</f>
        <v>7.21424654607342e-06</v>
      </c>
      <c r="CQ334" s="221">
        <f>SUM(CQ211+CQ212+CQ213+CQ216+CQ234+CQ237)/(SUM(CQ211+CQ212+CQ213+CQ216+CQ234+CQ237)+CQ270)</f>
        <v>4.76330291913103e-06</v>
      </c>
      <c r="CR334" s="221">
        <f>SUM(CR211+CR212+CR213+CR216+CR234+CR237)/(SUM(CR211+CR212+CR213+CR216+CR234+CR237)+CR270)</f>
        <v>4.23648624703475e-06</v>
      </c>
      <c r="CS334" s="221">
        <f>SUM(CS211+CS212+CS213+CS216+CS234+CS237)/(SUM(CS211+CS212+CS213+CS216+CS234+CS237)+CS270)</f>
        <v>3.2534247126756e-06</v>
      </c>
      <c r="CU334" s="221">
        <f>SUM(CU211+CU212+CU213+CU216+CU234+CU237)/(SUM(CU211+CU212+CU213+CU216+CU234+CU237)+CU270)</f>
        <v>2.6406672815882e-06</v>
      </c>
      <c r="CV334" s="221">
        <f>SUM(CV211+CV212+CV213+CV216+CV234+CV237)/(SUM(CV211+CV212+CV213+CV216+CV234+CV237)+CV270)</f>
        <v>1.74352024213963e-06</v>
      </c>
      <c r="CW334" s="221">
        <f>SUM(CW211+CW212+CW213+CW216+CW234+CW237)/(SUM(CW211+CW212+CW213+CW216+CW234+CW237)+CW270)</f>
        <v>1.55068566607163e-06</v>
      </c>
      <c r="CX334" s="221">
        <f>SUM(CX211+CX212+CX213+CX216+CX234+CX237)/(SUM(CX211+CX212+CX213+CX216+CX234+CX237)+CX270)</f>
        <v>1.19085026976924e-06</v>
      </c>
    </row>
    <row r="335" customFormat="1" s="233">
      <c r="A335" s="224" t="n"/>
      <c r="B335" s="224" t="n"/>
      <c r="C335" s="233" t="inlineStr">
        <is>
          <t>NET DEBT / EBITDA LTM (com arrendamentos)</t>
        </is>
      </c>
      <c r="D335" s="219" t="str">
        <f>""</f>
        <v/>
      </c>
      <c r="E335" s="219" t="str">
        <f>""</f>
        <v/>
      </c>
      <c r="F335" s="219" t="str">
        <f>""</f>
        <v/>
      </c>
      <c r="G335" s="219">
        <f>IFERROR((SUM(G211,G212,G213,G216,G234,G237)-G143)/(G68+F68+E68+D68),"")</f>
        <v>-0.704085257548845</v>
      </c>
      <c r="I335" s="219">
        <f>IFERROR((SUM(I211,I212,I213,I216,I234,I237)-I143)/(I68+G68+F68+E68),"")</f>
        <v>-0.746462264150943</v>
      </c>
      <c r="J335" s="219">
        <f>IFERROR((SUM(J211,J212,J213,J216,J234,J237)-J143)/(J68+I68+G68+F68),"")</f>
        <v>-0.826929897150963</v>
      </c>
      <c r="K335" s="219">
        <f>IFERROR((SUM(K211,K212,K213,K216,K234,K237)-K143)/(K68+J68+I68+G68),"")</f>
        <v>-0.782139554002672</v>
      </c>
      <c r="L335" s="219">
        <f>IFERROR((SUM(L211,L212,L213,L216,L234,L237)-L143)/(L68+K68+J68+I68),"")</f>
        <v>-0.8489522960321</v>
      </c>
      <c r="N335" s="219">
        <f>IFERROR((SUM(N211,N212,N213,N216,N234,N237)-N143)/(N68+L68+K68+J68),"")</f>
        <v>-0.772719141323793</v>
      </c>
      <c r="O335" s="219">
        <f>IFERROR((SUM(O211,O212,O213,O216,O234,O237)-O143)/(O68+N68+L68+K68),"")</f>
        <v>-0.573067438619063</v>
      </c>
      <c r="P335" s="219">
        <f>IFERROR((SUM(P211,P212,P213,P216,P234,P237)-P143)/(P68+O68+N68+L68),"")</f>
        <v>-0.189409368635438</v>
      </c>
      <c r="Q335" s="219">
        <f>IFERROR((SUM(Q211,Q212,Q213,Q216,Q234,Q237)-Q143)/(Q68+P68+O68+N68),"")</f>
        <v>-0.249826629680999</v>
      </c>
      <c r="S335" s="219">
        <f>IFERROR((SUM(S211,S212,S213,S216,S234,S237)-S143)/(S68+Q68+P68+O68),"")</f>
        <v>-0.562725779967159</v>
      </c>
      <c r="T335" s="219">
        <f>IFERROR((SUM(T211,T212,T213,T216,T234,T237)-T143)/(T68+S68+Q68+P68),"")</f>
        <v>-0.426320891904993</v>
      </c>
      <c r="U335" s="219">
        <f>IFERROR((SUM(U211,U212,U213,U216,U234,U237)-U143)/(U68+T68+S68+Q68),"")</f>
        <v>-0.337725631768953</v>
      </c>
      <c r="V335" s="219">
        <f>IFERROR((SUM(V211,V212,V213,V216,V234,V237)-V143)/(V68+U68+T68+S68),"")</f>
        <v>-0.439571913338554</v>
      </c>
      <c r="X335" s="219">
        <f>IFERROR((SUM(X211,X212,X213,X216,X234,X237)-X143)/(X68+V68+U68+T68),"")</f>
        <v>-0.414965296099363</v>
      </c>
      <c r="Y335" s="219">
        <f>IFERROR((SUM(Y211,Y212,Y213,Y216,Y234,Y237)-Y143)/(Y68+X68+V68+U68),"")</f>
        <v>-0.409175601464435</v>
      </c>
      <c r="Z335" s="219">
        <f>IFERROR((SUM(Z211,Z212,Z213,Z216,Z234,Z237)-Z143)/(Z68+Y68+X68+V68),"")</f>
        <v>-0.392276813945176</v>
      </c>
      <c r="AA335" s="219">
        <f>IFERROR((SUM(AA211,AA212,AA213,AA216,AA234,AA237)-AA143)/(AA68+Z68+Y68+X68),"")</f>
        <v>-0.39880938092609</v>
      </c>
      <c r="AC335" s="219">
        <f>IFERROR((SUM(AC211,AC212,AC213,AC216,AC234,AC237)-AC143)/(AC68+AA68+Z68+Y68),"")</f>
        <v>-0.495263348744447</v>
      </c>
      <c r="AD335" s="219">
        <f>IFERROR((SUM(AD211,AD212,AD213,AD216,AD234,AD237)-AD143)/(AD68+AC68+AA68+Z68),"")</f>
        <v>-0.47306729614782</v>
      </c>
      <c r="AE335" s="219">
        <f>IFERROR((SUM(AE211,AE212,AE213,AE216,AE234,AE237)-AE143)/(AE68+AD68+AC68+AA68),"")</f>
        <v>-0.444798395683964</v>
      </c>
      <c r="AF335" s="219">
        <f>IFERROR((SUM(AF211,AF212,AF213,AF216,AF234,AF237)-AF143)/(AF68+AE68+AD68+AC68),"")</f>
        <v>-0.289949711026045</v>
      </c>
      <c r="AH335" s="219">
        <f>IFERROR((SUM(AH211,AH212,AH213,AH216,AH234,AH237)-AH143)/(AH68+AF68+AE68+AD68),"")</f>
        <v>-0.229509286223522</v>
      </c>
      <c r="AI335" s="219">
        <f>IFERROR((SUM(AI211,AI212,AI213,AI216,AI234,AI237)-AI143)/(AI68+AH68+AF68+AE68),"")</f>
        <v>-0.0906014925521449</v>
      </c>
      <c r="AJ335" s="219">
        <f>IFERROR((SUM(AJ211,AJ212,AJ213,AJ216,AJ234,AJ237)-AJ143)/(AJ68+AI68+AH68+AF68),"")</f>
        <v>-0.549022826053919</v>
      </c>
      <c r="AK335" s="219">
        <f>IFERROR((SUM(AK211,AK212,AK213,AK216,AK234,AK237)-AK143)/(AK68+AJ68+AI68+AH68),"")</f>
        <v>-0.823466840879776</v>
      </c>
      <c r="AM335" s="219" t="str">
        <f>IFERROR((SUM(AM211,AM212,AM213,AM216,AM234,AM237)-AM143)/(AM68+AK68+AJ68+AI68),"")</f>
        <v/>
      </c>
      <c r="AN335" s="219" t="str">
        <f>IFERROR((SUM(AN211,AN212,AN213,AN216,AN234,AN237)-AN143)/(AN68+AM68+AK68+AJ68),"")</f>
        <v/>
      </c>
      <c r="AO335" s="219" t="str">
        <f>IFERROR((SUM(AO211,AO212,AO213,AO216,AO234,AO237)-AO143)/(AO68+AN68+AM68+AK68),"")</f>
        <v/>
      </c>
      <c r="AP335" s="219" t="str">
        <f>IFERROR((SUM(AP211,AP212,AP213,AP216,AP234,AP237)-AP143)/(AP68+AO68+AN68+AM68),"")</f>
        <v/>
      </c>
      <c r="AR335" s="219" t="str">
        <f>IFERROR((SUM(AR211,AR212,AR213,AR216,AR234,AR237)-AR143)/(AR68+AP68+AO68+AN68),"")</f>
        <v/>
      </c>
      <c r="AS335" s="219" t="str">
        <f>IFERROR((SUM(AS211,AS212,AS213,AS216,AS234,AS237)-AS143)/(AS68+AR68+AP68+AO68),"")</f>
        <v/>
      </c>
      <c r="AT335" s="219" t="str">
        <f>IFERROR((SUM(AT211,AT212,AT213,AT216,AT234,AT237)-AT143)/(AT68+AS68+AR68+AP68),"")</f>
        <v/>
      </c>
      <c r="AU335" s="219" t="str">
        <f>IFERROR((SUM(AU211,AU212,AU213,AU216,AU234,AU237)-AU143)/(AU68+AT68+AS68+AR68),"")</f>
        <v/>
      </c>
      <c r="AW335" s="219" t="str">
        <f>IFERROR((SUM(AW211,AW212,AW213,AW216,AW234,AW237)-AW143)/(AW68+AU68+AT68+AS68),"")</f>
        <v/>
      </c>
      <c r="AX335" s="219" t="str">
        <f>IFERROR((SUM(AX211,AX212,AX213,AX216,AX234,AX237)-AX143)/(AX68+AW68+AU68+AT68),"")</f>
        <v/>
      </c>
      <c r="AY335" s="219" t="str">
        <f>IFERROR((SUM(AY211,AY212,AY213,AY216,AY234,AY237)-AY143)/(AY68+AX68+AW68+AU68),"")</f>
        <v/>
      </c>
      <c r="AZ335" s="219" t="str">
        <f>IFERROR((SUM(AZ211,AZ212,AZ213,AZ216,AZ234,AZ237)-AZ143)/(AZ68+AY68+AX68+AW68),"")</f>
        <v/>
      </c>
      <c r="BB335" s="219" t="str">
        <f>IFERROR((SUM(BB211,BB212,BB213,BB216,BB234,BB237)-BB143)/(BB68+AZ68+AY68+AX68),"")</f>
        <v/>
      </c>
      <c r="BC335" s="219" t="str">
        <f>IFERROR((SUM(BC211,BC212,BC213,BC216,BC234,BC237)-BC143)/(BC68+BB68+AZ68+AY68),"")</f>
        <v/>
      </c>
      <c r="BD335" s="219" t="str">
        <f>IFERROR((SUM(BD211,BD212,BD213,BD216,BD234,BD237)-BD143)/(BD68+BC68+BB68+AZ68),"")</f>
        <v/>
      </c>
      <c r="BE335" s="219" t="str">
        <f>IFERROR((SUM(BE211,BE212,BE213,BE216,BE234,BE237)-BE143)/(BE68+BD68+BC68+BB68),"")</f>
        <v/>
      </c>
      <c r="BG335" s="219" t="str">
        <f>IFERROR((SUM(BG211,BG212,BG213,BG216,BG234,BG237)-BG143)/(BG68+BE68+BD68+BC68),"")</f>
        <v/>
      </c>
      <c r="BH335" s="219" t="str">
        <f>IFERROR((SUM(BH211,BH212,BH213,BH216,BH234,BH237)-BH143)/(BH68+BG68+BE68+BD68),"")</f>
        <v/>
      </c>
      <c r="BI335" s="219" t="str">
        <f>IFERROR((SUM(BI211,BI212,BI213,BI216,BI234,BI237)-BI143)/(BI68+BH68+BG68+BE68),"")</f>
        <v/>
      </c>
      <c r="BJ335" s="219" t="str">
        <f>IFERROR((SUM(BJ211,BJ212,BJ213,BJ216,BJ234,BJ237)-BJ143)/(BJ68+BI68+BH68+BG68),"")</f>
        <v/>
      </c>
      <c r="BL335" s="219" t="str">
        <f>IFERROR((SUM(BL211,BL212,BL213,BL216,BL234,BL237)-BL143)/(BL68+BJ68+BI68+BH68),"")</f>
        <v/>
      </c>
      <c r="BM335" s="219" t="str">
        <f>IFERROR((SUM(BM211,BM212,BM213,BM216,BM234,BM237)-BM143)/(BM68+BL68+BJ68+BI68),"")</f>
        <v/>
      </c>
      <c r="BN335" s="219" t="str">
        <f>IFERROR((SUM(BN211,BN212,BN213,BN216,BN234,BN237)-BN143)/(BN68+BM68+BL68+BJ68),"")</f>
        <v/>
      </c>
      <c r="BO335" s="219" t="str">
        <f>IFERROR((SUM(BO211,BO212,BO213,BO216,BO234,BO237)-BO143)/(BO68+BN68+BM68+BL68),"")</f>
        <v/>
      </c>
      <c r="BQ335" s="219" t="str">
        <f>IFERROR((SUM(BQ211,BQ212,BQ213,BQ216,BQ234,BQ237)-BQ143)/(BQ68+BO68+BN68+BM68),"")</f>
        <v/>
      </c>
      <c r="BR335" s="219" t="str">
        <f>IFERROR((SUM(BR211,BR212,BR213,BR216,BR234,BR237)-BR143)/(BR68+BQ68+BO68+BN68),"")</f>
        <v/>
      </c>
      <c r="BS335" s="219" t="str">
        <f>IFERROR((SUM(BS211,BS212,BS213,BS216,BS234,BS237)-BS143)/(BS68+BR68+BQ68+BO68),"")</f>
        <v/>
      </c>
      <c r="BT335" s="219" t="str">
        <f>IFERROR((SUM(BT211,BT212,BT213,BT216,BT234,BT237)-BT143)/(BT68+BS68+BR68+BQ68),"")</f>
        <v/>
      </c>
      <c r="BV335" s="219" t="str">
        <f>IFERROR((SUM(BV211,BV212,BV213,BV216,BV234,BV237)-BV143)/(BV68+BT68+BS68+BR68),"")</f>
        <v/>
      </c>
      <c r="BW335" s="219" t="str">
        <f>IFERROR((SUM(BW211,BW212,BW213,BW216,BW234,BW237)-BW143)/(BW68+BV68+BT68+BS68),"")</f>
        <v/>
      </c>
      <c r="BX335" s="219" t="str">
        <f>IFERROR((SUM(BX211,BX212,BX213,BX216,BX234,BX237)-BX143)/(BX68+BW68+BV68+BT68),"")</f>
        <v/>
      </c>
      <c r="BY335" s="219" t="str">
        <f>IFERROR((SUM(BY211,BY212,BY213,BY216,BY234,BY237)-BY143)/(BY68+BX68+BW68+BV68),"")</f>
        <v/>
      </c>
      <c r="CA335" s="219" t="str">
        <f>IFERROR((SUM(CA211,CA212,CA213,CA216,CA234,CA237)-CA143)/(CA68+BY68+BX68+BW68),"")</f>
        <v/>
      </c>
      <c r="CB335" s="219" t="str">
        <f>IFERROR((SUM(CB211,CB212,CB213,CB216,CB234,CB237)-CB143)/(CB68+CA68+BY68+BX68),"")</f>
        <v/>
      </c>
      <c r="CC335" s="219" t="str">
        <f>IFERROR((SUM(CC211,CC212,CC213,CC216,CC234,CC237)-CC143)/(CC68+CB68+CA68+BY68),"")</f>
        <v/>
      </c>
      <c r="CD335" s="219" t="str">
        <f>IFERROR((SUM(CD211,CD212,CD213,CD216,CD234,CD237)-CD143)/(CD68+CC68+CB68+CA68),"")</f>
        <v/>
      </c>
      <c r="CF335" s="219" t="str">
        <f>IFERROR((SUM(CF211,CF212,CF213,CF216,CF234,CF237)-CF143)/(CF68+CD68+CC68+CB68),"")</f>
        <v/>
      </c>
      <c r="CG335" s="219" t="str">
        <f>IFERROR((SUM(CG211,CG212,CG213,CG216,CG234,CG237)-CG143)/(CG68+CF68+CD68+CC68),"")</f>
        <v/>
      </c>
      <c r="CH335" s="219" t="str">
        <f>IFERROR((SUM(CH211,CH212,CH213,CH216,CH234,CH237)-CH143)/(CH68+CG68+CF68+CD68),"")</f>
        <v/>
      </c>
      <c r="CI335" s="219" t="str">
        <f>IFERROR((SUM(CI211,CI212,CI213,CI216,CI234,CI237)-CI143)/(CI68+CH68+CG68+CF68),"")</f>
        <v/>
      </c>
      <c r="CK335" s="219" t="str">
        <f>IFERROR((SUM(CK211,CK212,CK213,CK216,CK234,CK237)-CK143)/(CK68+CI68+CH68+CG68),"")</f>
        <v/>
      </c>
      <c r="CL335" s="219" t="str">
        <f>IFERROR((SUM(CL211,CL212,CL213,CL216,CL234,CL237)-CL143)/(CL68+CK68+CI68+CH68),"")</f>
        <v/>
      </c>
      <c r="CM335" s="219" t="str">
        <f>IFERROR((SUM(CM211,CM212,CM213,CM216,CM234,CM237)-CM143)/(CM68+CL68+CK68+CI68),"")</f>
        <v/>
      </c>
      <c r="CN335" s="219" t="str">
        <f>IFERROR((SUM(CN211,CN212,CN213,CN216,CN234,CN237)-CN143)/(CN68+CM68+CL68+CK68),"")</f>
        <v/>
      </c>
      <c r="CP335" s="219" t="str">
        <f>IFERROR((SUM(CP211,CP212,CP213,CP216,CP234,CP237)-CP143)/(CP68+CN68+CM68+CL68),"")</f>
        <v/>
      </c>
      <c r="CQ335" s="219" t="str">
        <f>IFERROR((SUM(CQ211,CQ212,CQ213,CQ216,CQ234,CQ237)-CQ143)/(CQ68+CP68+CN68+CM68),"")</f>
        <v/>
      </c>
      <c r="CR335" s="219" t="str">
        <f>IFERROR((SUM(CR211,CR212,CR213,CR216,CR234,CR237)-CR143)/(CR68+CQ68+CP68+CN68),"")</f>
        <v/>
      </c>
      <c r="CS335" s="219" t="str">
        <f>IFERROR((SUM(CS211,CS212,CS213,CS216,CS234,CS237)-CS143)/(CS68+CR68+CQ68+CP68),"")</f>
        <v/>
      </c>
      <c r="CU335" s="219" t="str">
        <f>IFERROR((SUM(CU211,CU212,CU213,CU216,CU234,CU237)-CU143)/(CU68+CS68+CR68+CQ68),"")</f>
        <v/>
      </c>
      <c r="CV335" s="219" t="str">
        <f>IFERROR((SUM(CV211,CV212,CV213,CV216,CV234,CV237)-CV143)/(CV68+CU68+CS68+CR68),"")</f>
        <v/>
      </c>
      <c r="CW335" s="219" t="str">
        <f>IFERROR((SUM(CW211,CW212,CW213,CW216,CW234,CW237)-CW143)/(CW68+CV68+CU68+CS68),"")</f>
        <v/>
      </c>
      <c r="CX335" s="219" t="str">
        <f>IFERROR((SUM(CX211,CX212,CX213,CX216,CX234,CX237)-CX143)/(CX68+CW68+CV68+CU68),"")</f>
        <v/>
      </c>
    </row>
    <row r="336" customFormat="1" s="233">
      <c r="A336" s="224" t="n"/>
      <c r="B336" s="224" t="n"/>
      <c r="C336" s="237" t="inlineStr">
        <is>
          <t>NET DEBT (EX IFRS 16) / EBITDA LTM</t>
        </is>
      </c>
      <c r="D336" s="219" t="str">
        <f>""</f>
        <v/>
      </c>
      <c r="E336" s="219" t="str">
        <f>""</f>
        <v/>
      </c>
      <c r="F336" s="219" t="str">
        <f>""</f>
        <v/>
      </c>
      <c r="G336" s="219">
        <f>IFERROR((SUM(G211,G212,G216,G237)-G143)/(G68+F68+E68+D68),"")</f>
        <v>-0.816696269982238</v>
      </c>
      <c r="I336" s="219">
        <f>IFERROR((SUM(I211,I212,I216,I237)-I143)/(I68+G68+F68+E68),"")</f>
        <v>-0.840801886792453</v>
      </c>
      <c r="J336" s="219">
        <f>IFERROR((SUM(J211,J212,J216,J237)-J143)/(J68+I68+G68+F68),"")</f>
        <v>-0.911573472041612</v>
      </c>
      <c r="K336" s="219">
        <f>IFERROR((SUM(K211,K212,K216,K237)-K143)/(K68+J68+I68+G68),"")</f>
        <v>-0.858493474463056</v>
      </c>
      <c r="L336" s="219">
        <f>IFERROR((SUM(L211,L212,L216,L237)-L143)/(L68+K68+J68+I68),"")</f>
        <v>-0.915024520731164</v>
      </c>
      <c r="N336" s="219">
        <f>IFERROR((SUM(N211,N212,N216,N237)-N143)/(N68+L68+K68+J68),"")</f>
        <v>-0.839982110912343</v>
      </c>
      <c r="O336" s="219">
        <f>IFERROR((SUM(O211,O212,O216,O237)-O143)/(O68+N68+L68+K68),"")</f>
        <v>-0.652728637289589</v>
      </c>
      <c r="P336" s="219">
        <f>IFERROR((SUM(P211,P212,P216,P237)-P143)/(P68+O68+N68+L68),"")</f>
        <v>-0.29775967413442</v>
      </c>
      <c r="Q336" s="219">
        <f>IFERROR((SUM(Q211,Q212,Q216,Q237)-Q143)/(Q68+P68+O68+N68),"")</f>
        <v>-0.40620665742025</v>
      </c>
      <c r="S336" s="219">
        <f>IFERROR((SUM(S211,S212,S216,S237)-S143)/(S68+Q68+P68+O68),"")</f>
        <v>-0.716912972085386</v>
      </c>
      <c r="T336" s="219">
        <f>IFERROR((SUM(T211,T212,T216,T237)-T143)/(T68+S68+Q68+P68),"")</f>
        <v>-0.510421715947649</v>
      </c>
      <c r="U336" s="219">
        <f>IFERROR((SUM(U211,U212,U216,U237)-U143)/(U68+T68+S68+Q68),"")</f>
        <v>-0.386958483754513</v>
      </c>
      <c r="V336" s="219">
        <f>IFERROR((SUM(V211,V212,V216,V237)-V143)/(V68+U68+T68+S68),"")</f>
        <v>-0.472026450883146</v>
      </c>
      <c r="X336" s="219">
        <f>IFERROR((SUM(X211,X212,X216,X237)-X143)/(X68+V68+U68+T68),"")</f>
        <v>-0.4409627795592</v>
      </c>
      <c r="Y336" s="219">
        <f>IFERROR((SUM(Y211,Y212,Y216,Y237)-Y143)/(Y68+X68+V68+U68),"")</f>
        <v>-0.430488362970711</v>
      </c>
      <c r="Z336" s="219">
        <f>IFERROR((SUM(Z211,Z212,Z216,Z237)-Z143)/(Z68+Y68+X68+V68),"")</f>
        <v>-0.412760166066372</v>
      </c>
      <c r="AA336" s="219">
        <f>IFERROR((SUM(AA211,AA212,AA216,AA237)-AA143)/(AA68+Z68+Y68+X68),"")</f>
        <v>-0.417040735495331</v>
      </c>
      <c r="AC336" s="219">
        <f>IFERROR((SUM(AC211,AC212,AC216,AC237)-AC143)/(AC68+AA68+Z68+Y68),"")</f>
        <v>-0.512498866829843</v>
      </c>
      <c r="AD336" s="219">
        <f>IFERROR((SUM(AD211,AD212,AD216,AD237)-AD143)/(AD68+AC68+AA68+Z68),"")</f>
        <v>-0.491697360656071</v>
      </c>
      <c r="AE336" s="219">
        <f>IFERROR((SUM(AE211,AE212,AE216,AE237)-AE143)/(AE68+AD68+AC68+AA68),"")</f>
        <v>-0.462669482501597</v>
      </c>
      <c r="AF336" s="219">
        <f>IFERROR((SUM(AF211,AF212,AF216,AF237)-AF143)/(AF68+AE68+AD68+AC68),"")</f>
        <v>-0.309254672371088</v>
      </c>
      <c r="AH336" s="219">
        <f>IFERROR((SUM(AH211,AH212,AH216,AH237)-AH143)/(AH68+AF68+AE68+AD68),"")</f>
        <v>-0.252939328395181</v>
      </c>
      <c r="AI336" s="219">
        <f>IFERROR((SUM(AI211,AI212,AI216,AI237)-AI143)/(AI68+AH68+AF68+AE68),"")</f>
        <v>-0.115369709737362</v>
      </c>
      <c r="AJ336" s="219">
        <f>IFERROR((SUM(AJ211,AJ212,AJ216,AJ237)-AJ143)/(AJ68+AI68+AH68+AF68),"")</f>
        <v>-0.57932585635695</v>
      </c>
      <c r="AK336" s="219">
        <f>IFERROR((SUM(AK211,AK212,AK216,AK237)-AK143)/(AK68+AJ68+AI68+AH68),"")</f>
        <v>-0.865219357756671</v>
      </c>
      <c r="AM336" s="219" t="str">
        <f>IFERROR((SUM(AM211,AM212,AM216,AM237)-AM143)/(AM68+AK68+AJ68+AI68),"")</f>
        <v/>
      </c>
      <c r="AN336" s="219" t="str">
        <f>IFERROR((SUM(AN211,AN212,AN216,AN237)-AN143)/(AN68+AM68+AK68+AJ68),"")</f>
        <v/>
      </c>
      <c r="AO336" s="219" t="str">
        <f>IFERROR((SUM(AO211,AO212,AO216,AO237)-AO143)/(AO68+AN68+AM68+AK68),"")</f>
        <v/>
      </c>
      <c r="AP336" s="219" t="str">
        <f>IFERROR((SUM(AP211,AP212,AP216,AP237)-AP143)/(AP68+AO68+AN68+AM68),"")</f>
        <v/>
      </c>
      <c r="AR336" s="219" t="str">
        <f>IFERROR((SUM(AR211,AR212,AR216,AR237)-AR143)/(AR68+AP68+AO68+AN68),"")</f>
        <v/>
      </c>
      <c r="AS336" s="219" t="str">
        <f>IFERROR((SUM(AS211,AS212,AS216,AS237)-AS143)/(AS68+AR68+AP68+AO68),"")</f>
        <v/>
      </c>
      <c r="AT336" s="219" t="str">
        <f>IFERROR((SUM(AT211,AT212,AT216,AT237)-AT143)/(AT68+AS68+AR68+AP68),"")</f>
        <v/>
      </c>
      <c r="AU336" s="219" t="str">
        <f>IFERROR((SUM(AU211,AU212,AU216,AU237)-AU143)/(AU68+AT68+AS68+AR68),"")</f>
        <v/>
      </c>
      <c r="AW336" s="219" t="str">
        <f>IFERROR((SUM(AW211,AW212,AW216,AW237)-AW143)/(AW68+AU68+AT68+AS68),"")</f>
        <v/>
      </c>
      <c r="AX336" s="219" t="str">
        <f>IFERROR((SUM(AX211,AX212,AX216,AX237)-AX143)/(AX68+AW68+AU68+AT68),"")</f>
        <v/>
      </c>
      <c r="AY336" s="219" t="str">
        <f>IFERROR((SUM(AY211,AY212,AY216,AY237)-AY143)/(AY68+AX68+AW68+AU68),"")</f>
        <v/>
      </c>
      <c r="AZ336" s="219" t="str">
        <f>IFERROR((SUM(AZ211,AZ212,AZ216,AZ237)-AZ143)/(AZ68+AY68+AX68+AW68),"")</f>
        <v/>
      </c>
      <c r="BB336" s="219" t="str">
        <f>IFERROR((SUM(BB211,BB212,BB216,BB237)-BB143)/(BB68+AZ68+AY68+AX68),"")</f>
        <v/>
      </c>
      <c r="BC336" s="219" t="str">
        <f>IFERROR((SUM(BC211,BC212,BC216,BC237)-BC143)/(BC68+BB68+AZ68+AY68),"")</f>
        <v/>
      </c>
      <c r="BD336" s="219" t="str">
        <f>IFERROR((SUM(BD211,BD212,BD216,BD237)-BD143)/(BD68+BC68+BB68+AZ68),"")</f>
        <v/>
      </c>
      <c r="BE336" s="219" t="str">
        <f>IFERROR((SUM(BE211,BE212,BE216,BE237)-BE143)/(BE68+BD68+BC68+BB68),"")</f>
        <v/>
      </c>
      <c r="BG336" s="219" t="str">
        <f>IFERROR((SUM(BG211,BG212,BG216,BG237)-BG143)/(BG68+BE68+BD68+BC68),"")</f>
        <v/>
      </c>
      <c r="BH336" s="219" t="str">
        <f>IFERROR((SUM(BH211,BH212,BH216,BH237)-BH143)/(BH68+BG68+BE68+BD68),"")</f>
        <v/>
      </c>
      <c r="BI336" s="219" t="str">
        <f>IFERROR((SUM(BI211,BI212,BI216,BI237)-BI143)/(BI68+BH68+BG68+BE68),"")</f>
        <v/>
      </c>
      <c r="BJ336" s="219" t="str">
        <f>IFERROR((SUM(BJ211,BJ212,BJ216,BJ237)-BJ143)/(BJ68+BI68+BH68+BG68),"")</f>
        <v/>
      </c>
      <c r="BL336" s="219" t="str">
        <f>IFERROR((SUM(BL211,BL212,BL216,BL237)-BL143)/(BL68+BJ68+BI68+BH68),"")</f>
        <v/>
      </c>
      <c r="BM336" s="219" t="str">
        <f>IFERROR((SUM(BM211,BM212,BM216,BM237)-BM143)/(BM68+BL68+BJ68+BI68),"")</f>
        <v/>
      </c>
      <c r="BN336" s="219" t="str">
        <f>IFERROR((SUM(BN211,BN212,BN216,BN237)-BN143)/(BN68+BM68+BL68+BJ68),"")</f>
        <v/>
      </c>
      <c r="BO336" s="219" t="str">
        <f>IFERROR((SUM(BO211,BO212,BO216,BO237)-BO143)/(BO68+BN68+BM68+BL68),"")</f>
        <v/>
      </c>
      <c r="BQ336" s="219" t="str">
        <f>IFERROR((SUM(BQ211,BQ212,BQ216,BQ237)-BQ143)/(BQ68+BO68+BN68+BM68),"")</f>
        <v/>
      </c>
      <c r="BR336" s="219" t="str">
        <f>IFERROR((SUM(BR211,BR212,BR216,BR237)-BR143)/(BR68+BQ68+BO68+BN68),"")</f>
        <v/>
      </c>
      <c r="BS336" s="219" t="str">
        <f>IFERROR((SUM(BS211,BS212,BS216,BS237)-BS143)/(BS68+BR68+BQ68+BO68),"")</f>
        <v/>
      </c>
      <c r="BT336" s="219" t="str">
        <f>IFERROR((SUM(BT211,BT212,BT216,BT237)-BT143)/(BT68+BS68+BR68+BQ68),"")</f>
        <v/>
      </c>
      <c r="BV336" s="219" t="str">
        <f>IFERROR((SUM(BV211,BV212,BV216,BV237)-BV143)/(BV68+BT68+BS68+BR68),"")</f>
        <v/>
      </c>
      <c r="BW336" s="219" t="str">
        <f>IFERROR((SUM(BW211,BW212,BW216,BW237)-BW143)/(BW68+BV68+BT68+BS68),"")</f>
        <v/>
      </c>
      <c r="BX336" s="219" t="str">
        <f>IFERROR((SUM(BX211,BX212,BX216,BX237)-BX143)/(BX68+BW68+BV68+BT68),"")</f>
        <v/>
      </c>
      <c r="BY336" s="219" t="str">
        <f>IFERROR((SUM(BY211,BY212,BY216,BY237)-BY143)/(BY68+BX68+BW68+BV68),"")</f>
        <v/>
      </c>
      <c r="CA336" s="219" t="str">
        <f>IFERROR((SUM(CA211,CA212,CA216,CA237)-CA143)/(CA68+BY68+BX68+BW68),"")</f>
        <v/>
      </c>
      <c r="CB336" s="219" t="str">
        <f>IFERROR((SUM(CB211,CB212,CB216,CB237)-CB143)/(CB68+CA68+BY68+BX68),"")</f>
        <v/>
      </c>
      <c r="CC336" s="219" t="str">
        <f>IFERROR((SUM(CC211,CC212,CC216,CC237)-CC143)/(CC68+CB68+CA68+BY68),"")</f>
        <v/>
      </c>
      <c r="CD336" s="219" t="str">
        <f>IFERROR((SUM(CD211,CD212,CD216,CD237)-CD143)/(CD68+CC68+CB68+CA68),"")</f>
        <v/>
      </c>
      <c r="CF336" s="219" t="str">
        <f>IFERROR((SUM(CF211,CF212,CF216,CF237)-CF143)/(CF68+CD68+CC68+CB68),"")</f>
        <v/>
      </c>
      <c r="CG336" s="219" t="str">
        <f>IFERROR((SUM(CG211,CG212,CG216,CG237)-CG143)/(CG68+CF68+CD68+CC68),"")</f>
        <v/>
      </c>
      <c r="CH336" s="219" t="str">
        <f>IFERROR((SUM(CH211,CH212,CH216,CH237)-CH143)/(CH68+CG68+CF68+CD68),"")</f>
        <v/>
      </c>
      <c r="CI336" s="219" t="str">
        <f>IFERROR((SUM(CI211,CI212,CI216,CI237)-CI143)/(CI68+CH68+CG68+CF68),"")</f>
        <v/>
      </c>
      <c r="CK336" s="219" t="str">
        <f>IFERROR((SUM(CK211,CK212,CK216,CK237)-CK143)/(CK68+CI68+CH68+CG68),"")</f>
        <v/>
      </c>
      <c r="CL336" s="219" t="str">
        <f>IFERROR((SUM(CL211,CL212,CL216,CL237)-CL143)/(CL68+CK68+CI68+CH68),"")</f>
        <v/>
      </c>
      <c r="CM336" s="219" t="str">
        <f>IFERROR((SUM(CM211,CM212,CM216,CM237)-CM143)/(CM68+CL68+CK68+CI68),"")</f>
        <v/>
      </c>
      <c r="CN336" s="219" t="str">
        <f>IFERROR((SUM(CN211,CN212,CN216,CN237)-CN143)/(CN68+CM68+CL68+CK68),"")</f>
        <v/>
      </c>
      <c r="CP336" s="219" t="str">
        <f>IFERROR((SUM(CP211,CP212,CP216,CP237)-CP143)/(CP68+CN68+CM68+CL68),"")</f>
        <v/>
      </c>
      <c r="CQ336" s="219" t="str">
        <f>IFERROR((SUM(CQ211,CQ212,CQ216,CQ237)-CQ143)/(CQ68+CP68+CN68+CM68),"")</f>
        <v/>
      </c>
      <c r="CR336" s="219" t="str">
        <f>IFERROR((SUM(CR211,CR212,CR216,CR237)-CR143)/(CR68+CQ68+CP68+CN68),"")</f>
        <v/>
      </c>
      <c r="CS336" s="219" t="str">
        <f>IFERROR((SUM(CS211,CS212,CS216,CS237)-CS143)/(CS68+CR68+CQ68+CP68),"")</f>
        <v/>
      </c>
      <c r="CU336" s="219" t="str">
        <f>IFERROR((SUM(CU211,CU212,CU216,CU237)-CU143)/(CU68+CS68+CR68+CQ68),"")</f>
        <v/>
      </c>
      <c r="CV336" s="219" t="str">
        <f>IFERROR((SUM(CV211,CV212,CV216,CV237)-CV143)/(CV68+CU68+CS68+CR68),"")</f>
        <v/>
      </c>
      <c r="CW336" s="219" t="str">
        <f>IFERROR((SUM(CW211,CW212,CW216,CW237)-CW143)/(CW68+CV68+CU68+CS68),"")</f>
        <v/>
      </c>
      <c r="CX336" s="219" t="str">
        <f>IFERROR((SUM(CX211,CX212,CX216,CX237)-CX143)/(CX68+CW68+CV68+CU68),"")</f>
        <v/>
      </c>
    </row>
    <row r="337" customFormat="1" s="233">
      <c r="A337" s="224" t="n"/>
      <c r="B337" s="224" t="n"/>
      <c r="C337" s="233" t="inlineStr">
        <is>
          <t>INTEREST COVERAGE</t>
        </is>
      </c>
      <c r="D337" s="219">
        <f>D72/-D73</f>
        <v>39.04</v>
      </c>
      <c r="E337" s="219">
        <f>E72/-E73</f>
        <v>12.0555555555556</v>
      </c>
      <c r="F337" s="219">
        <f>F72/-F73</f>
        <v>26.377358490566</v>
      </c>
      <c r="G337" s="219">
        <f>G72/-G73</f>
        <v>28.4339622641509</v>
      </c>
      <c r="I337" s="219">
        <f>I72/-I73</f>
        <v>36.9056603773585</v>
      </c>
      <c r="J337" s="219">
        <f>J72/-J73</f>
        <v>40.7333333333333</v>
      </c>
      <c r="K337" s="219">
        <f>K72/-K73</f>
        <v>43.0806451612903</v>
      </c>
      <c r="L337" s="219">
        <f>L72/-L73</f>
        <v>48.6885245901639</v>
      </c>
      <c r="N337" s="219">
        <f>N72/-N73</f>
        <v>27.4705882352941</v>
      </c>
      <c r="O337" s="219">
        <f>O72/-O73</f>
        <v>7.67692307692308</v>
      </c>
      <c r="P337" s="219">
        <f>P72/-P73</f>
        <v>9.24615384615385</v>
      </c>
      <c r="Q337" s="219">
        <f>Q72/-Q73</f>
        <v>19.625</v>
      </c>
      <c r="S337" s="219">
        <f>S72/-S73</f>
        <v>32.4242424242424</v>
      </c>
      <c r="T337" s="219">
        <f>T72/-T73</f>
        <v>104.615384615385</v>
      </c>
      <c r="U337" s="219">
        <f>U72/-U73</f>
        <v>165.349206349206</v>
      </c>
      <c r="V337" s="219">
        <f>V72/-V73</f>
        <v>216.095238095238</v>
      </c>
      <c r="X337" s="219">
        <f>X72/-X73</f>
        <v>264.203125</v>
      </c>
      <c r="Y337" s="219">
        <f>Y72/-Y73</f>
        <v>305.606557377049</v>
      </c>
      <c r="Z337" s="219">
        <f>Z72/-Z73</f>
        <v>358.508196721312</v>
      </c>
      <c r="AA337" s="219">
        <f>AA72/-AA73</f>
        <v>394</v>
      </c>
      <c r="AC337" s="219">
        <f>AC72/-AC73</f>
        <v>343.460317460317</v>
      </c>
      <c r="AD337" s="219">
        <f>AD72/-AD73</f>
        <v>458.709677419355</v>
      </c>
      <c r="AE337" s="219">
        <f>AE72/-AE73</f>
        <v>590.327868852459</v>
      </c>
      <c r="AF337" s="219">
        <f>AF72/-AF73</f>
        <v>606.835616438356</v>
      </c>
      <c r="AH337" s="219">
        <f>AH72/-AH73</f>
        <v>524.862745098039</v>
      </c>
      <c r="AI337" s="219">
        <f>AI72/-AI73</f>
        <v>280.766519823789</v>
      </c>
      <c r="AJ337" s="219" t="e">
        <f>AJ72/-AJ73</f>
        <v>#DIV/0!</v>
      </c>
      <c r="AK337" s="219" t="e">
        <f>AK72/-AK73</f>
        <v>#DIV/0!</v>
      </c>
      <c r="AM337" s="219" t="e">
        <f>AM72/-AM73</f>
        <v>#DIV/0!</v>
      </c>
      <c r="AN337" s="219" t="e">
        <f>AN72/-AN73</f>
        <v>#DIV/0!</v>
      </c>
      <c r="AO337" s="219" t="e">
        <f>AO72/-AO73</f>
        <v>#DIV/0!</v>
      </c>
      <c r="AP337" s="219" t="e">
        <f>AP72/-AP73</f>
        <v>#DIV/0!</v>
      </c>
      <c r="AR337" s="219" t="e">
        <f>AR72/-AR73</f>
        <v>#DIV/0!</v>
      </c>
      <c r="AS337" s="219" t="e">
        <f>AS72/-AS73</f>
        <v>#DIV/0!</v>
      </c>
      <c r="AT337" s="219" t="e">
        <f>AT72/-AT73</f>
        <v>#DIV/0!</v>
      </c>
      <c r="AU337" s="219" t="e">
        <f>AU72/-AU73</f>
        <v>#DIV/0!</v>
      </c>
      <c r="AW337" s="219" t="e">
        <f>AW72/-AW73</f>
        <v>#DIV/0!</v>
      </c>
      <c r="AX337" s="219" t="e">
        <f>AX72/-AX73</f>
        <v>#DIV/0!</v>
      </c>
      <c r="AY337" s="219" t="e">
        <f>AY72/-AY73</f>
        <v>#DIV/0!</v>
      </c>
      <c r="AZ337" s="219" t="e">
        <f>AZ72/-AZ73</f>
        <v>#DIV/0!</v>
      </c>
      <c r="BB337" s="219" t="e">
        <f>BB72/-BB73</f>
        <v>#DIV/0!</v>
      </c>
      <c r="BC337" s="219" t="e">
        <f>BC72/-BC73</f>
        <v>#DIV/0!</v>
      </c>
      <c r="BD337" s="219" t="e">
        <f>BD72/-BD73</f>
        <v>#DIV/0!</v>
      </c>
      <c r="BE337" s="219" t="e">
        <f>BE72/-BE73</f>
        <v>#DIV/0!</v>
      </c>
      <c r="BG337" s="219" t="e">
        <f>BG72/-BG73</f>
        <v>#DIV/0!</v>
      </c>
      <c r="BH337" s="219" t="e">
        <f>BH72/-BH73</f>
        <v>#DIV/0!</v>
      </c>
      <c r="BI337" s="219" t="e">
        <f>BI72/-BI73</f>
        <v>#DIV/0!</v>
      </c>
      <c r="BJ337" s="219" t="e">
        <f>BJ72/-BJ73</f>
        <v>#DIV/0!</v>
      </c>
      <c r="BL337" s="219" t="e">
        <f>BL72/-BL73</f>
        <v>#DIV/0!</v>
      </c>
      <c r="BM337" s="219" t="e">
        <f>BM72/-BM73</f>
        <v>#DIV/0!</v>
      </c>
      <c r="BN337" s="219" t="e">
        <f>BN72/-BN73</f>
        <v>#DIV/0!</v>
      </c>
      <c r="BO337" s="219" t="e">
        <f>BO72/-BO73</f>
        <v>#DIV/0!</v>
      </c>
      <c r="BQ337" s="219" t="e">
        <f>BQ72/-BQ73</f>
        <v>#DIV/0!</v>
      </c>
      <c r="BR337" s="219" t="e">
        <f>BR72/-BR73</f>
        <v>#DIV/0!</v>
      </c>
      <c r="BS337" s="219" t="e">
        <f>BS72/-BS73</f>
        <v>#DIV/0!</v>
      </c>
      <c r="BT337" s="219" t="e">
        <f>BT72/-BT73</f>
        <v>#DIV/0!</v>
      </c>
      <c r="BV337" s="219" t="e">
        <f>BV72/-BV73</f>
        <v>#DIV/0!</v>
      </c>
      <c r="BW337" s="219" t="e">
        <f>BW72/-BW73</f>
        <v>#DIV/0!</v>
      </c>
      <c r="BX337" s="219" t="e">
        <f>BX72/-BX73</f>
        <v>#DIV/0!</v>
      </c>
      <c r="BY337" s="219" t="e">
        <f>BY72/-BY73</f>
        <v>#DIV/0!</v>
      </c>
      <c r="CA337" s="219" t="e">
        <f>CA72/-CA73</f>
        <v>#DIV/0!</v>
      </c>
      <c r="CB337" s="219" t="e">
        <f>CB72/-CB73</f>
        <v>#DIV/0!</v>
      </c>
      <c r="CC337" s="219" t="e">
        <f>CC72/-CC73</f>
        <v>#DIV/0!</v>
      </c>
      <c r="CD337" s="219" t="e">
        <f>CD72/-CD73</f>
        <v>#DIV/0!</v>
      </c>
      <c r="CF337" s="219" t="e">
        <f>CF72/-CF73</f>
        <v>#DIV/0!</v>
      </c>
      <c r="CG337" s="219" t="e">
        <f>CG72/-CG73</f>
        <v>#DIV/0!</v>
      </c>
      <c r="CH337" s="219" t="e">
        <f>CH72/-CH73</f>
        <v>#DIV/0!</v>
      </c>
      <c r="CI337" s="219" t="e">
        <f>CI72/-CI73</f>
        <v>#DIV/0!</v>
      </c>
      <c r="CK337" s="219" t="e">
        <f>CK72/-CK73</f>
        <v>#DIV/0!</v>
      </c>
      <c r="CL337" s="219" t="e">
        <f>CL72/-CL73</f>
        <v>#DIV/0!</v>
      </c>
      <c r="CM337" s="219" t="e">
        <f>CM72/-CM73</f>
        <v>#DIV/0!</v>
      </c>
      <c r="CN337" s="219" t="e">
        <f>CN72/-CN73</f>
        <v>#DIV/0!</v>
      </c>
      <c r="CP337" s="219" t="e">
        <f>CP72/-CP73</f>
        <v>#DIV/0!</v>
      </c>
      <c r="CQ337" s="219" t="e">
        <f>CQ72/-CQ73</f>
        <v>#DIV/0!</v>
      </c>
      <c r="CR337" s="219" t="e">
        <f>CR72/-CR73</f>
        <v>#DIV/0!</v>
      </c>
      <c r="CS337" s="219" t="e">
        <f>CS72/-CS73</f>
        <v>#DIV/0!</v>
      </c>
      <c r="CU337" s="219" t="e">
        <f>CU72/-CU73</f>
        <v>#DIV/0!</v>
      </c>
      <c r="CV337" s="219" t="e">
        <f>CV72/-CV73</f>
        <v>#DIV/0!</v>
      </c>
      <c r="CW337" s="219" t="e">
        <f>CW72/-CW73</f>
        <v>#DIV/0!</v>
      </c>
      <c r="CX337" s="219" t="e">
        <f>CX72/-CX73</f>
        <v>#DIV/0!</v>
      </c>
    </row>
    <row r="338" customFormat="1" s="233">
      <c r="A338" s="224" t="n"/>
      <c r="B338" s="224" t="n"/>
    </row>
    <row r="339" customFormat="1" s="233">
      <c r="A339" s="224" t="n"/>
      <c r="B339" s="224" t="n"/>
      <c r="C339" s="234" t="inlineStr">
        <is>
          <t>INTERNAL LIQUIDITY</t>
        </is>
      </c>
    </row>
    <row r="340" customFormat="1" s="233">
      <c r="A340" s="224" t="n"/>
      <c r="B340" s="224" t="n"/>
      <c r="C340" s="233" t="inlineStr">
        <is>
          <t>CURRENT RATIO</t>
        </is>
      </c>
      <c r="D340" s="219">
        <f>SUM(D143,D144,D148,D152,D153,D154)/SUM(D197,D201,D203,D204)</f>
        <v>10.5712033631109</v>
      </c>
      <c r="E340" s="219">
        <f>SUM(E143,E144,E148,E152,E153,E154)/SUM(E197,E201,E203,E204)</f>
        <v>6.35311203319502</v>
      </c>
      <c r="F340" s="219">
        <f>SUM(F143,F144,F148,F152,F153,F154)/SUM(F197,F201,F203,F204)</f>
        <v>5.63796330962186</v>
      </c>
      <c r="G340" s="219">
        <f>SUM(G143,G144,G148,G152,G153,G154)/SUM(G197,G201,G203,G204)</f>
        <v>5.76247436773753</v>
      </c>
      <c r="I340" s="219">
        <f>SUM(I143,I144,I148,I152,I153,I154)/SUM(I197,I201,I203,I204)</f>
        <v>6.29118136439268</v>
      </c>
      <c r="J340" s="219">
        <f>SUM(J143,J144,J148,J152,J153,J154)/SUM(J197,J201,J203,J204)</f>
        <v>7.76218097447796</v>
      </c>
      <c r="K340" s="219">
        <f>SUM(K143,K144,K148,K152,K153,K154)/SUM(K197,K201,K203,K204)</f>
        <v>7.41306755260244</v>
      </c>
      <c r="L340" s="219">
        <f>SUM(L143,L144,L148,L152,L153,L154)/SUM(L197,L201,L203,L204)</f>
        <v>6.93217993079585</v>
      </c>
      <c r="N340" s="219">
        <f>SUM(N143,N144,N148,N152,N153,N154)/SUM(N197,N201,N203,N204)</f>
        <v>5.63807982740022</v>
      </c>
      <c r="O340" s="219">
        <f>SUM(O143,O144,O148,O152,O153,O154)/SUM(O197,O201,O203,O204)</f>
        <v>4.68738140417457</v>
      </c>
      <c r="P340" s="219">
        <f>SUM(P143,P144,P148,P152,P153,P154)/SUM(P197,P201,P203,P204)</f>
        <v>4.63521227256511</v>
      </c>
      <c r="Q340" s="219">
        <f>SUM(Q143,Q144,Q148,Q152,Q153,Q154)/SUM(Q197,Q201,Q203,Q204)</f>
        <v>4.9819311123659</v>
      </c>
      <c r="S340" s="219">
        <f>SUM(S143,S144,S148,S152,S153,S154)/SUM(S197,S201,S203,S204)</f>
        <v>4.90033277870216</v>
      </c>
      <c r="T340" s="219">
        <f>SUM(T143,T144,T148,T152,T153,T154)/SUM(T197,T201,T203,T204)</f>
        <v>3.76389653274629</v>
      </c>
      <c r="U340" s="219">
        <f>SUM(U143,U144,U148,U152,U153,U154)/SUM(U197,U201,U203,U204)</f>
        <v>4.92103922567499</v>
      </c>
      <c r="V340" s="219">
        <f>SUM(V143,V144,V148,V152,V153,V154)/SUM(V197,V201,V203,V204)</f>
        <v>5.37533312013645</v>
      </c>
      <c r="X340" s="219">
        <f>SUM(X143,X144,X148,X152,X153,X154)/SUM(X197,X201,X203,X204)</f>
        <v>4.40327774994633</v>
      </c>
      <c r="Y340" s="219">
        <f>SUM(Y143,Y144,Y148,Y152,Y153,Y154)/SUM(Y197,Y201,Y203,Y204)</f>
        <v>4.9546137876727</v>
      </c>
      <c r="Z340" s="219">
        <f>SUM(Z143,Z144,Z148,Z152,Z153,Z154)/SUM(Z197,Z201,Z203,Z204)</f>
        <v>4.72819952667031</v>
      </c>
      <c r="AA340" s="219">
        <f>SUM(AA143,AA144,AA148,AA152,AA153,AA154)/SUM(AA197,AA201,AA203,AA204)</f>
        <v>5.04820745830332</v>
      </c>
      <c r="AC340" s="219">
        <f>SUM(AC143,AC144,AC148,AC152,AC153,AC154)/SUM(AC197,AC201,AC203,AC204)</f>
        <v>3.89017406374802</v>
      </c>
      <c r="AD340" s="219">
        <f>SUM(AD143,AD144,AD148,AD152,AD153,AD154)/SUM(AD197,AD201,AD203,AD204)</f>
        <v>4.77342622748073</v>
      </c>
      <c r="AE340" s="219">
        <f>SUM(AE143,AE144,AE148,AE152,AE153,AE154)/SUM(AE197,AE201,AE203,AE204)</f>
        <v>5.1908597862498</v>
      </c>
      <c r="AF340" s="219">
        <f>SUM(AF143,AF144,AF148,AF152,AF153,AF154)/SUM(AF197,AF201,AF203,AF204)</f>
        <v>4.45587857784623</v>
      </c>
      <c r="AH340" s="219">
        <f>SUM(AH143,AH144,AH148,AH152,AH153,AH154)/SUM(AH197,AH201,AH203,AH204)</f>
        <v>3.79400242514691</v>
      </c>
      <c r="AI340" s="219">
        <f>SUM(AI143,AI144,AI148,AI152,AI153,AI154)/SUM(AI197,AI201,AI203,AI204)</f>
        <v>4.98752945096266</v>
      </c>
      <c r="AJ340" s="219" t="e">
        <f>SUM(AJ143,AJ144,AJ148,AJ152,AJ153,AJ154)/SUM(AJ197,AJ201,AJ203,AJ204)</f>
        <v>#DIV/0!</v>
      </c>
      <c r="AK340" s="219" t="e">
        <f>SUM(AK143,AK144,AK148,AK152,AK153,AK154)/SUM(AK197,AK201,AK203,AK204)</f>
        <v>#DIV/0!</v>
      </c>
      <c r="AM340" s="219" t="e">
        <f>SUM(AM143,AM144,AM148,AM152,AM153,AM154)/SUM(AM197,AM201,AM203,AM204)</f>
        <v>#DIV/0!</v>
      </c>
      <c r="AN340" s="219" t="e">
        <f>SUM(AN143,AN144,AN148,AN152,AN153,AN154)/SUM(AN197,AN201,AN203,AN204)</f>
        <v>#DIV/0!</v>
      </c>
      <c r="AO340" s="219" t="e">
        <f>SUM(AO143,AO144,AO148,AO152,AO153,AO154)/SUM(AO197,AO201,AO203,AO204)</f>
        <v>#DIV/0!</v>
      </c>
      <c r="AP340" s="219" t="e">
        <f>SUM(AP143,AP144,AP148,AP152,AP153,AP154)/SUM(AP197,AP201,AP203,AP204)</f>
        <v>#DIV/0!</v>
      </c>
      <c r="AR340" s="219" t="e">
        <f>SUM(AR143,AR144,AR148,AR152,AR153,AR154)/SUM(AR197,AR201,AR203,AR204)</f>
        <v>#DIV/0!</v>
      </c>
      <c r="AS340" s="219" t="e">
        <f>SUM(AS143,AS144,AS148,AS152,AS153,AS154)/SUM(AS197,AS201,AS203,AS204)</f>
        <v>#DIV/0!</v>
      </c>
      <c r="AT340" s="219" t="e">
        <f>SUM(AT143,AT144,AT148,AT152,AT153,AT154)/SUM(AT197,AT201,AT203,AT204)</f>
        <v>#DIV/0!</v>
      </c>
      <c r="AU340" s="219" t="e">
        <f>SUM(AU143,AU144,AU148,AU152,AU153,AU154)/SUM(AU197,AU201,AU203,AU204)</f>
        <v>#DIV/0!</v>
      </c>
      <c r="AW340" s="219" t="e">
        <f>SUM(AW143,AW144,AW148,AW152,AW153,AW154)/SUM(AW197,AW201,AW203,AW204)</f>
        <v>#DIV/0!</v>
      </c>
      <c r="AX340" s="219" t="e">
        <f>SUM(AX143,AX144,AX148,AX152,AX153,AX154)/SUM(AX197,AX201,AX203,AX204)</f>
        <v>#DIV/0!</v>
      </c>
      <c r="AY340" s="219" t="e">
        <f>SUM(AY143,AY144,AY148,AY152,AY153,AY154)/SUM(AY197,AY201,AY203,AY204)</f>
        <v>#DIV/0!</v>
      </c>
      <c r="AZ340" s="219" t="e">
        <f>SUM(AZ143,AZ144,AZ148,AZ152,AZ153,AZ154)/SUM(AZ197,AZ201,AZ203,AZ204)</f>
        <v>#DIV/0!</v>
      </c>
      <c r="BB340" s="219" t="e">
        <f>SUM(BB143,BB144,BB148,BB152,BB153,BB154)/SUM(BB197,BB201,BB203,BB204)</f>
        <v>#DIV/0!</v>
      </c>
      <c r="BC340" s="219" t="e">
        <f>SUM(BC143,BC144,BC148,BC152,BC153,BC154)/SUM(BC197,BC201,BC203,BC204)</f>
        <v>#DIV/0!</v>
      </c>
      <c r="BD340" s="219" t="e">
        <f>SUM(BD143,BD144,BD148,BD152,BD153,BD154)/SUM(BD197,BD201,BD203,BD204)</f>
        <v>#DIV/0!</v>
      </c>
      <c r="BE340" s="219" t="e">
        <f>SUM(BE143,BE144,BE148,BE152,BE153,BE154)/SUM(BE197,BE201,BE203,BE204)</f>
        <v>#DIV/0!</v>
      </c>
      <c r="BG340" s="219" t="e">
        <f>SUM(BG143,BG144,BG148,BG152,BG153,BG154)/SUM(BG197,BG201,BG203,BG204)</f>
        <v>#DIV/0!</v>
      </c>
      <c r="BH340" s="219" t="e">
        <f>SUM(BH143,BH144,BH148,BH152,BH153,BH154)/SUM(BH197,BH201,BH203,BH204)</f>
        <v>#DIV/0!</v>
      </c>
      <c r="BI340" s="219" t="e">
        <f>SUM(BI143,BI144,BI148,BI152,BI153,BI154)/SUM(BI197,BI201,BI203,BI204)</f>
        <v>#DIV/0!</v>
      </c>
      <c r="BJ340" s="219" t="e">
        <f>SUM(BJ143,BJ144,BJ148,BJ152,BJ153,BJ154)/SUM(BJ197,BJ201,BJ203,BJ204)</f>
        <v>#DIV/0!</v>
      </c>
      <c r="BL340" s="219" t="e">
        <f>SUM(BL143,BL144,BL148,BL152,BL153,BL154)/SUM(BL197,BL201,BL203,BL204)</f>
        <v>#DIV/0!</v>
      </c>
      <c r="BM340" s="219" t="e">
        <f>SUM(BM143,BM144,BM148,BM152,BM153,BM154)/SUM(BM197,BM201,BM203,BM204)</f>
        <v>#DIV/0!</v>
      </c>
      <c r="BN340" s="219" t="e">
        <f>SUM(BN143,BN144,BN148,BN152,BN153,BN154)/SUM(BN197,BN201,BN203,BN204)</f>
        <v>#DIV/0!</v>
      </c>
      <c r="BO340" s="219" t="e">
        <f>SUM(BO143,BO144,BO148,BO152,BO153,BO154)/SUM(BO197,BO201,BO203,BO204)</f>
        <v>#DIV/0!</v>
      </c>
      <c r="BQ340" s="219" t="e">
        <f>SUM(BQ143,BQ144,BQ148,BQ152,BQ153,BQ154)/SUM(BQ197,BQ201,BQ203,BQ204)</f>
        <v>#DIV/0!</v>
      </c>
      <c r="BR340" s="219" t="e">
        <f>SUM(BR143,BR144,BR148,BR152,BR153,BR154)/SUM(BR197,BR201,BR203,BR204)</f>
        <v>#DIV/0!</v>
      </c>
      <c r="BS340" s="219" t="e">
        <f>SUM(BS143,BS144,BS148,BS152,BS153,BS154)/SUM(BS197,BS201,BS203,BS204)</f>
        <v>#DIV/0!</v>
      </c>
      <c r="BT340" s="219" t="e">
        <f>SUM(BT143,BT144,BT148,BT152,BT153,BT154)/SUM(BT197,BT201,BT203,BT204)</f>
        <v>#DIV/0!</v>
      </c>
      <c r="BV340" s="219" t="e">
        <f>SUM(BV143,BV144,BV148,BV152,BV153,BV154)/SUM(BV197,BV201,BV203,BV204)</f>
        <v>#DIV/0!</v>
      </c>
      <c r="BW340" s="219" t="e">
        <f>SUM(BW143,BW144,BW148,BW152,BW153,BW154)/SUM(BW197,BW201,BW203,BW204)</f>
        <v>#DIV/0!</v>
      </c>
      <c r="BX340" s="219" t="e">
        <f>SUM(BX143,BX144,BX148,BX152,BX153,BX154)/SUM(BX197,BX201,BX203,BX204)</f>
        <v>#DIV/0!</v>
      </c>
      <c r="BY340" s="219" t="e">
        <f>SUM(BY143,BY144,BY148,BY152,BY153,BY154)/SUM(BY197,BY201,BY203,BY204)</f>
        <v>#DIV/0!</v>
      </c>
      <c r="CA340" s="219" t="e">
        <f>SUM(CA143,CA144,CA148,CA152,CA153,CA154)/SUM(CA197,CA201,CA203,CA204)</f>
        <v>#DIV/0!</v>
      </c>
      <c r="CB340" s="219" t="e">
        <f>SUM(CB143,CB144,CB148,CB152,CB153,CB154)/SUM(CB197,CB201,CB203,CB204)</f>
        <v>#DIV/0!</v>
      </c>
      <c r="CC340" s="219" t="e">
        <f>SUM(CC143,CC144,CC148,CC152,CC153,CC154)/SUM(CC197,CC201,CC203,CC204)</f>
        <v>#DIV/0!</v>
      </c>
      <c r="CD340" s="219" t="e">
        <f>SUM(CD143,CD144,CD148,CD152,CD153,CD154)/SUM(CD197,CD201,CD203,CD204)</f>
        <v>#DIV/0!</v>
      </c>
      <c r="CF340" s="219" t="e">
        <f>SUM(CF143,CF144,CF148,CF152,CF153,CF154)/SUM(CF197,CF201,CF203,CF204)</f>
        <v>#DIV/0!</v>
      </c>
      <c r="CG340" s="219" t="e">
        <f>SUM(CG143,CG144,CG148,CG152,CG153,CG154)/SUM(CG197,CG201,CG203,CG204)</f>
        <v>#DIV/0!</v>
      </c>
      <c r="CH340" s="219" t="e">
        <f>SUM(CH143,CH144,CH148,CH152,CH153,CH154)/SUM(CH197,CH201,CH203,CH204)</f>
        <v>#DIV/0!</v>
      </c>
      <c r="CI340" s="219" t="e">
        <f>SUM(CI143,CI144,CI148,CI152,CI153,CI154)/SUM(CI197,CI201,CI203,CI204)</f>
        <v>#DIV/0!</v>
      </c>
      <c r="CK340" s="219" t="e">
        <f>SUM(CK143,CK144,CK148,CK152,CK153,CK154)/SUM(CK197,CK201,CK203,CK204)</f>
        <v>#DIV/0!</v>
      </c>
      <c r="CL340" s="219" t="e">
        <f>SUM(CL143,CL144,CL148,CL152,CL153,CL154)/SUM(CL197,CL201,CL203,CL204)</f>
        <v>#DIV/0!</v>
      </c>
      <c r="CM340" s="219" t="e">
        <f>SUM(CM143,CM144,CM148,CM152,CM153,CM154)/SUM(CM197,CM201,CM203,CM204)</f>
        <v>#DIV/0!</v>
      </c>
      <c r="CN340" s="219" t="e">
        <f>SUM(CN143,CN144,CN148,CN152,CN153,CN154)/SUM(CN197,CN201,CN203,CN204)</f>
        <v>#DIV/0!</v>
      </c>
      <c r="CP340" s="219" t="e">
        <f>SUM(CP143,CP144,CP148,CP152,CP153,CP154)/SUM(CP197,CP201,CP203,CP204)</f>
        <v>#DIV/0!</v>
      </c>
      <c r="CQ340" s="219" t="e">
        <f>SUM(CQ143,CQ144,CQ148,CQ152,CQ153,CQ154)/SUM(CQ197,CQ201,CQ203,CQ204)</f>
        <v>#DIV/0!</v>
      </c>
      <c r="CR340" s="219" t="e">
        <f>SUM(CR143,CR144,CR148,CR152,CR153,CR154)/SUM(CR197,CR201,CR203,CR204)</f>
        <v>#DIV/0!</v>
      </c>
      <c r="CS340" s="219" t="e">
        <f>SUM(CS143,CS144,CS148,CS152,CS153,CS154)/SUM(CS197,CS201,CS203,CS204)</f>
        <v>#DIV/0!</v>
      </c>
      <c r="CU340" s="219" t="e">
        <f>SUM(CU143,CU144,CU148,CU152,CU153,CU154)/SUM(CU197,CU201,CU203,CU204)</f>
        <v>#DIV/0!</v>
      </c>
      <c r="CV340" s="219" t="e">
        <f>SUM(CV143,CV144,CV148,CV152,CV153,CV154)/SUM(CV197,CV201,CV203,CV204)</f>
        <v>#DIV/0!</v>
      </c>
      <c r="CW340" s="219" t="e">
        <f>SUM(CW143,CW144,CW148,CW152,CW153,CW154)/SUM(CW197,CW201,CW203,CW204)</f>
        <v>#DIV/0!</v>
      </c>
      <c r="CX340" s="219" t="e">
        <f>SUM(CX143,CX144,CX148,CX152,CX153,CX154)/SUM(CX197,CX201,CX203,CX204)</f>
        <v>#DIV/0!</v>
      </c>
    </row>
    <row r="341" customFormat="1" s="233">
      <c r="A341" s="224" t="n"/>
      <c r="B341" s="224" t="n"/>
      <c r="C341" s="233" t="inlineStr">
        <is>
          <t>CASH RATIO</t>
        </is>
      </c>
      <c r="D341" s="219">
        <f>SUM(D143)/SUM(D197,D201,D203,D204)</f>
        <v>8.5937992643195</v>
      </c>
      <c r="E341" s="219">
        <f>SUM(E143)/SUM(E197,E201,E203,E204)</f>
        <v>4.55643153526971</v>
      </c>
      <c r="F341" s="219">
        <f>SUM(F143)/SUM(F197,F201,F203,F204)</f>
        <v>3.79595657057282</v>
      </c>
      <c r="G341" s="219">
        <f>SUM(G143)/SUM(G197,G201,G203,G204)</f>
        <v>3.95112781954887</v>
      </c>
      <c r="I341" s="219">
        <f>SUM(I143)/SUM(I197,I201,I203,I204)</f>
        <v>4.2153078202995</v>
      </c>
      <c r="J341" s="219">
        <f>SUM(J143)/SUM(J197,J201,J203,J204)</f>
        <v>5.70011600928074</v>
      </c>
      <c r="K341" s="219">
        <f>SUM(K143)/SUM(K197,K201,K203,K204)</f>
        <v>5.34274640088594</v>
      </c>
      <c r="L341" s="219">
        <f>SUM(L143)/SUM(L197,L201,L203,L204)</f>
        <v>4.89227220299885</v>
      </c>
      <c r="N341" s="219">
        <f>SUM(N143)/SUM(N197,N201,N203,N204)</f>
        <v>3.65659834591873</v>
      </c>
      <c r="O341" s="219">
        <f>SUM(O143)/SUM(O197,O201,O203,O204)</f>
        <v>2.69402277039848</v>
      </c>
      <c r="P341" s="219">
        <f>SUM(P143)/SUM(P197,P201,P203,P204)</f>
        <v>2.34445237245808</v>
      </c>
      <c r="Q341" s="219">
        <f>SUM(Q143)/SUM(Q197,Q201,Q203,Q204)</f>
        <v>2.50254093732355</v>
      </c>
      <c r="S341" s="219">
        <f>SUM(S143)/SUM(S197,S201,S203,S204)</f>
        <v>2.54908485856905</v>
      </c>
      <c r="T341" s="219">
        <f>SUM(T143)/SUM(T197,T201,T203,T204)</f>
        <v>1.76367638965327</v>
      </c>
      <c r="U341" s="219">
        <f>SUM(U143)/SUM(U197,U201,U203,U204)</f>
        <v>2.32819663779929</v>
      </c>
      <c r="V341" s="219">
        <f>SUM(V143)/SUM(V197,V201,V203,V204)</f>
        <v>2.76985396013218</v>
      </c>
      <c r="X341" s="219">
        <f>SUM(X143)/SUM(X197,X201,X203,X204)</f>
        <v>2.24991054175911</v>
      </c>
      <c r="Y341" s="219">
        <f>SUM(Y143)/SUM(Y197,Y201,Y203,Y204)</f>
        <v>2.49123058200301</v>
      </c>
      <c r="Z341" s="219">
        <f>SUM(Z143)/SUM(Z197,Z201,Z203,Z204)</f>
        <v>2.33551793191334</v>
      </c>
      <c r="AA341" s="219">
        <f>SUM(AA143)/SUM(AA197,AA201,AA203,AA204)</f>
        <v>2.39430376239818</v>
      </c>
      <c r="AC341" s="219">
        <f>SUM(AC143)/SUM(AC197,AC201,AC203,AC204)</f>
        <v>2.02286941451285</v>
      </c>
      <c r="AD341" s="219">
        <f>SUM(AD143)/SUM(AD197,AD201,AD203,AD204)</f>
        <v>2.34122109081915</v>
      </c>
      <c r="AE341" s="219">
        <f>SUM(AE143)/SUM(AE197,AE201,AE203,AE204)</f>
        <v>2.41697240389217</v>
      </c>
      <c r="AF341" s="219">
        <f>SUM(AF143)/SUM(AF197,AF201,AF203,AF204)</f>
        <v>1.59382620972917</v>
      </c>
      <c r="AH341" s="219">
        <f>SUM(AH143)/SUM(AH197,AH201,AH203,AH204)</f>
        <v>1.17374778472157</v>
      </c>
      <c r="AI341" s="219">
        <f>SUM(AI143)/SUM(AI197,AI201,AI203,AI204)</f>
        <v>1.34667650348652</v>
      </c>
      <c r="AJ341" s="219" t="e">
        <f>SUM(AJ143)/SUM(AJ197,AJ201,AJ203,AJ204)</f>
        <v>#DIV/0!</v>
      </c>
      <c r="AK341" s="219" t="e">
        <f>SUM(AK143)/SUM(AK197,AK201,AK203,AK204)</f>
        <v>#DIV/0!</v>
      </c>
      <c r="AM341" s="219" t="e">
        <f>SUM(AM143)/SUM(AM197,AM201,AM203,AM204)</f>
        <v>#DIV/0!</v>
      </c>
      <c r="AN341" s="219" t="e">
        <f>SUM(AN143)/SUM(AN197,AN201,AN203,AN204)</f>
        <v>#DIV/0!</v>
      </c>
      <c r="AO341" s="219" t="e">
        <f>SUM(AO143)/SUM(AO197,AO201,AO203,AO204)</f>
        <v>#DIV/0!</v>
      </c>
      <c r="AP341" s="219" t="e">
        <f>SUM(AP143)/SUM(AP197,AP201,AP203,AP204)</f>
        <v>#DIV/0!</v>
      </c>
      <c r="AR341" s="219" t="e">
        <f>SUM(AR143)/SUM(AR197,AR201,AR203,AR204)</f>
        <v>#DIV/0!</v>
      </c>
      <c r="AS341" s="219" t="e">
        <f>SUM(AS143)/SUM(AS197,AS201,AS203,AS204)</f>
        <v>#DIV/0!</v>
      </c>
      <c r="AT341" s="219" t="e">
        <f>SUM(AT143)/SUM(AT197,AT201,AT203,AT204)</f>
        <v>#DIV/0!</v>
      </c>
      <c r="AU341" s="219" t="e">
        <f>SUM(AU143)/SUM(AU197,AU201,AU203,AU204)</f>
        <v>#DIV/0!</v>
      </c>
      <c r="AW341" s="219" t="e">
        <f>SUM(AW143)/SUM(AW197,AW201,AW203,AW204)</f>
        <v>#DIV/0!</v>
      </c>
      <c r="AX341" s="219" t="e">
        <f>SUM(AX143)/SUM(AX197,AX201,AX203,AX204)</f>
        <v>#DIV/0!</v>
      </c>
      <c r="AY341" s="219" t="e">
        <f>SUM(AY143)/SUM(AY197,AY201,AY203,AY204)</f>
        <v>#DIV/0!</v>
      </c>
      <c r="AZ341" s="219" t="e">
        <f>SUM(AZ143)/SUM(AZ197,AZ201,AZ203,AZ204)</f>
        <v>#DIV/0!</v>
      </c>
      <c r="BB341" s="219" t="e">
        <f>SUM(BB143)/SUM(BB197,BB201,BB203,BB204)</f>
        <v>#DIV/0!</v>
      </c>
      <c r="BC341" s="219" t="e">
        <f>SUM(BC143)/SUM(BC197,BC201,BC203,BC204)</f>
        <v>#DIV/0!</v>
      </c>
      <c r="BD341" s="219" t="e">
        <f>SUM(BD143)/SUM(BD197,BD201,BD203,BD204)</f>
        <v>#DIV/0!</v>
      </c>
      <c r="BE341" s="219" t="e">
        <f>SUM(BE143)/SUM(BE197,BE201,BE203,BE204)</f>
        <v>#DIV/0!</v>
      </c>
      <c r="BG341" s="219" t="e">
        <f>SUM(BG143)/SUM(BG197,BG201,BG203,BG204)</f>
        <v>#DIV/0!</v>
      </c>
      <c r="BH341" s="219" t="e">
        <f>SUM(BH143)/SUM(BH197,BH201,BH203,BH204)</f>
        <v>#DIV/0!</v>
      </c>
      <c r="BI341" s="219" t="e">
        <f>SUM(BI143)/SUM(BI197,BI201,BI203,BI204)</f>
        <v>#DIV/0!</v>
      </c>
      <c r="BJ341" s="219" t="e">
        <f>SUM(BJ143)/SUM(BJ197,BJ201,BJ203,BJ204)</f>
        <v>#DIV/0!</v>
      </c>
      <c r="BL341" s="219" t="e">
        <f>SUM(BL143)/SUM(BL197,BL201,BL203,BL204)</f>
        <v>#DIV/0!</v>
      </c>
      <c r="BM341" s="219" t="e">
        <f>SUM(BM143)/SUM(BM197,BM201,BM203,BM204)</f>
        <v>#DIV/0!</v>
      </c>
      <c r="BN341" s="219" t="e">
        <f>SUM(BN143)/SUM(BN197,BN201,BN203,BN204)</f>
        <v>#DIV/0!</v>
      </c>
      <c r="BO341" s="219" t="e">
        <f>SUM(BO143)/SUM(BO197,BO201,BO203,BO204)</f>
        <v>#DIV/0!</v>
      </c>
      <c r="BQ341" s="219" t="e">
        <f>SUM(BQ143)/SUM(BQ197,BQ201,BQ203,BQ204)</f>
        <v>#DIV/0!</v>
      </c>
      <c r="BR341" s="219" t="e">
        <f>SUM(BR143)/SUM(BR197,BR201,BR203,BR204)</f>
        <v>#DIV/0!</v>
      </c>
      <c r="BS341" s="219" t="e">
        <f>SUM(BS143)/SUM(BS197,BS201,BS203,BS204)</f>
        <v>#DIV/0!</v>
      </c>
      <c r="BT341" s="219" t="e">
        <f>SUM(BT143)/SUM(BT197,BT201,BT203,BT204)</f>
        <v>#DIV/0!</v>
      </c>
      <c r="BV341" s="219" t="e">
        <f>SUM(BV143)/SUM(BV197,BV201,BV203,BV204)</f>
        <v>#DIV/0!</v>
      </c>
      <c r="BW341" s="219" t="e">
        <f>SUM(BW143)/SUM(BW197,BW201,BW203,BW204)</f>
        <v>#DIV/0!</v>
      </c>
      <c r="BX341" s="219" t="e">
        <f>SUM(BX143)/SUM(BX197,BX201,BX203,BX204)</f>
        <v>#DIV/0!</v>
      </c>
      <c r="BY341" s="219" t="e">
        <f>SUM(BY143)/SUM(BY197,BY201,BY203,BY204)</f>
        <v>#DIV/0!</v>
      </c>
      <c r="CA341" s="219" t="e">
        <f>SUM(CA143)/SUM(CA197,CA201,CA203,CA204)</f>
        <v>#DIV/0!</v>
      </c>
      <c r="CB341" s="219" t="e">
        <f>SUM(CB143)/SUM(CB197,CB201,CB203,CB204)</f>
        <v>#DIV/0!</v>
      </c>
      <c r="CC341" s="219" t="e">
        <f>SUM(CC143)/SUM(CC197,CC201,CC203,CC204)</f>
        <v>#DIV/0!</v>
      </c>
      <c r="CD341" s="219" t="e">
        <f>SUM(CD143)/SUM(CD197,CD201,CD203,CD204)</f>
        <v>#DIV/0!</v>
      </c>
      <c r="CF341" s="219" t="e">
        <f>SUM(CF143)/SUM(CF197,CF201,CF203,CF204)</f>
        <v>#DIV/0!</v>
      </c>
      <c r="CG341" s="219" t="e">
        <f>SUM(CG143)/SUM(CG197,CG201,CG203,CG204)</f>
        <v>#DIV/0!</v>
      </c>
      <c r="CH341" s="219" t="e">
        <f>SUM(CH143)/SUM(CH197,CH201,CH203,CH204)</f>
        <v>#DIV/0!</v>
      </c>
      <c r="CI341" s="219" t="e">
        <f>SUM(CI143)/SUM(CI197,CI201,CI203,CI204)</f>
        <v>#DIV/0!</v>
      </c>
      <c r="CK341" s="219" t="e">
        <f>SUM(CK143)/SUM(CK197,CK201,CK203,CK204)</f>
        <v>#DIV/0!</v>
      </c>
      <c r="CL341" s="219" t="e">
        <f>SUM(CL143)/SUM(CL197,CL201,CL203,CL204)</f>
        <v>#DIV/0!</v>
      </c>
      <c r="CM341" s="219" t="e">
        <f>SUM(CM143)/SUM(CM197,CM201,CM203,CM204)</f>
        <v>#DIV/0!</v>
      </c>
      <c r="CN341" s="219" t="e">
        <f>SUM(CN143)/SUM(CN197,CN201,CN203,CN204)</f>
        <v>#DIV/0!</v>
      </c>
      <c r="CP341" s="219" t="e">
        <f>SUM(CP143)/SUM(CP197,CP201,CP203,CP204)</f>
        <v>#DIV/0!</v>
      </c>
      <c r="CQ341" s="219" t="e">
        <f>SUM(CQ143)/SUM(CQ197,CQ201,CQ203,CQ204)</f>
        <v>#DIV/0!</v>
      </c>
      <c r="CR341" s="219" t="e">
        <f>SUM(CR143)/SUM(CR197,CR201,CR203,CR204)</f>
        <v>#DIV/0!</v>
      </c>
      <c r="CS341" s="219" t="e">
        <f>SUM(CS143)/SUM(CS197,CS201,CS203,CS204)</f>
        <v>#DIV/0!</v>
      </c>
      <c r="CU341" s="219" t="e">
        <f>SUM(CU143)/SUM(CU197,CU201,CU203,CU204)</f>
        <v>#DIV/0!</v>
      </c>
      <c r="CV341" s="219" t="e">
        <f>SUM(CV143)/SUM(CV197,CV201,CV203,CV204)</f>
        <v>#DIV/0!</v>
      </c>
      <c r="CW341" s="219" t="e">
        <f>SUM(CW143)/SUM(CW197,CW201,CW203,CW204)</f>
        <v>#DIV/0!</v>
      </c>
      <c r="CX341" s="219" t="e">
        <f>SUM(CX143)/SUM(CX197,CX201,CX203,CX204)</f>
        <v>#DIV/0!</v>
      </c>
    </row>
    <row r="342" customFormat="1" s="233">
      <c r="A342" s="224" t="n"/>
      <c r="B342" s="224" t="n"/>
    </row>
    <row r="343" customFormat="1" s="233">
      <c r="A343" s="224" t="n"/>
      <c r="B343" s="224" t="n"/>
      <c r="C343" s="234" t="inlineStr">
        <is>
          <t>OPERATING EFFICIENCY</t>
        </is>
      </c>
    </row>
    <row r="344" customFormat="1" s="238">
      <c r="A344" s="222" t="n"/>
      <c r="B344" s="222" t="n"/>
      <c r="C344" s="238" t="inlineStr">
        <is>
          <t>RETURN ON CAPITAL (ROIC)</t>
        </is>
      </c>
      <c r="D344" s="238">
        <f>D346/D349</f>
        <v>0.2160374609892</v>
      </c>
      <c r="E344" s="238">
        <f>E346/E349</f>
        <v>0.0632993670719857</v>
      </c>
      <c r="F344" s="238">
        <f>F346/F349</f>
        <v>0.108585806907714</v>
      </c>
      <c r="G344" s="238">
        <f>G346/G349</f>
        <v>0.115528872234175</v>
      </c>
      <c r="H344" s="238">
        <f>H346/H349</f>
        <v>0.344486199162001</v>
      </c>
      <c r="I344" s="222">
        <f>I346/I349</f>
        <v>0.133456088589328</v>
      </c>
      <c r="J344" s="222">
        <f>J346/J349</f>
        <v>0.171253694817409</v>
      </c>
      <c r="K344" s="222">
        <f>K346/K349</f>
        <v>0.154125122074721</v>
      </c>
      <c r="L344" s="222">
        <f>L346/L349</f>
        <v>0.182146017882104</v>
      </c>
      <c r="M344" s="222">
        <f>M346/M349</f>
        <v>0.576391600384343</v>
      </c>
      <c r="N344" s="222">
        <f>N346/N349</f>
        <v>0.0947046620775921</v>
      </c>
      <c r="O344" s="222">
        <f>O346/O349</f>
        <v>0.03723901778655</v>
      </c>
      <c r="P344" s="222">
        <f>P346/P349</f>
        <v>0.033411266794541</v>
      </c>
      <c r="Q344" s="222">
        <f>Q346/Q349</f>
        <v>0.0667410244538912</v>
      </c>
      <c r="R344" s="222">
        <f>R346/R349</f>
        <v>0.213597445503827</v>
      </c>
      <c r="S344" s="222">
        <f>S346/S349</f>
        <v>0.0938313730456707</v>
      </c>
      <c r="T344" s="222">
        <f>T346/T349</f>
        <v>0.271218525981609</v>
      </c>
      <c r="U344" s="222">
        <f>U346/U349</f>
        <v>0.354942137928543</v>
      </c>
      <c r="V344" s="222">
        <f>V346/V349</f>
        <v>0.426156072505774</v>
      </c>
      <c r="W344" s="222">
        <f>W346/W349</f>
        <v>1.04283160946374</v>
      </c>
      <c r="X344" s="222">
        <f>X346/X349</f>
        <v>0.507487333556458</v>
      </c>
      <c r="Y344" s="222">
        <f>Y346/Y349</f>
        <v>0.486228139721123</v>
      </c>
      <c r="Z344" s="222">
        <f>Z346/Z349</f>
        <v>0.506429494367086</v>
      </c>
      <c r="AA344" s="222">
        <f>AA346/AA349</f>
        <v>0.456726814099664</v>
      </c>
      <c r="AB344" s="222">
        <f>AB346/AB349</f>
        <v>1.53255329406694</v>
      </c>
      <c r="AC344" s="222">
        <f>AC346/AC349</f>
        <v>0.461965747688425</v>
      </c>
      <c r="AD344" s="222">
        <f>AD346/AD349</f>
        <v>0.44894454302335</v>
      </c>
      <c r="AE344" s="222">
        <f>AE346/AE349</f>
        <v>0.440452789256445</v>
      </c>
      <c r="AF344" s="222">
        <f>AF346/AF349</f>
        <v>0.318221537183087</v>
      </c>
      <c r="AG344" s="222">
        <f>AG346/AG349</f>
        <v>0.932695060665412</v>
      </c>
      <c r="AH344" s="222">
        <f>AH346/AH349</f>
        <v>0.283615757681451</v>
      </c>
      <c r="AI344" s="222">
        <f>AI346/AI349</f>
        <v>0.252431833865415</v>
      </c>
      <c r="AJ344" s="222">
        <f>AJ346/AJ349</f>
        <v>0</v>
      </c>
      <c r="AK344" s="222">
        <f>AK346/AK349</f>
        <v>0</v>
      </c>
      <c r="AL344" s="222">
        <f>AL346/AL349</f>
        <v>0.649278074348928</v>
      </c>
      <c r="AM344" s="222" t="e">
        <f>AM346/AM349</f>
        <v>#DIV/0!</v>
      </c>
      <c r="AN344" s="222">
        <f>AN346/AN349</f>
        <v>0</v>
      </c>
      <c r="AO344" s="222" t="e">
        <f>AO346/AO349</f>
        <v>#DIV/0!</v>
      </c>
      <c r="AP344" s="222" t="e">
        <f>AP346/AP349</f>
        <v>#DIV/0!</v>
      </c>
      <c r="AQ344" s="222" t="e">
        <f>AQ346/AQ349</f>
        <v>#DIV/0!</v>
      </c>
      <c r="AR344" s="222" t="e">
        <f>AR346/AR349</f>
        <v>#DIV/0!</v>
      </c>
      <c r="AS344" s="222" t="e">
        <f>AS346/AS349</f>
        <v>#DIV/0!</v>
      </c>
      <c r="AT344" s="222" t="e">
        <f>AT346/AT349</f>
        <v>#DIV/0!</v>
      </c>
      <c r="AU344" s="222" t="e">
        <f>AU346/AU349</f>
        <v>#DIV/0!</v>
      </c>
      <c r="AV344" s="222" t="e">
        <f>AV346/AV349</f>
        <v>#DIV/0!</v>
      </c>
      <c r="AW344" s="222" t="e">
        <f>AW346/AW349</f>
        <v>#DIV/0!</v>
      </c>
      <c r="AX344" s="222" t="e">
        <f>AX346/AX349</f>
        <v>#DIV/0!</v>
      </c>
      <c r="AY344" s="222" t="e">
        <f>AY346/AY349</f>
        <v>#DIV/0!</v>
      </c>
      <c r="AZ344" s="222" t="e">
        <f>AZ346/AZ349</f>
        <v>#DIV/0!</v>
      </c>
      <c r="BA344" s="222" t="e">
        <f>BA346/BA349</f>
        <v>#DIV/0!</v>
      </c>
      <c r="BB344" s="222" t="e">
        <f>BB346/BB349</f>
        <v>#DIV/0!</v>
      </c>
      <c r="BC344" s="222" t="e">
        <f>BC346/BC349</f>
        <v>#DIV/0!</v>
      </c>
      <c r="BD344" s="222" t="e">
        <f>BD346/BD349</f>
        <v>#DIV/0!</v>
      </c>
      <c r="BE344" s="222" t="e">
        <f>BE346/BE349</f>
        <v>#DIV/0!</v>
      </c>
      <c r="BF344" s="222" t="e">
        <f>BF346/BF349</f>
        <v>#DIV/0!</v>
      </c>
      <c r="BG344" s="222" t="e">
        <f>BG346/BG349</f>
        <v>#DIV/0!</v>
      </c>
      <c r="BH344" s="222" t="e">
        <f>BH346/BH349</f>
        <v>#DIV/0!</v>
      </c>
      <c r="BI344" s="222" t="e">
        <f>BI346/BI349</f>
        <v>#DIV/0!</v>
      </c>
      <c r="BJ344" s="222" t="e">
        <f>BJ346/BJ349</f>
        <v>#DIV/0!</v>
      </c>
      <c r="BK344" s="222" t="e">
        <f>BK346/BK349</f>
        <v>#DIV/0!</v>
      </c>
      <c r="BL344" s="222" t="e">
        <f>BL346/BL349</f>
        <v>#DIV/0!</v>
      </c>
      <c r="BM344" s="222" t="e">
        <f>BM346/BM349</f>
        <v>#DIV/0!</v>
      </c>
      <c r="BN344" s="222" t="e">
        <f>BN346/BN349</f>
        <v>#DIV/0!</v>
      </c>
      <c r="BO344" s="222" t="e">
        <f>BO346/BO349</f>
        <v>#DIV/0!</v>
      </c>
      <c r="BP344" s="222" t="e">
        <f>BP346/BP349</f>
        <v>#DIV/0!</v>
      </c>
      <c r="BQ344" s="222" t="e">
        <f>BQ346/BQ349</f>
        <v>#DIV/0!</v>
      </c>
      <c r="BR344" s="222" t="e">
        <f>BR346/BR349</f>
        <v>#DIV/0!</v>
      </c>
      <c r="BS344" s="222" t="e">
        <f>BS346/BS349</f>
        <v>#DIV/0!</v>
      </c>
      <c r="BT344" s="222" t="e">
        <f>BT346/BT349</f>
        <v>#DIV/0!</v>
      </c>
      <c r="BU344" s="222" t="e">
        <f>BU346/BU349</f>
        <v>#DIV/0!</v>
      </c>
      <c r="BV344" s="222" t="e">
        <f>BV346/BV349</f>
        <v>#DIV/0!</v>
      </c>
      <c r="BW344" s="222" t="e">
        <f>BW346/BW349</f>
        <v>#DIV/0!</v>
      </c>
      <c r="BX344" s="222" t="e">
        <f>BX346/BX349</f>
        <v>#DIV/0!</v>
      </c>
      <c r="BY344" s="222" t="e">
        <f>BY346/BY349</f>
        <v>#DIV/0!</v>
      </c>
      <c r="BZ344" s="222" t="e">
        <f>BZ346/BZ349</f>
        <v>#DIV/0!</v>
      </c>
      <c r="CA344" s="222" t="e">
        <f>CA346/CA349</f>
        <v>#DIV/0!</v>
      </c>
      <c r="CB344" s="222" t="e">
        <f>CB346/CB349</f>
        <v>#DIV/0!</v>
      </c>
      <c r="CC344" s="222" t="e">
        <f>CC346/CC349</f>
        <v>#DIV/0!</v>
      </c>
      <c r="CD344" s="222" t="e">
        <f>CD346/CD349</f>
        <v>#DIV/0!</v>
      </c>
      <c r="CE344" s="222" t="e">
        <f>CE346/CE349</f>
        <v>#DIV/0!</v>
      </c>
      <c r="CF344" s="222" t="e">
        <f>CF346/CF349</f>
        <v>#DIV/0!</v>
      </c>
      <c r="CG344" s="222" t="e">
        <f>CG346/CG349</f>
        <v>#DIV/0!</v>
      </c>
      <c r="CH344" s="222" t="e">
        <f>CH346/CH349</f>
        <v>#DIV/0!</v>
      </c>
      <c r="CI344" s="222" t="e">
        <f>CI346/CI349</f>
        <v>#DIV/0!</v>
      </c>
      <c r="CJ344" s="222" t="e">
        <f>CJ346/CJ349</f>
        <v>#DIV/0!</v>
      </c>
      <c r="CK344" s="222" t="e">
        <f>CK346/CK349</f>
        <v>#DIV/0!</v>
      </c>
      <c r="CL344" s="222" t="e">
        <f>CL346/CL349</f>
        <v>#DIV/0!</v>
      </c>
      <c r="CM344" s="222" t="e">
        <f>CM346/CM349</f>
        <v>#DIV/0!</v>
      </c>
      <c r="CN344" s="222" t="e">
        <f>CN346/CN349</f>
        <v>#DIV/0!</v>
      </c>
      <c r="CO344" s="222" t="e">
        <f>CO346/CO349</f>
        <v>#DIV/0!</v>
      </c>
      <c r="CP344" s="222" t="e">
        <f>CP346/CP349</f>
        <v>#DIV/0!</v>
      </c>
      <c r="CQ344" s="222" t="e">
        <f>CQ346/CQ349</f>
        <v>#DIV/0!</v>
      </c>
      <c r="CR344" s="222" t="e">
        <f>CR346/CR349</f>
        <v>#DIV/0!</v>
      </c>
      <c r="CS344" s="222" t="e">
        <f>CS346/CS349</f>
        <v>#DIV/0!</v>
      </c>
      <c r="CT344" s="222" t="e">
        <f>CT346/CT349</f>
        <v>#DIV/0!</v>
      </c>
      <c r="CU344" s="222" t="e">
        <f>CU346/CU349</f>
        <v>#DIV/0!</v>
      </c>
      <c r="CV344" s="222" t="e">
        <f>CV346/CV349</f>
        <v>#DIV/0!</v>
      </c>
      <c r="CW344" s="222" t="e">
        <f>CW346/CW349</f>
        <v>#DIV/0!</v>
      </c>
      <c r="CX344" s="222" t="e">
        <f>CX346/CX349</f>
        <v>#DIV/0!</v>
      </c>
      <c r="CY344" s="222" t="e">
        <f>CY346/CY349</f>
        <v>#DIV/0!</v>
      </c>
    </row>
    <row r="345" customFormat="1" s="238">
      <c r="A345" s="222" t="n"/>
      <c r="B345" s="222" t="n"/>
      <c r="C345" s="238" t="inlineStr">
        <is>
          <t>RETURN ON CAPITAL (ROIC) - EX GOODWILL</t>
        </is>
      </c>
      <c r="D345" s="238">
        <f>D346/D350</f>
        <v>0.253776411059079</v>
      </c>
      <c r="E345" s="238">
        <f>E346/E350</f>
        <v>0.105355181702446</v>
      </c>
      <c r="F345" s="238">
        <f>F346/F350</f>
        <v>0.161731632560107</v>
      </c>
      <c r="G345" s="238">
        <f>G346/G350</f>
        <v>0.17097902805811</v>
      </c>
      <c r="H345" s="238">
        <f>H346/H350</f>
        <v>0.50982853353543</v>
      </c>
      <c r="I345" s="222">
        <f>I346/I350</f>
        <v>0.192254174063222</v>
      </c>
      <c r="J345" s="222">
        <f>J346/J350</f>
        <v>0.243355988458276</v>
      </c>
      <c r="K345" s="222">
        <f>K346/K350</f>
        <v>0.209913618092007</v>
      </c>
      <c r="L345" s="222">
        <f>L346/L350</f>
        <v>0.24431467521763</v>
      </c>
      <c r="M345" s="222">
        <f>M346/M350</f>
        <v>0.7731210832027</v>
      </c>
      <c r="N345" s="222">
        <f>N346/N350</f>
        <v>0.125748958410477</v>
      </c>
      <c r="O345" s="222">
        <f>O346/O350</f>
        <v>0.048757978148995</v>
      </c>
      <c r="P345" s="222">
        <f>P346/P350</f>
        <v>0.0427858052636549</v>
      </c>
      <c r="Q345" s="222">
        <f>Q346/Q350</f>
        <v>0.0846555479627573</v>
      </c>
      <c r="R345" s="222">
        <f>R346/R350</f>
        <v>0.270930944505714</v>
      </c>
      <c r="S345" s="222">
        <f>S346/S350</f>
        <v>0.11877724009196</v>
      </c>
      <c r="T345" s="222">
        <f>T346/T350</f>
        <v>0.33874117800468</v>
      </c>
      <c r="U345" s="222">
        <f>U346/U350</f>
        <v>0.428587104020222</v>
      </c>
      <c r="V345" s="222">
        <f>V346/V350</f>
        <v>0.506861929260244</v>
      </c>
      <c r="W345" s="222">
        <f>W346/W350</f>
        <v>1.24032408680319</v>
      </c>
      <c r="X345" s="222">
        <f>X346/X350</f>
        <v>0.600707410131283</v>
      </c>
      <c r="Y345" s="222">
        <f>Y346/Y350</f>
        <v>0.565082401538352</v>
      </c>
      <c r="Z345" s="222">
        <f>Z346/Z350</f>
        <v>0.579725233686637</v>
      </c>
      <c r="AA345" s="222">
        <f>AA346/AA350</f>
        <v>0.514645190857725</v>
      </c>
      <c r="AB345" s="222">
        <f>AB346/AB350</f>
        <v>1.72689922766962</v>
      </c>
      <c r="AC345" s="222">
        <f>AC346/AC350</f>
        <v>0.535290257079313</v>
      </c>
      <c r="AD345" s="222">
        <f>AD346/AD350</f>
        <v>0.502903772903041</v>
      </c>
      <c r="AE345" s="222">
        <f>AE346/AE350</f>
        <v>0.484569235104797</v>
      </c>
      <c r="AF345" s="222">
        <f>AF346/AF350</f>
        <v>0.385983198237334</v>
      </c>
      <c r="AG345" s="222">
        <f>AG346/AG350</f>
        <v>1.13130187756171</v>
      </c>
      <c r="AH345" s="222">
        <f>AH346/AH350</f>
        <v>0.326999149517023</v>
      </c>
      <c r="AI345" s="222">
        <f>AI346/AI350</f>
        <v>0.280553920154106</v>
      </c>
      <c r="AJ345" s="222">
        <f>AJ346/AJ350</f>
        <v>0</v>
      </c>
      <c r="AK345" s="222">
        <f>AK346/AK350</f>
        <v>0</v>
      </c>
      <c r="AL345" s="222">
        <f>AL346/AL350</f>
        <v>0.751627876384739</v>
      </c>
      <c r="AM345" s="222" t="e">
        <f>AM346/AM350</f>
        <v>#DIV/0!</v>
      </c>
      <c r="AN345" s="222">
        <f>AN346/AN350</f>
        <v>0</v>
      </c>
      <c r="AO345" s="222" t="e">
        <f>AO346/AO350</f>
        <v>#DIV/0!</v>
      </c>
      <c r="AP345" s="222" t="e">
        <f>AP346/AP350</f>
        <v>#DIV/0!</v>
      </c>
      <c r="AQ345" s="222" t="e">
        <f>AQ346/AQ350</f>
        <v>#DIV/0!</v>
      </c>
      <c r="AR345" s="222" t="e">
        <f>AR346/AR350</f>
        <v>#DIV/0!</v>
      </c>
      <c r="AS345" s="222" t="e">
        <f>AS346/AS350</f>
        <v>#DIV/0!</v>
      </c>
      <c r="AT345" s="222" t="e">
        <f>AT346/AT350</f>
        <v>#DIV/0!</v>
      </c>
      <c r="AU345" s="222" t="e">
        <f>AU346/AU350</f>
        <v>#DIV/0!</v>
      </c>
      <c r="AV345" s="222" t="e">
        <f>AV346/AV350</f>
        <v>#DIV/0!</v>
      </c>
      <c r="AW345" s="222" t="e">
        <f>AW346/AW350</f>
        <v>#DIV/0!</v>
      </c>
      <c r="AX345" s="222" t="e">
        <f>AX346/AX350</f>
        <v>#DIV/0!</v>
      </c>
      <c r="AY345" s="222" t="e">
        <f>AY346/AY350</f>
        <v>#DIV/0!</v>
      </c>
      <c r="AZ345" s="222" t="e">
        <f>AZ346/AZ350</f>
        <v>#DIV/0!</v>
      </c>
      <c r="BA345" s="222" t="e">
        <f>BA346/BA350</f>
        <v>#DIV/0!</v>
      </c>
      <c r="BB345" s="222" t="e">
        <f>BB346/BB350</f>
        <v>#DIV/0!</v>
      </c>
      <c r="BC345" s="222" t="e">
        <f>BC346/BC350</f>
        <v>#DIV/0!</v>
      </c>
      <c r="BD345" s="222" t="e">
        <f>BD346/BD350</f>
        <v>#DIV/0!</v>
      </c>
      <c r="BE345" s="222" t="e">
        <f>BE346/BE350</f>
        <v>#DIV/0!</v>
      </c>
      <c r="BF345" s="222" t="e">
        <f>BF346/BF350</f>
        <v>#DIV/0!</v>
      </c>
      <c r="BG345" s="222" t="e">
        <f>BG346/BG350</f>
        <v>#DIV/0!</v>
      </c>
      <c r="BH345" s="222" t="e">
        <f>BH346/BH350</f>
        <v>#DIV/0!</v>
      </c>
      <c r="BI345" s="222" t="e">
        <f>BI346/BI350</f>
        <v>#DIV/0!</v>
      </c>
      <c r="BJ345" s="222" t="e">
        <f>BJ346/BJ350</f>
        <v>#DIV/0!</v>
      </c>
      <c r="BK345" s="222" t="e">
        <f>BK346/BK350</f>
        <v>#DIV/0!</v>
      </c>
      <c r="BL345" s="222" t="e">
        <f>BL346/BL350</f>
        <v>#DIV/0!</v>
      </c>
      <c r="BM345" s="222" t="e">
        <f>BM346/BM350</f>
        <v>#DIV/0!</v>
      </c>
      <c r="BN345" s="222" t="e">
        <f>BN346/BN350</f>
        <v>#DIV/0!</v>
      </c>
      <c r="BO345" s="222" t="e">
        <f>BO346/BO350</f>
        <v>#DIV/0!</v>
      </c>
      <c r="BP345" s="222" t="e">
        <f>BP346/BP350</f>
        <v>#DIV/0!</v>
      </c>
      <c r="BQ345" s="222" t="e">
        <f>BQ346/BQ350</f>
        <v>#DIV/0!</v>
      </c>
      <c r="BR345" s="222" t="e">
        <f>BR346/BR350</f>
        <v>#DIV/0!</v>
      </c>
      <c r="BS345" s="222" t="e">
        <f>BS346/BS350</f>
        <v>#DIV/0!</v>
      </c>
      <c r="BT345" s="222" t="e">
        <f>BT346/BT350</f>
        <v>#DIV/0!</v>
      </c>
      <c r="BU345" s="222" t="e">
        <f>BU346/BU350</f>
        <v>#DIV/0!</v>
      </c>
      <c r="BV345" s="222" t="e">
        <f>BV346/BV350</f>
        <v>#DIV/0!</v>
      </c>
      <c r="BW345" s="222" t="e">
        <f>BW346/BW350</f>
        <v>#DIV/0!</v>
      </c>
      <c r="BX345" s="222" t="e">
        <f>BX346/BX350</f>
        <v>#DIV/0!</v>
      </c>
      <c r="BY345" s="222" t="e">
        <f>BY346/BY350</f>
        <v>#DIV/0!</v>
      </c>
      <c r="BZ345" s="222" t="e">
        <f>BZ346/BZ350</f>
        <v>#DIV/0!</v>
      </c>
      <c r="CA345" s="222" t="e">
        <f>CA346/CA350</f>
        <v>#DIV/0!</v>
      </c>
      <c r="CB345" s="222" t="e">
        <f>CB346/CB350</f>
        <v>#DIV/0!</v>
      </c>
      <c r="CC345" s="222" t="e">
        <f>CC346/CC350</f>
        <v>#DIV/0!</v>
      </c>
      <c r="CD345" s="222" t="e">
        <f>CD346/CD350</f>
        <v>#DIV/0!</v>
      </c>
      <c r="CE345" s="222" t="e">
        <f>CE346/CE350</f>
        <v>#DIV/0!</v>
      </c>
      <c r="CF345" s="222" t="e">
        <f>CF346/CF350</f>
        <v>#DIV/0!</v>
      </c>
      <c r="CG345" s="222" t="e">
        <f>CG346/CG350</f>
        <v>#DIV/0!</v>
      </c>
      <c r="CH345" s="222" t="e">
        <f>CH346/CH350</f>
        <v>#DIV/0!</v>
      </c>
      <c r="CI345" s="222" t="e">
        <f>CI346/CI350</f>
        <v>#DIV/0!</v>
      </c>
      <c r="CJ345" s="222" t="e">
        <f>CJ346/CJ350</f>
        <v>#DIV/0!</v>
      </c>
      <c r="CK345" s="222" t="e">
        <f>CK346/CK350</f>
        <v>#DIV/0!</v>
      </c>
      <c r="CL345" s="222" t="e">
        <f>CL346/CL350</f>
        <v>#DIV/0!</v>
      </c>
      <c r="CM345" s="222" t="e">
        <f>CM346/CM350</f>
        <v>#DIV/0!</v>
      </c>
      <c r="CN345" s="222" t="e">
        <f>CN346/CN350</f>
        <v>#DIV/0!</v>
      </c>
      <c r="CO345" s="222" t="e">
        <f>CO346/CO350</f>
        <v>#DIV/0!</v>
      </c>
      <c r="CP345" s="222" t="e">
        <f>CP346/CP350</f>
        <v>#DIV/0!</v>
      </c>
      <c r="CQ345" s="222" t="e">
        <f>CQ346/CQ350</f>
        <v>#DIV/0!</v>
      </c>
      <c r="CR345" s="222" t="e">
        <f>CR346/CR350</f>
        <v>#DIV/0!</v>
      </c>
      <c r="CS345" s="222" t="e">
        <f>CS346/CS350</f>
        <v>#DIV/0!</v>
      </c>
      <c r="CT345" s="222" t="e">
        <f>CT346/CT350</f>
        <v>#DIV/0!</v>
      </c>
      <c r="CU345" s="222" t="e">
        <f>CU346/CU350</f>
        <v>#DIV/0!</v>
      </c>
      <c r="CV345" s="222" t="e">
        <f>CV346/CV350</f>
        <v>#DIV/0!</v>
      </c>
      <c r="CW345" s="222" t="e">
        <f>CW346/CW350</f>
        <v>#DIV/0!</v>
      </c>
      <c r="CX345" s="222" t="e">
        <f>CX346/CX350</f>
        <v>#DIV/0!</v>
      </c>
      <c r="CY345" s="222" t="e">
        <f>CY346/CY350</f>
        <v>#DIV/0!</v>
      </c>
    </row>
    <row r="346" customFormat="1" s="233">
      <c r="A346" s="224" t="n"/>
      <c r="B346" s="224" t="n"/>
      <c r="C346" s="233" t="inlineStr">
        <is>
          <t>NOPLAT</t>
        </is>
      </c>
      <c r="D346" s="233">
        <f>D347*(1-D348)</f>
        <v>912.32619775739</v>
      </c>
      <c r="E346" s="233">
        <f>E347*(1-E348)</f>
        <v>664.896551724138</v>
      </c>
      <c r="F346" s="233">
        <f>F347*(1-F348)</f>
        <v>1385.55489614243</v>
      </c>
      <c r="G346" s="233">
        <f>G347*(1-G348)</f>
        <v>1493.67278911565</v>
      </c>
      <c r="H346" s="233">
        <f>H347*(1-H348)</f>
        <v>4453.86206896552</v>
      </c>
      <c r="I346" s="223">
        <f>I347*(1-I348)</f>
        <v>1829.68297455969</v>
      </c>
      <c r="J346" s="224">
        <f>J347*(1-J348)</f>
        <v>2423.58228905597</v>
      </c>
      <c r="K346" s="224">
        <f>K347*(1-K348)</f>
        <v>2494.8233510235</v>
      </c>
      <c r="L346" s="224">
        <f>L347*(1-L348)</f>
        <v>3113.05759162304</v>
      </c>
      <c r="M346" s="224">
        <f>M347*(1-M348)</f>
        <v>9851.1088421688</v>
      </c>
      <c r="N346" s="223">
        <f>N347*(1-N348)</f>
        <v>1674.47313019391</v>
      </c>
      <c r="O346" s="224">
        <f>O347*(1-O348)</f>
        <v>689.145263157895</v>
      </c>
      <c r="P346" s="224">
        <f>P347*(1-P348)</f>
        <v>666.688417618271</v>
      </c>
      <c r="Q346" s="224">
        <f>Q347*(1-Q348)</f>
        <v>1378.86956521739</v>
      </c>
      <c r="R346" s="224">
        <f>R347*(1-R348)</f>
        <v>4412.92322410907</v>
      </c>
      <c r="S346" s="223">
        <f>S347*(1-S348)</f>
        <v>1979.18515165233</v>
      </c>
      <c r="T346" s="224">
        <f>T347*(1-T348)</f>
        <v>6027.56052141527</v>
      </c>
      <c r="U346" s="224">
        <f>U347*(1-U348)</f>
        <v>9150.76325793575</v>
      </c>
      <c r="V346" s="224">
        <f>V347*(1-V348)</f>
        <v>11856.5142492556</v>
      </c>
      <c r="W346" s="224">
        <f>W347*(1-W348)</f>
        <v>29013.6610385002</v>
      </c>
      <c r="X346" s="223">
        <f>X347*(1-X348)</f>
        <v>14562.3490364026</v>
      </c>
      <c r="Y346" s="224">
        <f>Y347*(1-Y348)</f>
        <v>16104.848443843</v>
      </c>
      <c r="Z346" s="224">
        <f>Z347*(1-Z348)</f>
        <v>18922.2316275318</v>
      </c>
      <c r="AA346" s="224">
        <f>AA347*(1-AA348)</f>
        <v>21054.6494031804</v>
      </c>
      <c r="AB346" s="224">
        <f>AB347*(1-AB348)</f>
        <v>70649.1743031919</v>
      </c>
      <c r="AC346" s="223">
        <f>AC347*(1-AC348)</f>
        <v>18541.9192149703</v>
      </c>
      <c r="AD346" s="224">
        <f>AD347*(1-AD348)</f>
        <v>24080.0384541434</v>
      </c>
      <c r="AE346" s="224">
        <f>AE347*(1-AE348)</f>
        <v>30289.9383171658</v>
      </c>
      <c r="AF346" s="224">
        <f>AF347*(1-AF348)</f>
        <v>37761.1222667566</v>
      </c>
      <c r="AG346" s="224">
        <f>AG347*(1-AG348)</f>
        <v>110676.39398374</v>
      </c>
      <c r="AH346" s="223">
        <f>AH347*(1-AH348)</f>
        <v>44665.7948299787</v>
      </c>
      <c r="AI346" s="224">
        <f>AI347*(1-AI348)</f>
        <v>53199.7565553023</v>
      </c>
      <c r="AJ346" s="224">
        <f>AJ347*(1-AJ348)</f>
        <v>0</v>
      </c>
      <c r="AK346" s="224">
        <f>AK347*(1-AK348)</f>
        <v>0</v>
      </c>
      <c r="AL346" s="224">
        <f>AL347*(1-AL348)</f>
        <v>100726.403342195</v>
      </c>
      <c r="AM346" s="223">
        <f>AM347*(1-AM348)</f>
        <v>0</v>
      </c>
      <c r="AN346" s="224">
        <f>AN347*(1-AN348)</f>
        <v>0</v>
      </c>
      <c r="AO346" s="224">
        <f>AO347*(1-AO348)</f>
        <v>0</v>
      </c>
      <c r="AP346" s="224">
        <f>AP347*(1-AP348)</f>
        <v>0</v>
      </c>
      <c r="AQ346" s="224">
        <f>AQ347*(1-AQ348)</f>
        <v>0</v>
      </c>
      <c r="AR346" s="223">
        <f>AR347*(1-AR348)</f>
        <v>0</v>
      </c>
      <c r="AS346" s="224">
        <f>AS347*(1-AS348)</f>
        <v>0</v>
      </c>
      <c r="AT346" s="224">
        <f>AT347*(1-AT348)</f>
        <v>0</v>
      </c>
      <c r="AU346" s="224">
        <f>AU347*(1-AU348)</f>
        <v>0</v>
      </c>
      <c r="AV346" s="224">
        <f>AV347*(1-AV348)</f>
        <v>0</v>
      </c>
      <c r="AW346" s="223">
        <f>AW347*(1-AW348)</f>
        <v>0</v>
      </c>
      <c r="AX346" s="224">
        <f>AX347*(1-AX348)</f>
        <v>0</v>
      </c>
      <c r="AY346" s="224">
        <f>AY347*(1-AY348)</f>
        <v>0</v>
      </c>
      <c r="AZ346" s="224">
        <f>AZ347*(1-AZ348)</f>
        <v>0</v>
      </c>
      <c r="BA346" s="224">
        <f>BA347*(1-BA348)</f>
        <v>0</v>
      </c>
      <c r="BB346" s="223">
        <f>BB347*(1-BB348)</f>
        <v>0</v>
      </c>
      <c r="BC346" s="224">
        <f>BC347*(1-BC348)</f>
        <v>0</v>
      </c>
      <c r="BD346" s="224">
        <f>BD347*(1-BD348)</f>
        <v>0</v>
      </c>
      <c r="BE346" s="224">
        <f>BE347*(1-BE348)</f>
        <v>0</v>
      </c>
      <c r="BF346" s="224">
        <f>BF347*(1-BF348)</f>
        <v>0</v>
      </c>
      <c r="BG346" s="223">
        <f>BG347*(1-BG348)</f>
        <v>0</v>
      </c>
      <c r="BH346" s="224">
        <f>BH347*(1-BH348)</f>
        <v>0</v>
      </c>
      <c r="BI346" s="224">
        <f>BI347*(1-BI348)</f>
        <v>0</v>
      </c>
      <c r="BJ346" s="224">
        <f>BJ347*(1-BJ348)</f>
        <v>0</v>
      </c>
      <c r="BK346" s="224">
        <f>BK347*(1-BK348)</f>
        <v>0</v>
      </c>
      <c r="BL346" s="223">
        <f>BL347*(1-BL348)</f>
        <v>0</v>
      </c>
      <c r="BM346" s="224">
        <f>BM347*(1-BM348)</f>
        <v>0</v>
      </c>
      <c r="BN346" s="224">
        <f>BN347*(1-BN348)</f>
        <v>0</v>
      </c>
      <c r="BO346" s="224">
        <f>BO347*(1-BO348)</f>
        <v>0</v>
      </c>
      <c r="BP346" s="224">
        <f>BP347*(1-BP348)</f>
        <v>0</v>
      </c>
      <c r="BQ346" s="223">
        <f>BQ347*(1-BQ348)</f>
        <v>0</v>
      </c>
      <c r="BR346" s="224">
        <f>BR347*(1-BR348)</f>
        <v>0</v>
      </c>
      <c r="BS346" s="224">
        <f>BS347*(1-BS348)</f>
        <v>0</v>
      </c>
      <c r="BT346" s="224">
        <f>BT347*(1-BT348)</f>
        <v>0</v>
      </c>
      <c r="BU346" s="224">
        <f>BU347*(1-BU348)</f>
        <v>0</v>
      </c>
      <c r="BV346" s="223">
        <f>BV347*(1-BV348)</f>
        <v>0</v>
      </c>
      <c r="BW346" s="224">
        <f>BW347*(1-BW348)</f>
        <v>0</v>
      </c>
      <c r="BX346" s="224">
        <f>BX347*(1-BX348)</f>
        <v>0</v>
      </c>
      <c r="BY346" s="224">
        <f>BY347*(1-BY348)</f>
        <v>0</v>
      </c>
      <c r="BZ346" s="224">
        <f>BZ347*(1-BZ348)</f>
        <v>0</v>
      </c>
      <c r="CA346" s="223">
        <f>CA347*(1-CA348)</f>
        <v>0</v>
      </c>
      <c r="CB346" s="224">
        <f>CB347*(1-CB348)</f>
        <v>0</v>
      </c>
      <c r="CC346" s="224">
        <f>CC347*(1-CC348)</f>
        <v>0</v>
      </c>
      <c r="CD346" s="224">
        <f>CD347*(1-CD348)</f>
        <v>0</v>
      </c>
      <c r="CE346" s="224">
        <f>CE347*(1-CE348)</f>
        <v>0</v>
      </c>
      <c r="CF346" s="223">
        <f>CF347*(1-CF348)</f>
        <v>0</v>
      </c>
      <c r="CG346" s="224">
        <f>CG347*(1-CG348)</f>
        <v>0</v>
      </c>
      <c r="CH346" s="224">
        <f>CH347*(1-CH348)</f>
        <v>0</v>
      </c>
      <c r="CI346" s="224">
        <f>CI347*(1-CI348)</f>
        <v>0</v>
      </c>
      <c r="CJ346" s="224">
        <f>CJ347*(1-CJ348)</f>
        <v>0</v>
      </c>
      <c r="CK346" s="223">
        <f>CK347*(1-CK348)</f>
        <v>0</v>
      </c>
      <c r="CL346" s="224">
        <f>CL347*(1-CL348)</f>
        <v>0</v>
      </c>
      <c r="CM346" s="224">
        <f>CM347*(1-CM348)</f>
        <v>0</v>
      </c>
      <c r="CN346" s="224">
        <f>CN347*(1-CN348)</f>
        <v>0</v>
      </c>
      <c r="CO346" s="224">
        <f>CO347*(1-CO348)</f>
        <v>0</v>
      </c>
      <c r="CP346" s="223">
        <f>CP347*(1-CP348)</f>
        <v>0</v>
      </c>
      <c r="CQ346" s="224">
        <f>CQ347*(1-CQ348)</f>
        <v>0</v>
      </c>
      <c r="CR346" s="224">
        <f>CR347*(1-CR348)</f>
        <v>0</v>
      </c>
      <c r="CS346" s="224">
        <f>CS347*(1-CS348)</f>
        <v>0</v>
      </c>
      <c r="CT346" s="224">
        <f>CT347*(1-CT348)</f>
        <v>0</v>
      </c>
      <c r="CU346" s="223">
        <f>CU347*(1-CU348)</f>
        <v>0</v>
      </c>
      <c r="CV346" s="224">
        <f>CV347*(1-CV348)</f>
        <v>0</v>
      </c>
      <c r="CW346" s="224">
        <f>CW347*(1-CW348)</f>
        <v>0</v>
      </c>
      <c r="CX346" s="224">
        <f>CX347*(1-CX348)</f>
        <v>0</v>
      </c>
      <c r="CY346" s="224">
        <f>CY347*(1-CY348)</f>
        <v>0</v>
      </c>
    </row>
    <row r="347" customFormat="1" s="233">
      <c r="A347" s="224" t="n"/>
      <c r="B347" s="224" t="n"/>
      <c r="C347" s="233" t="inlineStr">
        <is>
          <t>EBIT</t>
        </is>
      </c>
      <c r="D347" s="239">
        <f>D72</f>
        <v>976</v>
      </c>
      <c r="E347" s="239">
        <f>E72</f>
        <v>651</v>
      </c>
      <c r="F347" s="239">
        <f>F72</f>
        <v>1398</v>
      </c>
      <c r="G347" s="239">
        <f>G72</f>
        <v>1507</v>
      </c>
      <c r="H347" s="239">
        <f>H72</f>
        <v>4532</v>
      </c>
      <c r="I347" s="36">
        <f>I72</f>
        <v>1956</v>
      </c>
      <c r="J347" s="36">
        <f>J72</f>
        <v>2444</v>
      </c>
      <c r="K347" s="36">
        <f>K72</f>
        <v>2671</v>
      </c>
      <c r="L347" s="36">
        <f>L72</f>
        <v>2970</v>
      </c>
      <c r="M347" s="36">
        <f>M72</f>
        <v>10041</v>
      </c>
      <c r="N347" s="36">
        <f>N72</f>
        <v>1868</v>
      </c>
      <c r="O347" s="36">
        <f>O72</f>
        <v>499</v>
      </c>
      <c r="P347" s="36">
        <f>P72</f>
        <v>601</v>
      </c>
      <c r="Q347" s="36">
        <f>Q72</f>
        <v>1256</v>
      </c>
      <c r="R347" s="36">
        <f>R72</f>
        <v>4224</v>
      </c>
      <c r="S347" s="36">
        <f>S72</f>
        <v>2140</v>
      </c>
      <c r="T347" s="36">
        <f>T72</f>
        <v>6800</v>
      </c>
      <c r="U347" s="36">
        <f>U72</f>
        <v>10417</v>
      </c>
      <c r="V347" s="36">
        <f>V72</f>
        <v>13614</v>
      </c>
      <c r="W347" s="36">
        <f>W72</f>
        <v>32971</v>
      </c>
      <c r="X347" s="36">
        <f>X72</f>
        <v>16909</v>
      </c>
      <c r="Y347" s="36">
        <f>Y72</f>
        <v>18642</v>
      </c>
      <c r="Z347" s="36">
        <f>Z72</f>
        <v>21869</v>
      </c>
      <c r="AA347" s="36">
        <f>AA72</f>
        <v>24034</v>
      </c>
      <c r="AB347" s="36">
        <f>AB72</f>
        <v>81454</v>
      </c>
      <c r="AC347" s="36">
        <f>AC72</f>
        <v>21638</v>
      </c>
      <c r="AD347" s="36">
        <f>AD72</f>
        <v>28440</v>
      </c>
      <c r="AE347" s="36">
        <f>AE72</f>
        <v>36010</v>
      </c>
      <c r="AF347" s="36">
        <f>AF72</f>
        <v>44299</v>
      </c>
      <c r="AG347" s="36">
        <f>AG72</f>
        <v>130387</v>
      </c>
      <c r="AH347" s="36">
        <f>AH72</f>
        <v>53536</v>
      </c>
      <c r="AI347" s="36">
        <f>AI72</f>
        <v>63734</v>
      </c>
      <c r="AJ347" s="36">
        <f>AJ72</f>
        <v>0</v>
      </c>
      <c r="AK347" s="36">
        <f>AK72</f>
        <v>0</v>
      </c>
      <c r="AL347" s="36">
        <f>AL72</f>
        <v>117270</v>
      </c>
      <c r="AM347" s="36">
        <f>AM72</f>
        <v>0</v>
      </c>
      <c r="AN347" s="36">
        <f>AN72</f>
        <v>0</v>
      </c>
      <c r="AO347" s="36">
        <f>AO72</f>
        <v>0</v>
      </c>
      <c r="AP347" s="36">
        <f>AP72</f>
        <v>0</v>
      </c>
      <c r="AQ347" s="36">
        <f>AQ72</f>
        <v>0</v>
      </c>
      <c r="AR347" s="36">
        <f>AR72</f>
        <v>0</v>
      </c>
      <c r="AS347" s="36">
        <f>AS72</f>
        <v>0</v>
      </c>
      <c r="AT347" s="36">
        <f>AT72</f>
        <v>0</v>
      </c>
      <c r="AU347" s="36">
        <f>AU72</f>
        <v>0</v>
      </c>
      <c r="AV347" s="36">
        <f>AV72</f>
        <v>0</v>
      </c>
      <c r="AW347" s="36">
        <f>AW72</f>
        <v>0</v>
      </c>
      <c r="AX347" s="36">
        <f>AX72</f>
        <v>0</v>
      </c>
      <c r="AY347" s="36">
        <f>AY72</f>
        <v>0</v>
      </c>
      <c r="AZ347" s="36">
        <f>AZ72</f>
        <v>0</v>
      </c>
      <c r="BA347" s="36">
        <f>BA72</f>
        <v>0</v>
      </c>
      <c r="BB347" s="36">
        <f>BB72</f>
        <v>0</v>
      </c>
      <c r="BC347" s="36">
        <f>BC72</f>
        <v>0</v>
      </c>
      <c r="BD347" s="36">
        <f>BD72</f>
        <v>0</v>
      </c>
      <c r="BE347" s="36">
        <f>BE72</f>
        <v>0</v>
      </c>
      <c r="BF347" s="36">
        <f>BF72</f>
        <v>0</v>
      </c>
      <c r="BG347" s="36">
        <f>BG72</f>
        <v>0</v>
      </c>
      <c r="BH347" s="36">
        <f>BH72</f>
        <v>0</v>
      </c>
      <c r="BI347" s="36">
        <f>BI72</f>
        <v>0</v>
      </c>
      <c r="BJ347" s="36">
        <f>BJ72</f>
        <v>0</v>
      </c>
      <c r="BK347" s="36">
        <f>BK72</f>
        <v>0</v>
      </c>
      <c r="BL347" s="36">
        <f>BL72</f>
        <v>0</v>
      </c>
      <c r="BM347" s="36">
        <f>BM72</f>
        <v>0</v>
      </c>
      <c r="BN347" s="36">
        <f>BN72</f>
        <v>0</v>
      </c>
      <c r="BO347" s="36">
        <f>BO72</f>
        <v>0</v>
      </c>
      <c r="BP347" s="36">
        <f>BP72</f>
        <v>0</v>
      </c>
      <c r="BQ347" s="36">
        <f>BQ72</f>
        <v>0</v>
      </c>
      <c r="BR347" s="36">
        <f>BR72</f>
        <v>0</v>
      </c>
      <c r="BS347" s="36">
        <f>BS72</f>
        <v>0</v>
      </c>
      <c r="BT347" s="36">
        <f>BT72</f>
        <v>0</v>
      </c>
      <c r="BU347" s="36">
        <f>BU72</f>
        <v>0</v>
      </c>
      <c r="BV347" s="36">
        <f>BV72</f>
        <v>0</v>
      </c>
      <c r="BW347" s="36">
        <f>BW72</f>
        <v>0</v>
      </c>
      <c r="BX347" s="36">
        <f>BX72</f>
        <v>0</v>
      </c>
      <c r="BY347" s="36">
        <f>BY72</f>
        <v>0</v>
      </c>
      <c r="BZ347" s="36">
        <f>BZ72</f>
        <v>0</v>
      </c>
      <c r="CA347" s="36">
        <f>CA72</f>
        <v>0</v>
      </c>
      <c r="CB347" s="36">
        <f>CB72</f>
        <v>0</v>
      </c>
      <c r="CC347" s="36">
        <f>CC72</f>
        <v>0</v>
      </c>
      <c r="CD347" s="36">
        <f>CD72</f>
        <v>0</v>
      </c>
      <c r="CE347" s="36">
        <f>CE72</f>
        <v>0</v>
      </c>
      <c r="CF347" s="36">
        <f>CF72</f>
        <v>0</v>
      </c>
      <c r="CG347" s="36">
        <f>CG72</f>
        <v>0</v>
      </c>
      <c r="CH347" s="36">
        <f>CH72</f>
        <v>0</v>
      </c>
      <c r="CI347" s="36">
        <f>CI72</f>
        <v>0</v>
      </c>
      <c r="CJ347" s="36">
        <f>CJ72</f>
        <v>0</v>
      </c>
      <c r="CK347" s="36">
        <f>CK72</f>
        <v>0</v>
      </c>
      <c r="CL347" s="36">
        <f>CL72</f>
        <v>0</v>
      </c>
      <c r="CM347" s="36">
        <f>CM72</f>
        <v>0</v>
      </c>
      <c r="CN347" s="36">
        <f>CN72</f>
        <v>0</v>
      </c>
      <c r="CO347" s="36">
        <f>CO72</f>
        <v>0</v>
      </c>
      <c r="CP347" s="36">
        <f>CP72</f>
        <v>0</v>
      </c>
      <c r="CQ347" s="36">
        <f>CQ72</f>
        <v>0</v>
      </c>
      <c r="CR347" s="36">
        <f>CR72</f>
        <v>0</v>
      </c>
      <c r="CS347" s="36">
        <f>CS72</f>
        <v>0</v>
      </c>
      <c r="CT347" s="36">
        <f>CT72</f>
        <v>0</v>
      </c>
      <c r="CU347" s="36">
        <f>CU72</f>
        <v>0</v>
      </c>
      <c r="CV347" s="36">
        <f>CV72</f>
        <v>0</v>
      </c>
      <c r="CW347" s="36">
        <f>CW72</f>
        <v>0</v>
      </c>
      <c r="CX347" s="36">
        <f>CX72</f>
        <v>0</v>
      </c>
      <c r="CY347" s="36">
        <f>CY72</f>
        <v>0</v>
      </c>
    </row>
    <row r="348" customFormat="1" s="233">
      <c r="A348" s="224" t="n"/>
      <c r="B348" s="224" t="n"/>
      <c r="C348" s="233" t="inlineStr">
        <is>
          <t>ETR</t>
        </is>
      </c>
      <c r="D348" s="240">
        <f>D131</f>
        <v>0.0652395514780836</v>
      </c>
      <c r="E348" s="240">
        <f>E131</f>
        <v>-0.0213464696223317</v>
      </c>
      <c r="F348" s="240">
        <f>F131</f>
        <v>0.00890207715133531</v>
      </c>
      <c r="G348" s="240">
        <f>G131</f>
        <v>0.00884353741496599</v>
      </c>
      <c r="H348" s="240">
        <f>H131</f>
        <v>0.0172413793103448</v>
      </c>
      <c r="I348" s="225">
        <f>I131</f>
        <v>0.0645792563600783</v>
      </c>
      <c r="J348" s="225">
        <f>J131</f>
        <v>0.00835421888053467</v>
      </c>
      <c r="K348" s="225">
        <f>K131</f>
        <v>0.065959059893859</v>
      </c>
      <c r="L348" s="225">
        <f>L131</f>
        <v>-0.0481675392670157</v>
      </c>
      <c r="M348" s="225">
        <f>M131</f>
        <v>0.018911578312041</v>
      </c>
      <c r="N348" s="225">
        <f>N131</f>
        <v>0.103601108033241</v>
      </c>
      <c r="O348" s="225">
        <f>O131</f>
        <v>-0.381052631578947</v>
      </c>
      <c r="P348" s="225">
        <f>P131</f>
        <v>-0.109298531810767</v>
      </c>
      <c r="Q348" s="225">
        <f>Q131</f>
        <v>-0.0978260869565217</v>
      </c>
      <c r="R348" s="225">
        <f>R131</f>
        <v>-0.0447261420712748</v>
      </c>
      <c r="S348" s="225">
        <f>S131</f>
        <v>0.0751471253961068</v>
      </c>
      <c r="T348" s="225">
        <f>T131</f>
        <v>0.113594040968343</v>
      </c>
      <c r="U348" s="225">
        <f>U131</f>
        <v>0.121554837483368</v>
      </c>
      <c r="V348" s="225">
        <f>V131</f>
        <v>0.129094002552105</v>
      </c>
      <c r="W348" s="225">
        <f>W131</f>
        <v>0.12002483884322</v>
      </c>
      <c r="X348" s="225">
        <f>X131</f>
        <v>0.138781179466404</v>
      </c>
      <c r="Y348" s="225">
        <f>Y131</f>
        <v>0.136098678047257</v>
      </c>
      <c r="Z348" s="225">
        <f>Z131</f>
        <v>0.134746370317261</v>
      </c>
      <c r="AA348" s="225">
        <f>AA131</f>
        <v>0.123963992544712</v>
      </c>
      <c r="AB348" s="225">
        <f>AB131</f>
        <v>0.132649418037274</v>
      </c>
      <c r="AC348" s="225">
        <f>AC131</f>
        <v>0.143085349155637</v>
      </c>
      <c r="AD348" s="225">
        <f>AD131</f>
        <v>0.153303851823367</v>
      </c>
      <c r="AE348" s="225">
        <f>AE131</f>
        <v>0.158846478279207</v>
      </c>
      <c r="AF348" s="225">
        <f>AF131</f>
        <v>0.147585221635779</v>
      </c>
      <c r="AG348" s="225">
        <f>AG131</f>
        <v>0.151170024743726</v>
      </c>
      <c r="AH348" s="225">
        <f>AH131</f>
        <v>0.165686737336023</v>
      </c>
      <c r="AI348" s="225">
        <f>AI131</f>
        <v>0.165284517599676</v>
      </c>
      <c r="AJ348" s="225">
        <f>AJ131</f>
        <v>0</v>
      </c>
      <c r="AK348" s="225">
        <f>AK131</f>
        <v>0</v>
      </c>
      <c r="AL348" s="225">
        <f>AL131</f>
        <v>0.141072709625691</v>
      </c>
      <c r="AM348" s="225">
        <f>AM131</f>
        <v>0</v>
      </c>
      <c r="AN348" s="225">
        <f>AN131</f>
        <v>0</v>
      </c>
      <c r="AO348" s="225">
        <f>AO131</f>
        <v>0</v>
      </c>
      <c r="AP348" s="225">
        <f>AP131</f>
        <v>0</v>
      </c>
      <c r="AQ348" s="225">
        <f>AQ131</f>
        <v>0</v>
      </c>
      <c r="AR348" s="225">
        <f>AR131</f>
        <v>0</v>
      </c>
      <c r="AS348" s="225">
        <f>AS131</f>
        <v>0</v>
      </c>
      <c r="AT348" s="225">
        <f>AT131</f>
        <v>0</v>
      </c>
      <c r="AU348" s="225">
        <f>AU131</f>
        <v>0</v>
      </c>
      <c r="AV348" s="225">
        <f>AV131</f>
        <v>0</v>
      </c>
      <c r="AW348" s="225">
        <f>AW131</f>
        <v>0</v>
      </c>
      <c r="AX348" s="225">
        <f>AX131</f>
        <v>0</v>
      </c>
      <c r="AY348" s="225">
        <f>AY131</f>
        <v>0</v>
      </c>
      <c r="AZ348" s="225">
        <f>AZ131</f>
        <v>0</v>
      </c>
      <c r="BA348" s="225">
        <f>BA131</f>
        <v>0</v>
      </c>
      <c r="BB348" s="225">
        <f>BB131</f>
        <v>0</v>
      </c>
      <c r="BC348" s="225">
        <f>BC131</f>
        <v>0</v>
      </c>
      <c r="BD348" s="225">
        <f>BD131</f>
        <v>0</v>
      </c>
      <c r="BE348" s="225">
        <f>BE131</f>
        <v>0</v>
      </c>
      <c r="BF348" s="225">
        <f>BF131</f>
        <v>0</v>
      </c>
      <c r="BG348" s="225">
        <f>BG131</f>
        <v>0</v>
      </c>
      <c r="BH348" s="225">
        <f>BH131</f>
        <v>0</v>
      </c>
      <c r="BI348" s="225">
        <f>BI131</f>
        <v>0</v>
      </c>
      <c r="BJ348" s="225">
        <f>BJ131</f>
        <v>0</v>
      </c>
      <c r="BK348" s="225">
        <f>BK131</f>
        <v>0</v>
      </c>
      <c r="BL348" s="225">
        <f>BL131</f>
        <v>0</v>
      </c>
      <c r="BM348" s="225">
        <f>BM131</f>
        <v>0</v>
      </c>
      <c r="BN348" s="225">
        <f>BN131</f>
        <v>0</v>
      </c>
      <c r="BO348" s="225">
        <f>BO131</f>
        <v>0</v>
      </c>
      <c r="BP348" s="225">
        <f>BP131</f>
        <v>0</v>
      </c>
      <c r="BQ348" s="225">
        <f>BQ131</f>
        <v>0</v>
      </c>
      <c r="BR348" s="225">
        <f>BR131</f>
        <v>0</v>
      </c>
      <c r="BS348" s="225">
        <f>BS131</f>
        <v>0</v>
      </c>
      <c r="BT348" s="225">
        <f>BT131</f>
        <v>0</v>
      </c>
      <c r="BU348" s="225">
        <f>BU131</f>
        <v>0</v>
      </c>
      <c r="BV348" s="225">
        <f>BV131</f>
        <v>0</v>
      </c>
      <c r="BW348" s="225">
        <f>BW131</f>
        <v>0</v>
      </c>
      <c r="BX348" s="225">
        <f>BX131</f>
        <v>0</v>
      </c>
      <c r="BY348" s="225">
        <f>BY131</f>
        <v>0</v>
      </c>
      <c r="BZ348" s="225">
        <f>BZ131</f>
        <v>0</v>
      </c>
      <c r="CA348" s="225">
        <f>CA131</f>
        <v>0</v>
      </c>
      <c r="CB348" s="225">
        <f>CB131</f>
        <v>0</v>
      </c>
      <c r="CC348" s="225">
        <f>CC131</f>
        <v>0</v>
      </c>
      <c r="CD348" s="225">
        <f>CD131</f>
        <v>0</v>
      </c>
      <c r="CE348" s="225">
        <f>CE131</f>
        <v>0</v>
      </c>
      <c r="CF348" s="225">
        <f>CF131</f>
        <v>0</v>
      </c>
      <c r="CG348" s="225">
        <f>CG131</f>
        <v>0</v>
      </c>
      <c r="CH348" s="225">
        <f>CH131</f>
        <v>0</v>
      </c>
      <c r="CI348" s="225">
        <f>CI131</f>
        <v>0</v>
      </c>
      <c r="CJ348" s="225">
        <f>CJ131</f>
        <v>0</v>
      </c>
      <c r="CK348" s="225">
        <f>CK131</f>
        <v>0</v>
      </c>
      <c r="CL348" s="225">
        <f>CL131</f>
        <v>0</v>
      </c>
      <c r="CM348" s="225">
        <f>CM131</f>
        <v>0</v>
      </c>
      <c r="CN348" s="225">
        <f>CN131</f>
        <v>0</v>
      </c>
      <c r="CO348" s="225">
        <f>CO131</f>
        <v>0</v>
      </c>
      <c r="CP348" s="225">
        <f>CP131</f>
        <v>0</v>
      </c>
      <c r="CQ348" s="225">
        <f>CQ131</f>
        <v>0</v>
      </c>
      <c r="CR348" s="225">
        <f>CR131</f>
        <v>0</v>
      </c>
      <c r="CS348" s="225">
        <f>CS131</f>
        <v>0</v>
      </c>
      <c r="CT348" s="225">
        <f>CT131</f>
        <v>0</v>
      </c>
      <c r="CU348" s="225">
        <f>CU131</f>
        <v>0</v>
      </c>
      <c r="CV348" s="225">
        <f>CV131</f>
        <v>0</v>
      </c>
      <c r="CW348" s="225">
        <f>CW131</f>
        <v>0</v>
      </c>
      <c r="CX348" s="225">
        <f>CX131</f>
        <v>0</v>
      </c>
      <c r="CY348" s="225">
        <f>CY131</f>
        <v>0</v>
      </c>
    </row>
    <row r="349" customFormat="1" s="233">
      <c r="A349" s="224" t="n"/>
      <c r="B349" s="224" t="n"/>
      <c r="C349" s="233" t="inlineStr">
        <is>
          <t>INVESTED CAPITAL</t>
        </is>
      </c>
      <c r="D349" s="239">
        <f>D352-D353+D354</f>
        <v>4223</v>
      </c>
      <c r="E349" s="239">
        <f>E352-E353+E354</f>
        <v>10504</v>
      </c>
      <c r="F349" s="239">
        <f>F352-F353+F354</f>
        <v>12760</v>
      </c>
      <c r="G349" s="239">
        <f>G352-G353+G354</f>
        <v>12929</v>
      </c>
      <c r="H349" s="239">
        <f>H352-H353+H354</f>
        <v>12929</v>
      </c>
      <c r="I349" s="36">
        <f>I352-I353+I354</f>
        <v>13710</v>
      </c>
      <c r="J349" s="36">
        <f>J352-J353+J354</f>
        <v>14152</v>
      </c>
      <c r="K349" s="36">
        <f>K352-K353+K354</f>
        <v>16187</v>
      </c>
      <c r="L349" s="36">
        <f>L352-L353+L354</f>
        <v>17091</v>
      </c>
      <c r="M349" s="36">
        <f>M352-M353+M354</f>
        <v>17091</v>
      </c>
      <c r="N349" s="36">
        <f>N352-N353+N354</f>
        <v>17681</v>
      </c>
      <c r="O349" s="36">
        <f>O352-O353+O354</f>
        <v>18506</v>
      </c>
      <c r="P349" s="36">
        <f>P352-P353+P354</f>
        <v>19954</v>
      </c>
      <c r="Q349" s="36">
        <f>Q352-Q353+Q354</f>
        <v>20660</v>
      </c>
      <c r="R349" s="36">
        <f>R352-R353+R354</f>
        <v>20660</v>
      </c>
      <c r="S349" s="36">
        <f>S352-S353+S354</f>
        <v>21093</v>
      </c>
      <c r="T349" s="36">
        <f>T352-T353+T354</f>
        <v>22224</v>
      </c>
      <c r="U349" s="36">
        <f>U352-U353+U354</f>
        <v>25781</v>
      </c>
      <c r="V349" s="36">
        <f>V352-V353+V354</f>
        <v>27822</v>
      </c>
      <c r="W349" s="36">
        <f>W352-W353+W354</f>
        <v>27822</v>
      </c>
      <c r="X349" s="36">
        <f>X352-X353+X354</f>
        <v>28695</v>
      </c>
      <c r="Y349" s="36">
        <f>Y352-Y353+Y354</f>
        <v>33122</v>
      </c>
      <c r="Z349" s="36">
        <f>Z352-Z353+Z354</f>
        <v>37364</v>
      </c>
      <c r="AA349" s="36">
        <f>AA352-AA353+AA354</f>
        <v>46099</v>
      </c>
      <c r="AB349" s="36">
        <f>AB352-AB353+AB354</f>
        <v>46099</v>
      </c>
      <c r="AC349" s="36">
        <f>AC352-AC353+AC354</f>
        <v>40137</v>
      </c>
      <c r="AD349" s="36">
        <f>AD352-AD353+AD354</f>
        <v>53637</v>
      </c>
      <c r="AE349" s="36">
        <f>AE352-AE353+AE354</f>
        <v>68770</v>
      </c>
      <c r="AF349" s="36">
        <f>AF352-AF353+AF354</f>
        <v>118663</v>
      </c>
      <c r="AG349" s="36">
        <f>AG352-AG353+AG354</f>
        <v>118663</v>
      </c>
      <c r="AH349" s="36">
        <f>AH352-AH353+AH354</f>
        <v>157487</v>
      </c>
      <c r="AI349" s="36">
        <f>AI352-AI353+AI354</f>
        <v>210749</v>
      </c>
      <c r="AJ349" s="36">
        <f>AJ352-AJ353+AJ354</f>
        <v>155136</v>
      </c>
      <c r="AK349" s="36">
        <f>AK352-AK353+AK354</f>
        <v>155136</v>
      </c>
      <c r="AL349" s="36">
        <f>AL352-AL353+AL354</f>
        <v>155136</v>
      </c>
      <c r="AM349" s="36" t="e">
        <f>AM352-AM353+AM354</f>
        <v>#DIV/0!</v>
      </c>
      <c r="AN349" s="36">
        <f>AN352-AN353+AN354</f>
        <v>155136</v>
      </c>
      <c r="AO349" s="36" t="e">
        <f>AO352-AO353+AO354</f>
        <v>#DIV/0!</v>
      </c>
      <c r="AP349" s="36" t="e">
        <f>AP352-AP353+AP354</f>
        <v>#DIV/0!</v>
      </c>
      <c r="AQ349" s="36" t="e">
        <f>AQ352-AQ353+AQ354</f>
        <v>#DIV/0!</v>
      </c>
      <c r="AR349" s="36" t="e">
        <f>AR352-AR353+AR354</f>
        <v>#DIV/0!</v>
      </c>
      <c r="AS349" s="36" t="e">
        <f>AS352-AS353+AS354</f>
        <v>#DIV/0!</v>
      </c>
      <c r="AT349" s="36" t="e">
        <f>AT352-AT353+AT354</f>
        <v>#DIV/0!</v>
      </c>
      <c r="AU349" s="36" t="e">
        <f>AU352-AU353+AU354</f>
        <v>#DIV/0!</v>
      </c>
      <c r="AV349" s="36" t="e">
        <f>AV352-AV353+AV354</f>
        <v>#DIV/0!</v>
      </c>
      <c r="AW349" s="36" t="e">
        <f>AW352-AW353+AW354</f>
        <v>#DIV/0!</v>
      </c>
      <c r="AX349" s="36" t="e">
        <f>AX352-AX353+AX354</f>
        <v>#DIV/0!</v>
      </c>
      <c r="AY349" s="36" t="e">
        <f>AY352-AY353+AY354</f>
        <v>#DIV/0!</v>
      </c>
      <c r="AZ349" s="36" t="e">
        <f>AZ352-AZ353+AZ354</f>
        <v>#DIV/0!</v>
      </c>
      <c r="BA349" s="36" t="e">
        <f>BA352-BA353+BA354</f>
        <v>#DIV/0!</v>
      </c>
      <c r="BB349" s="36" t="e">
        <f>BB352-BB353+BB354</f>
        <v>#DIV/0!</v>
      </c>
      <c r="BC349" s="36" t="e">
        <f>BC352-BC353+BC354</f>
        <v>#DIV/0!</v>
      </c>
      <c r="BD349" s="36" t="e">
        <f>BD352-BD353+BD354</f>
        <v>#DIV/0!</v>
      </c>
      <c r="BE349" s="36" t="e">
        <f>BE352-BE353+BE354</f>
        <v>#DIV/0!</v>
      </c>
      <c r="BF349" s="36" t="e">
        <f>BF352-BF353+BF354</f>
        <v>#DIV/0!</v>
      </c>
      <c r="BG349" s="36" t="e">
        <f>BG352-BG353+BG354</f>
        <v>#DIV/0!</v>
      </c>
      <c r="BH349" s="36" t="e">
        <f>BH352-BH353+BH354</f>
        <v>#DIV/0!</v>
      </c>
      <c r="BI349" s="36" t="e">
        <f>BI352-BI353+BI354</f>
        <v>#DIV/0!</v>
      </c>
      <c r="BJ349" s="36" t="e">
        <f>BJ352-BJ353+BJ354</f>
        <v>#DIV/0!</v>
      </c>
      <c r="BK349" s="36" t="e">
        <f>BK352-BK353+BK354</f>
        <v>#DIV/0!</v>
      </c>
      <c r="BL349" s="36" t="e">
        <f>BL352-BL353+BL354</f>
        <v>#DIV/0!</v>
      </c>
      <c r="BM349" s="36" t="e">
        <f>BM352-BM353+BM354</f>
        <v>#DIV/0!</v>
      </c>
      <c r="BN349" s="36" t="e">
        <f>BN352-BN353+BN354</f>
        <v>#DIV/0!</v>
      </c>
      <c r="BO349" s="36" t="e">
        <f>BO352-BO353+BO354</f>
        <v>#DIV/0!</v>
      </c>
      <c r="BP349" s="36" t="e">
        <f>BP352-BP353+BP354</f>
        <v>#DIV/0!</v>
      </c>
      <c r="BQ349" s="36" t="e">
        <f>BQ352-BQ353+BQ354</f>
        <v>#DIV/0!</v>
      </c>
      <c r="BR349" s="36" t="e">
        <f>BR352-BR353+BR354</f>
        <v>#DIV/0!</v>
      </c>
      <c r="BS349" s="36" t="e">
        <f>BS352-BS353+BS354</f>
        <v>#DIV/0!</v>
      </c>
      <c r="BT349" s="36" t="e">
        <f>BT352-BT353+BT354</f>
        <v>#DIV/0!</v>
      </c>
      <c r="BU349" s="36" t="e">
        <f>BU352-BU353+BU354</f>
        <v>#DIV/0!</v>
      </c>
      <c r="BV349" s="36" t="e">
        <f>BV352-BV353+BV354</f>
        <v>#DIV/0!</v>
      </c>
      <c r="BW349" s="36" t="e">
        <f>BW352-BW353+BW354</f>
        <v>#DIV/0!</v>
      </c>
      <c r="BX349" s="36" t="e">
        <f>BX352-BX353+BX354</f>
        <v>#DIV/0!</v>
      </c>
      <c r="BY349" s="36" t="e">
        <f>BY352-BY353+BY354</f>
        <v>#DIV/0!</v>
      </c>
      <c r="BZ349" s="36" t="e">
        <f>BZ352-BZ353+BZ354</f>
        <v>#DIV/0!</v>
      </c>
      <c r="CA349" s="36" t="e">
        <f>CA352-CA353+CA354</f>
        <v>#DIV/0!</v>
      </c>
      <c r="CB349" s="36" t="e">
        <f>CB352-CB353+CB354</f>
        <v>#DIV/0!</v>
      </c>
      <c r="CC349" s="36" t="e">
        <f>CC352-CC353+CC354</f>
        <v>#DIV/0!</v>
      </c>
      <c r="CD349" s="36" t="e">
        <f>CD352-CD353+CD354</f>
        <v>#DIV/0!</v>
      </c>
      <c r="CE349" s="36" t="e">
        <f>CE352-CE353+CE354</f>
        <v>#DIV/0!</v>
      </c>
      <c r="CF349" s="36" t="e">
        <f>CF352-CF353+CF354</f>
        <v>#DIV/0!</v>
      </c>
      <c r="CG349" s="36" t="e">
        <f>CG352-CG353+CG354</f>
        <v>#DIV/0!</v>
      </c>
      <c r="CH349" s="36" t="e">
        <f>CH352-CH353+CH354</f>
        <v>#DIV/0!</v>
      </c>
      <c r="CI349" s="36" t="e">
        <f>CI352-CI353+CI354</f>
        <v>#DIV/0!</v>
      </c>
      <c r="CJ349" s="36" t="e">
        <f>CJ352-CJ353+CJ354</f>
        <v>#DIV/0!</v>
      </c>
      <c r="CK349" s="36" t="e">
        <f>CK352-CK353+CK354</f>
        <v>#DIV/0!</v>
      </c>
      <c r="CL349" s="36" t="e">
        <f>CL352-CL353+CL354</f>
        <v>#DIV/0!</v>
      </c>
      <c r="CM349" s="36" t="e">
        <f>CM352-CM353+CM354</f>
        <v>#DIV/0!</v>
      </c>
      <c r="CN349" s="36" t="e">
        <f>CN352-CN353+CN354</f>
        <v>#DIV/0!</v>
      </c>
      <c r="CO349" s="36" t="e">
        <f>CO352-CO353+CO354</f>
        <v>#DIV/0!</v>
      </c>
      <c r="CP349" s="36" t="e">
        <f>CP352-CP353+CP354</f>
        <v>#DIV/0!</v>
      </c>
      <c r="CQ349" s="36" t="e">
        <f>CQ352-CQ353+CQ354</f>
        <v>#DIV/0!</v>
      </c>
      <c r="CR349" s="36" t="e">
        <f>CR352-CR353+CR354</f>
        <v>#DIV/0!</v>
      </c>
      <c r="CS349" s="36" t="e">
        <f>CS352-CS353+CS354</f>
        <v>#DIV/0!</v>
      </c>
      <c r="CT349" s="36" t="e">
        <f>CT352-CT353+CT354</f>
        <v>#DIV/0!</v>
      </c>
      <c r="CU349" s="36" t="e">
        <f>CU352-CU353+CU354</f>
        <v>#DIV/0!</v>
      </c>
      <c r="CV349" s="36" t="e">
        <f>CV352-CV353+CV354</f>
        <v>#DIV/0!</v>
      </c>
      <c r="CW349" s="36" t="e">
        <f>CW352-CW353+CW354</f>
        <v>#DIV/0!</v>
      </c>
      <c r="CX349" s="36" t="e">
        <f>CX352-CX353+CX354</f>
        <v>#DIV/0!</v>
      </c>
      <c r="CY349" s="36" t="e">
        <f>CY352-CY353+CY354</f>
        <v>#DIV/0!</v>
      </c>
    </row>
    <row r="350" customFormat="1" s="233">
      <c r="A350" s="224" t="n"/>
      <c r="B350" s="224" t="n"/>
      <c r="C350" s="233" t="inlineStr">
        <is>
          <t>INVESTED CAPITAL - EX GOODWILL</t>
        </is>
      </c>
      <c r="D350" s="241">
        <f>D349-D178</f>
        <v>3595</v>
      </c>
      <c r="E350" s="241">
        <f>E349-E178</f>
        <v>6311</v>
      </c>
      <c r="F350" s="241">
        <f>F349-F178</f>
        <v>8567</v>
      </c>
      <c r="G350" s="241">
        <f>G349-G178</f>
        <v>8736</v>
      </c>
      <c r="H350" s="241">
        <f>H349-H178</f>
        <v>8736</v>
      </c>
      <c r="I350" s="226">
        <f>I349-I178</f>
        <v>9517</v>
      </c>
      <c r="J350" s="226">
        <f>J349-J178</f>
        <v>9959</v>
      </c>
      <c r="K350" s="226">
        <f>K349-K178</f>
        <v>11885</v>
      </c>
      <c r="L350" s="226">
        <f>L349-L178</f>
        <v>12742</v>
      </c>
      <c r="M350" s="226">
        <f>M349-M178</f>
        <v>12742</v>
      </c>
      <c r="N350" s="226">
        <f>N349-N178</f>
        <v>13316</v>
      </c>
      <c r="O350" s="226">
        <f>O349-O178</f>
        <v>14134</v>
      </c>
      <c r="P350" s="226">
        <f>P349-P178</f>
        <v>15582</v>
      </c>
      <c r="Q350" s="226">
        <f>Q349-Q178</f>
        <v>16288</v>
      </c>
      <c r="R350" s="226">
        <f>R349-R178</f>
        <v>16288</v>
      </c>
      <c r="S350" s="226">
        <f>S349-S178</f>
        <v>16663</v>
      </c>
      <c r="T350" s="226">
        <f>T349-T178</f>
        <v>17794</v>
      </c>
      <c r="U350" s="226">
        <f>U349-U178</f>
        <v>21351</v>
      </c>
      <c r="V350" s="226">
        <f>V349-V178</f>
        <v>23392</v>
      </c>
      <c r="W350" s="226">
        <f>W349-W178</f>
        <v>23392</v>
      </c>
      <c r="X350" s="226">
        <f>X349-X178</f>
        <v>24242</v>
      </c>
      <c r="Y350" s="226">
        <f>Y349-Y178</f>
        <v>28500</v>
      </c>
      <c r="Z350" s="226">
        <f>Z349-Z178</f>
        <v>32640</v>
      </c>
      <c r="AA350" s="226">
        <f>AA349-AA178</f>
        <v>40911</v>
      </c>
      <c r="AB350" s="226">
        <f>AB349-AB178</f>
        <v>40911</v>
      </c>
      <c r="AC350" s="226">
        <f>AC349-AC178</f>
        <v>34639</v>
      </c>
      <c r="AD350" s="226">
        <f>AD349-AD178</f>
        <v>47882</v>
      </c>
      <c r="AE350" s="226">
        <f>AE349-AE178</f>
        <v>62509</v>
      </c>
      <c r="AF350" s="226">
        <f>AF349-AF178</f>
        <v>97831</v>
      </c>
      <c r="AG350" s="226">
        <f>AG349-AG178</f>
        <v>97831</v>
      </c>
      <c r="AH350" s="226">
        <f>AH349-AH178</f>
        <v>136593</v>
      </c>
      <c r="AI350" s="226">
        <f>AI349-AI178</f>
        <v>189624</v>
      </c>
      <c r="AJ350" s="226">
        <f>AJ349-AJ178</f>
        <v>134011</v>
      </c>
      <c r="AK350" s="226">
        <f>AK349-AK178</f>
        <v>134011</v>
      </c>
      <c r="AL350" s="226">
        <f>AL349-AL178</f>
        <v>134011</v>
      </c>
      <c r="AM350" s="226" t="e">
        <f>AM349-AM178</f>
        <v>#DIV/0!</v>
      </c>
      <c r="AN350" s="226">
        <f>AN349-AN178</f>
        <v>134011</v>
      </c>
      <c r="AO350" s="226" t="e">
        <f>AO349-AO178</f>
        <v>#DIV/0!</v>
      </c>
      <c r="AP350" s="226" t="e">
        <f>AP349-AP178</f>
        <v>#DIV/0!</v>
      </c>
      <c r="AQ350" s="226" t="e">
        <f>AQ349-AQ178</f>
        <v>#DIV/0!</v>
      </c>
      <c r="AR350" s="226" t="e">
        <f>AR349-AR178</f>
        <v>#DIV/0!</v>
      </c>
      <c r="AS350" s="226" t="e">
        <f>AS349-AS178</f>
        <v>#DIV/0!</v>
      </c>
      <c r="AT350" s="226" t="e">
        <f>AT349-AT178</f>
        <v>#DIV/0!</v>
      </c>
      <c r="AU350" s="226" t="e">
        <f>AU349-AU178</f>
        <v>#DIV/0!</v>
      </c>
      <c r="AV350" s="226" t="e">
        <f>AV349-AV178</f>
        <v>#DIV/0!</v>
      </c>
      <c r="AW350" s="226" t="e">
        <f>AW349-AW178</f>
        <v>#DIV/0!</v>
      </c>
      <c r="AX350" s="226" t="e">
        <f>AX349-AX178</f>
        <v>#DIV/0!</v>
      </c>
      <c r="AY350" s="226" t="e">
        <f>AY349-AY178</f>
        <v>#DIV/0!</v>
      </c>
      <c r="AZ350" s="226" t="e">
        <f>AZ349-AZ178</f>
        <v>#DIV/0!</v>
      </c>
      <c r="BA350" s="226" t="e">
        <f>BA349-BA178</f>
        <v>#DIV/0!</v>
      </c>
      <c r="BB350" s="226" t="e">
        <f>BB349-BB178</f>
        <v>#DIV/0!</v>
      </c>
      <c r="BC350" s="226" t="e">
        <f>BC349-BC178</f>
        <v>#DIV/0!</v>
      </c>
      <c r="BD350" s="226" t="e">
        <f>BD349-BD178</f>
        <v>#DIV/0!</v>
      </c>
      <c r="BE350" s="226" t="e">
        <f>BE349-BE178</f>
        <v>#DIV/0!</v>
      </c>
      <c r="BF350" s="226" t="e">
        <f>BF349-BF178</f>
        <v>#DIV/0!</v>
      </c>
      <c r="BG350" s="226" t="e">
        <f>BG349-BG178</f>
        <v>#DIV/0!</v>
      </c>
      <c r="BH350" s="226" t="e">
        <f>BH349-BH178</f>
        <v>#DIV/0!</v>
      </c>
      <c r="BI350" s="226" t="e">
        <f>BI349-BI178</f>
        <v>#DIV/0!</v>
      </c>
      <c r="BJ350" s="226" t="e">
        <f>BJ349-BJ178</f>
        <v>#DIV/0!</v>
      </c>
      <c r="BK350" s="226" t="e">
        <f>BK349-BK178</f>
        <v>#DIV/0!</v>
      </c>
      <c r="BL350" s="226" t="e">
        <f>BL349-BL178</f>
        <v>#DIV/0!</v>
      </c>
      <c r="BM350" s="226" t="e">
        <f>BM349-BM178</f>
        <v>#DIV/0!</v>
      </c>
      <c r="BN350" s="226" t="e">
        <f>BN349-BN178</f>
        <v>#DIV/0!</v>
      </c>
      <c r="BO350" s="226" t="e">
        <f>BO349-BO178</f>
        <v>#DIV/0!</v>
      </c>
      <c r="BP350" s="226" t="e">
        <f>BP349-BP178</f>
        <v>#DIV/0!</v>
      </c>
      <c r="BQ350" s="226" t="e">
        <f>BQ349-BQ178</f>
        <v>#DIV/0!</v>
      </c>
      <c r="BR350" s="226" t="e">
        <f>BR349-BR178</f>
        <v>#DIV/0!</v>
      </c>
      <c r="BS350" s="226" t="e">
        <f>BS349-BS178</f>
        <v>#DIV/0!</v>
      </c>
      <c r="BT350" s="226" t="e">
        <f>BT349-BT178</f>
        <v>#DIV/0!</v>
      </c>
      <c r="BU350" s="226" t="e">
        <f>BU349-BU178</f>
        <v>#DIV/0!</v>
      </c>
      <c r="BV350" s="226" t="e">
        <f>BV349-BV178</f>
        <v>#DIV/0!</v>
      </c>
      <c r="BW350" s="226" t="e">
        <f>BW349-BW178</f>
        <v>#DIV/0!</v>
      </c>
      <c r="BX350" s="226" t="e">
        <f>BX349-BX178</f>
        <v>#DIV/0!</v>
      </c>
      <c r="BY350" s="226" t="e">
        <f>BY349-BY178</f>
        <v>#DIV/0!</v>
      </c>
      <c r="BZ350" s="226" t="e">
        <f>BZ349-BZ178</f>
        <v>#DIV/0!</v>
      </c>
      <c r="CA350" s="226" t="e">
        <f>CA349-CA178</f>
        <v>#DIV/0!</v>
      </c>
      <c r="CB350" s="226" t="e">
        <f>CB349-CB178</f>
        <v>#DIV/0!</v>
      </c>
      <c r="CC350" s="226" t="e">
        <f>CC349-CC178</f>
        <v>#DIV/0!</v>
      </c>
      <c r="CD350" s="226" t="e">
        <f>CD349-CD178</f>
        <v>#DIV/0!</v>
      </c>
      <c r="CE350" s="226" t="e">
        <f>CE349-CE178</f>
        <v>#DIV/0!</v>
      </c>
      <c r="CF350" s="226" t="e">
        <f>CF349-CF178</f>
        <v>#DIV/0!</v>
      </c>
      <c r="CG350" s="226" t="e">
        <f>CG349-CG178</f>
        <v>#DIV/0!</v>
      </c>
      <c r="CH350" s="226" t="e">
        <f>CH349-CH178</f>
        <v>#DIV/0!</v>
      </c>
      <c r="CI350" s="226" t="e">
        <f>CI349-CI178</f>
        <v>#DIV/0!</v>
      </c>
      <c r="CJ350" s="226" t="e">
        <f>CJ349-CJ178</f>
        <v>#DIV/0!</v>
      </c>
      <c r="CK350" s="226" t="e">
        <f>CK349-CK178</f>
        <v>#DIV/0!</v>
      </c>
      <c r="CL350" s="226" t="e">
        <f>CL349-CL178</f>
        <v>#DIV/0!</v>
      </c>
      <c r="CM350" s="226" t="e">
        <f>CM349-CM178</f>
        <v>#DIV/0!</v>
      </c>
      <c r="CN350" s="226" t="e">
        <f>CN349-CN178</f>
        <v>#DIV/0!</v>
      </c>
      <c r="CO350" s="226" t="e">
        <f>CO349-CO178</f>
        <v>#DIV/0!</v>
      </c>
      <c r="CP350" s="226" t="e">
        <f>CP349-CP178</f>
        <v>#DIV/0!</v>
      </c>
      <c r="CQ350" s="226" t="e">
        <f>CQ349-CQ178</f>
        <v>#DIV/0!</v>
      </c>
      <c r="CR350" s="226" t="e">
        <f>CR349-CR178</f>
        <v>#DIV/0!</v>
      </c>
      <c r="CS350" s="226" t="e">
        <f>CS349-CS178</f>
        <v>#DIV/0!</v>
      </c>
      <c r="CT350" s="226" t="e">
        <f>CT349-CT178</f>
        <v>#DIV/0!</v>
      </c>
      <c r="CU350" s="226" t="e">
        <f>CU349-CU178</f>
        <v>#DIV/0!</v>
      </c>
      <c r="CV350" s="226" t="e">
        <f>CV349-CV178</f>
        <v>#DIV/0!</v>
      </c>
      <c r="CW350" s="226" t="e">
        <f>CW349-CW178</f>
        <v>#DIV/0!</v>
      </c>
      <c r="CX350" s="226" t="e">
        <f>CX349-CX178</f>
        <v>#DIV/0!</v>
      </c>
      <c r="CY350" s="226" t="e">
        <f>CY349-CY178</f>
        <v>#DIV/0!</v>
      </c>
    </row>
    <row r="351" customFormat="1" s="233">
      <c r="A351" s="224" t="n"/>
      <c r="B351" s="224" t="n"/>
      <c r="C351" s="233" t="inlineStr">
        <is>
          <t>OPERATING WORKING CAPITAL</t>
        </is>
      </c>
      <c r="D351" s="242">
        <f>D352-D353</f>
        <v>1860</v>
      </c>
      <c r="E351" s="242">
        <f>E352-E353</f>
        <v>1920</v>
      </c>
      <c r="F351" s="242">
        <f>F352-F353</f>
        <v>2249</v>
      </c>
      <c r="G351" s="242">
        <f>G352-G353</f>
        <v>2374</v>
      </c>
      <c r="H351" s="242">
        <f>H352-H353</f>
        <v>2374</v>
      </c>
      <c r="I351" s="36">
        <f>I352-I353</f>
        <v>3233</v>
      </c>
      <c r="J351" s="36">
        <f>J352-J353</f>
        <v>3662</v>
      </c>
      <c r="K351" s="36">
        <f>K352-K353</f>
        <v>3866</v>
      </c>
      <c r="L351" s="36">
        <f>L352-L353</f>
        <v>4508</v>
      </c>
      <c r="M351" s="36">
        <f>M352-M353</f>
        <v>4508</v>
      </c>
      <c r="N351" s="36">
        <f>N352-N353</f>
        <v>5459</v>
      </c>
      <c r="O351" s="36">
        <f>O352-O353</f>
        <v>6282</v>
      </c>
      <c r="P351" s="36">
        <f>P352-P353</f>
        <v>7236</v>
      </c>
      <c r="Q351" s="36">
        <f>Q352-Q353</f>
        <v>7860</v>
      </c>
      <c r="R351" s="36">
        <f>R352-R353</f>
        <v>7860</v>
      </c>
      <c r="S351" s="36">
        <f>S352-S353</f>
        <v>8121</v>
      </c>
      <c r="T351" s="36">
        <f>T352-T353</f>
        <v>9087</v>
      </c>
      <c r="U351" s="36">
        <f>U352-U353</f>
        <v>12507</v>
      </c>
      <c r="V351" s="36">
        <f>V352-V353</f>
        <v>15061</v>
      </c>
      <c r="W351" s="36">
        <f>W352-W353</f>
        <v>15061</v>
      </c>
      <c r="X351" s="36">
        <f>X352-X353</f>
        <v>16116</v>
      </c>
      <c r="Y351" s="36">
        <f>Y352-Y353</f>
        <v>20442</v>
      </c>
      <c r="Z351" s="36">
        <f>Z352-Z353</f>
        <v>22950</v>
      </c>
      <c r="AA351" s="36">
        <f>AA352-AA353</f>
        <v>29848</v>
      </c>
      <c r="AB351" s="36">
        <f>AB352-AB353</f>
        <v>29848</v>
      </c>
      <c r="AC351" s="36">
        <f>AC352-AC353</f>
        <v>23020</v>
      </c>
      <c r="AD351" s="36">
        <f>AD352-AD353</f>
        <v>34741</v>
      </c>
      <c r="AE351" s="36">
        <f>AE352-AE353</f>
        <v>44482</v>
      </c>
      <c r="AF351" s="36">
        <f>AF352-AF353</f>
        <v>58029</v>
      </c>
      <c r="AG351" s="36">
        <f>AG352-AG353</f>
        <v>58029</v>
      </c>
      <c r="AH351" s="36">
        <f>AH352-AH353</f>
        <v>69483</v>
      </c>
      <c r="AI351" s="36">
        <f>AI352-AI353</f>
        <v>110966</v>
      </c>
      <c r="AJ351" s="36">
        <f>AJ352-AJ353</f>
        <v>58351</v>
      </c>
      <c r="AK351" s="36">
        <f>AK352-AK353</f>
        <v>58351</v>
      </c>
      <c r="AL351" s="36">
        <f>AL352-AL353</f>
        <v>58351</v>
      </c>
      <c r="AM351" s="36" t="e">
        <f>AM352-AM353</f>
        <v>#DIV/0!</v>
      </c>
      <c r="AN351" s="36">
        <f>AN352-AN353</f>
        <v>58351</v>
      </c>
      <c r="AO351" s="36" t="e">
        <f>AO352-AO353</f>
        <v>#DIV/0!</v>
      </c>
      <c r="AP351" s="36" t="e">
        <f>AP352-AP353</f>
        <v>#DIV/0!</v>
      </c>
      <c r="AQ351" s="36" t="e">
        <f>AQ352-AQ353</f>
        <v>#DIV/0!</v>
      </c>
      <c r="AR351" s="36" t="e">
        <f>AR352-AR353</f>
        <v>#DIV/0!</v>
      </c>
      <c r="AS351" s="36" t="e">
        <f>AS352-AS353</f>
        <v>#DIV/0!</v>
      </c>
      <c r="AT351" s="36" t="e">
        <f>AT352-AT353</f>
        <v>#DIV/0!</v>
      </c>
      <c r="AU351" s="36" t="e">
        <f>AU352-AU353</f>
        <v>#DIV/0!</v>
      </c>
      <c r="AV351" s="36" t="e">
        <f>AV352-AV353</f>
        <v>#DIV/0!</v>
      </c>
      <c r="AW351" s="36" t="e">
        <f>AW352-AW353</f>
        <v>#DIV/0!</v>
      </c>
      <c r="AX351" s="36" t="e">
        <f>AX352-AX353</f>
        <v>#DIV/0!</v>
      </c>
      <c r="AY351" s="36" t="e">
        <f>AY352-AY353</f>
        <v>#DIV/0!</v>
      </c>
      <c r="AZ351" s="36" t="e">
        <f>AZ352-AZ353</f>
        <v>#DIV/0!</v>
      </c>
      <c r="BA351" s="36" t="e">
        <f>BA352-BA353</f>
        <v>#DIV/0!</v>
      </c>
      <c r="BB351" s="36" t="e">
        <f>BB352-BB353</f>
        <v>#DIV/0!</v>
      </c>
      <c r="BC351" s="36" t="e">
        <f>BC352-BC353</f>
        <v>#DIV/0!</v>
      </c>
      <c r="BD351" s="36" t="e">
        <f>BD352-BD353</f>
        <v>#DIV/0!</v>
      </c>
      <c r="BE351" s="36" t="e">
        <f>BE352-BE353</f>
        <v>#DIV/0!</v>
      </c>
      <c r="BF351" s="36" t="e">
        <f>BF352-BF353</f>
        <v>#DIV/0!</v>
      </c>
      <c r="BG351" s="36" t="e">
        <f>BG352-BG353</f>
        <v>#DIV/0!</v>
      </c>
      <c r="BH351" s="36" t="e">
        <f>BH352-BH353</f>
        <v>#DIV/0!</v>
      </c>
      <c r="BI351" s="36" t="e">
        <f>BI352-BI353</f>
        <v>#DIV/0!</v>
      </c>
      <c r="BJ351" s="36" t="e">
        <f>BJ352-BJ353</f>
        <v>#DIV/0!</v>
      </c>
      <c r="BK351" s="36" t="e">
        <f>BK352-BK353</f>
        <v>#DIV/0!</v>
      </c>
      <c r="BL351" s="36" t="e">
        <f>BL352-BL353</f>
        <v>#DIV/0!</v>
      </c>
      <c r="BM351" s="36" t="e">
        <f>BM352-BM353</f>
        <v>#DIV/0!</v>
      </c>
      <c r="BN351" s="36" t="e">
        <f>BN352-BN353</f>
        <v>#DIV/0!</v>
      </c>
      <c r="BO351" s="36" t="e">
        <f>BO352-BO353</f>
        <v>#DIV/0!</v>
      </c>
      <c r="BP351" s="36" t="e">
        <f>BP352-BP353</f>
        <v>#DIV/0!</v>
      </c>
      <c r="BQ351" s="36" t="e">
        <f>BQ352-BQ353</f>
        <v>#DIV/0!</v>
      </c>
      <c r="BR351" s="36" t="e">
        <f>BR352-BR353</f>
        <v>#DIV/0!</v>
      </c>
      <c r="BS351" s="36" t="e">
        <f>BS352-BS353</f>
        <v>#DIV/0!</v>
      </c>
      <c r="BT351" s="36" t="e">
        <f>BT352-BT353</f>
        <v>#DIV/0!</v>
      </c>
      <c r="BU351" s="36" t="e">
        <f>BU352-BU353</f>
        <v>#DIV/0!</v>
      </c>
      <c r="BV351" s="36" t="e">
        <f>BV352-BV353</f>
        <v>#DIV/0!</v>
      </c>
      <c r="BW351" s="36" t="e">
        <f>BW352-BW353</f>
        <v>#DIV/0!</v>
      </c>
      <c r="BX351" s="36" t="e">
        <f>BX352-BX353</f>
        <v>#DIV/0!</v>
      </c>
      <c r="BY351" s="36" t="e">
        <f>BY352-BY353</f>
        <v>#DIV/0!</v>
      </c>
      <c r="BZ351" s="36" t="e">
        <f>BZ352-BZ353</f>
        <v>#DIV/0!</v>
      </c>
      <c r="CA351" s="36" t="e">
        <f>CA352-CA353</f>
        <v>#DIV/0!</v>
      </c>
      <c r="CB351" s="36" t="e">
        <f>CB352-CB353</f>
        <v>#DIV/0!</v>
      </c>
      <c r="CC351" s="36" t="e">
        <f>CC352-CC353</f>
        <v>#DIV/0!</v>
      </c>
      <c r="CD351" s="36" t="e">
        <f>CD352-CD353</f>
        <v>#DIV/0!</v>
      </c>
      <c r="CE351" s="36" t="e">
        <f>CE352-CE353</f>
        <v>#DIV/0!</v>
      </c>
      <c r="CF351" s="36" t="e">
        <f>CF352-CF353</f>
        <v>#DIV/0!</v>
      </c>
      <c r="CG351" s="36" t="e">
        <f>CG352-CG353</f>
        <v>#DIV/0!</v>
      </c>
      <c r="CH351" s="36" t="e">
        <f>CH352-CH353</f>
        <v>#DIV/0!</v>
      </c>
      <c r="CI351" s="36" t="e">
        <f>CI352-CI353</f>
        <v>#DIV/0!</v>
      </c>
      <c r="CJ351" s="36" t="e">
        <f>CJ352-CJ353</f>
        <v>#DIV/0!</v>
      </c>
      <c r="CK351" s="36" t="e">
        <f>CK352-CK353</f>
        <v>#DIV/0!</v>
      </c>
      <c r="CL351" s="36" t="e">
        <f>CL352-CL353</f>
        <v>#DIV/0!</v>
      </c>
      <c r="CM351" s="36" t="e">
        <f>CM352-CM353</f>
        <v>#DIV/0!</v>
      </c>
      <c r="CN351" s="36" t="e">
        <f>CN352-CN353</f>
        <v>#DIV/0!</v>
      </c>
      <c r="CO351" s="36" t="e">
        <f>CO352-CO353</f>
        <v>#DIV/0!</v>
      </c>
      <c r="CP351" s="36" t="e">
        <f>CP352-CP353</f>
        <v>#DIV/0!</v>
      </c>
      <c r="CQ351" s="36" t="e">
        <f>CQ352-CQ353</f>
        <v>#DIV/0!</v>
      </c>
      <c r="CR351" s="36" t="e">
        <f>CR352-CR353</f>
        <v>#DIV/0!</v>
      </c>
      <c r="CS351" s="36" t="e">
        <f>CS352-CS353</f>
        <v>#DIV/0!</v>
      </c>
      <c r="CT351" s="36" t="e">
        <f>CT352-CT353</f>
        <v>#DIV/0!</v>
      </c>
      <c r="CU351" s="36" t="e">
        <f>CU352-CU353</f>
        <v>#DIV/0!</v>
      </c>
      <c r="CV351" s="36" t="e">
        <f>CV352-CV353</f>
        <v>#DIV/0!</v>
      </c>
      <c r="CW351" s="36" t="e">
        <f>CW352-CW353</f>
        <v>#DIV/0!</v>
      </c>
      <c r="CX351" s="36" t="e">
        <f>CX352-CX353</f>
        <v>#DIV/0!</v>
      </c>
      <c r="CY351" s="36" t="e">
        <f>CY352-CY353</f>
        <v>#DIV/0!</v>
      </c>
    </row>
    <row r="352" customFormat="1" s="233">
      <c r="A352" s="224" t="n"/>
      <c r="B352" s="224" t="n"/>
      <c r="C352" s="233" t="inlineStr">
        <is>
          <t>CURRENT ASSETS</t>
        </is>
      </c>
      <c r="D352" s="241">
        <f>D144+D148+D152+D153+D154</f>
        <v>3763</v>
      </c>
      <c r="E352" s="241">
        <f>E144+E148+E152+E153+E154</f>
        <v>4330</v>
      </c>
      <c r="F352" s="241">
        <f>F144+F148+F152+F153+F154</f>
        <v>4920</v>
      </c>
      <c r="G352" s="241">
        <f>G144+G148+G152+G153+G154</f>
        <v>5300</v>
      </c>
      <c r="H352" s="241">
        <f>H144+H148+H152+H153+H154</f>
        <v>5300</v>
      </c>
      <c r="I352" s="226">
        <f>I144+I148+I152+I153+I154</f>
        <v>6238</v>
      </c>
      <c r="J352" s="226">
        <f>J144+J148+J152+J153+J154</f>
        <v>7110</v>
      </c>
      <c r="K352" s="226">
        <f>K144+K148+K152+K153+K154</f>
        <v>7478</v>
      </c>
      <c r="L352" s="226">
        <f>L144+L148+L152+L153+L154</f>
        <v>8843</v>
      </c>
      <c r="M352" s="226">
        <f>M144+M148+M152+M153+M154</f>
        <v>8843</v>
      </c>
      <c r="N352" s="226">
        <f>N144+N148+N152+N153+N154</f>
        <v>11021</v>
      </c>
      <c r="O352" s="226">
        <f>O144+O148+O152+O153+O154</f>
        <v>12606</v>
      </c>
      <c r="P352" s="226">
        <f>P144+P148+P152+P153+P154</f>
        <v>12842</v>
      </c>
      <c r="Q352" s="226">
        <f>Q144+Q148+Q152+Q153+Q154</f>
        <v>13173</v>
      </c>
      <c r="R352" s="226">
        <f>R144+R148+R152+R153+R154</f>
        <v>13173</v>
      </c>
      <c r="S352" s="226">
        <f>S144+S148+S152+S153+S154</f>
        <v>14131</v>
      </c>
      <c r="T352" s="226">
        <f>T144+T148+T152+T153+T154</f>
        <v>18172</v>
      </c>
      <c r="U352" s="226">
        <f>U144+U148+U152+U153+U154</f>
        <v>20359</v>
      </c>
      <c r="V352" s="226">
        <f>V144+V148+V152+V153+V154</f>
        <v>24442</v>
      </c>
      <c r="W352" s="226">
        <f>W144+W148+W152+W153+W154</f>
        <v>24442</v>
      </c>
      <c r="X352" s="226">
        <f>X144+X148+X152+X153+X154</f>
        <v>30089</v>
      </c>
      <c r="Y352" s="226">
        <f>Y144+Y148+Y152+Y153+Y154</f>
        <v>34411</v>
      </c>
      <c r="Z352" s="226">
        <f>Z144+Z148+Z152+Z153+Z154</f>
        <v>39429</v>
      </c>
      <c r="AA352" s="226">
        <f>AA144+AA148+AA152+AA153+AA154</f>
        <v>47895</v>
      </c>
      <c r="AB352" s="226">
        <f>AB144+AB148+AB152+AB153+AB154</f>
        <v>47895</v>
      </c>
      <c r="AC352" s="226">
        <f>AC144+AC148+AC152+AC153+AC154</f>
        <v>49562</v>
      </c>
      <c r="AD352" s="226">
        <f>AD144+AD148+AD152+AD153+AD154</f>
        <v>58998</v>
      </c>
      <c r="AE352" s="226">
        <f>AE144+AE148+AE152+AE153+AE154</f>
        <v>69558</v>
      </c>
      <c r="AF352" s="226">
        <f>AF144+AF148+AF152+AF153+AF154</f>
        <v>89193</v>
      </c>
      <c r="AG352" s="226">
        <f>AG144+AG148+AG152+AG153+AG154</f>
        <v>89193</v>
      </c>
      <c r="AH352" s="226">
        <f>AH144+AH148+AH152+AH153+AH154</f>
        <v>112367</v>
      </c>
      <c r="AI352" s="226">
        <f>AI144+AI148+AI152+AI153+AI154</f>
        <v>152985</v>
      </c>
      <c r="AJ352" s="226">
        <f>AJ144+AJ148+AJ152+AJ153+AJ154</f>
        <v>58351</v>
      </c>
      <c r="AK352" s="226">
        <f>AK144+AK148+AK152+AK153+AK154</f>
        <v>58351</v>
      </c>
      <c r="AL352" s="226">
        <f>AL144+AL148+AL152+AL153+AL154</f>
        <v>58351</v>
      </c>
      <c r="AM352" s="226">
        <f>AM144+AM148+AM152+AM153+AM154</f>
        <v>58351</v>
      </c>
      <c r="AN352" s="226">
        <f>AN144+AN148+AN152+AN153+AN154</f>
        <v>58351</v>
      </c>
      <c r="AO352" s="226">
        <f>AO144+AO148+AO152+AO153+AO154</f>
        <v>58351</v>
      </c>
      <c r="AP352" s="226">
        <f>AP144+AP148+AP152+AP153+AP154</f>
        <v>58351</v>
      </c>
      <c r="AQ352" s="226">
        <f>AQ144+AQ148+AQ152+AQ153+AQ154</f>
        <v>58351</v>
      </c>
      <c r="AR352" s="226">
        <f>AR144+AR148+AR152+AR153+AR154</f>
        <v>58351</v>
      </c>
      <c r="AS352" s="226">
        <f>AS144+AS148+AS152+AS153+AS154</f>
        <v>58351</v>
      </c>
      <c r="AT352" s="226">
        <f>AT144+AT148+AT152+AT153+AT154</f>
        <v>58351</v>
      </c>
      <c r="AU352" s="226">
        <f>AU144+AU148+AU152+AU153+AU154</f>
        <v>58351</v>
      </c>
      <c r="AV352" s="226">
        <f>AV144+AV148+AV152+AV153+AV154</f>
        <v>58351</v>
      </c>
      <c r="AW352" s="226">
        <f>AW144+AW148+AW152+AW153+AW154</f>
        <v>58351</v>
      </c>
      <c r="AX352" s="226">
        <f>AX144+AX148+AX152+AX153+AX154</f>
        <v>58351</v>
      </c>
      <c r="AY352" s="226">
        <f>AY144+AY148+AY152+AY153+AY154</f>
        <v>58351</v>
      </c>
      <c r="AZ352" s="226">
        <f>AZ144+AZ148+AZ152+AZ153+AZ154</f>
        <v>58351</v>
      </c>
      <c r="BA352" s="226">
        <f>BA144+BA148+BA152+BA153+BA154</f>
        <v>58351</v>
      </c>
      <c r="BB352" s="226">
        <f>BB144+BB148+BB152+BB153+BB154</f>
        <v>58351</v>
      </c>
      <c r="BC352" s="226">
        <f>BC144+BC148+BC152+BC153+BC154</f>
        <v>58351</v>
      </c>
      <c r="BD352" s="226">
        <f>BD144+BD148+BD152+BD153+BD154</f>
        <v>58351</v>
      </c>
      <c r="BE352" s="226">
        <f>BE144+BE148+BE152+BE153+BE154</f>
        <v>58351</v>
      </c>
      <c r="BF352" s="226">
        <f>BF144+BF148+BF152+BF153+BF154</f>
        <v>58351</v>
      </c>
      <c r="BG352" s="226">
        <f>BG144+BG148+BG152+BG153+BG154</f>
        <v>58351</v>
      </c>
      <c r="BH352" s="226">
        <f>BH144+BH148+BH152+BH153+BH154</f>
        <v>58351</v>
      </c>
      <c r="BI352" s="226">
        <f>BI144+BI148+BI152+BI153+BI154</f>
        <v>58351</v>
      </c>
      <c r="BJ352" s="226">
        <f>BJ144+BJ148+BJ152+BJ153+BJ154</f>
        <v>58351</v>
      </c>
      <c r="BK352" s="226">
        <f>BK144+BK148+BK152+BK153+BK154</f>
        <v>58351</v>
      </c>
      <c r="BL352" s="226">
        <f>BL144+BL148+BL152+BL153+BL154</f>
        <v>58351</v>
      </c>
      <c r="BM352" s="226">
        <f>BM144+BM148+BM152+BM153+BM154</f>
        <v>58351</v>
      </c>
      <c r="BN352" s="226">
        <f>BN144+BN148+BN152+BN153+BN154</f>
        <v>58351</v>
      </c>
      <c r="BO352" s="226">
        <f>BO144+BO148+BO152+BO153+BO154</f>
        <v>58351</v>
      </c>
      <c r="BP352" s="226">
        <f>BP144+BP148+BP152+BP153+BP154</f>
        <v>58351</v>
      </c>
      <c r="BQ352" s="226">
        <f>BQ144+BQ148+BQ152+BQ153+BQ154</f>
        <v>58351</v>
      </c>
      <c r="BR352" s="226">
        <f>BR144+BR148+BR152+BR153+BR154</f>
        <v>58351</v>
      </c>
      <c r="BS352" s="226">
        <f>BS144+BS148+BS152+BS153+BS154</f>
        <v>58351</v>
      </c>
      <c r="BT352" s="226">
        <f>BT144+BT148+BT152+BT153+BT154</f>
        <v>58351</v>
      </c>
      <c r="BU352" s="226">
        <f>BU144+BU148+BU152+BU153+BU154</f>
        <v>58351</v>
      </c>
      <c r="BV352" s="226">
        <f>BV144+BV148+BV152+BV153+BV154</f>
        <v>58351</v>
      </c>
      <c r="BW352" s="226">
        <f>BW144+BW148+BW152+BW153+BW154</f>
        <v>58351</v>
      </c>
      <c r="BX352" s="226">
        <f>BX144+BX148+BX152+BX153+BX154</f>
        <v>58351</v>
      </c>
      <c r="BY352" s="226">
        <f>BY144+BY148+BY152+BY153+BY154</f>
        <v>58351</v>
      </c>
      <c r="BZ352" s="226">
        <f>BZ144+BZ148+BZ152+BZ153+BZ154</f>
        <v>58351</v>
      </c>
      <c r="CA352" s="226">
        <f>CA144+CA148+CA152+CA153+CA154</f>
        <v>58351</v>
      </c>
      <c r="CB352" s="226">
        <f>CB144+CB148+CB152+CB153+CB154</f>
        <v>58351</v>
      </c>
      <c r="CC352" s="226">
        <f>CC144+CC148+CC152+CC153+CC154</f>
        <v>58351</v>
      </c>
      <c r="CD352" s="226">
        <f>CD144+CD148+CD152+CD153+CD154</f>
        <v>58351</v>
      </c>
      <c r="CE352" s="226">
        <f>CE144+CE148+CE152+CE153+CE154</f>
        <v>58351</v>
      </c>
      <c r="CF352" s="226">
        <f>CF144+CF148+CF152+CF153+CF154</f>
        <v>58351</v>
      </c>
      <c r="CG352" s="226">
        <f>CG144+CG148+CG152+CG153+CG154</f>
        <v>58351</v>
      </c>
      <c r="CH352" s="226">
        <f>CH144+CH148+CH152+CH153+CH154</f>
        <v>58351</v>
      </c>
      <c r="CI352" s="226">
        <f>CI144+CI148+CI152+CI153+CI154</f>
        <v>58351</v>
      </c>
      <c r="CJ352" s="226">
        <f>CJ144+CJ148+CJ152+CJ153+CJ154</f>
        <v>58351</v>
      </c>
      <c r="CK352" s="226">
        <f>CK144+CK148+CK152+CK153+CK154</f>
        <v>58351</v>
      </c>
      <c r="CL352" s="226">
        <f>CL144+CL148+CL152+CL153+CL154</f>
        <v>58351</v>
      </c>
      <c r="CM352" s="226">
        <f>CM144+CM148+CM152+CM153+CM154</f>
        <v>58351</v>
      </c>
      <c r="CN352" s="226">
        <f>CN144+CN148+CN152+CN153+CN154</f>
        <v>58351</v>
      </c>
      <c r="CO352" s="226">
        <f>CO144+CO148+CO152+CO153+CO154</f>
        <v>58351</v>
      </c>
      <c r="CP352" s="226">
        <f>CP144+CP148+CP152+CP153+CP154</f>
        <v>58351</v>
      </c>
      <c r="CQ352" s="226">
        <f>CQ144+CQ148+CQ152+CQ153+CQ154</f>
        <v>58351</v>
      </c>
      <c r="CR352" s="226">
        <f>CR144+CR148+CR152+CR153+CR154</f>
        <v>58351</v>
      </c>
      <c r="CS352" s="226">
        <f>CS144+CS148+CS152+CS153+CS154</f>
        <v>58351</v>
      </c>
      <c r="CT352" s="226">
        <f>CT144+CT148+CT152+CT153+CT154</f>
        <v>58351</v>
      </c>
      <c r="CU352" s="226">
        <f>CU144+CU148+CU152+CU153+CU154</f>
        <v>58351</v>
      </c>
      <c r="CV352" s="226">
        <f>CV144+CV148+CV152+CV153+CV154</f>
        <v>58351</v>
      </c>
      <c r="CW352" s="226">
        <f>CW144+CW148+CW152+CW153+CW154</f>
        <v>58351</v>
      </c>
      <c r="CX352" s="226">
        <f>CX144+CX148+CX152+CX153+CX154</f>
        <v>58351</v>
      </c>
      <c r="CY352" s="226">
        <f>CY144+CY148+CY152+CY153+CY154</f>
        <v>58351</v>
      </c>
    </row>
    <row r="353" customFormat="1" s="233">
      <c r="A353" s="224" t="n"/>
      <c r="B353" s="224" t="n"/>
      <c r="C353" s="233" t="inlineStr">
        <is>
          <t>CURRENT LIABILITIES</t>
        </is>
      </c>
      <c r="D353" s="241">
        <f>D197+D201+D203+D204</f>
        <v>1903</v>
      </c>
      <c r="E353" s="241">
        <f>E197+E201+E203+E204</f>
        <v>2410</v>
      </c>
      <c r="F353" s="241">
        <f>F197+F201+F203+F204</f>
        <v>2671</v>
      </c>
      <c r="G353" s="241">
        <f>G197+G201+G203+G204</f>
        <v>2926</v>
      </c>
      <c r="H353" s="241">
        <f>H197+H201+H203+H204</f>
        <v>2926</v>
      </c>
      <c r="I353" s="226">
        <f>I197+I201+I203+I204</f>
        <v>3005</v>
      </c>
      <c r="J353" s="226">
        <f>J197+J201+J203+J204</f>
        <v>3448</v>
      </c>
      <c r="K353" s="226">
        <f>K197+K201+K203+K204</f>
        <v>3612</v>
      </c>
      <c r="L353" s="226">
        <f>L197+L201+L203+L204</f>
        <v>4335</v>
      </c>
      <c r="M353" s="226">
        <f>M197+M201+M203+M204</f>
        <v>4335</v>
      </c>
      <c r="N353" s="226">
        <f>N197+N201+N203+N204</f>
        <v>5562</v>
      </c>
      <c r="O353" s="226">
        <f>O197+O201+O203+O204</f>
        <v>6324</v>
      </c>
      <c r="P353" s="226">
        <f>P197+P201+P203+P204</f>
        <v>5606</v>
      </c>
      <c r="Q353" s="226">
        <f>Q197+Q201+Q203+Q204</f>
        <v>5313</v>
      </c>
      <c r="R353" s="226">
        <f>R197+R201+R203+R204</f>
        <v>5313</v>
      </c>
      <c r="S353" s="226">
        <f>S197+S201+S203+S204</f>
        <v>6010</v>
      </c>
      <c r="T353" s="226">
        <f>T197+T201+T203+T204</f>
        <v>9085</v>
      </c>
      <c r="U353" s="226">
        <f>U197+U201+U203+U204</f>
        <v>7852</v>
      </c>
      <c r="V353" s="226">
        <f>V197+V201+V203+V204</f>
        <v>9381</v>
      </c>
      <c r="W353" s="226">
        <f>W197+W201+W203+W204</f>
        <v>9381</v>
      </c>
      <c r="X353" s="226">
        <f>X197+X201+X203+X204</f>
        <v>13973</v>
      </c>
      <c r="Y353" s="226">
        <f>Y197+Y201+Y203+Y204</f>
        <v>13969</v>
      </c>
      <c r="Z353" s="226">
        <f>Z197+Z201+Z203+Z204</f>
        <v>16479</v>
      </c>
      <c r="AA353" s="226">
        <f>AA197+AA201+AA203+AA204</f>
        <v>18047</v>
      </c>
      <c r="AB353" s="226">
        <f>AB197+AB201+AB203+AB204</f>
        <v>18047</v>
      </c>
      <c r="AC353" s="226">
        <f>AC197+AC201+AC203+AC204</f>
        <v>26542</v>
      </c>
      <c r="AD353" s="226">
        <f>AD197+AD201+AD203+AD204</f>
        <v>24257</v>
      </c>
      <c r="AE353" s="226">
        <f>AE197+AE201+AE203+AE204</f>
        <v>25076</v>
      </c>
      <c r="AF353" s="226">
        <f>AF197+AF201+AF203+AF204</f>
        <v>31164</v>
      </c>
      <c r="AG353" s="226">
        <f>AG197+AG201+AG203+AG204</f>
        <v>31164</v>
      </c>
      <c r="AH353" s="226">
        <f>AH197+AH201+AH203+AH204</f>
        <v>42884</v>
      </c>
      <c r="AI353" s="226">
        <f>AI197+AI201+AI203+AI204</f>
        <v>42019</v>
      </c>
      <c r="AJ353" s="226">
        <f>AJ197+AJ201+AJ203+AJ204</f>
        <v>0</v>
      </c>
      <c r="AK353" s="226">
        <f>AK197+AK201+AK203+AK204</f>
        <v>0</v>
      </c>
      <c r="AL353" s="226">
        <f>AL197+AL201+AL203+AL204</f>
        <v>0</v>
      </c>
      <c r="AM353" s="226" t="e">
        <f>AM197+AM201+AM203+AM204</f>
        <v>#DIV/0!</v>
      </c>
      <c r="AN353" s="226">
        <f>AN197+AN201+AN203+AN204</f>
        <v>0</v>
      </c>
      <c r="AO353" s="226" t="e">
        <f>AO197+AO201+AO203+AO204</f>
        <v>#DIV/0!</v>
      </c>
      <c r="AP353" s="226" t="e">
        <f>AP197+AP201+AP203+AP204</f>
        <v>#DIV/0!</v>
      </c>
      <c r="AQ353" s="226" t="e">
        <f>AQ197+AQ201+AQ203+AQ204</f>
        <v>#DIV/0!</v>
      </c>
      <c r="AR353" s="226" t="e">
        <f>AR197+AR201+AR203+AR204</f>
        <v>#DIV/0!</v>
      </c>
      <c r="AS353" s="226" t="e">
        <f>AS197+AS201+AS203+AS204</f>
        <v>#DIV/0!</v>
      </c>
      <c r="AT353" s="226" t="e">
        <f>AT197+AT201+AT203+AT204</f>
        <v>#DIV/0!</v>
      </c>
      <c r="AU353" s="226" t="e">
        <f>AU197+AU201+AU203+AU204</f>
        <v>#DIV/0!</v>
      </c>
      <c r="AV353" s="226" t="e">
        <f>AV197+AV201+AV203+AV204</f>
        <v>#DIV/0!</v>
      </c>
      <c r="AW353" s="226" t="e">
        <f>AW197+AW201+AW203+AW204</f>
        <v>#DIV/0!</v>
      </c>
      <c r="AX353" s="226" t="e">
        <f>AX197+AX201+AX203+AX204</f>
        <v>#DIV/0!</v>
      </c>
      <c r="AY353" s="226" t="e">
        <f>AY197+AY201+AY203+AY204</f>
        <v>#DIV/0!</v>
      </c>
      <c r="AZ353" s="226" t="e">
        <f>AZ197+AZ201+AZ203+AZ204</f>
        <v>#DIV/0!</v>
      </c>
      <c r="BA353" s="226" t="e">
        <f>BA197+BA201+BA203+BA204</f>
        <v>#DIV/0!</v>
      </c>
      <c r="BB353" s="226" t="e">
        <f>BB197+BB201+BB203+BB204</f>
        <v>#DIV/0!</v>
      </c>
      <c r="BC353" s="226" t="e">
        <f>BC197+BC201+BC203+BC204</f>
        <v>#DIV/0!</v>
      </c>
      <c r="BD353" s="226" t="e">
        <f>BD197+BD201+BD203+BD204</f>
        <v>#DIV/0!</v>
      </c>
      <c r="BE353" s="226" t="e">
        <f>BE197+BE201+BE203+BE204</f>
        <v>#DIV/0!</v>
      </c>
      <c r="BF353" s="226" t="e">
        <f>BF197+BF201+BF203+BF204</f>
        <v>#DIV/0!</v>
      </c>
      <c r="BG353" s="226" t="e">
        <f>BG197+BG201+BG203+BG204</f>
        <v>#DIV/0!</v>
      </c>
      <c r="BH353" s="226" t="e">
        <f>BH197+BH201+BH203+BH204</f>
        <v>#DIV/0!</v>
      </c>
      <c r="BI353" s="226" t="e">
        <f>BI197+BI201+BI203+BI204</f>
        <v>#DIV/0!</v>
      </c>
      <c r="BJ353" s="226" t="e">
        <f>BJ197+BJ201+BJ203+BJ204</f>
        <v>#DIV/0!</v>
      </c>
      <c r="BK353" s="226" t="e">
        <f>BK197+BK201+BK203+BK204</f>
        <v>#DIV/0!</v>
      </c>
      <c r="BL353" s="226" t="e">
        <f>BL197+BL201+BL203+BL204</f>
        <v>#DIV/0!</v>
      </c>
      <c r="BM353" s="226" t="e">
        <f>BM197+BM201+BM203+BM204</f>
        <v>#DIV/0!</v>
      </c>
      <c r="BN353" s="226" t="e">
        <f>BN197+BN201+BN203+BN204</f>
        <v>#DIV/0!</v>
      </c>
      <c r="BO353" s="226" t="e">
        <f>BO197+BO201+BO203+BO204</f>
        <v>#DIV/0!</v>
      </c>
      <c r="BP353" s="226" t="e">
        <f>BP197+BP201+BP203+BP204</f>
        <v>#DIV/0!</v>
      </c>
      <c r="BQ353" s="226" t="e">
        <f>BQ197+BQ201+BQ203+BQ204</f>
        <v>#DIV/0!</v>
      </c>
      <c r="BR353" s="226" t="e">
        <f>BR197+BR201+BR203+BR204</f>
        <v>#DIV/0!</v>
      </c>
      <c r="BS353" s="226" t="e">
        <f>BS197+BS201+BS203+BS204</f>
        <v>#DIV/0!</v>
      </c>
      <c r="BT353" s="226" t="e">
        <f>BT197+BT201+BT203+BT204</f>
        <v>#DIV/0!</v>
      </c>
      <c r="BU353" s="226" t="e">
        <f>BU197+BU201+BU203+BU204</f>
        <v>#DIV/0!</v>
      </c>
      <c r="BV353" s="226" t="e">
        <f>BV197+BV201+BV203+BV204</f>
        <v>#DIV/0!</v>
      </c>
      <c r="BW353" s="226" t="e">
        <f>BW197+BW201+BW203+BW204</f>
        <v>#DIV/0!</v>
      </c>
      <c r="BX353" s="226" t="e">
        <f>BX197+BX201+BX203+BX204</f>
        <v>#DIV/0!</v>
      </c>
      <c r="BY353" s="226" t="e">
        <f>BY197+BY201+BY203+BY204</f>
        <v>#DIV/0!</v>
      </c>
      <c r="BZ353" s="226" t="e">
        <f>BZ197+BZ201+BZ203+BZ204</f>
        <v>#DIV/0!</v>
      </c>
      <c r="CA353" s="226" t="e">
        <f>CA197+CA201+CA203+CA204</f>
        <v>#DIV/0!</v>
      </c>
      <c r="CB353" s="226" t="e">
        <f>CB197+CB201+CB203+CB204</f>
        <v>#DIV/0!</v>
      </c>
      <c r="CC353" s="226" t="e">
        <f>CC197+CC201+CC203+CC204</f>
        <v>#DIV/0!</v>
      </c>
      <c r="CD353" s="226" t="e">
        <f>CD197+CD201+CD203+CD204</f>
        <v>#DIV/0!</v>
      </c>
      <c r="CE353" s="226" t="e">
        <f>CE197+CE201+CE203+CE204</f>
        <v>#DIV/0!</v>
      </c>
      <c r="CF353" s="226" t="e">
        <f>CF197+CF201+CF203+CF204</f>
        <v>#DIV/0!</v>
      </c>
      <c r="CG353" s="226" t="e">
        <f>CG197+CG201+CG203+CG204</f>
        <v>#DIV/0!</v>
      </c>
      <c r="CH353" s="226" t="e">
        <f>CH197+CH201+CH203+CH204</f>
        <v>#DIV/0!</v>
      </c>
      <c r="CI353" s="226" t="e">
        <f>CI197+CI201+CI203+CI204</f>
        <v>#DIV/0!</v>
      </c>
      <c r="CJ353" s="226" t="e">
        <f>CJ197+CJ201+CJ203+CJ204</f>
        <v>#DIV/0!</v>
      </c>
      <c r="CK353" s="226" t="e">
        <f>CK197+CK201+CK203+CK204</f>
        <v>#DIV/0!</v>
      </c>
      <c r="CL353" s="226" t="e">
        <f>CL197+CL201+CL203+CL204</f>
        <v>#DIV/0!</v>
      </c>
      <c r="CM353" s="226" t="e">
        <f>CM197+CM201+CM203+CM204</f>
        <v>#DIV/0!</v>
      </c>
      <c r="CN353" s="226" t="e">
        <f>CN197+CN201+CN203+CN204</f>
        <v>#DIV/0!</v>
      </c>
      <c r="CO353" s="226" t="e">
        <f>CO197+CO201+CO203+CO204</f>
        <v>#DIV/0!</v>
      </c>
      <c r="CP353" s="226" t="e">
        <f>CP197+CP201+CP203+CP204</f>
        <v>#DIV/0!</v>
      </c>
      <c r="CQ353" s="226" t="e">
        <f>CQ197+CQ201+CQ203+CQ204</f>
        <v>#DIV/0!</v>
      </c>
      <c r="CR353" s="226" t="e">
        <f>CR197+CR201+CR203+CR204</f>
        <v>#DIV/0!</v>
      </c>
      <c r="CS353" s="226" t="e">
        <f>CS197+CS201+CS203+CS204</f>
        <v>#DIV/0!</v>
      </c>
      <c r="CT353" s="226" t="e">
        <f>CT197+CT201+CT203+CT204</f>
        <v>#DIV/0!</v>
      </c>
      <c r="CU353" s="226" t="e">
        <f>CU197+CU201+CU203+CU204</f>
        <v>#DIV/0!</v>
      </c>
      <c r="CV353" s="226" t="e">
        <f>CV197+CV201+CV203+CV204</f>
        <v>#DIV/0!</v>
      </c>
      <c r="CW353" s="226" t="e">
        <f>CW197+CW201+CW203+CW204</f>
        <v>#DIV/0!</v>
      </c>
      <c r="CX353" s="226" t="e">
        <f>CX197+CX201+CX203+CX204</f>
        <v>#DIV/0!</v>
      </c>
      <c r="CY353" s="226" t="e">
        <f>CY197+CY201+CY203+CY204</f>
        <v>#DIV/0!</v>
      </c>
    </row>
    <row r="354" customFormat="1" s="233">
      <c r="A354" s="224" t="n"/>
      <c r="B354" s="224" t="n"/>
      <c r="C354" s="233" t="inlineStr">
        <is>
          <t>FIXED ASSETS</t>
        </is>
      </c>
      <c r="D354" s="241">
        <f>D165+D175+D178+D179+D188-D239</f>
        <v>2363</v>
      </c>
      <c r="E354" s="241">
        <f>E165+E175+E178+E179+E188-E239</f>
        <v>8584</v>
      </c>
      <c r="F354" s="241">
        <f>F165+F175+F178+F179+F188-F239</f>
        <v>10511</v>
      </c>
      <c r="G354" s="241">
        <f>G165+G175+G178+G179+G188-G239</f>
        <v>10555</v>
      </c>
      <c r="H354" s="241">
        <f>H165+H175+H178+H179+H188-H239</f>
        <v>10555</v>
      </c>
      <c r="I354" s="226">
        <f>I165+I175+I178+I179+I188-I239</f>
        <v>10477</v>
      </c>
      <c r="J354" s="226">
        <f>J165+J175+J178+J179+J188-J239</f>
        <v>10490</v>
      </c>
      <c r="K354" s="226">
        <f>K165+K175+K178+K179+K188-K239</f>
        <v>12321</v>
      </c>
      <c r="L354" s="226">
        <f>L165+L175+L178+L179+L188-L239</f>
        <v>12583</v>
      </c>
      <c r="M354" s="226">
        <f>M165+M175+M178+M179+M188-M239</f>
        <v>12583</v>
      </c>
      <c r="N354" s="226">
        <f>N165+N175+N178+N179+N188-N239</f>
        <v>12222</v>
      </c>
      <c r="O354" s="226">
        <f>O165+O175+O178+O179+O188-O239</f>
        <v>12224</v>
      </c>
      <c r="P354" s="226">
        <f>P165+P175+P178+P179+P188-P239</f>
        <v>12718</v>
      </c>
      <c r="Q354" s="226">
        <f>Q165+Q175+Q178+Q179+Q188-Q239</f>
        <v>12800</v>
      </c>
      <c r="R354" s="226">
        <f>R165+R175+R178+R179+R188-R239</f>
        <v>12800</v>
      </c>
      <c r="S354" s="226">
        <f>S165+S175+S178+S179+S188-S239</f>
        <v>12972</v>
      </c>
      <c r="T354" s="226">
        <f>T165+T175+T178+T179+T188-T239</f>
        <v>13137</v>
      </c>
      <c r="U354" s="226">
        <f>U165+U175+U178+U179+U188-U239</f>
        <v>13274</v>
      </c>
      <c r="V354" s="226">
        <f>V165+V175+V178+V179+V188-V239</f>
        <v>12761</v>
      </c>
      <c r="W354" s="226">
        <f>W165+W175+W178+W179+W188-W239</f>
        <v>12761</v>
      </c>
      <c r="X354" s="226">
        <f>X165+X175+X178+X179+X188-X239</f>
        <v>12579</v>
      </c>
      <c r="Y354" s="226">
        <f>Y165+Y175+Y178+Y179+Y188-Y239</f>
        <v>12680</v>
      </c>
      <c r="Z354" s="226">
        <f>Z165+Z175+Z178+Z179+Z188-Z239</f>
        <v>14414</v>
      </c>
      <c r="AA354" s="226">
        <f>AA165+AA175+AA178+AA179+AA188-AA239</f>
        <v>16251</v>
      </c>
      <c r="AB354" s="226">
        <f>AB165+AB175+AB178+AB179+AB188-AB239</f>
        <v>16251</v>
      </c>
      <c r="AC354" s="226">
        <f>AC165+AC175+AC178+AC179+AC188-AC239</f>
        <v>17117</v>
      </c>
      <c r="AD354" s="226">
        <f>AD165+AD175+AD178+AD179+AD188-AD239</f>
        <v>18896</v>
      </c>
      <c r="AE354" s="226">
        <f>AE165+AE175+AE178+AE179+AE188-AE239</f>
        <v>24288</v>
      </c>
      <c r="AF354" s="226">
        <f>AF165+AF175+AF178+AF179+AF188-AF239</f>
        <v>60634</v>
      </c>
      <c r="AG354" s="226">
        <f>AG165+AG175+AG178+AG179+AG188-AG239</f>
        <v>60634</v>
      </c>
      <c r="AH354" s="226">
        <f>AH165+AH175+AH178+AH179+AH188-AH239</f>
        <v>88004</v>
      </c>
      <c r="AI354" s="226">
        <f>AI165+AI175+AI178+AI179+AI188-AI239</f>
        <v>99783</v>
      </c>
      <c r="AJ354" s="226">
        <f>AJ165+AJ175+AJ178+AJ179+AJ188-AJ239</f>
        <v>96785</v>
      </c>
      <c r="AK354" s="226">
        <f>AK165+AK175+AK178+AK179+AK188-AK239</f>
        <v>96785</v>
      </c>
      <c r="AL354" s="226">
        <f>AL165+AL175+AL178+AL179+AL188-AL239</f>
        <v>96785</v>
      </c>
      <c r="AM354" s="226">
        <f>AM165+AM175+AM178+AM179+AM188-AM239</f>
        <v>96785</v>
      </c>
      <c r="AN354" s="226">
        <f>AN165+AN175+AN178+AN179+AN188-AN239</f>
        <v>96785</v>
      </c>
      <c r="AO354" s="226">
        <f>AO165+AO175+AO178+AO179+AO188-AO239</f>
        <v>96785</v>
      </c>
      <c r="AP354" s="226">
        <f>AP165+AP175+AP178+AP179+AP188-AP239</f>
        <v>96785</v>
      </c>
      <c r="AQ354" s="226">
        <f>AQ165+AQ175+AQ178+AQ179+AQ188-AQ239</f>
        <v>96785</v>
      </c>
      <c r="AR354" s="226">
        <f>AR165+AR175+AR178+AR179+AR188-AR239</f>
        <v>96785</v>
      </c>
      <c r="AS354" s="226">
        <f>AS165+AS175+AS178+AS179+AS188-AS239</f>
        <v>96785</v>
      </c>
      <c r="AT354" s="226">
        <f>AT165+AT175+AT178+AT179+AT188-AT239</f>
        <v>96785</v>
      </c>
      <c r="AU354" s="226">
        <f>AU165+AU175+AU178+AU179+AU188-AU239</f>
        <v>96785</v>
      </c>
      <c r="AV354" s="226">
        <f>AV165+AV175+AV178+AV179+AV188-AV239</f>
        <v>96785</v>
      </c>
      <c r="AW354" s="226">
        <f>AW165+AW175+AW178+AW179+AW188-AW239</f>
        <v>96785</v>
      </c>
      <c r="AX354" s="226">
        <f>AX165+AX175+AX178+AX179+AX188-AX239</f>
        <v>96785</v>
      </c>
      <c r="AY354" s="226">
        <f>AY165+AY175+AY178+AY179+AY188-AY239</f>
        <v>96785</v>
      </c>
      <c r="AZ354" s="226">
        <f>AZ165+AZ175+AZ178+AZ179+AZ188-AZ239</f>
        <v>96785</v>
      </c>
      <c r="BA354" s="226">
        <f>BA165+BA175+BA178+BA179+BA188-BA239</f>
        <v>96785</v>
      </c>
      <c r="BB354" s="226">
        <f>BB165+BB175+BB178+BB179+BB188-BB239</f>
        <v>96785</v>
      </c>
      <c r="BC354" s="226">
        <f>BC165+BC175+BC178+BC179+BC188-BC239</f>
        <v>96785</v>
      </c>
      <c r="BD354" s="226">
        <f>BD165+BD175+BD178+BD179+BD188-BD239</f>
        <v>96785</v>
      </c>
      <c r="BE354" s="226">
        <f>BE165+BE175+BE178+BE179+BE188-BE239</f>
        <v>96785</v>
      </c>
      <c r="BF354" s="226">
        <f>BF165+BF175+BF178+BF179+BF188-BF239</f>
        <v>96785</v>
      </c>
      <c r="BG354" s="226">
        <f>BG165+BG175+BG178+BG179+BG188-BG239</f>
        <v>96785</v>
      </c>
      <c r="BH354" s="226">
        <f>BH165+BH175+BH178+BH179+BH188-BH239</f>
        <v>96785</v>
      </c>
      <c r="BI354" s="226">
        <f>BI165+BI175+BI178+BI179+BI188-BI239</f>
        <v>96785</v>
      </c>
      <c r="BJ354" s="226">
        <f>BJ165+BJ175+BJ178+BJ179+BJ188-BJ239</f>
        <v>96785</v>
      </c>
      <c r="BK354" s="226">
        <f>BK165+BK175+BK178+BK179+BK188-BK239</f>
        <v>96785</v>
      </c>
      <c r="BL354" s="226">
        <f>BL165+BL175+BL178+BL179+BL188-BL239</f>
        <v>96785</v>
      </c>
      <c r="BM354" s="226">
        <f>BM165+BM175+BM178+BM179+BM188-BM239</f>
        <v>96785</v>
      </c>
      <c r="BN354" s="226">
        <f>BN165+BN175+BN178+BN179+BN188-BN239</f>
        <v>96785</v>
      </c>
      <c r="BO354" s="226">
        <f>BO165+BO175+BO178+BO179+BO188-BO239</f>
        <v>96785</v>
      </c>
      <c r="BP354" s="226">
        <f>BP165+BP175+BP178+BP179+BP188-BP239</f>
        <v>96785</v>
      </c>
      <c r="BQ354" s="226">
        <f>BQ165+BQ175+BQ178+BQ179+BQ188-BQ239</f>
        <v>96785</v>
      </c>
      <c r="BR354" s="226">
        <f>BR165+BR175+BR178+BR179+BR188-BR239</f>
        <v>96785</v>
      </c>
      <c r="BS354" s="226">
        <f>BS165+BS175+BS178+BS179+BS188-BS239</f>
        <v>96785</v>
      </c>
      <c r="BT354" s="226">
        <f>BT165+BT175+BT178+BT179+BT188-BT239</f>
        <v>96785</v>
      </c>
      <c r="BU354" s="226">
        <f>BU165+BU175+BU178+BU179+BU188-BU239</f>
        <v>96785</v>
      </c>
      <c r="BV354" s="226">
        <f>BV165+BV175+BV178+BV179+BV188-BV239</f>
        <v>96785</v>
      </c>
      <c r="BW354" s="226">
        <f>BW165+BW175+BW178+BW179+BW188-BW239</f>
        <v>96785</v>
      </c>
      <c r="BX354" s="226">
        <f>BX165+BX175+BX178+BX179+BX188-BX239</f>
        <v>96785</v>
      </c>
      <c r="BY354" s="226">
        <f>BY165+BY175+BY178+BY179+BY188-BY239</f>
        <v>96785</v>
      </c>
      <c r="BZ354" s="226">
        <f>BZ165+BZ175+BZ178+BZ179+BZ188-BZ239</f>
        <v>96785</v>
      </c>
      <c r="CA354" s="226">
        <f>CA165+CA175+CA178+CA179+CA188-CA239</f>
        <v>96785</v>
      </c>
      <c r="CB354" s="226">
        <f>CB165+CB175+CB178+CB179+CB188-CB239</f>
        <v>96785</v>
      </c>
      <c r="CC354" s="226">
        <f>CC165+CC175+CC178+CC179+CC188-CC239</f>
        <v>96785</v>
      </c>
      <c r="CD354" s="226">
        <f>CD165+CD175+CD178+CD179+CD188-CD239</f>
        <v>96785</v>
      </c>
      <c r="CE354" s="226">
        <f>CE165+CE175+CE178+CE179+CE188-CE239</f>
        <v>96785</v>
      </c>
      <c r="CF354" s="226">
        <f>CF165+CF175+CF178+CF179+CF188-CF239</f>
        <v>96785</v>
      </c>
      <c r="CG354" s="226">
        <f>CG165+CG175+CG178+CG179+CG188-CG239</f>
        <v>96785</v>
      </c>
      <c r="CH354" s="226">
        <f>CH165+CH175+CH178+CH179+CH188-CH239</f>
        <v>96785</v>
      </c>
      <c r="CI354" s="226">
        <f>CI165+CI175+CI178+CI179+CI188-CI239</f>
        <v>96785</v>
      </c>
      <c r="CJ354" s="226">
        <f>CJ165+CJ175+CJ178+CJ179+CJ188-CJ239</f>
        <v>96785</v>
      </c>
      <c r="CK354" s="226">
        <f>CK165+CK175+CK178+CK179+CK188-CK239</f>
        <v>96785</v>
      </c>
      <c r="CL354" s="226">
        <f>CL165+CL175+CL178+CL179+CL188-CL239</f>
        <v>96785</v>
      </c>
      <c r="CM354" s="226">
        <f>CM165+CM175+CM178+CM179+CM188-CM239</f>
        <v>96785</v>
      </c>
      <c r="CN354" s="226">
        <f>CN165+CN175+CN178+CN179+CN188-CN239</f>
        <v>96785</v>
      </c>
      <c r="CO354" s="226">
        <f>CO165+CO175+CO178+CO179+CO188-CO239</f>
        <v>96785</v>
      </c>
      <c r="CP354" s="226">
        <f>CP165+CP175+CP178+CP179+CP188-CP239</f>
        <v>96785</v>
      </c>
      <c r="CQ354" s="226">
        <f>CQ165+CQ175+CQ178+CQ179+CQ188-CQ239</f>
        <v>96785</v>
      </c>
      <c r="CR354" s="226">
        <f>CR165+CR175+CR178+CR179+CR188-CR239</f>
        <v>96785</v>
      </c>
      <c r="CS354" s="226">
        <f>CS165+CS175+CS178+CS179+CS188-CS239</f>
        <v>96785</v>
      </c>
      <c r="CT354" s="226">
        <f>CT165+CT175+CT178+CT179+CT188-CT239</f>
        <v>96785</v>
      </c>
      <c r="CU354" s="226">
        <f>CU165+CU175+CU178+CU179+CU188-CU239</f>
        <v>96785</v>
      </c>
      <c r="CV354" s="226">
        <f>CV165+CV175+CV178+CV179+CV188-CV239</f>
        <v>96785</v>
      </c>
      <c r="CW354" s="226">
        <f>CW165+CW175+CW178+CW179+CW188-CW239</f>
        <v>96785</v>
      </c>
      <c r="CX354" s="226">
        <f>CX165+CX175+CX178+CX179+CX188-CX239</f>
        <v>96785</v>
      </c>
      <c r="CY354" s="226">
        <f>CY165+CY175+CY178+CY179+CY188-CY239</f>
        <v>96785</v>
      </c>
    </row>
    <row r="355" customFormat="1" s="233">
      <c r="A355" s="224" t="n"/>
      <c r="B355" s="224" t="n"/>
    </row>
    <row r="356" customFormat="1" s="233">
      <c r="A356" s="224" t="n"/>
      <c r="B356" s="224" t="n"/>
    </row>
    <row r="357" customFormat="1" s="233">
      <c r="A357" s="224" t="n"/>
      <c r="B357" s="224" t="n"/>
    </row>
    <row r="358" customFormat="1" s="233">
      <c r="A358" s="224" t="n"/>
      <c r="B358" s="224" t="n"/>
    </row>
    <row r="359" customFormat="1" s="233">
      <c r="A359" s="224" t="n"/>
      <c r="B359" s="224" t="n"/>
    </row>
    <row r="360" customFormat="1" s="233">
      <c r="A360" s="224" t="n"/>
      <c r="B360" s="224" t="n"/>
    </row>
    <row r="361" customFormat="1" s="233">
      <c r="A361" s="224" t="n"/>
      <c r="B361" s="224" t="n"/>
    </row>
    <row r="362" customFormat="1" s="233">
      <c r="A362" s="224" t="n"/>
      <c r="B362" s="224" t="n"/>
      <c r="C362" s="234" t="inlineStr">
        <is>
          <t>DUPONT ANALYSIS</t>
        </is>
      </c>
    </row>
    <row r="363" customFormat="1" s="233">
      <c r="A363" s="224" t="n"/>
      <c r="B363" s="224" t="n"/>
      <c r="C363" s="233" t="inlineStr">
        <is>
          <t>NET PROFIT MARGIN</t>
        </is>
      </c>
      <c r="D363" s="238">
        <f>D136/D15</f>
        <v>0.297727272727273</v>
      </c>
      <c r="E363" s="238">
        <f>E136/E15</f>
        <v>0.160889808587688</v>
      </c>
      <c r="F363" s="238">
        <f>F136/F15</f>
        <v>0.282691493863733</v>
      </c>
      <c r="G363" s="238">
        <f>G136/G15</f>
        <v>0.291225264841095</v>
      </c>
      <c r="I363" s="222">
        <f>I136/I15</f>
        <v>0.337749514220102</v>
      </c>
      <c r="J363" s="222">
        <f>J136/J15</f>
        <v>0.364837866912556</v>
      </c>
      <c r="K363" s="222">
        <f>K136/K15</f>
        <v>0.346895677882585</v>
      </c>
      <c r="L363" s="222">
        <f>L136/L15</f>
        <v>0.392908543765537</v>
      </c>
      <c r="N363" s="222">
        <f>N136/N15</f>
        <v>0.195222007722008</v>
      </c>
      <c r="O363" s="222">
        <f>O136/O15</f>
        <v>0.0978520286396181</v>
      </c>
      <c r="P363" s="222">
        <f>P136/P15</f>
        <v>0.114651829371101</v>
      </c>
      <c r="Q363" s="222">
        <f>Q136/Q15</f>
        <v>0.233680383407701</v>
      </c>
      <c r="S363" s="222">
        <f>S136/S15</f>
        <v>0.284065628476085</v>
      </c>
      <c r="T363" s="222">
        <f>T136/T15</f>
        <v>0.458132820019249</v>
      </c>
      <c r="U363" s="222">
        <f>U136/U15</f>
        <v>0.510099337748344</v>
      </c>
      <c r="V363" s="222">
        <f>V136/V15</f>
        <v>0.555806904040176</v>
      </c>
      <c r="X363" s="222">
        <f>X136/X15</f>
        <v>0.571379204423284</v>
      </c>
      <c r="Y363" s="222">
        <f>Y136/Y15</f>
        <v>0.552563249001332</v>
      </c>
      <c r="Z363" s="222">
        <f>Z136/Z15</f>
        <v>0.550396214582977</v>
      </c>
      <c r="AA363" s="222">
        <f>AA136/AA15</f>
        <v>0.56166891256261</v>
      </c>
      <c r="AC363" s="222">
        <f>AC136/AC15</f>
        <v>0.426104126004267</v>
      </c>
      <c r="AD363" s="222">
        <f>AD136/AD15</f>
        <v>0.565261108615194</v>
      </c>
      <c r="AE363" s="222">
        <f>AE136/AE15</f>
        <v>0.559765638704698</v>
      </c>
      <c r="AF363" s="222">
        <f>AF136/AF15</f>
        <v>0.630586991941521</v>
      </c>
      <c r="AH363" s="222">
        <f>AH136/AH15</f>
        <v>0.714586779391043</v>
      </c>
      <c r="AI363" s="222">
        <f>AI136/AI15</f>
        <v>0.620321967138151</v>
      </c>
      <c r="AJ363" s="222">
        <f>AJ136/AJ15</f>
        <v>0.288899414096762</v>
      </c>
      <c r="AK363" s="222">
        <f>AK136/AK15</f>
        <v>0.117427745240507</v>
      </c>
      <c r="AM363" s="222">
        <f>AM136/AM15</f>
        <v>0.0980211970838694</v>
      </c>
      <c r="AN363" s="222">
        <f>AN136/AN15</f>
        <v>0.508599993764355</v>
      </c>
      <c r="AO363" s="222">
        <f>AO136/AO15</f>
        <v>0.140336104971407</v>
      </c>
      <c r="AP363" s="222">
        <f>AP136/AP15</f>
        <v>0.71833487457249</v>
      </c>
      <c r="AR363" s="222">
        <f>AR136/AR15</f>
        <v>0.5996201678613</v>
      </c>
      <c r="AS363" s="222">
        <f>AS136/AS15</f>
        <v>1.18348385487575</v>
      </c>
      <c r="AT363" s="222">
        <f>AT136/AT15</f>
        <v>0.858471038136337</v>
      </c>
      <c r="AU363" s="222">
        <f>AU136/AU15</f>
        <v>1.67152523962599</v>
      </c>
      <c r="AW363" s="222">
        <f>AW136/AW15</f>
        <v>1.39528272989034</v>
      </c>
      <c r="AX363" s="222">
        <f>AX136/AX15</f>
        <v>3.38416769728022</v>
      </c>
      <c r="AY363" s="222">
        <f>AY136/AY15</f>
        <v>1.99761428621549</v>
      </c>
      <c r="AZ363" s="222">
        <f>AZ136/AZ15</f>
        <v>4.77972022839697</v>
      </c>
      <c r="BB363" s="222">
        <f>BB136/BB15</f>
        <v>3.98980579550328</v>
      </c>
      <c r="BC363" s="222">
        <f>BC136/BC15</f>
        <v>9.13530310431195</v>
      </c>
      <c r="BD363" s="222">
        <f>BD136/BD15</f>
        <v>5.71217064870365</v>
      </c>
      <c r="BE363" s="222">
        <f>BE136/BE15</f>
        <v>12.9024909360459</v>
      </c>
      <c r="BG363" s="222">
        <f>BG136/BG15</f>
        <v>10.7701770507872</v>
      </c>
      <c r="BH363" s="222">
        <f>BH136/BH15</f>
        <v>25.0389416031843</v>
      </c>
      <c r="BI363" s="222">
        <f>BI136/BI15</f>
        <v>15.4195698698383</v>
      </c>
      <c r="BJ363" s="222">
        <f>BJ136/BJ15</f>
        <v>35.3644223288858</v>
      </c>
      <c r="BL363" s="222">
        <f>BL136/BL15</f>
        <v>29.519965692581</v>
      </c>
      <c r="BM363" s="222">
        <f>BM136/BM15</f>
        <v>68.3484894149926</v>
      </c>
      <c r="BN363" s="222">
        <f>BN136/BN15</f>
        <v>42.2634810370838</v>
      </c>
      <c r="BO363" s="222">
        <f>BO136/BO15</f>
        <v>96.5338265298634</v>
      </c>
      <c r="BQ363" s="222">
        <f>BQ136/BQ15</f>
        <v>80.5802854867365</v>
      </c>
      <c r="BR363" s="222">
        <f>BR136/BR15</f>
        <v>186.774862036354</v>
      </c>
      <c r="BS363" s="222">
        <f>BS136/BS15</f>
        <v>115.366101813844</v>
      </c>
      <c r="BT363" s="222">
        <f>BT136/BT15</f>
        <v>263.796497717498</v>
      </c>
      <c r="BV363" s="222">
        <f>BV136/BV15</f>
        <v>220.200502358635</v>
      </c>
      <c r="BW363" s="222">
        <f>BW136/BW15</f>
        <v>510.246702902693</v>
      </c>
      <c r="BX363" s="222">
        <f>BX136/BX15</f>
        <v>315.259165701856</v>
      </c>
      <c r="BY363" s="222">
        <f>BY136/BY15</f>
        <v>720.660648494723</v>
      </c>
      <c r="CA363" s="222">
        <f>CA136/CA15</f>
        <v>601.561575690743</v>
      </c>
      <c r="CB363" s="222">
        <f>CB136/CB15</f>
        <v>1394.04312987809</v>
      </c>
      <c r="CC363" s="222">
        <f>CC136/CC15</f>
        <v>861.2505350314</v>
      </c>
      <c r="CD363" s="222">
        <f>CD136/CD15</f>
        <v>1968.91429242444</v>
      </c>
      <c r="CF363" s="222">
        <f>CF136/CF15</f>
        <v>1643.52415609876</v>
      </c>
      <c r="CG363" s="222">
        <f>CG136/CG15</f>
        <v>3808.57966556157</v>
      </c>
      <c r="CH363" s="222">
        <f>CH136/CH15</f>
        <v>2353.01940146651</v>
      </c>
      <c r="CI363" s="222">
        <f>CI136/CI15</f>
        <v>5379.14988183833</v>
      </c>
      <c r="CK363" s="222">
        <f>CK136/CK15</f>
        <v>4490.171463579</v>
      </c>
      <c r="CL363" s="222">
        <f>CL136/CL15</f>
        <v>10405.2455908793</v>
      </c>
      <c r="CM363" s="222">
        <f>CM136/CM15</f>
        <v>6428.53987299583</v>
      </c>
      <c r="CN363" s="222">
        <f>CN136/CN15</f>
        <v>14696.1283485255</v>
      </c>
      <c r="CP363" s="222">
        <f>CP136/CP15</f>
        <v>12267.3912393555</v>
      </c>
      <c r="CQ363" s="222">
        <f>CQ136/CQ15</f>
        <v>28427.6505128818</v>
      </c>
      <c r="CR363" s="222">
        <f>CR136/CR15</f>
        <v>17563.1185489247</v>
      </c>
      <c r="CS363" s="222">
        <f>CS136/CS15</f>
        <v>40150.5564607278</v>
      </c>
      <c r="CU363" s="222">
        <f>CU136/CU15</f>
        <v>33515.125405869</v>
      </c>
      <c r="CV363" s="222">
        <f>CV136/CV15</f>
        <v>77665.7922075223</v>
      </c>
      <c r="CW363" s="222">
        <f>CW136/CW15</f>
        <v>47983.316843841</v>
      </c>
      <c r="CX363" s="222">
        <f>CX136/CX15</f>
        <v>109693.369618507</v>
      </c>
    </row>
    <row r="364" customFormat="1" s="233">
      <c r="A364" s="224" t="n"/>
      <c r="B364" s="224" t="n"/>
      <c r="C364" s="233" t="inlineStr">
        <is>
          <t>ASSET TURNOVER</t>
        </is>
      </c>
      <c r="D364" s="238">
        <f>D136/D196</f>
        <v>0.0394340758579169</v>
      </c>
      <c r="E364" s="238">
        <f>E136/E196</f>
        <v>0.024702144559174</v>
      </c>
      <c r="F364" s="238">
        <f>F136/F196</f>
        <v>0.0497005319742569</v>
      </c>
      <c r="G364" s="238">
        <f>G136/G196</f>
        <v>0.0506060921815845</v>
      </c>
      <c r="I364" s="222">
        <f>I136/I196</f>
        <v>0.0620859851928822</v>
      </c>
      <c r="J364" s="222">
        <f>J136/J196</f>
        <v>0.0614230271668823</v>
      </c>
      <c r="K364" s="222">
        <f>K136/K196</f>
        <v>0.0606418586335893</v>
      </c>
      <c r="L364" s="222">
        <f>L136/L196</f>
        <v>0.0679611650485437</v>
      </c>
      <c r="N364" s="222">
        <f>N136/N196</f>
        <v>0.0357869592143679</v>
      </c>
      <c r="O364" s="222">
        <f>O136/O196</f>
        <v>0.0150887846168001</v>
      </c>
      <c r="P364" s="222">
        <f>P136/P196</f>
        <v>0.0167950997826517</v>
      </c>
      <c r="Q364" s="222">
        <f>Q136/Q196</f>
        <v>0.0343353892477296</v>
      </c>
      <c r="S364" s="222">
        <f>S136/S196</f>
        <v>0.0459514170040486</v>
      </c>
      <c r="T364" s="222">
        <f>T136/T196</f>
        <v>0.124871355060034</v>
      </c>
      <c r="U364" s="222">
        <f>U136/U196</f>
        <v>0.170698825441383</v>
      </c>
      <c r="V364" s="222">
        <f>V136/V196</f>
        <v>0.18690664556962</v>
      </c>
      <c r="X364" s="222">
        <f>X136/X196</f>
        <v>0.193079198671372</v>
      </c>
      <c r="Y364" s="222">
        <f>Y136/Y196</f>
        <v>0.194762223239114</v>
      </c>
      <c r="Z364" s="222">
        <f>Z136/Z196</f>
        <v>0.201108183266849</v>
      </c>
      <c r="AA364" s="222">
        <f>AA136/AA196</f>
        <v>0.197946254961873</v>
      </c>
      <c r="AC364" s="222">
        <f>AC136/AC196</f>
        <v>0.149895412521756</v>
      </c>
      <c r="AD364" s="222">
        <f>AD136/AD196</f>
        <v>0.187736251243428</v>
      </c>
      <c r="AE364" s="222">
        <f>AE136/AE196</f>
        <v>0.198016729962519</v>
      </c>
      <c r="AF364" s="222">
        <f>AF136/AF196</f>
        <v>0.207733930358844</v>
      </c>
      <c r="AH364" s="222">
        <f>AH136/AH196</f>
        <v>0.224766257890964</v>
      </c>
      <c r="AI364" s="222">
        <f>AI136/AI196</f>
        <v>0.18636658839986</v>
      </c>
      <c r="AJ364" s="222">
        <f>AJ136/AJ196</f>
        <v>0.0558797782316895</v>
      </c>
      <c r="AK364" s="222">
        <f>AK136/AK196</f>
        <v>0.0264268867145434</v>
      </c>
      <c r="AM364" s="222" t="e">
        <f>AM136/AM196</f>
        <v>#DIV/0!</v>
      </c>
      <c r="AN364" s="222" t="e">
        <f>AN136/AN196</f>
        <v>#DIV/0!</v>
      </c>
      <c r="AO364" s="222" t="e">
        <f>AO136/AO196</f>
        <v>#DIV/0!</v>
      </c>
      <c r="AP364" s="222" t="e">
        <f>AP136/AP196</f>
        <v>#DIV/0!</v>
      </c>
      <c r="AR364" s="222" t="e">
        <f>AR136/AR196</f>
        <v>#DIV/0!</v>
      </c>
      <c r="AS364" s="222" t="e">
        <f>AS136/AS196</f>
        <v>#DIV/0!</v>
      </c>
      <c r="AT364" s="222" t="e">
        <f>AT136/AT196</f>
        <v>#DIV/0!</v>
      </c>
      <c r="AU364" s="222" t="e">
        <f>AU136/AU196</f>
        <v>#DIV/0!</v>
      </c>
      <c r="AW364" s="222" t="e">
        <f>AW136/AW196</f>
        <v>#DIV/0!</v>
      </c>
      <c r="AX364" s="222" t="e">
        <f>AX136/AX196</f>
        <v>#DIV/0!</v>
      </c>
      <c r="AY364" s="222" t="e">
        <f>AY136/AY196</f>
        <v>#DIV/0!</v>
      </c>
      <c r="AZ364" s="222" t="e">
        <f>AZ136/AZ196</f>
        <v>#DIV/0!</v>
      </c>
      <c r="BB364" s="222" t="e">
        <f>BB136/BB196</f>
        <v>#DIV/0!</v>
      </c>
      <c r="BC364" s="222" t="e">
        <f>BC136/BC196</f>
        <v>#DIV/0!</v>
      </c>
      <c r="BD364" s="222" t="e">
        <f>BD136/BD196</f>
        <v>#DIV/0!</v>
      </c>
      <c r="BE364" s="222" t="e">
        <f>BE136/BE196</f>
        <v>#DIV/0!</v>
      </c>
      <c r="BG364" s="222" t="e">
        <f>BG136/BG196</f>
        <v>#DIV/0!</v>
      </c>
      <c r="BH364" s="222" t="e">
        <f>BH136/BH196</f>
        <v>#DIV/0!</v>
      </c>
      <c r="BI364" s="222" t="e">
        <f>BI136/BI196</f>
        <v>#DIV/0!</v>
      </c>
      <c r="BJ364" s="222" t="e">
        <f>BJ136/BJ196</f>
        <v>#DIV/0!</v>
      </c>
      <c r="BL364" s="222" t="e">
        <f>BL136/BL196</f>
        <v>#DIV/0!</v>
      </c>
      <c r="BM364" s="222" t="e">
        <f>BM136/BM196</f>
        <v>#DIV/0!</v>
      </c>
      <c r="BN364" s="222" t="e">
        <f>BN136/BN196</f>
        <v>#DIV/0!</v>
      </c>
      <c r="BO364" s="222" t="e">
        <f>BO136/BO196</f>
        <v>#DIV/0!</v>
      </c>
      <c r="BQ364" s="222" t="e">
        <f>BQ136/BQ196</f>
        <v>#DIV/0!</v>
      </c>
      <c r="BR364" s="222" t="e">
        <f>BR136/BR196</f>
        <v>#DIV/0!</v>
      </c>
      <c r="BS364" s="222" t="e">
        <f>BS136/BS196</f>
        <v>#DIV/0!</v>
      </c>
      <c r="BT364" s="222" t="e">
        <f>BT136/BT196</f>
        <v>#DIV/0!</v>
      </c>
      <c r="BV364" s="222" t="e">
        <f>BV136/BV196</f>
        <v>#DIV/0!</v>
      </c>
      <c r="BW364" s="222" t="e">
        <f>BW136/BW196</f>
        <v>#DIV/0!</v>
      </c>
      <c r="BX364" s="222" t="e">
        <f>BX136/BX196</f>
        <v>#DIV/0!</v>
      </c>
      <c r="BY364" s="222" t="e">
        <f>BY136/BY196</f>
        <v>#DIV/0!</v>
      </c>
      <c r="CA364" s="222" t="e">
        <f>CA136/CA196</f>
        <v>#DIV/0!</v>
      </c>
      <c r="CB364" s="222" t="e">
        <f>CB136/CB196</f>
        <v>#DIV/0!</v>
      </c>
      <c r="CC364" s="222" t="e">
        <f>CC136/CC196</f>
        <v>#DIV/0!</v>
      </c>
      <c r="CD364" s="222" t="e">
        <f>CD136/CD196</f>
        <v>#DIV/0!</v>
      </c>
      <c r="CF364" s="222" t="e">
        <f>CF136/CF196</f>
        <v>#DIV/0!</v>
      </c>
      <c r="CG364" s="222" t="e">
        <f>CG136/CG196</f>
        <v>#DIV/0!</v>
      </c>
      <c r="CH364" s="222" t="e">
        <f>CH136/CH196</f>
        <v>#DIV/0!</v>
      </c>
      <c r="CI364" s="222" t="e">
        <f>CI136/CI196</f>
        <v>#DIV/0!</v>
      </c>
      <c r="CK364" s="222" t="e">
        <f>CK136/CK196</f>
        <v>#DIV/0!</v>
      </c>
      <c r="CL364" s="222" t="e">
        <f>CL136/CL196</f>
        <v>#DIV/0!</v>
      </c>
      <c r="CM364" s="222" t="e">
        <f>CM136/CM196</f>
        <v>#DIV/0!</v>
      </c>
      <c r="CN364" s="222" t="e">
        <f>CN136/CN196</f>
        <v>#DIV/0!</v>
      </c>
      <c r="CP364" s="222" t="e">
        <f>CP136/CP196</f>
        <v>#DIV/0!</v>
      </c>
      <c r="CQ364" s="222" t="e">
        <f>CQ136/CQ196</f>
        <v>#DIV/0!</v>
      </c>
      <c r="CR364" s="222" t="e">
        <f>CR136/CR196</f>
        <v>#DIV/0!</v>
      </c>
      <c r="CS364" s="222" t="e">
        <f>CS136/CS196</f>
        <v>#DIV/0!</v>
      </c>
      <c r="CU364" s="222" t="e">
        <f>CU136/CU196</f>
        <v>#DIV/0!</v>
      </c>
      <c r="CV364" s="222" t="e">
        <f>CV136/CV196</f>
        <v>#DIV/0!</v>
      </c>
      <c r="CW364" s="222" t="e">
        <f>CW136/CW196</f>
        <v>#DIV/0!</v>
      </c>
      <c r="CX364" s="222" t="e">
        <f>CX136/CX196</f>
        <v>#DIV/0!</v>
      </c>
    </row>
    <row r="365" customFormat="1" s="233">
      <c r="A365" s="224" t="n"/>
      <c r="B365" s="224" t="n"/>
      <c r="C365" s="233" t="inlineStr">
        <is>
          <t>EQUITY MULTIPLIER</t>
        </is>
      </c>
      <c r="D365" s="238">
        <f>D196/D270</f>
        <v>1.77525001908543</v>
      </c>
      <c r="E365" s="238">
        <f>E196/E270</f>
        <v>1.80968808394423</v>
      </c>
      <c r="F365" s="238">
        <f>F196/F270</f>
        <v>1.75303247684883</v>
      </c>
      <c r="G365" s="238">
        <f>G196/G270</f>
        <v>1.70431539690996</v>
      </c>
      <c r="I365" s="222">
        <f>I196/I270</f>
        <v>1.64035368062214</v>
      </c>
      <c r="J365" s="222">
        <f>J196/J270</f>
        <v>1.82768241358112</v>
      </c>
      <c r="K365" s="222">
        <f>K196/K270</f>
        <v>1.70737036725775</v>
      </c>
      <c r="L365" s="222">
        <f>L196/L270</f>
        <v>1.66041635352473</v>
      </c>
      <c r="N365" s="222">
        <f>N196/N270</f>
        <v>1.7177811550152</v>
      </c>
      <c r="O365" s="222">
        <f>O196/O270</f>
        <v>1.8228166533898</v>
      </c>
      <c r="P365" s="222">
        <f>P196/P270</f>
        <v>1.89648227083236</v>
      </c>
      <c r="Q365" s="222">
        <f>Q196/Q270</f>
        <v>1.8633545993394</v>
      </c>
      <c r="S365" s="222">
        <f>S196/S270</f>
        <v>1.81321370309951</v>
      </c>
      <c r="T365" s="222">
        <f>T196/T270</f>
        <v>1.80193447511</v>
      </c>
      <c r="U365" s="222">
        <f>U196/U270</f>
        <v>1.6277769427326</v>
      </c>
      <c r="V365" s="222">
        <f>V196/V270</f>
        <v>1.52934059286146</v>
      </c>
      <c r="X365" s="222">
        <f>X196/X270</f>
        <v>1.56835293638843</v>
      </c>
      <c r="Y365" s="222">
        <f>Y196/Y270</f>
        <v>1.46546417456196</v>
      </c>
      <c r="Z365" s="222">
        <f>Z196/Z270</f>
        <v>1.45697203295953</v>
      </c>
      <c r="AA365" s="222">
        <f>AA196/AA270</f>
        <v>1.40684760548111</v>
      </c>
      <c r="AC365" s="222">
        <f>AC196/AC270</f>
        <v>1.49391123886311</v>
      </c>
      <c r="AD365" s="222">
        <f>AD196/AD270</f>
        <v>1.40555871807932</v>
      </c>
      <c r="AE365" s="222">
        <f>AE196/AE270</f>
        <v>1.35535799894026</v>
      </c>
      <c r="AF365" s="222">
        <f>AF196/AF270</f>
        <v>1.31476289472513</v>
      </c>
      <c r="AH365" s="222">
        <f>AH196/AH270</f>
        <v>1.32740927182132</v>
      </c>
      <c r="AI365" s="222">
        <f>AI196/AI270</f>
        <v>1.39866540893687</v>
      </c>
      <c r="AJ365" s="222">
        <f>AJ196/AJ270</f>
        <v>1.20072681939109</v>
      </c>
      <c r="AK365" s="222">
        <f>AK196/AK270</f>
        <v>1.19439107053379</v>
      </c>
      <c r="AM365" s="222" t="e">
        <f>AM196/AM270</f>
        <v>#DIV/0!</v>
      </c>
      <c r="AN365" s="222" t="e">
        <f>AN196/AN270</f>
        <v>#DIV/0!</v>
      </c>
      <c r="AO365" s="222" t="e">
        <f>AO196/AO270</f>
        <v>#DIV/0!</v>
      </c>
      <c r="AP365" s="222" t="e">
        <f>AP196/AP270</f>
        <v>#DIV/0!</v>
      </c>
      <c r="AR365" s="222" t="e">
        <f>AR196/AR270</f>
        <v>#DIV/0!</v>
      </c>
      <c r="AS365" s="222" t="e">
        <f>AS196/AS270</f>
        <v>#DIV/0!</v>
      </c>
      <c r="AT365" s="222" t="e">
        <f>AT196/AT270</f>
        <v>#DIV/0!</v>
      </c>
      <c r="AU365" s="222" t="e">
        <f>AU196/AU270</f>
        <v>#DIV/0!</v>
      </c>
      <c r="AW365" s="222" t="e">
        <f>AW196/AW270</f>
        <v>#DIV/0!</v>
      </c>
      <c r="AX365" s="222" t="e">
        <f>AX196/AX270</f>
        <v>#DIV/0!</v>
      </c>
      <c r="AY365" s="222" t="e">
        <f>AY196/AY270</f>
        <v>#DIV/0!</v>
      </c>
      <c r="AZ365" s="222" t="e">
        <f>AZ196/AZ270</f>
        <v>#DIV/0!</v>
      </c>
      <c r="BB365" s="222" t="e">
        <f>BB196/BB270</f>
        <v>#DIV/0!</v>
      </c>
      <c r="BC365" s="222" t="e">
        <f>BC196/BC270</f>
        <v>#DIV/0!</v>
      </c>
      <c r="BD365" s="222" t="e">
        <f>BD196/BD270</f>
        <v>#DIV/0!</v>
      </c>
      <c r="BE365" s="222" t="e">
        <f>BE196/BE270</f>
        <v>#DIV/0!</v>
      </c>
      <c r="BG365" s="222" t="e">
        <f>BG196/BG270</f>
        <v>#DIV/0!</v>
      </c>
      <c r="BH365" s="222" t="e">
        <f>BH196/BH270</f>
        <v>#DIV/0!</v>
      </c>
      <c r="BI365" s="222" t="e">
        <f>BI196/BI270</f>
        <v>#DIV/0!</v>
      </c>
      <c r="BJ365" s="222" t="e">
        <f>BJ196/BJ270</f>
        <v>#DIV/0!</v>
      </c>
      <c r="BL365" s="222" t="e">
        <f>BL196/BL270</f>
        <v>#DIV/0!</v>
      </c>
      <c r="BM365" s="222" t="e">
        <f>BM196/BM270</f>
        <v>#DIV/0!</v>
      </c>
      <c r="BN365" s="222" t="e">
        <f>BN196/BN270</f>
        <v>#DIV/0!</v>
      </c>
      <c r="BO365" s="222" t="e">
        <f>BO196/BO270</f>
        <v>#DIV/0!</v>
      </c>
      <c r="BQ365" s="222" t="e">
        <f>BQ196/BQ270</f>
        <v>#DIV/0!</v>
      </c>
      <c r="BR365" s="222" t="e">
        <f>BR196/BR270</f>
        <v>#DIV/0!</v>
      </c>
      <c r="BS365" s="222" t="e">
        <f>BS196/BS270</f>
        <v>#DIV/0!</v>
      </c>
      <c r="BT365" s="222" t="e">
        <f>BT196/BT270</f>
        <v>#DIV/0!</v>
      </c>
      <c r="BV365" s="222" t="e">
        <f>BV196/BV270</f>
        <v>#DIV/0!</v>
      </c>
      <c r="BW365" s="222" t="e">
        <f>BW196/BW270</f>
        <v>#DIV/0!</v>
      </c>
      <c r="BX365" s="222" t="e">
        <f>BX196/BX270</f>
        <v>#DIV/0!</v>
      </c>
      <c r="BY365" s="222" t="e">
        <f>BY196/BY270</f>
        <v>#DIV/0!</v>
      </c>
      <c r="CA365" s="222" t="e">
        <f>CA196/CA270</f>
        <v>#DIV/0!</v>
      </c>
      <c r="CB365" s="222" t="e">
        <f>CB196/CB270</f>
        <v>#DIV/0!</v>
      </c>
      <c r="CC365" s="222" t="e">
        <f>CC196/CC270</f>
        <v>#DIV/0!</v>
      </c>
      <c r="CD365" s="222" t="e">
        <f>CD196/CD270</f>
        <v>#DIV/0!</v>
      </c>
      <c r="CF365" s="222" t="e">
        <f>CF196/CF270</f>
        <v>#DIV/0!</v>
      </c>
      <c r="CG365" s="222" t="e">
        <f>CG196/CG270</f>
        <v>#DIV/0!</v>
      </c>
      <c r="CH365" s="222" t="e">
        <f>CH196/CH270</f>
        <v>#DIV/0!</v>
      </c>
      <c r="CI365" s="222" t="e">
        <f>CI196/CI270</f>
        <v>#DIV/0!</v>
      </c>
      <c r="CK365" s="222" t="e">
        <f>CK196/CK270</f>
        <v>#DIV/0!</v>
      </c>
      <c r="CL365" s="222" t="e">
        <f>CL196/CL270</f>
        <v>#DIV/0!</v>
      </c>
      <c r="CM365" s="222" t="e">
        <f>CM196/CM270</f>
        <v>#DIV/0!</v>
      </c>
      <c r="CN365" s="222" t="e">
        <f>CN196/CN270</f>
        <v>#DIV/0!</v>
      </c>
      <c r="CP365" s="222" t="e">
        <f>CP196/CP270</f>
        <v>#DIV/0!</v>
      </c>
      <c r="CQ365" s="222" t="e">
        <f>CQ196/CQ270</f>
        <v>#DIV/0!</v>
      </c>
      <c r="CR365" s="222" t="e">
        <f>CR196/CR270</f>
        <v>#DIV/0!</v>
      </c>
      <c r="CS365" s="222" t="e">
        <f>CS196/CS270</f>
        <v>#DIV/0!</v>
      </c>
      <c r="CU365" s="222" t="e">
        <f>CU196/CU270</f>
        <v>#DIV/0!</v>
      </c>
      <c r="CV365" s="222" t="e">
        <f>CV196/CV270</f>
        <v>#DIV/0!</v>
      </c>
      <c r="CW365" s="222" t="e">
        <f>CW196/CW270</f>
        <v>#DIV/0!</v>
      </c>
      <c r="CX365" s="222" t="e">
        <f>CX196/CX270</f>
        <v>#DIV/0!</v>
      </c>
    </row>
    <row r="366" customFormat="1" s="233">
      <c r="A366" s="224" t="n"/>
      <c r="B366" s="224" t="n"/>
      <c r="C366" s="233" t="inlineStr">
        <is>
          <t>ROE - DUPONT</t>
        </is>
      </c>
      <c r="D366" s="238">
        <f>PRODUCT(D363:D365)</f>
        <v>0.0208425001214527</v>
      </c>
      <c r="E366" s="238">
        <f>PRODUCT(E363:E365)</f>
        <v>0.00719228553554274</v>
      </c>
      <c r="F366" s="238">
        <f>PRODUCT(F363:F365)</f>
        <v>0.0246299619017834</v>
      </c>
      <c r="G366" s="238">
        <f>PRODUCT(G363:G365)</f>
        <v>0.025117812755193</v>
      </c>
      <c r="I366" s="222">
        <f>PRODUCT(I363:I365)</f>
        <v>0.034397415105403</v>
      </c>
      <c r="J366" s="222">
        <f>PRODUCT(J363:J365)</f>
        <v>0.0409573507377126</v>
      </c>
      <c r="K366" s="222">
        <f>PRODUCT(K363:K365)</f>
        <v>0.0359169237037856</v>
      </c>
      <c r="L366" s="222">
        <f>PRODUCT(L363:L365)</f>
        <v>0.044337304859759</v>
      </c>
      <c r="N366" s="222">
        <f>PRODUCT(N363:N365)</f>
        <v>0.0120011097452207</v>
      </c>
      <c r="O366" s="222">
        <f>PRODUCT(O363:O365)</f>
        <v>0.00269133079483416</v>
      </c>
      <c r="P366" s="222">
        <f>PRODUCT(P363:P365)</f>
        <v>0.00365184523735766</v>
      </c>
      <c r="Q366" s="222">
        <f>PRODUCT(Q363:Q365)</f>
        <v>0.01495063852941</v>
      </c>
      <c r="S366" s="222">
        <f>PRODUCT(S363:S365)</f>
        <v>0.0236682740202545</v>
      </c>
      <c r="T366" s="222">
        <f>PRODUCT(T363:T365)</f>
        <v>0.103084465665944</v>
      </c>
      <c r="U366" s="222">
        <f>PRODUCT(U363:U365)</f>
        <v>0.141736004172793</v>
      </c>
      <c r="V366" s="222">
        <f>PRODUCT(V363:V365)</f>
        <v>0.158874024294606</v>
      </c>
      <c r="X366" s="222">
        <f>PRODUCT(X363:X365)</f>
        <v>0.173022952688594</v>
      </c>
      <c r="Y366" s="222">
        <f>PRODUCT(Y363:Y365)</f>
        <v>0.157710978389069</v>
      </c>
      <c r="Z366" s="222">
        <f>PRODUCT(Z363:Z365)</f>
        <v>0.161271043678701</v>
      </c>
      <c r="AA366" s="222">
        <f>PRODUCT(AA363:AA365)</f>
        <v>0.156413679420886</v>
      </c>
      <c r="AC366" s="222">
        <f>PRODUCT(AC363:AC365)</f>
        <v>0.0954176850271353</v>
      </c>
      <c r="AD366" s="222">
        <f>PRODUCT(AD363:AD365)</f>
        <v>0.149157893278112</v>
      </c>
      <c r="AE366" s="222">
        <f>PRODUCT(AE363:AE365)</f>
        <v>0.150231894253572</v>
      </c>
      <c r="AF366" s="222">
        <f>PRODUCT(AF363:AF365)</f>
        <v>0.172226463821071</v>
      </c>
      <c r="AH366" s="222">
        <f>PRODUCT(AH363:AH365)</f>
        <v>0.213201835338025</v>
      </c>
      <c r="AI366" s="222">
        <f>PRODUCT(AI363:AI365)</f>
        <v>0.161695915760673</v>
      </c>
      <c r="AJ366" s="222">
        <f>PRODUCT(AJ363:AJ365)</f>
        <v>0.0193840957362899</v>
      </c>
      <c r="AK366" s="222">
        <f>PRODUCT(AK363:AK365)</f>
        <v>0.00370649375593918</v>
      </c>
      <c r="AM366" s="222" t="e">
        <f>PRODUCT(AM363:AM365)</f>
        <v>#DIV/0!</v>
      </c>
      <c r="AN366" s="222" t="e">
        <f>PRODUCT(AN363:AN365)</f>
        <v>#DIV/0!</v>
      </c>
      <c r="AO366" s="222" t="e">
        <f>PRODUCT(AO363:AO365)</f>
        <v>#DIV/0!</v>
      </c>
      <c r="AP366" s="222" t="e">
        <f>PRODUCT(AP363:AP365)</f>
        <v>#DIV/0!</v>
      </c>
      <c r="AR366" s="222" t="e">
        <f>PRODUCT(AR363:AR365)</f>
        <v>#DIV/0!</v>
      </c>
      <c r="AS366" s="222" t="e">
        <f>PRODUCT(AS363:AS365)</f>
        <v>#DIV/0!</v>
      </c>
      <c r="AT366" s="222" t="e">
        <f>PRODUCT(AT363:AT365)</f>
        <v>#DIV/0!</v>
      </c>
      <c r="AU366" s="222" t="e">
        <f>PRODUCT(AU363:AU365)</f>
        <v>#DIV/0!</v>
      </c>
      <c r="AW366" s="222" t="e">
        <f>PRODUCT(AW363:AW365)</f>
        <v>#DIV/0!</v>
      </c>
      <c r="AX366" s="222" t="e">
        <f>PRODUCT(AX363:AX365)</f>
        <v>#DIV/0!</v>
      </c>
      <c r="AY366" s="222" t="e">
        <f>PRODUCT(AY363:AY365)</f>
        <v>#DIV/0!</v>
      </c>
      <c r="AZ366" s="222" t="e">
        <f>PRODUCT(AZ363:AZ365)</f>
        <v>#DIV/0!</v>
      </c>
      <c r="BB366" s="222" t="e">
        <f>PRODUCT(BB363:BB365)</f>
        <v>#DIV/0!</v>
      </c>
      <c r="BC366" s="222" t="e">
        <f>PRODUCT(BC363:BC365)</f>
        <v>#DIV/0!</v>
      </c>
      <c r="BD366" s="222" t="e">
        <f>PRODUCT(BD363:BD365)</f>
        <v>#DIV/0!</v>
      </c>
      <c r="BE366" s="222" t="e">
        <f>PRODUCT(BE363:BE365)</f>
        <v>#DIV/0!</v>
      </c>
      <c r="BG366" s="222" t="e">
        <f>PRODUCT(BG363:BG365)</f>
        <v>#DIV/0!</v>
      </c>
      <c r="BH366" s="222" t="e">
        <f>PRODUCT(BH363:BH365)</f>
        <v>#DIV/0!</v>
      </c>
      <c r="BI366" s="222" t="e">
        <f>PRODUCT(BI363:BI365)</f>
        <v>#DIV/0!</v>
      </c>
      <c r="BJ366" s="222" t="e">
        <f>PRODUCT(BJ363:BJ365)</f>
        <v>#DIV/0!</v>
      </c>
      <c r="BL366" s="222" t="e">
        <f>PRODUCT(BL363:BL365)</f>
        <v>#DIV/0!</v>
      </c>
      <c r="BM366" s="222" t="e">
        <f>PRODUCT(BM363:BM365)</f>
        <v>#DIV/0!</v>
      </c>
      <c r="BN366" s="222" t="e">
        <f>PRODUCT(BN363:BN365)</f>
        <v>#DIV/0!</v>
      </c>
      <c r="BO366" s="222" t="e">
        <f>PRODUCT(BO363:BO365)</f>
        <v>#DIV/0!</v>
      </c>
      <c r="BQ366" s="222" t="e">
        <f>PRODUCT(BQ363:BQ365)</f>
        <v>#DIV/0!</v>
      </c>
      <c r="BR366" s="222" t="e">
        <f>PRODUCT(BR363:BR365)</f>
        <v>#DIV/0!</v>
      </c>
      <c r="BS366" s="222" t="e">
        <f>PRODUCT(BS363:BS365)</f>
        <v>#DIV/0!</v>
      </c>
      <c r="BT366" s="222" t="e">
        <f>PRODUCT(BT363:BT365)</f>
        <v>#DIV/0!</v>
      </c>
      <c r="BV366" s="222" t="e">
        <f>PRODUCT(BV363:BV365)</f>
        <v>#DIV/0!</v>
      </c>
      <c r="BW366" s="222" t="e">
        <f>PRODUCT(BW363:BW365)</f>
        <v>#DIV/0!</v>
      </c>
      <c r="BX366" s="222" t="e">
        <f>PRODUCT(BX363:BX365)</f>
        <v>#DIV/0!</v>
      </c>
      <c r="BY366" s="222" t="e">
        <f>PRODUCT(BY363:BY365)</f>
        <v>#DIV/0!</v>
      </c>
      <c r="CA366" s="222" t="e">
        <f>PRODUCT(CA363:CA365)</f>
        <v>#DIV/0!</v>
      </c>
      <c r="CB366" s="222" t="e">
        <f>PRODUCT(CB363:CB365)</f>
        <v>#DIV/0!</v>
      </c>
      <c r="CC366" s="222" t="e">
        <f>PRODUCT(CC363:CC365)</f>
        <v>#DIV/0!</v>
      </c>
      <c r="CD366" s="222" t="e">
        <f>PRODUCT(CD363:CD365)</f>
        <v>#DIV/0!</v>
      </c>
      <c r="CF366" s="222" t="e">
        <f>PRODUCT(CF363:CF365)</f>
        <v>#DIV/0!</v>
      </c>
      <c r="CG366" s="222" t="e">
        <f>PRODUCT(CG363:CG365)</f>
        <v>#DIV/0!</v>
      </c>
      <c r="CH366" s="222" t="e">
        <f>PRODUCT(CH363:CH365)</f>
        <v>#DIV/0!</v>
      </c>
      <c r="CI366" s="222" t="e">
        <f>PRODUCT(CI363:CI365)</f>
        <v>#DIV/0!</v>
      </c>
      <c r="CK366" s="222" t="e">
        <f>PRODUCT(CK363:CK365)</f>
        <v>#DIV/0!</v>
      </c>
      <c r="CL366" s="222" t="e">
        <f>PRODUCT(CL363:CL365)</f>
        <v>#DIV/0!</v>
      </c>
      <c r="CM366" s="222" t="e">
        <f>PRODUCT(CM363:CM365)</f>
        <v>#DIV/0!</v>
      </c>
      <c r="CN366" s="222" t="e">
        <f>PRODUCT(CN363:CN365)</f>
        <v>#DIV/0!</v>
      </c>
      <c r="CP366" s="222" t="e">
        <f>PRODUCT(CP363:CP365)</f>
        <v>#DIV/0!</v>
      </c>
      <c r="CQ366" s="222" t="e">
        <f>PRODUCT(CQ363:CQ365)</f>
        <v>#DIV/0!</v>
      </c>
      <c r="CR366" s="222" t="e">
        <f>PRODUCT(CR363:CR365)</f>
        <v>#DIV/0!</v>
      </c>
      <c r="CS366" s="222" t="e">
        <f>PRODUCT(CS363:CS365)</f>
        <v>#DIV/0!</v>
      </c>
      <c r="CU366" s="222" t="e">
        <f>PRODUCT(CU363:CU365)</f>
        <v>#DIV/0!</v>
      </c>
      <c r="CV366" s="222" t="e">
        <f>PRODUCT(CV363:CV365)</f>
        <v>#DIV/0!</v>
      </c>
      <c r="CW366" s="222" t="e">
        <f>PRODUCT(CW363:CW365)</f>
        <v>#DIV/0!</v>
      </c>
      <c r="CX366" s="222" t="e">
        <f>PRODUCT(CX363:CX365)</f>
        <v>#DIV/0!</v>
      </c>
    </row>
    <row r="367" customFormat="1" s="233">
      <c r="A367" s="224" t="n"/>
      <c r="B367" s="224" t="n"/>
      <c r="C367" s="233" t="inlineStr">
        <is>
          <t>ROE</t>
        </is>
      </c>
      <c r="D367" s="238">
        <f>D136/D270</f>
        <v>0.0700053439193832</v>
      </c>
      <c r="E367" s="238">
        <f>E136/E270</f>
        <v>0.0447031766566049</v>
      </c>
      <c r="F367" s="238">
        <f>F136/F270</f>
        <v>0.0871266466675362</v>
      </c>
      <c r="G367" s="238">
        <f>G136/G270</f>
        <v>0.0862487420825194</v>
      </c>
      <c r="I367" s="222">
        <f>I136/I270</f>
        <v>0.101842974326196</v>
      </c>
      <c r="J367" s="222">
        <f>J136/J270</f>
        <v>0.112261786541826</v>
      </c>
      <c r="K367" s="222">
        <f>K136/K270</f>
        <v>0.103538112446424</v>
      </c>
      <c r="L367" s="222">
        <f>L136/L270</f>
        <v>0.112843829851195</v>
      </c>
      <c r="N367" s="222">
        <f>N136/N270</f>
        <v>0.0614741641337386</v>
      </c>
      <c r="O367" s="222">
        <f>O136/O270</f>
        <v>0.0275040878789149</v>
      </c>
      <c r="P367" s="222">
        <f>P136/P270</f>
        <v>0.0318516089746592</v>
      </c>
      <c r="Q367" s="222">
        <f>Q136/Q270</f>
        <v>0.0639790054748654</v>
      </c>
      <c r="S367" s="222">
        <f>S136/S270</f>
        <v>0.0833197389885808</v>
      </c>
      <c r="T367" s="222">
        <f>T136/T270</f>
        <v>0.225009999636377</v>
      </c>
      <c r="U367" s="222">
        <f>U136/U270</f>
        <v>0.27785961220502</v>
      </c>
      <c r="V367" s="222">
        <f>V136/V270</f>
        <v>0.285843920145191</v>
      </c>
      <c r="X367" s="222">
        <f>X136/X270</f>
        <v>0.302816328191771</v>
      </c>
      <c r="Y367" s="222">
        <f>Y136/Y270</f>
        <v>0.285417060714961</v>
      </c>
      <c r="Z367" s="222">
        <f>Z136/Z270</f>
        <v>0.293008998619099</v>
      </c>
      <c r="AA367" s="222">
        <f>AA136/AA270</f>
        <v>0.278480214807064</v>
      </c>
      <c r="AC367" s="222">
        <f>AC136/AC270</f>
        <v>0.223930441420274</v>
      </c>
      <c r="AD367" s="222">
        <f>AD136/AD270</f>
        <v>0.263874324634729</v>
      </c>
      <c r="AE367" s="222">
        <f>AE136/AE270</f>
        <v>0.268383558878693</v>
      </c>
      <c r="AF367" s="222">
        <f>AF136/AF270</f>
        <v>0.273120863611222</v>
      </c>
      <c r="AH367" s="222">
        <f>AH136/AH270</f>
        <v>0.298356814717047</v>
      </c>
      <c r="AI367" s="222">
        <f>AI136/AI270</f>
        <v>0.26066450057646</v>
      </c>
      <c r="AJ367" s="222">
        <f>AJ136/AJ270</f>
        <v>0.0670963483844158</v>
      </c>
      <c r="AK367" s="222">
        <f>AK136/AK270</f>
        <v>0.0315640375138586</v>
      </c>
      <c r="AM367" s="222">
        <f>AM136/AM270</f>
        <v>0.0305982337169587</v>
      </c>
      <c r="AN367" s="222">
        <f>AN136/AN270</f>
        <v>0.157665653965482</v>
      </c>
      <c r="AO367" s="222">
        <f>AO136/AO270</f>
        <v>0.0251263383701172</v>
      </c>
      <c r="AP367" s="222">
        <f>AP136/AP270</f>
        <v>0.133226617010909</v>
      </c>
      <c r="AR367" s="222">
        <f>AR136/AR270</f>
        <v>0.117563967357489</v>
      </c>
      <c r="AS367" s="222">
        <f>AS136/AS270</f>
        <v>0.214802421233516</v>
      </c>
      <c r="AT367" s="222">
        <f>AT136/AT270</f>
        <v>0.084509766336661</v>
      </c>
      <c r="AU367" s="222">
        <f>AU136/AU270</f>
        <v>0.164333429058369</v>
      </c>
      <c r="AW367" s="222">
        <f>AW136/AW270</f>
        <v>0.141139492311296</v>
      </c>
      <c r="AX367" s="222">
        <f>AX136/AX270</f>
        <v>0.287540144870331</v>
      </c>
      <c r="AY367" s="222">
        <f>AY136/AY270</f>
        <v>0.0913685463883364</v>
      </c>
      <c r="AZ367" s="222">
        <f>AZ136/AZ270</f>
        <v>0.207147105692557</v>
      </c>
      <c r="BB367" s="222">
        <f>BB136/BB270</f>
        <v>0.17160054869511</v>
      </c>
      <c r="BC367" s="222">
        <f>BC136/BC270</f>
        <v>0.316576994678025</v>
      </c>
      <c r="BD367" s="222">
        <f>BD136/BD270</f>
        <v>0.104965816514513</v>
      </c>
      <c r="BE367" s="222">
        <f>BE136/BE270</f>
        <v>0.220787659714807</v>
      </c>
      <c r="BG367" s="222">
        <f>BG136/BG270</f>
        <v>0.180856726358445</v>
      </c>
      <c r="BH367" s="222">
        <f>BH136/BH270</f>
        <v>0.331421193457557</v>
      </c>
      <c r="BI367" s="222">
        <f>BI136/BI270</f>
        <v>0.107873265406929</v>
      </c>
      <c r="BJ367" s="222">
        <f>BJ136/BJ270</f>
        <v>0.228198363730615</v>
      </c>
      <c r="BL367" s="222">
        <f>BL136/BL270</f>
        <v>0.185799273528968</v>
      </c>
      <c r="BM367" s="222">
        <f>BM136/BM270</f>
        <v>0.336506592506438</v>
      </c>
      <c r="BN367" s="222">
        <f>BN136/BN270</f>
        <v>0.109747317677969</v>
      </c>
      <c r="BO367" s="222">
        <f>BO136/BO270</f>
        <v>0.230518200116013</v>
      </c>
      <c r="BQ367" s="222">
        <f>BQ136/BQ270</f>
        <v>0.187334246737903</v>
      </c>
      <c r="BR367" s="222">
        <f>BR136/BR270</f>
        <v>0.338591707607444</v>
      </c>
      <c r="BS367" s="222">
        <f>BS136/BS270</f>
        <v>0.110244627184537</v>
      </c>
      <c r="BT367" s="222">
        <f>BT136/BT270</f>
        <v>0.231516309844436</v>
      </c>
      <c r="BV367" s="222">
        <f>BV136/BV270</f>
        <v>0.18799288973581</v>
      </c>
      <c r="BW367" s="222">
        <f>BW136/BW270</f>
        <v>0.339312209728417</v>
      </c>
      <c r="BX367" s="222">
        <f>BX136/BX270</f>
        <v>0.110482207725618</v>
      </c>
      <c r="BY367" s="222">
        <f>BY136/BY270</f>
        <v>0.231847154656305</v>
      </c>
      <c r="CA367" s="222">
        <f>CA136/CA270</f>
        <v>0.18821097550937</v>
      </c>
      <c r="CB367" s="222">
        <f>CB136/CB270</f>
        <v>0.339589843466422</v>
      </c>
      <c r="CC367" s="222">
        <f>CC136/CC270</f>
        <v>0.110554863822098</v>
      </c>
      <c r="CD367" s="222">
        <f>CD136/CD270</f>
        <v>0.231978294590798</v>
      </c>
      <c r="CF367" s="222">
        <f>CF136/CF270</f>
        <v>0.18829738771319</v>
      </c>
      <c r="CG367" s="222">
        <f>CG136/CG270</f>
        <v>0.339688058732234</v>
      </c>
      <c r="CH367" s="222">
        <f>CH136/CH270</f>
        <v>0.110585379011375</v>
      </c>
      <c r="CI367" s="222">
        <f>CI136/CI270</f>
        <v>0.232023705874568</v>
      </c>
      <c r="CK367" s="222">
        <f>CK136/CK270</f>
        <v>0.188327306340151</v>
      </c>
      <c r="CL367" s="222">
        <f>CL136/CL270</f>
        <v>0.339724964925026</v>
      </c>
      <c r="CM367" s="222">
        <f>CM136/CM270</f>
        <v>0.110595508542996</v>
      </c>
      <c r="CN367" s="222">
        <f>CN136/CN270</f>
        <v>0.232041035597168</v>
      </c>
      <c r="CP367" s="222">
        <f>CP136/CP270</f>
        <v>0.188338723218499</v>
      </c>
      <c r="CQ367" s="222">
        <f>CQ136/CQ270</f>
        <v>0.339738222963691</v>
      </c>
      <c r="CR367" s="222">
        <f>CR136/CR270</f>
        <v>0.110599496379171</v>
      </c>
      <c r="CS367" s="222">
        <f>CS136/CS270</f>
        <v>0.232047190846971</v>
      </c>
      <c r="CU367" s="222">
        <f>CU136/CU270</f>
        <v>0.188342778240053</v>
      </c>
      <c r="CV367" s="222">
        <f>CV136/CV270</f>
        <v>0.339743143674559</v>
      </c>
      <c r="CW367" s="222">
        <f>CW136/CW270</f>
        <v>0.110600881156179</v>
      </c>
      <c r="CX367" s="222">
        <f>CX136/CX270</f>
        <v>0.23204949441788</v>
      </c>
    </row>
    <row r="369">
      <c r="C369" s="53" t="inlineStr">
        <is>
          <t>Scenario Analysis</t>
        </is>
      </c>
      <c r="D369" s="53" t="n"/>
      <c r="E369" s="53" t="n"/>
      <c r="F369" s="53" t="n"/>
      <c r="G369" s="53" t="n"/>
      <c r="H369" s="53" t="n"/>
      <c r="I369" s="53" t="n"/>
      <c r="J369" s="53" t="n"/>
      <c r="K369" s="53" t="n"/>
      <c r="L369" s="53" t="n"/>
      <c r="M369" s="53" t="n"/>
      <c r="N369" s="53" t="n"/>
      <c r="O369" s="53" t="n"/>
      <c r="P369" s="53" t="n"/>
      <c r="Q369" s="53" t="n"/>
      <c r="R369" s="53" t="n"/>
      <c r="S369" s="53" t="n"/>
      <c r="T369" s="53" t="n"/>
      <c r="U369" s="53" t="n"/>
      <c r="V369" s="53" t="n"/>
      <c r="W369" s="53" t="n"/>
      <c r="X369" s="53" t="n"/>
      <c r="Y369" s="53" t="n"/>
      <c r="Z369" s="53" t="n"/>
      <c r="AA369" s="53" t="n"/>
      <c r="AB369" s="53" t="n"/>
      <c r="AC369" s="53" t="n"/>
      <c r="AD369" s="53" t="n"/>
      <c r="AE369" s="53" t="n"/>
      <c r="AF369" s="53" t="n"/>
      <c r="AG369" s="53" t="n"/>
      <c r="AH369" s="53" t="n"/>
      <c r="AI369" s="53" t="n"/>
      <c r="AJ369" s="53" t="n"/>
      <c r="AK369" s="53" t="n"/>
      <c r="AL369" s="53" t="n"/>
      <c r="AM369" s="53" t="n"/>
      <c r="AN369" s="53" t="n"/>
      <c r="AO369" s="53" t="n"/>
      <c r="AP369" s="53" t="n"/>
      <c r="AQ369" s="53" t="n"/>
      <c r="AR369" s="53" t="n"/>
      <c r="AS369" s="53" t="n"/>
      <c r="AT369" s="53" t="n"/>
      <c r="AU369" s="53" t="n"/>
      <c r="AV369" s="53" t="n"/>
      <c r="AW369" s="53" t="n"/>
      <c r="AX369" s="53" t="n"/>
      <c r="AY369" s="53" t="n"/>
      <c r="AZ369" s="53" t="n"/>
      <c r="BA369" s="53" t="n"/>
      <c r="BB369" s="53" t="n"/>
      <c r="BC369" s="53" t="n"/>
      <c r="BD369" s="53" t="n"/>
      <c r="BE369" s="53" t="n"/>
      <c r="BF369" s="53" t="n"/>
      <c r="BG369" s="53" t="n"/>
      <c r="BH369" s="53" t="n"/>
      <c r="BI369" s="53" t="n"/>
      <c r="BJ369" s="53" t="n"/>
      <c r="BK369" s="53" t="n"/>
      <c r="BL369" s="53" t="n"/>
      <c r="BM369" s="53" t="n"/>
      <c r="BN369" s="53" t="n"/>
      <c r="BO369" s="53" t="n"/>
      <c r="BP369" s="53" t="n"/>
      <c r="BQ369" s="53" t="n"/>
      <c r="BR369" s="53" t="n"/>
      <c r="BS369" s="53" t="n"/>
      <c r="BT369" s="53" t="n"/>
      <c r="BU369" s="53" t="n"/>
      <c r="BV369" s="53" t="n"/>
      <c r="BW369" s="53" t="n"/>
      <c r="BX369" s="53" t="n"/>
      <c r="BY369" s="53" t="n"/>
      <c r="BZ369" s="53" t="n"/>
      <c r="CA369" s="53" t="n"/>
      <c r="CB369" s="53" t="n"/>
      <c r="CC369" s="53" t="n"/>
      <c r="CD369" s="53" t="n"/>
      <c r="CE369" s="53" t="n"/>
      <c r="CF369" s="53" t="n"/>
      <c r="CG369" s="53" t="n"/>
      <c r="CH369" s="53" t="n"/>
      <c r="CI369" s="53" t="n"/>
      <c r="CJ369" s="53" t="n"/>
      <c r="CK369" s="53" t="n"/>
      <c r="CL369" s="53" t="n"/>
      <c r="CM369" s="53" t="n"/>
      <c r="CN369" s="53" t="n"/>
      <c r="CO369" s="53" t="n"/>
      <c r="CP369" s="53" t="n"/>
      <c r="CQ369" s="53" t="n"/>
      <c r="CR369" s="53" t="n"/>
      <c r="CS369" s="53" t="n"/>
      <c r="CT369" s="53" t="n"/>
      <c r="CU369" s="53" t="n"/>
      <c r="CV369" s="53" t="n"/>
      <c r="CW369" s="53" t="n"/>
      <c r="CX369" s="53" t="n"/>
      <c r="CY369" s="53" t="n"/>
    </row>
    <row r="372">
      <c r="C372" s="4" t="inlineStr">
        <is>
          <t>Bull case</t>
        </is>
      </c>
    </row>
    <row r="373">
      <c r="C373" s="4" t="inlineStr">
        <is>
          <t>Base case</t>
        </is>
      </c>
    </row>
    <row r="374">
      <c r="C374" s="4" t="inlineStr">
        <is>
          <t>Bear case</t>
        </is>
      </c>
    </row>
    <row r="377">
      <c r="C377" s="4" t="inlineStr">
        <is>
          <t>Bull case</t>
        </is>
      </c>
    </row>
    <row r="378">
      <c r="C378" s="4" t="inlineStr">
        <is>
          <t>Base case</t>
        </is>
      </c>
    </row>
    <row r="379">
      <c r="C379" s="4" t="inlineStr">
        <is>
          <t>Bear case</t>
        </is>
      </c>
    </row>
    <row r="382">
      <c r="C382" s="4" t="inlineStr">
        <is>
          <t>% Gross Margin</t>
        </is>
      </c>
    </row>
    <row r="383">
      <c r="C383" s="4" t="inlineStr">
        <is>
          <t>Bull case</t>
        </is>
      </c>
    </row>
    <row r="384">
      <c r="C384" s="4" t="inlineStr">
        <is>
          <t>Base case</t>
        </is>
      </c>
    </row>
    <row r="385">
      <c r="C385" s="4" t="inlineStr">
        <is>
          <t>Bear case</t>
        </is>
      </c>
    </row>
    <row r="388">
      <c r="C388" s="4" t="inlineStr">
        <is>
          <t>Capital expenditures</t>
        </is>
      </c>
    </row>
    <row r="389">
      <c r="C389" s="4" t="inlineStr">
        <is>
          <t>Bull case</t>
        </is>
      </c>
    </row>
    <row r="390">
      <c r="C390" s="4" t="inlineStr">
        <is>
          <t>Base case</t>
        </is>
      </c>
    </row>
    <row r="391">
      <c r="C391" s="4" t="inlineStr">
        <is>
          <t>Bear case</t>
        </is>
      </c>
    </row>
  </sheetData>
  <conditionalFormatting sqref="B1:B4 B13:B1048576">
    <cfRule type="expression" priority="59" dxfId="23">
      <formula>B1&lt;&gt;""</formula>
    </cfRule>
  </conditionalFormatting>
  <conditionalFormatting sqref="D1:CY3">
    <cfRule type="cellIs" priority="17" operator="greaterThan" dxfId="22">
      <formula>1</formula>
    </cfRule>
  </conditionalFormatting>
  <conditionalFormatting sqref="E314:G314">
    <cfRule type="cellIs" priority="15" operator="notEqual" dxfId="0">
      <formula>0</formula>
    </cfRule>
  </conditionalFormatting>
  <conditionalFormatting sqref="E5:H5">
    <cfRule type="cellIs" priority="16" operator="greaterThan" dxfId="18">
      <formula>$B$5</formula>
    </cfRule>
  </conditionalFormatting>
  <conditionalFormatting sqref="I314:L314">
    <cfRule type="cellIs" priority="45" operator="notEqual" dxfId="0">
      <formula>0</formula>
    </cfRule>
  </conditionalFormatting>
  <conditionalFormatting sqref="J5:CY5">
    <cfRule type="cellIs" priority="46" operator="greaterThan" dxfId="18">
      <formula>$B$5</formula>
    </cfRule>
  </conditionalFormatting>
  <conditionalFormatting sqref="N314:Q314">
    <cfRule type="cellIs" priority="44" operator="notEqual" dxfId="0">
      <formula>0</formula>
    </cfRule>
  </conditionalFormatting>
  <conditionalFormatting sqref="S314:V314">
    <cfRule type="cellIs" priority="43" operator="notEqual" dxfId="0">
      <formula>0</formula>
    </cfRule>
  </conditionalFormatting>
  <conditionalFormatting sqref="X314:AA314">
    <cfRule type="cellIs" priority="42" operator="notEqual" dxfId="0">
      <formula>0</formula>
    </cfRule>
  </conditionalFormatting>
  <conditionalFormatting sqref="AC314:AF314">
    <cfRule type="cellIs" priority="41" operator="notEqual" dxfId="0">
      <formula>0</formula>
    </cfRule>
  </conditionalFormatting>
  <conditionalFormatting sqref="AH314:AK314">
    <cfRule type="cellIs" priority="14" operator="notEqual" dxfId="0">
      <formula>0</formula>
    </cfRule>
  </conditionalFormatting>
  <conditionalFormatting sqref="AM314:AP314">
    <cfRule type="cellIs" priority="13" operator="notEqual" dxfId="0">
      <formula>0</formula>
    </cfRule>
  </conditionalFormatting>
  <conditionalFormatting sqref="AR314:AU314">
    <cfRule type="cellIs" priority="12" operator="notEqual" dxfId="0">
      <formula>0</formula>
    </cfRule>
  </conditionalFormatting>
  <conditionalFormatting sqref="AW314:AZ314">
    <cfRule type="cellIs" priority="11" operator="notEqual" dxfId="0">
      <formula>0</formula>
    </cfRule>
  </conditionalFormatting>
  <conditionalFormatting sqref="BB314:BE314">
    <cfRule type="cellIs" priority="10" operator="notEqual" dxfId="0">
      <formula>0</formula>
    </cfRule>
  </conditionalFormatting>
  <conditionalFormatting sqref="BG314:BJ314">
    <cfRule type="cellIs" priority="9" operator="notEqual" dxfId="0">
      <formula>0</formula>
    </cfRule>
  </conditionalFormatting>
  <conditionalFormatting sqref="BL314:BO314">
    <cfRule type="cellIs" priority="8" operator="notEqual" dxfId="0">
      <formula>0</formula>
    </cfRule>
  </conditionalFormatting>
  <conditionalFormatting sqref="BQ314:BT314">
    <cfRule type="cellIs" priority="7" operator="notEqual" dxfId="0">
      <formula>0</formula>
    </cfRule>
  </conditionalFormatting>
  <conditionalFormatting sqref="BV314:BY314">
    <cfRule type="cellIs" priority="6" operator="notEqual" dxfId="0">
      <formula>0</formula>
    </cfRule>
  </conditionalFormatting>
  <conditionalFormatting sqref="CA314:CD314">
    <cfRule type="cellIs" priority="5" operator="notEqual" dxfId="0">
      <formula>0</formula>
    </cfRule>
  </conditionalFormatting>
  <conditionalFormatting sqref="CF314:CI314">
    <cfRule type="cellIs" priority="4" operator="notEqual" dxfId="0">
      <formula>0</formula>
    </cfRule>
  </conditionalFormatting>
  <conditionalFormatting sqref="CK314:CN314">
    <cfRule type="cellIs" priority="3" operator="notEqual" dxfId="0">
      <formula>0</formula>
    </cfRule>
  </conditionalFormatting>
  <conditionalFormatting sqref="CP314:CS314">
    <cfRule type="cellIs" priority="2" operator="notEqual" dxfId="0">
      <formula>0</formula>
    </cfRule>
  </conditionalFormatting>
  <conditionalFormatting sqref="CU314:CX314">
    <cfRule type="cellIs" priority="1" operator="notEqual" dxfId="0">
      <formula>0</formula>
    </cfRule>
  </conditionalFormatting>
  <pageMargins left="0.511811024" right="0.511811024" top="0.787401575" bottom="0.787401575" header="0.31496062" footer="0.31496062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AB102"/>
  <sheetViews>
    <sheetView topLeftCell="A9" workbookViewId="0">
      <selection activeCell="D9" sqref="D9"/>
    </sheetView>
  </sheetViews>
  <sheetFormatPr baseColWidth="8" defaultRowHeight="12.75" outlineLevelRow="1"/>
  <cols>
    <col width="2" customWidth="1" style="249" min="1" max="1"/>
    <col outlineLevel="1" width="4.28515625" customWidth="1" style="249" min="2" max="2"/>
    <col width="54.5703125" bestFit="1" customWidth="1" style="249" min="3" max="3"/>
    <col outlineLevel="1" width="12.85546875" customWidth="1" style="249" min="4" max="4"/>
    <col outlineLevel="1" width="11.28515625" customWidth="1" style="249" min="5" max="6"/>
    <col width="11.85546875" customWidth="1" style="249" min="7" max="7"/>
    <col width="14.140625" customWidth="1" style="249" min="8" max="8"/>
    <col width="13.7109375" customWidth="1" style="249" min="9" max="9"/>
    <col width="11.28515625" customWidth="1" style="249" min="10" max="12"/>
    <col width="11.7109375" customWidth="1" style="249" min="13" max="13"/>
    <col width="11.5703125" customWidth="1" style="249" min="14" max="14"/>
    <col width="11.7109375" bestFit="1" customWidth="1" style="249" min="15" max="15"/>
    <col width="10.85546875" customWidth="1" style="249" min="16" max="20"/>
    <col width="11.7109375" bestFit="1" customWidth="1" style="249" min="21" max="22"/>
    <col width="9.28515625" customWidth="1" style="249" min="23" max="23"/>
    <col width="11.42578125" bestFit="1" customWidth="1" style="249" min="24" max="25"/>
    <col width="10" customWidth="1" style="249" min="26" max="26"/>
    <col width="9.140625" customWidth="1" style="249" min="27" max="27"/>
    <col width="19" bestFit="1" customWidth="1" style="249" min="28" max="28"/>
    <col width="9.140625" customWidth="1" style="249" min="29" max="31"/>
    <col width="8" bestFit="1" customWidth="1" style="249" min="32" max="32"/>
    <col width="9.140625" customWidth="1" style="249" min="33" max="261"/>
    <col width="2" customWidth="1" style="249" min="262" max="263"/>
    <col width="31.28515625" customWidth="1" style="249" min="264" max="264"/>
    <col width="13" customWidth="1" style="249" min="265" max="265"/>
    <col width="11.28515625" customWidth="1" style="249" min="266" max="268"/>
    <col width="13.7109375" bestFit="1" customWidth="1" style="249" min="269" max="269"/>
    <col width="11.28515625" customWidth="1" style="249" min="270" max="273"/>
    <col width="9.140625" customWidth="1" style="249" min="274" max="275"/>
    <col width="10.85546875" bestFit="1" customWidth="1" style="249" min="276" max="276"/>
    <col width="9.140625" customWidth="1" style="249" min="277" max="517"/>
    <col width="2" customWidth="1" style="249" min="518" max="519"/>
    <col width="31.28515625" customWidth="1" style="249" min="520" max="520"/>
    <col width="13" customWidth="1" style="249" min="521" max="521"/>
    <col width="11.28515625" customWidth="1" style="249" min="522" max="524"/>
    <col width="13.7109375" bestFit="1" customWidth="1" style="249" min="525" max="525"/>
    <col width="11.28515625" customWidth="1" style="249" min="526" max="529"/>
    <col width="9.140625" customWidth="1" style="249" min="530" max="531"/>
    <col width="10.85546875" bestFit="1" customWidth="1" style="249" min="532" max="532"/>
    <col width="9.140625" customWidth="1" style="249" min="533" max="773"/>
    <col width="2" customWidth="1" style="249" min="774" max="775"/>
    <col width="31.28515625" customWidth="1" style="249" min="776" max="776"/>
    <col width="13" customWidth="1" style="249" min="777" max="777"/>
    <col width="11.28515625" customWidth="1" style="249" min="778" max="780"/>
    <col width="13.7109375" bestFit="1" customWidth="1" style="249" min="781" max="781"/>
    <col width="11.28515625" customWidth="1" style="249" min="782" max="785"/>
    <col width="9.140625" customWidth="1" style="249" min="786" max="787"/>
    <col width="10.85546875" bestFit="1" customWidth="1" style="249" min="788" max="788"/>
    <col width="9.140625" customWidth="1" style="249" min="789" max="1029"/>
    <col width="2" customWidth="1" style="249" min="1030" max="1031"/>
    <col width="31.28515625" customWidth="1" style="249" min="1032" max="1032"/>
    <col width="13" customWidth="1" style="249" min="1033" max="1033"/>
    <col width="11.28515625" customWidth="1" style="249" min="1034" max="1036"/>
    <col width="13.7109375" bestFit="1" customWidth="1" style="249" min="1037" max="1037"/>
    <col width="11.28515625" customWidth="1" style="249" min="1038" max="1041"/>
    <col width="9.140625" customWidth="1" style="249" min="1042" max="1043"/>
    <col width="10.85546875" bestFit="1" customWidth="1" style="249" min="1044" max="1044"/>
    <col width="9.140625" customWidth="1" style="249" min="1045" max="1285"/>
    <col width="2" customWidth="1" style="249" min="1286" max="1287"/>
    <col width="31.28515625" customWidth="1" style="249" min="1288" max="1288"/>
    <col width="13" customWidth="1" style="249" min="1289" max="1289"/>
    <col width="11.28515625" customWidth="1" style="249" min="1290" max="1292"/>
    <col width="13.7109375" bestFit="1" customWidth="1" style="249" min="1293" max="1293"/>
    <col width="11.28515625" customWidth="1" style="249" min="1294" max="1297"/>
    <col width="9.140625" customWidth="1" style="249" min="1298" max="1299"/>
    <col width="10.85546875" bestFit="1" customWidth="1" style="249" min="1300" max="1300"/>
    <col width="9.140625" customWidth="1" style="249" min="1301" max="1541"/>
    <col width="2" customWidth="1" style="249" min="1542" max="1543"/>
    <col width="31.28515625" customWidth="1" style="249" min="1544" max="1544"/>
    <col width="13" customWidth="1" style="249" min="1545" max="1545"/>
    <col width="11.28515625" customWidth="1" style="249" min="1546" max="1548"/>
    <col width="13.7109375" bestFit="1" customWidth="1" style="249" min="1549" max="1549"/>
    <col width="11.28515625" customWidth="1" style="249" min="1550" max="1553"/>
    <col width="9.140625" customWidth="1" style="249" min="1554" max="1555"/>
    <col width="10.85546875" bestFit="1" customWidth="1" style="249" min="1556" max="1556"/>
    <col width="9.140625" customWidth="1" style="249" min="1557" max="1797"/>
    <col width="2" customWidth="1" style="249" min="1798" max="1799"/>
    <col width="31.28515625" customWidth="1" style="249" min="1800" max="1800"/>
    <col width="13" customWidth="1" style="249" min="1801" max="1801"/>
    <col width="11.28515625" customWidth="1" style="249" min="1802" max="1804"/>
    <col width="13.7109375" bestFit="1" customWidth="1" style="249" min="1805" max="1805"/>
    <col width="11.28515625" customWidth="1" style="249" min="1806" max="1809"/>
    <col width="9.140625" customWidth="1" style="249" min="1810" max="1811"/>
    <col width="10.85546875" bestFit="1" customWidth="1" style="249" min="1812" max="1812"/>
    <col width="9.140625" customWidth="1" style="249" min="1813" max="2053"/>
    <col width="2" customWidth="1" style="249" min="2054" max="2055"/>
    <col width="31.28515625" customWidth="1" style="249" min="2056" max="2056"/>
    <col width="13" customWidth="1" style="249" min="2057" max="2057"/>
    <col width="11.28515625" customWidth="1" style="249" min="2058" max="2060"/>
    <col width="13.7109375" bestFit="1" customWidth="1" style="249" min="2061" max="2061"/>
    <col width="11.28515625" customWidth="1" style="249" min="2062" max="2065"/>
    <col width="9.140625" customWidth="1" style="249" min="2066" max="2067"/>
    <col width="10.85546875" bestFit="1" customWidth="1" style="249" min="2068" max="2068"/>
    <col width="9.140625" customWidth="1" style="249" min="2069" max="2309"/>
    <col width="2" customWidth="1" style="249" min="2310" max="2311"/>
    <col width="31.28515625" customWidth="1" style="249" min="2312" max="2312"/>
    <col width="13" customWidth="1" style="249" min="2313" max="2313"/>
    <col width="11.28515625" customWidth="1" style="249" min="2314" max="2316"/>
    <col width="13.7109375" bestFit="1" customWidth="1" style="249" min="2317" max="2317"/>
    <col width="11.28515625" customWidth="1" style="249" min="2318" max="2321"/>
    <col width="9.140625" customWidth="1" style="249" min="2322" max="2323"/>
    <col width="10.85546875" bestFit="1" customWidth="1" style="249" min="2324" max="2324"/>
    <col width="9.140625" customWidth="1" style="249" min="2325" max="2565"/>
    <col width="2" customWidth="1" style="249" min="2566" max="2567"/>
    <col width="31.28515625" customWidth="1" style="249" min="2568" max="2568"/>
    <col width="13" customWidth="1" style="249" min="2569" max="2569"/>
    <col width="11.28515625" customWidth="1" style="249" min="2570" max="2572"/>
    <col width="13.7109375" bestFit="1" customWidth="1" style="249" min="2573" max="2573"/>
    <col width="11.28515625" customWidth="1" style="249" min="2574" max="2577"/>
    <col width="9.140625" customWidth="1" style="249" min="2578" max="2579"/>
    <col width="10.85546875" bestFit="1" customWidth="1" style="249" min="2580" max="2580"/>
    <col width="9.140625" customWidth="1" style="249" min="2581" max="2821"/>
    <col width="2" customWidth="1" style="249" min="2822" max="2823"/>
    <col width="31.28515625" customWidth="1" style="249" min="2824" max="2824"/>
    <col width="13" customWidth="1" style="249" min="2825" max="2825"/>
    <col width="11.28515625" customWidth="1" style="249" min="2826" max="2828"/>
    <col width="13.7109375" bestFit="1" customWidth="1" style="249" min="2829" max="2829"/>
    <col width="11.28515625" customWidth="1" style="249" min="2830" max="2833"/>
    <col width="9.140625" customWidth="1" style="249" min="2834" max="2835"/>
    <col width="10.85546875" bestFit="1" customWidth="1" style="249" min="2836" max="2836"/>
    <col width="9.140625" customWidth="1" style="249" min="2837" max="3077"/>
    <col width="2" customWidth="1" style="249" min="3078" max="3079"/>
    <col width="31.28515625" customWidth="1" style="249" min="3080" max="3080"/>
    <col width="13" customWidth="1" style="249" min="3081" max="3081"/>
    <col width="11.28515625" customWidth="1" style="249" min="3082" max="3084"/>
    <col width="13.7109375" bestFit="1" customWidth="1" style="249" min="3085" max="3085"/>
    <col width="11.28515625" customWidth="1" style="249" min="3086" max="3089"/>
    <col width="9.140625" customWidth="1" style="249" min="3090" max="3091"/>
    <col width="10.85546875" bestFit="1" customWidth="1" style="249" min="3092" max="3092"/>
    <col width="9.140625" customWidth="1" style="249" min="3093" max="3333"/>
    <col width="2" customWidth="1" style="249" min="3334" max="3335"/>
    <col width="31.28515625" customWidth="1" style="249" min="3336" max="3336"/>
    <col width="13" customWidth="1" style="249" min="3337" max="3337"/>
    <col width="11.28515625" customWidth="1" style="249" min="3338" max="3340"/>
    <col width="13.7109375" bestFit="1" customWidth="1" style="249" min="3341" max="3341"/>
    <col width="11.28515625" customWidth="1" style="249" min="3342" max="3345"/>
    <col width="9.140625" customWidth="1" style="249" min="3346" max="3347"/>
    <col width="10.85546875" bestFit="1" customWidth="1" style="249" min="3348" max="3348"/>
    <col width="9.140625" customWidth="1" style="249" min="3349" max="3589"/>
    <col width="2" customWidth="1" style="249" min="3590" max="3591"/>
    <col width="31.28515625" customWidth="1" style="249" min="3592" max="3592"/>
    <col width="13" customWidth="1" style="249" min="3593" max="3593"/>
    <col width="11.28515625" customWidth="1" style="249" min="3594" max="3596"/>
    <col width="13.7109375" bestFit="1" customWidth="1" style="249" min="3597" max="3597"/>
    <col width="11.28515625" customWidth="1" style="249" min="3598" max="3601"/>
    <col width="9.140625" customWidth="1" style="249" min="3602" max="3603"/>
    <col width="10.85546875" bestFit="1" customWidth="1" style="249" min="3604" max="3604"/>
    <col width="9.140625" customWidth="1" style="249" min="3605" max="3845"/>
    <col width="2" customWidth="1" style="249" min="3846" max="3847"/>
    <col width="31.28515625" customWidth="1" style="249" min="3848" max="3848"/>
    <col width="13" customWidth="1" style="249" min="3849" max="3849"/>
    <col width="11.28515625" customWidth="1" style="249" min="3850" max="3852"/>
    <col width="13.7109375" bestFit="1" customWidth="1" style="249" min="3853" max="3853"/>
    <col width="11.28515625" customWidth="1" style="249" min="3854" max="3857"/>
    <col width="9.140625" customWidth="1" style="249" min="3858" max="3859"/>
    <col width="10.85546875" bestFit="1" customWidth="1" style="249" min="3860" max="3860"/>
    <col width="9.140625" customWidth="1" style="249" min="3861" max="4101"/>
    <col width="2" customWidth="1" style="249" min="4102" max="4103"/>
    <col width="31.28515625" customWidth="1" style="249" min="4104" max="4104"/>
    <col width="13" customWidth="1" style="249" min="4105" max="4105"/>
    <col width="11.28515625" customWidth="1" style="249" min="4106" max="4108"/>
    <col width="13.7109375" bestFit="1" customWidth="1" style="249" min="4109" max="4109"/>
    <col width="11.28515625" customWidth="1" style="249" min="4110" max="4113"/>
    <col width="9.140625" customWidth="1" style="249" min="4114" max="4115"/>
    <col width="10.85546875" bestFit="1" customWidth="1" style="249" min="4116" max="4116"/>
    <col width="9.140625" customWidth="1" style="249" min="4117" max="4357"/>
    <col width="2" customWidth="1" style="249" min="4358" max="4359"/>
    <col width="31.28515625" customWidth="1" style="249" min="4360" max="4360"/>
    <col width="13" customWidth="1" style="249" min="4361" max="4361"/>
    <col width="11.28515625" customWidth="1" style="249" min="4362" max="4364"/>
    <col width="13.7109375" bestFit="1" customWidth="1" style="249" min="4365" max="4365"/>
    <col width="11.28515625" customWidth="1" style="249" min="4366" max="4369"/>
    <col width="9.140625" customWidth="1" style="249" min="4370" max="4371"/>
    <col width="10.85546875" bestFit="1" customWidth="1" style="249" min="4372" max="4372"/>
    <col width="9.140625" customWidth="1" style="249" min="4373" max="4613"/>
    <col width="2" customWidth="1" style="249" min="4614" max="4615"/>
    <col width="31.28515625" customWidth="1" style="249" min="4616" max="4616"/>
    <col width="13" customWidth="1" style="249" min="4617" max="4617"/>
    <col width="11.28515625" customWidth="1" style="249" min="4618" max="4620"/>
    <col width="13.7109375" bestFit="1" customWidth="1" style="249" min="4621" max="4621"/>
    <col width="11.28515625" customWidth="1" style="249" min="4622" max="4625"/>
    <col width="9.140625" customWidth="1" style="249" min="4626" max="4627"/>
    <col width="10.85546875" bestFit="1" customWidth="1" style="249" min="4628" max="4628"/>
    <col width="9.140625" customWidth="1" style="249" min="4629" max="4869"/>
    <col width="2" customWidth="1" style="249" min="4870" max="4871"/>
    <col width="31.28515625" customWidth="1" style="249" min="4872" max="4872"/>
    <col width="13" customWidth="1" style="249" min="4873" max="4873"/>
    <col width="11.28515625" customWidth="1" style="249" min="4874" max="4876"/>
    <col width="13.7109375" bestFit="1" customWidth="1" style="249" min="4877" max="4877"/>
    <col width="11.28515625" customWidth="1" style="249" min="4878" max="4881"/>
    <col width="9.140625" customWidth="1" style="249" min="4882" max="4883"/>
    <col width="10.85546875" bestFit="1" customWidth="1" style="249" min="4884" max="4884"/>
    <col width="9.140625" customWidth="1" style="249" min="4885" max="5125"/>
    <col width="2" customWidth="1" style="249" min="5126" max="5127"/>
    <col width="31.28515625" customWidth="1" style="249" min="5128" max="5128"/>
    <col width="13" customWidth="1" style="249" min="5129" max="5129"/>
    <col width="11.28515625" customWidth="1" style="249" min="5130" max="5132"/>
    <col width="13.7109375" bestFit="1" customWidth="1" style="249" min="5133" max="5133"/>
    <col width="11.28515625" customWidth="1" style="249" min="5134" max="5137"/>
    <col width="9.140625" customWidth="1" style="249" min="5138" max="5139"/>
    <col width="10.85546875" bestFit="1" customWidth="1" style="249" min="5140" max="5140"/>
    <col width="9.140625" customWidth="1" style="249" min="5141" max="5381"/>
    <col width="2" customWidth="1" style="249" min="5382" max="5383"/>
    <col width="31.28515625" customWidth="1" style="249" min="5384" max="5384"/>
    <col width="13" customWidth="1" style="249" min="5385" max="5385"/>
    <col width="11.28515625" customWidth="1" style="249" min="5386" max="5388"/>
    <col width="13.7109375" bestFit="1" customWidth="1" style="249" min="5389" max="5389"/>
    <col width="11.28515625" customWidth="1" style="249" min="5390" max="5393"/>
    <col width="9.140625" customWidth="1" style="249" min="5394" max="5395"/>
    <col width="10.85546875" bestFit="1" customWidth="1" style="249" min="5396" max="5396"/>
    <col width="9.140625" customWidth="1" style="249" min="5397" max="5637"/>
    <col width="2" customWidth="1" style="249" min="5638" max="5639"/>
    <col width="31.28515625" customWidth="1" style="249" min="5640" max="5640"/>
    <col width="13" customWidth="1" style="249" min="5641" max="5641"/>
    <col width="11.28515625" customWidth="1" style="249" min="5642" max="5644"/>
    <col width="13.7109375" bestFit="1" customWidth="1" style="249" min="5645" max="5645"/>
    <col width="11.28515625" customWidth="1" style="249" min="5646" max="5649"/>
    <col width="9.140625" customWidth="1" style="249" min="5650" max="5651"/>
    <col width="10.85546875" bestFit="1" customWidth="1" style="249" min="5652" max="5652"/>
    <col width="9.140625" customWidth="1" style="249" min="5653" max="5893"/>
    <col width="2" customWidth="1" style="249" min="5894" max="5895"/>
    <col width="31.28515625" customWidth="1" style="249" min="5896" max="5896"/>
    <col width="13" customWidth="1" style="249" min="5897" max="5897"/>
    <col width="11.28515625" customWidth="1" style="249" min="5898" max="5900"/>
    <col width="13.7109375" bestFit="1" customWidth="1" style="249" min="5901" max="5901"/>
    <col width="11.28515625" customWidth="1" style="249" min="5902" max="5905"/>
    <col width="9.140625" customWidth="1" style="249" min="5906" max="5907"/>
    <col width="10.85546875" bestFit="1" customWidth="1" style="249" min="5908" max="5908"/>
    <col width="9.140625" customWidth="1" style="249" min="5909" max="6149"/>
    <col width="2" customWidth="1" style="249" min="6150" max="6151"/>
    <col width="31.28515625" customWidth="1" style="249" min="6152" max="6152"/>
    <col width="13" customWidth="1" style="249" min="6153" max="6153"/>
    <col width="11.28515625" customWidth="1" style="249" min="6154" max="6156"/>
    <col width="13.7109375" bestFit="1" customWidth="1" style="249" min="6157" max="6157"/>
    <col width="11.28515625" customWidth="1" style="249" min="6158" max="6161"/>
    <col width="9.140625" customWidth="1" style="249" min="6162" max="6163"/>
    <col width="10.85546875" bestFit="1" customWidth="1" style="249" min="6164" max="6164"/>
    <col width="9.140625" customWidth="1" style="249" min="6165" max="6405"/>
    <col width="2" customWidth="1" style="249" min="6406" max="6407"/>
    <col width="31.28515625" customWidth="1" style="249" min="6408" max="6408"/>
    <col width="13" customWidth="1" style="249" min="6409" max="6409"/>
    <col width="11.28515625" customWidth="1" style="249" min="6410" max="6412"/>
    <col width="13.7109375" bestFit="1" customWidth="1" style="249" min="6413" max="6413"/>
    <col width="11.28515625" customWidth="1" style="249" min="6414" max="6417"/>
    <col width="9.140625" customWidth="1" style="249" min="6418" max="6419"/>
    <col width="10.85546875" bestFit="1" customWidth="1" style="249" min="6420" max="6420"/>
    <col width="9.140625" customWidth="1" style="249" min="6421" max="6661"/>
    <col width="2" customWidth="1" style="249" min="6662" max="6663"/>
    <col width="31.28515625" customWidth="1" style="249" min="6664" max="6664"/>
    <col width="13" customWidth="1" style="249" min="6665" max="6665"/>
    <col width="11.28515625" customWidth="1" style="249" min="6666" max="6668"/>
    <col width="13.7109375" bestFit="1" customWidth="1" style="249" min="6669" max="6669"/>
    <col width="11.28515625" customWidth="1" style="249" min="6670" max="6673"/>
    <col width="9.140625" customWidth="1" style="249" min="6674" max="6675"/>
    <col width="10.85546875" bestFit="1" customWidth="1" style="249" min="6676" max="6676"/>
    <col width="9.140625" customWidth="1" style="249" min="6677" max="6917"/>
    <col width="2" customWidth="1" style="249" min="6918" max="6919"/>
    <col width="31.28515625" customWidth="1" style="249" min="6920" max="6920"/>
    <col width="13" customWidth="1" style="249" min="6921" max="6921"/>
    <col width="11.28515625" customWidth="1" style="249" min="6922" max="6924"/>
    <col width="13.7109375" bestFit="1" customWidth="1" style="249" min="6925" max="6925"/>
    <col width="11.28515625" customWidth="1" style="249" min="6926" max="6929"/>
    <col width="9.140625" customWidth="1" style="249" min="6930" max="6931"/>
    <col width="10.85546875" bestFit="1" customWidth="1" style="249" min="6932" max="6932"/>
    <col width="9.140625" customWidth="1" style="249" min="6933" max="7173"/>
    <col width="2" customWidth="1" style="249" min="7174" max="7175"/>
    <col width="31.28515625" customWidth="1" style="249" min="7176" max="7176"/>
    <col width="13" customWidth="1" style="249" min="7177" max="7177"/>
    <col width="11.28515625" customWidth="1" style="249" min="7178" max="7180"/>
    <col width="13.7109375" bestFit="1" customWidth="1" style="249" min="7181" max="7181"/>
    <col width="11.28515625" customWidth="1" style="249" min="7182" max="7185"/>
    <col width="9.140625" customWidth="1" style="249" min="7186" max="7187"/>
    <col width="10.85546875" bestFit="1" customWidth="1" style="249" min="7188" max="7188"/>
    <col width="9.140625" customWidth="1" style="249" min="7189" max="7429"/>
    <col width="2" customWidth="1" style="249" min="7430" max="7431"/>
    <col width="31.28515625" customWidth="1" style="249" min="7432" max="7432"/>
    <col width="13" customWidth="1" style="249" min="7433" max="7433"/>
    <col width="11.28515625" customWidth="1" style="249" min="7434" max="7436"/>
    <col width="13.7109375" bestFit="1" customWidth="1" style="249" min="7437" max="7437"/>
    <col width="11.28515625" customWidth="1" style="249" min="7438" max="7441"/>
    <col width="9.140625" customWidth="1" style="249" min="7442" max="7443"/>
    <col width="10.85546875" bestFit="1" customWidth="1" style="249" min="7444" max="7444"/>
    <col width="9.140625" customWidth="1" style="249" min="7445" max="7685"/>
    <col width="2" customWidth="1" style="249" min="7686" max="7687"/>
    <col width="31.28515625" customWidth="1" style="249" min="7688" max="7688"/>
    <col width="13" customWidth="1" style="249" min="7689" max="7689"/>
    <col width="11.28515625" customWidth="1" style="249" min="7690" max="7692"/>
    <col width="13.7109375" bestFit="1" customWidth="1" style="249" min="7693" max="7693"/>
    <col width="11.28515625" customWidth="1" style="249" min="7694" max="7697"/>
    <col width="9.140625" customWidth="1" style="249" min="7698" max="7699"/>
    <col width="10.85546875" bestFit="1" customWidth="1" style="249" min="7700" max="7700"/>
    <col width="9.140625" customWidth="1" style="249" min="7701" max="7941"/>
    <col width="2" customWidth="1" style="249" min="7942" max="7943"/>
    <col width="31.28515625" customWidth="1" style="249" min="7944" max="7944"/>
    <col width="13" customWidth="1" style="249" min="7945" max="7945"/>
    <col width="11.28515625" customWidth="1" style="249" min="7946" max="7948"/>
    <col width="13.7109375" bestFit="1" customWidth="1" style="249" min="7949" max="7949"/>
    <col width="11.28515625" customWidth="1" style="249" min="7950" max="7953"/>
    <col width="9.140625" customWidth="1" style="249" min="7954" max="7955"/>
    <col width="10.85546875" bestFit="1" customWidth="1" style="249" min="7956" max="7956"/>
    <col width="9.140625" customWidth="1" style="249" min="7957" max="8197"/>
    <col width="2" customWidth="1" style="249" min="8198" max="8199"/>
    <col width="31.28515625" customWidth="1" style="249" min="8200" max="8200"/>
    <col width="13" customWidth="1" style="249" min="8201" max="8201"/>
    <col width="11.28515625" customWidth="1" style="249" min="8202" max="8204"/>
    <col width="13.7109375" bestFit="1" customWidth="1" style="249" min="8205" max="8205"/>
    <col width="11.28515625" customWidth="1" style="249" min="8206" max="8209"/>
    <col width="9.140625" customWidth="1" style="249" min="8210" max="8211"/>
    <col width="10.85546875" bestFit="1" customWidth="1" style="249" min="8212" max="8212"/>
    <col width="9.140625" customWidth="1" style="249" min="8213" max="8453"/>
    <col width="2" customWidth="1" style="249" min="8454" max="8455"/>
    <col width="31.28515625" customWidth="1" style="249" min="8456" max="8456"/>
    <col width="13" customWidth="1" style="249" min="8457" max="8457"/>
    <col width="11.28515625" customWidth="1" style="249" min="8458" max="8460"/>
    <col width="13.7109375" bestFit="1" customWidth="1" style="249" min="8461" max="8461"/>
    <col width="11.28515625" customWidth="1" style="249" min="8462" max="8465"/>
    <col width="9.140625" customWidth="1" style="249" min="8466" max="8467"/>
    <col width="10.85546875" bestFit="1" customWidth="1" style="249" min="8468" max="8468"/>
    <col width="9.140625" customWidth="1" style="249" min="8469" max="8709"/>
    <col width="2" customWidth="1" style="249" min="8710" max="8711"/>
    <col width="31.28515625" customWidth="1" style="249" min="8712" max="8712"/>
    <col width="13" customWidth="1" style="249" min="8713" max="8713"/>
    <col width="11.28515625" customWidth="1" style="249" min="8714" max="8716"/>
    <col width="13.7109375" bestFit="1" customWidth="1" style="249" min="8717" max="8717"/>
    <col width="11.28515625" customWidth="1" style="249" min="8718" max="8721"/>
    <col width="9.140625" customWidth="1" style="249" min="8722" max="8723"/>
    <col width="10.85546875" bestFit="1" customWidth="1" style="249" min="8724" max="8724"/>
    <col width="9.140625" customWidth="1" style="249" min="8725" max="8965"/>
    <col width="2" customWidth="1" style="249" min="8966" max="8967"/>
    <col width="31.28515625" customWidth="1" style="249" min="8968" max="8968"/>
    <col width="13" customWidth="1" style="249" min="8969" max="8969"/>
    <col width="11.28515625" customWidth="1" style="249" min="8970" max="8972"/>
    <col width="13.7109375" bestFit="1" customWidth="1" style="249" min="8973" max="8973"/>
    <col width="11.28515625" customWidth="1" style="249" min="8974" max="8977"/>
    <col width="9.140625" customWidth="1" style="249" min="8978" max="8979"/>
    <col width="10.85546875" bestFit="1" customWidth="1" style="249" min="8980" max="8980"/>
    <col width="9.140625" customWidth="1" style="249" min="8981" max="9221"/>
    <col width="2" customWidth="1" style="249" min="9222" max="9223"/>
    <col width="31.28515625" customWidth="1" style="249" min="9224" max="9224"/>
    <col width="13" customWidth="1" style="249" min="9225" max="9225"/>
    <col width="11.28515625" customWidth="1" style="249" min="9226" max="9228"/>
    <col width="13.7109375" bestFit="1" customWidth="1" style="249" min="9229" max="9229"/>
    <col width="11.28515625" customWidth="1" style="249" min="9230" max="9233"/>
    <col width="9.140625" customWidth="1" style="249" min="9234" max="9235"/>
    <col width="10.85546875" bestFit="1" customWidth="1" style="249" min="9236" max="9236"/>
    <col width="9.140625" customWidth="1" style="249" min="9237" max="9477"/>
    <col width="2" customWidth="1" style="249" min="9478" max="9479"/>
    <col width="31.28515625" customWidth="1" style="249" min="9480" max="9480"/>
    <col width="13" customWidth="1" style="249" min="9481" max="9481"/>
    <col width="11.28515625" customWidth="1" style="249" min="9482" max="9484"/>
    <col width="13.7109375" bestFit="1" customWidth="1" style="249" min="9485" max="9485"/>
    <col width="11.28515625" customWidth="1" style="249" min="9486" max="9489"/>
    <col width="9.140625" customWidth="1" style="249" min="9490" max="9491"/>
    <col width="10.85546875" bestFit="1" customWidth="1" style="249" min="9492" max="9492"/>
    <col width="9.140625" customWidth="1" style="249" min="9493" max="9733"/>
    <col width="2" customWidth="1" style="249" min="9734" max="9735"/>
    <col width="31.28515625" customWidth="1" style="249" min="9736" max="9736"/>
    <col width="13" customWidth="1" style="249" min="9737" max="9737"/>
    <col width="11.28515625" customWidth="1" style="249" min="9738" max="9740"/>
    <col width="13.7109375" bestFit="1" customWidth="1" style="249" min="9741" max="9741"/>
    <col width="11.28515625" customWidth="1" style="249" min="9742" max="9745"/>
    <col width="9.140625" customWidth="1" style="249" min="9746" max="9747"/>
    <col width="10.85546875" bestFit="1" customWidth="1" style="249" min="9748" max="9748"/>
    <col width="9.140625" customWidth="1" style="249" min="9749" max="9989"/>
    <col width="2" customWidth="1" style="249" min="9990" max="9991"/>
    <col width="31.28515625" customWidth="1" style="249" min="9992" max="9992"/>
    <col width="13" customWidth="1" style="249" min="9993" max="9993"/>
    <col width="11.28515625" customWidth="1" style="249" min="9994" max="9996"/>
    <col width="13.7109375" bestFit="1" customWidth="1" style="249" min="9997" max="9997"/>
    <col width="11.28515625" customWidth="1" style="249" min="9998" max="10001"/>
    <col width="9.140625" customWidth="1" style="249" min="10002" max="10003"/>
    <col width="10.85546875" bestFit="1" customWidth="1" style="249" min="10004" max="10004"/>
    <col width="9.140625" customWidth="1" style="249" min="10005" max="10245"/>
    <col width="2" customWidth="1" style="249" min="10246" max="10247"/>
    <col width="31.28515625" customWidth="1" style="249" min="10248" max="10248"/>
    <col width="13" customWidth="1" style="249" min="10249" max="10249"/>
    <col width="11.28515625" customWidth="1" style="249" min="10250" max="10252"/>
    <col width="13.7109375" bestFit="1" customWidth="1" style="249" min="10253" max="10253"/>
    <col width="11.28515625" customWidth="1" style="249" min="10254" max="10257"/>
    <col width="9.140625" customWidth="1" style="249" min="10258" max="10259"/>
    <col width="10.85546875" bestFit="1" customWidth="1" style="249" min="10260" max="10260"/>
    <col width="9.140625" customWidth="1" style="249" min="10261" max="10501"/>
    <col width="2" customWidth="1" style="249" min="10502" max="10503"/>
    <col width="31.28515625" customWidth="1" style="249" min="10504" max="10504"/>
    <col width="13" customWidth="1" style="249" min="10505" max="10505"/>
    <col width="11.28515625" customWidth="1" style="249" min="10506" max="10508"/>
    <col width="13.7109375" bestFit="1" customWidth="1" style="249" min="10509" max="10509"/>
    <col width="11.28515625" customWidth="1" style="249" min="10510" max="10513"/>
    <col width="9.140625" customWidth="1" style="249" min="10514" max="10515"/>
    <col width="10.85546875" bestFit="1" customWidth="1" style="249" min="10516" max="10516"/>
    <col width="9.140625" customWidth="1" style="249" min="10517" max="10757"/>
    <col width="2" customWidth="1" style="249" min="10758" max="10759"/>
    <col width="31.28515625" customWidth="1" style="249" min="10760" max="10760"/>
    <col width="13" customWidth="1" style="249" min="10761" max="10761"/>
    <col width="11.28515625" customWidth="1" style="249" min="10762" max="10764"/>
    <col width="13.7109375" bestFit="1" customWidth="1" style="249" min="10765" max="10765"/>
    <col width="11.28515625" customWidth="1" style="249" min="10766" max="10769"/>
    <col width="9.140625" customWidth="1" style="249" min="10770" max="10771"/>
    <col width="10.85546875" bestFit="1" customWidth="1" style="249" min="10772" max="10772"/>
    <col width="9.140625" customWidth="1" style="249" min="10773" max="11013"/>
    <col width="2" customWidth="1" style="249" min="11014" max="11015"/>
    <col width="31.28515625" customWidth="1" style="249" min="11016" max="11016"/>
    <col width="13" customWidth="1" style="249" min="11017" max="11017"/>
    <col width="11.28515625" customWidth="1" style="249" min="11018" max="11020"/>
    <col width="13.7109375" bestFit="1" customWidth="1" style="249" min="11021" max="11021"/>
    <col width="11.28515625" customWidth="1" style="249" min="11022" max="11025"/>
    <col width="9.140625" customWidth="1" style="249" min="11026" max="11027"/>
    <col width="10.85546875" bestFit="1" customWidth="1" style="249" min="11028" max="11028"/>
    <col width="9.140625" customWidth="1" style="249" min="11029" max="11269"/>
    <col width="2" customWidth="1" style="249" min="11270" max="11271"/>
    <col width="31.28515625" customWidth="1" style="249" min="11272" max="11272"/>
    <col width="13" customWidth="1" style="249" min="11273" max="11273"/>
    <col width="11.28515625" customWidth="1" style="249" min="11274" max="11276"/>
    <col width="13.7109375" bestFit="1" customWidth="1" style="249" min="11277" max="11277"/>
    <col width="11.28515625" customWidth="1" style="249" min="11278" max="11281"/>
    <col width="9.140625" customWidth="1" style="249" min="11282" max="11283"/>
    <col width="10.85546875" bestFit="1" customWidth="1" style="249" min="11284" max="11284"/>
    <col width="9.140625" customWidth="1" style="249" min="11285" max="11525"/>
    <col width="2" customWidth="1" style="249" min="11526" max="11527"/>
    <col width="31.28515625" customWidth="1" style="249" min="11528" max="11528"/>
    <col width="13" customWidth="1" style="249" min="11529" max="11529"/>
    <col width="11.28515625" customWidth="1" style="249" min="11530" max="11532"/>
    <col width="13.7109375" bestFit="1" customWidth="1" style="249" min="11533" max="11533"/>
    <col width="11.28515625" customWidth="1" style="249" min="11534" max="11537"/>
    <col width="9.140625" customWidth="1" style="249" min="11538" max="11539"/>
    <col width="10.85546875" bestFit="1" customWidth="1" style="249" min="11540" max="11540"/>
    <col width="9.140625" customWidth="1" style="249" min="11541" max="11781"/>
    <col width="2" customWidth="1" style="249" min="11782" max="11783"/>
    <col width="31.28515625" customWidth="1" style="249" min="11784" max="11784"/>
    <col width="13" customWidth="1" style="249" min="11785" max="11785"/>
    <col width="11.28515625" customWidth="1" style="249" min="11786" max="11788"/>
    <col width="13.7109375" bestFit="1" customWidth="1" style="249" min="11789" max="11789"/>
    <col width="11.28515625" customWidth="1" style="249" min="11790" max="11793"/>
    <col width="9.140625" customWidth="1" style="249" min="11794" max="11795"/>
    <col width="10.85546875" bestFit="1" customWidth="1" style="249" min="11796" max="11796"/>
    <col width="9.140625" customWidth="1" style="249" min="11797" max="12037"/>
    <col width="2" customWidth="1" style="249" min="12038" max="12039"/>
    <col width="31.28515625" customWidth="1" style="249" min="12040" max="12040"/>
    <col width="13" customWidth="1" style="249" min="12041" max="12041"/>
    <col width="11.28515625" customWidth="1" style="249" min="12042" max="12044"/>
    <col width="13.7109375" bestFit="1" customWidth="1" style="249" min="12045" max="12045"/>
    <col width="11.28515625" customWidth="1" style="249" min="12046" max="12049"/>
    <col width="9.140625" customWidth="1" style="249" min="12050" max="12051"/>
    <col width="10.85546875" bestFit="1" customWidth="1" style="249" min="12052" max="12052"/>
    <col width="9.140625" customWidth="1" style="249" min="12053" max="12293"/>
    <col width="2" customWidth="1" style="249" min="12294" max="12295"/>
    <col width="31.28515625" customWidth="1" style="249" min="12296" max="12296"/>
    <col width="13" customWidth="1" style="249" min="12297" max="12297"/>
    <col width="11.28515625" customWidth="1" style="249" min="12298" max="12300"/>
    <col width="13.7109375" bestFit="1" customWidth="1" style="249" min="12301" max="12301"/>
    <col width="11.28515625" customWidth="1" style="249" min="12302" max="12305"/>
    <col width="9.140625" customWidth="1" style="249" min="12306" max="12307"/>
    <col width="10.85546875" bestFit="1" customWidth="1" style="249" min="12308" max="12308"/>
    <col width="9.140625" customWidth="1" style="249" min="12309" max="12549"/>
    <col width="2" customWidth="1" style="249" min="12550" max="12551"/>
    <col width="31.28515625" customWidth="1" style="249" min="12552" max="12552"/>
    <col width="13" customWidth="1" style="249" min="12553" max="12553"/>
    <col width="11.28515625" customWidth="1" style="249" min="12554" max="12556"/>
    <col width="13.7109375" bestFit="1" customWidth="1" style="249" min="12557" max="12557"/>
    <col width="11.28515625" customWidth="1" style="249" min="12558" max="12561"/>
    <col width="9.140625" customWidth="1" style="249" min="12562" max="12563"/>
    <col width="10.85546875" bestFit="1" customWidth="1" style="249" min="12564" max="12564"/>
    <col width="9.140625" customWidth="1" style="249" min="12565" max="12805"/>
    <col width="2" customWidth="1" style="249" min="12806" max="12807"/>
    <col width="31.28515625" customWidth="1" style="249" min="12808" max="12808"/>
    <col width="13" customWidth="1" style="249" min="12809" max="12809"/>
    <col width="11.28515625" customWidth="1" style="249" min="12810" max="12812"/>
    <col width="13.7109375" bestFit="1" customWidth="1" style="249" min="12813" max="12813"/>
    <col width="11.28515625" customWidth="1" style="249" min="12814" max="12817"/>
    <col width="9.140625" customWidth="1" style="249" min="12818" max="12819"/>
    <col width="10.85546875" bestFit="1" customWidth="1" style="249" min="12820" max="12820"/>
    <col width="9.140625" customWidth="1" style="249" min="12821" max="13061"/>
    <col width="2" customWidth="1" style="249" min="13062" max="13063"/>
    <col width="31.28515625" customWidth="1" style="249" min="13064" max="13064"/>
    <col width="13" customWidth="1" style="249" min="13065" max="13065"/>
    <col width="11.28515625" customWidth="1" style="249" min="13066" max="13068"/>
    <col width="13.7109375" bestFit="1" customWidth="1" style="249" min="13069" max="13069"/>
    <col width="11.28515625" customWidth="1" style="249" min="13070" max="13073"/>
    <col width="9.140625" customWidth="1" style="249" min="13074" max="13075"/>
    <col width="10.85546875" bestFit="1" customWidth="1" style="249" min="13076" max="13076"/>
    <col width="9.140625" customWidth="1" style="249" min="13077" max="13317"/>
    <col width="2" customWidth="1" style="249" min="13318" max="13319"/>
    <col width="31.28515625" customWidth="1" style="249" min="13320" max="13320"/>
    <col width="13" customWidth="1" style="249" min="13321" max="13321"/>
    <col width="11.28515625" customWidth="1" style="249" min="13322" max="13324"/>
    <col width="13.7109375" bestFit="1" customWidth="1" style="249" min="13325" max="13325"/>
    <col width="11.28515625" customWidth="1" style="249" min="13326" max="13329"/>
    <col width="9.140625" customWidth="1" style="249" min="13330" max="13331"/>
    <col width="10.85546875" bestFit="1" customWidth="1" style="249" min="13332" max="13332"/>
    <col width="9.140625" customWidth="1" style="249" min="13333" max="13573"/>
    <col width="2" customWidth="1" style="249" min="13574" max="13575"/>
    <col width="31.28515625" customWidth="1" style="249" min="13576" max="13576"/>
    <col width="13" customWidth="1" style="249" min="13577" max="13577"/>
    <col width="11.28515625" customWidth="1" style="249" min="13578" max="13580"/>
    <col width="13.7109375" bestFit="1" customWidth="1" style="249" min="13581" max="13581"/>
    <col width="11.28515625" customWidth="1" style="249" min="13582" max="13585"/>
    <col width="9.140625" customWidth="1" style="249" min="13586" max="13587"/>
    <col width="10.85546875" bestFit="1" customWidth="1" style="249" min="13588" max="13588"/>
    <col width="9.140625" customWidth="1" style="249" min="13589" max="13829"/>
    <col width="2" customWidth="1" style="249" min="13830" max="13831"/>
    <col width="31.28515625" customWidth="1" style="249" min="13832" max="13832"/>
    <col width="13" customWidth="1" style="249" min="13833" max="13833"/>
    <col width="11.28515625" customWidth="1" style="249" min="13834" max="13836"/>
    <col width="13.7109375" bestFit="1" customWidth="1" style="249" min="13837" max="13837"/>
    <col width="11.28515625" customWidth="1" style="249" min="13838" max="13841"/>
    <col width="9.140625" customWidth="1" style="249" min="13842" max="13843"/>
    <col width="10.85546875" bestFit="1" customWidth="1" style="249" min="13844" max="13844"/>
    <col width="9.140625" customWidth="1" style="249" min="13845" max="14085"/>
    <col width="2" customWidth="1" style="249" min="14086" max="14087"/>
    <col width="31.28515625" customWidth="1" style="249" min="14088" max="14088"/>
    <col width="13" customWidth="1" style="249" min="14089" max="14089"/>
    <col width="11.28515625" customWidth="1" style="249" min="14090" max="14092"/>
    <col width="13.7109375" bestFit="1" customWidth="1" style="249" min="14093" max="14093"/>
    <col width="11.28515625" customWidth="1" style="249" min="14094" max="14097"/>
    <col width="9.140625" customWidth="1" style="249" min="14098" max="14099"/>
    <col width="10.85546875" bestFit="1" customWidth="1" style="249" min="14100" max="14100"/>
    <col width="9.140625" customWidth="1" style="249" min="14101" max="14341"/>
    <col width="2" customWidth="1" style="249" min="14342" max="14343"/>
    <col width="31.28515625" customWidth="1" style="249" min="14344" max="14344"/>
    <col width="13" customWidth="1" style="249" min="14345" max="14345"/>
    <col width="11.28515625" customWidth="1" style="249" min="14346" max="14348"/>
    <col width="13.7109375" bestFit="1" customWidth="1" style="249" min="14349" max="14349"/>
    <col width="11.28515625" customWidth="1" style="249" min="14350" max="14353"/>
    <col width="9.140625" customWidth="1" style="249" min="14354" max="14355"/>
    <col width="10.85546875" bestFit="1" customWidth="1" style="249" min="14356" max="14356"/>
    <col width="9.140625" customWidth="1" style="249" min="14357" max="14597"/>
    <col width="2" customWidth="1" style="249" min="14598" max="14599"/>
    <col width="31.28515625" customWidth="1" style="249" min="14600" max="14600"/>
    <col width="13" customWidth="1" style="249" min="14601" max="14601"/>
    <col width="11.28515625" customWidth="1" style="249" min="14602" max="14604"/>
    <col width="13.7109375" bestFit="1" customWidth="1" style="249" min="14605" max="14605"/>
    <col width="11.28515625" customWidth="1" style="249" min="14606" max="14609"/>
    <col width="9.140625" customWidth="1" style="249" min="14610" max="14611"/>
    <col width="10.85546875" bestFit="1" customWidth="1" style="249" min="14612" max="14612"/>
    <col width="9.140625" customWidth="1" style="249" min="14613" max="14853"/>
    <col width="2" customWidth="1" style="249" min="14854" max="14855"/>
    <col width="31.28515625" customWidth="1" style="249" min="14856" max="14856"/>
    <col width="13" customWidth="1" style="249" min="14857" max="14857"/>
    <col width="11.28515625" customWidth="1" style="249" min="14858" max="14860"/>
    <col width="13.7109375" bestFit="1" customWidth="1" style="249" min="14861" max="14861"/>
    <col width="11.28515625" customWidth="1" style="249" min="14862" max="14865"/>
    <col width="9.140625" customWidth="1" style="249" min="14866" max="14867"/>
    <col width="10.85546875" bestFit="1" customWidth="1" style="249" min="14868" max="14868"/>
    <col width="9.140625" customWidth="1" style="249" min="14869" max="15109"/>
    <col width="2" customWidth="1" style="249" min="15110" max="15111"/>
    <col width="31.28515625" customWidth="1" style="249" min="15112" max="15112"/>
    <col width="13" customWidth="1" style="249" min="15113" max="15113"/>
    <col width="11.28515625" customWidth="1" style="249" min="15114" max="15116"/>
    <col width="13.7109375" bestFit="1" customWidth="1" style="249" min="15117" max="15117"/>
    <col width="11.28515625" customWidth="1" style="249" min="15118" max="15121"/>
    <col width="9.140625" customWidth="1" style="249" min="15122" max="15123"/>
    <col width="10.85546875" bestFit="1" customWidth="1" style="249" min="15124" max="15124"/>
    <col width="9.140625" customWidth="1" style="249" min="15125" max="15365"/>
    <col width="2" customWidth="1" style="249" min="15366" max="15367"/>
    <col width="31.28515625" customWidth="1" style="249" min="15368" max="15368"/>
    <col width="13" customWidth="1" style="249" min="15369" max="15369"/>
    <col width="11.28515625" customWidth="1" style="249" min="15370" max="15372"/>
    <col width="13.7109375" bestFit="1" customWidth="1" style="249" min="15373" max="15373"/>
    <col width="11.28515625" customWidth="1" style="249" min="15374" max="15377"/>
    <col width="9.140625" customWidth="1" style="249" min="15378" max="15379"/>
    <col width="10.85546875" bestFit="1" customWidth="1" style="249" min="15380" max="15380"/>
    <col width="9.140625" customWidth="1" style="249" min="15381" max="15621"/>
    <col width="2" customWidth="1" style="249" min="15622" max="15623"/>
    <col width="31.28515625" customWidth="1" style="249" min="15624" max="15624"/>
    <col width="13" customWidth="1" style="249" min="15625" max="15625"/>
    <col width="11.28515625" customWidth="1" style="249" min="15626" max="15628"/>
    <col width="13.7109375" bestFit="1" customWidth="1" style="249" min="15629" max="15629"/>
    <col width="11.28515625" customWidth="1" style="249" min="15630" max="15633"/>
    <col width="9.140625" customWidth="1" style="249" min="15634" max="15635"/>
    <col width="10.85546875" bestFit="1" customWidth="1" style="249" min="15636" max="15636"/>
    <col width="9.140625" customWidth="1" style="249" min="15637" max="15877"/>
    <col width="2" customWidth="1" style="249" min="15878" max="15879"/>
    <col width="31.28515625" customWidth="1" style="249" min="15880" max="15880"/>
    <col width="13" customWidth="1" style="249" min="15881" max="15881"/>
    <col width="11.28515625" customWidth="1" style="249" min="15882" max="15884"/>
    <col width="13.7109375" bestFit="1" customWidth="1" style="249" min="15885" max="15885"/>
    <col width="11.28515625" customWidth="1" style="249" min="15886" max="15889"/>
    <col width="9.140625" customWidth="1" style="249" min="15890" max="15891"/>
    <col width="10.85546875" bestFit="1" customWidth="1" style="249" min="15892" max="15892"/>
    <col width="9.140625" customWidth="1" style="249" min="15893" max="16133"/>
    <col width="2" customWidth="1" style="249" min="16134" max="16135"/>
    <col width="31.28515625" customWidth="1" style="249" min="16136" max="16136"/>
    <col width="13" customWidth="1" style="249" min="16137" max="16137"/>
    <col width="11.28515625" customWidth="1" style="249" min="16138" max="16140"/>
    <col width="13.7109375" bestFit="1" customWidth="1" style="249" min="16141" max="16141"/>
    <col width="11.28515625" customWidth="1" style="249" min="16142" max="16145"/>
    <col width="9.140625" customWidth="1" style="249" min="16146" max="16147"/>
    <col width="10.85546875" bestFit="1" customWidth="1" style="249" min="16148" max="16148"/>
    <col width="9.140625" customWidth="1" style="249" min="16149" max="16384"/>
  </cols>
  <sheetData>
    <row r="1" outlineLevel="1" ht="6.75" customFormat="1" customHeight="1" s="58"/>
    <row r="2" outlineLevel="1" ht="6.75" customFormat="1" customHeight="1" s="58"/>
    <row r="3" outlineLevel="1">
      <c r="C3" s="249" t="str">
        <f>"Discounted Cash Flow Model for "&amp;ticker</f>
        <v>Discounted Cash Flow Model for </v>
      </c>
    </row>
    <row r="4" outlineLevel="1" ht="13.5" customHeight="1" thickBot="1">
      <c r="C4" s="60" t="inlineStr">
        <is>
          <t>All figures in millions, except per share data</t>
        </is>
      </c>
      <c r="D4" s="60" t="n"/>
      <c r="E4" s="60" t="n"/>
      <c r="F4" s="60" t="n"/>
      <c r="G4" s="60" t="n"/>
      <c r="H4" s="60" t="n"/>
      <c r="I4" s="60" t="n"/>
      <c r="J4" s="60" t="n"/>
      <c r="K4" s="60" t="n"/>
      <c r="L4" s="60" t="n"/>
      <c r="M4" s="60" t="n"/>
      <c r="N4" s="60" t="n"/>
      <c r="O4" s="60" t="n"/>
      <c r="P4" s="60" t="n"/>
      <c r="Q4" s="60" t="n"/>
      <c r="R4" s="60" t="n"/>
      <c r="S4" s="60" t="n"/>
      <c r="T4" s="60" t="n"/>
      <c r="U4" s="60" t="n"/>
      <c r="V4" s="60" t="n"/>
    </row>
    <row r="5" outlineLevel="1"/>
    <row r="6" outlineLevel="1"/>
    <row r="7" outlineLevel="1">
      <c r="C7" s="249" t="inlineStr">
        <is>
          <t>Ticker</t>
        </is>
      </c>
      <c r="D7" s="61" t="n"/>
      <c r="F7" s="249" t="inlineStr">
        <is>
          <t>Last close</t>
        </is>
      </c>
      <c r="G7" s="62" t="n"/>
    </row>
    <row r="8" outlineLevel="1">
      <c r="C8" s="249" t="inlineStr">
        <is>
          <t>Operating scenario:</t>
        </is>
      </c>
      <c r="D8" s="63" t="str">
        <f>IF(scenario=2,"Base Case",IF(scenario=1,"Bull Case","Bear Case"))</f>
        <v>Base Case</v>
      </c>
      <c r="E8" s="261" t="n">
        <v>2</v>
      </c>
      <c r="F8" t="inlineStr">
        <is>
          <t>1 = Bull, 2 = Base, 3 = Bear</t>
        </is>
      </c>
    </row>
    <row r="9" outlineLevel="1">
      <c r="C9" s="249" t="inlineStr">
        <is>
          <t>Last fiscal year end date:</t>
        </is>
      </c>
      <c r="D9" s="64" t="n">
        <v>46022</v>
      </c>
    </row>
    <row r="10" outlineLevel="1">
      <c r="C10" s="249" t="inlineStr">
        <is>
          <t>Valuation / deal date:</t>
        </is>
      </c>
      <c r="D10" s="64" t="n">
        <v>46292</v>
      </c>
    </row>
    <row r="11" outlineLevel="1">
      <c r="C11" s="249" t="inlineStr">
        <is>
          <t>Stub year fraction:</t>
        </is>
      </c>
      <c r="D11" s="65">
        <f>1-(D10-D9)/365</f>
        <v>0.26027397260274</v>
      </c>
      <c r="E11" s="66" t="n"/>
      <c r="I11" s="67" t="n"/>
      <c r="O11" s="68" t="n"/>
      <c r="Z11" s="69" t="n"/>
    </row>
    <row r="12" outlineLevel="1">
      <c r="C12" s="249" t="inlineStr">
        <is>
          <t>Weighted average cost of capital:</t>
        </is>
      </c>
      <c r="D12" s="65" t="e">
        <f>J93</f>
        <v>#DIV/0!</v>
      </c>
      <c r="I12" s="67" t="n"/>
    </row>
    <row r="13" outlineLevel="1">
      <c r="D13" s="65" t="n"/>
      <c r="E13" s="65" t="n"/>
    </row>
    <row r="14">
      <c r="C14" s="70" t="inlineStr">
        <is>
          <t>Historicals</t>
        </is>
      </c>
      <c r="D14" s="70" t="n"/>
      <c r="E14" s="70" t="n"/>
      <c r="F14" s="70" t="n"/>
      <c r="G14" s="248" t="inlineStr">
        <is>
          <t>Projected Annual Forecast</t>
        </is>
      </c>
    </row>
    <row r="15">
      <c r="C15" s="71" t="n"/>
      <c r="D15" s="71" t="n"/>
      <c r="E15" s="71" t="n"/>
      <c r="F15" s="71" t="n"/>
      <c r="G15" s="72" t="inlineStr">
        <is>
          <t>Granular</t>
        </is>
      </c>
      <c r="H15" s="73" t="n"/>
      <c r="I15" s="73" t="n"/>
      <c r="J15" s="73" t="n"/>
      <c r="K15" s="73" t="n"/>
      <c r="L15" s="73" t="n"/>
      <c r="M15" s="74" t="inlineStr">
        <is>
          <t>Synthetic</t>
        </is>
      </c>
      <c r="N15" s="75" t="n"/>
      <c r="O15" s="75" t="n"/>
      <c r="P15" s="75" t="n"/>
      <c r="Q15" s="75" t="n"/>
      <c r="R15" s="75" t="n"/>
      <c r="S15" s="252" t="inlineStr">
        <is>
          <t>Fora do horizonte do Model (projecao vai ate 2037)</t>
        </is>
      </c>
      <c r="T15" s="75" t="n"/>
      <c r="U15" s="75" t="n"/>
      <c r="V15" s="75" t="n"/>
      <c r="X15" s="76" t="inlineStr">
        <is>
          <t>CAGR</t>
        </is>
      </c>
      <c r="Y15" s="77" t="n"/>
      <c r="Z15" s="77" t="n"/>
    </row>
    <row r="16">
      <c r="D16" s="78">
        <f>YEAR(D17)</f>
        <v>2023</v>
      </c>
      <c r="E16" s="78">
        <f>YEAR(E17)</f>
        <v>2024</v>
      </c>
      <c r="F16" s="78">
        <f>YEAR(F17)</f>
        <v>2025</v>
      </c>
      <c r="G16" s="78">
        <f>YEAR(G17)</f>
        <v>2026</v>
      </c>
      <c r="H16" s="78">
        <f>YEAR(H17)</f>
        <v>2027</v>
      </c>
      <c r="I16" s="78">
        <f>YEAR(I17)</f>
        <v>2028</v>
      </c>
      <c r="J16" s="78">
        <f>YEAR(J17)</f>
        <v>2029</v>
      </c>
      <c r="K16" s="78">
        <f>YEAR(K17)</f>
        <v>2030</v>
      </c>
      <c r="L16" s="78">
        <f>YEAR(L17)</f>
        <v>2031</v>
      </c>
      <c r="M16" s="78">
        <f>YEAR(M17)</f>
        <v>2032</v>
      </c>
      <c r="N16" s="78">
        <f>YEAR(N17)</f>
        <v>2033</v>
      </c>
      <c r="O16" s="78">
        <f>YEAR(O17)</f>
        <v>2034</v>
      </c>
      <c r="P16" s="78">
        <f>YEAR(P17)</f>
        <v>2035</v>
      </c>
      <c r="Q16" s="78">
        <f>YEAR(Q17)</f>
        <v>2036</v>
      </c>
      <c r="R16" s="78">
        <f>YEAR(R17)</f>
        <v>2037</v>
      </c>
      <c r="S16" s="253">
        <f>YEAR(S17)</f>
        <v>2038</v>
      </c>
      <c r="T16" s="253">
        <f>YEAR(T17)</f>
        <v>2039</v>
      </c>
      <c r="U16" s="253">
        <f>YEAR(U17)</f>
        <v>2040</v>
      </c>
      <c r="V16" s="253">
        <f>YEAR(V17)</f>
        <v>2041</v>
      </c>
      <c r="W16" s="78" t="n"/>
      <c r="X16" s="77" t="str">
        <f>F16&amp;"-"&amp;L16</f>
        <v>2025-2031</v>
      </c>
      <c r="Y16" s="77" t="str">
        <f>L16&amp;"-"&amp;R16</f>
        <v>2031-2037</v>
      </c>
      <c r="Z16" s="77" t="n"/>
    </row>
    <row r="17" outlineLevel="1">
      <c r="C17" s="79" t="n"/>
      <c r="D17" s="80">
        <f>DATE(YEAR(E17)-1,MONTH(E17),DAY(E17))</f>
        <v>45291.0</v>
      </c>
      <c r="E17" s="80">
        <f>DATE(YEAR(F17)-1,MONTH(F17),DAY(F17))</f>
        <v>45657.0</v>
      </c>
      <c r="F17" s="80">
        <f>DATE(YEAR(G17)-1,MONTH(G17),DAY(G17))</f>
        <v>46022.0</v>
      </c>
      <c r="G17" s="80">
        <f>DATE(YEAR(D9)+1,MONTH(D9),DAY(D9))</f>
        <v>46387.0</v>
      </c>
      <c r="H17" s="80">
        <f>DATE(YEAR(G17)+1,MONTH(G17),DAY(G17))</f>
        <v>46752.0</v>
      </c>
      <c r="I17" s="80">
        <f>DATE(YEAR(H17)+1,MONTH(H17),DAY(H17))</f>
        <v>47118.0</v>
      </c>
      <c r="J17" s="80">
        <f>DATE(YEAR(I17)+1,MONTH(I17),DAY(I17))</f>
        <v>47483.0</v>
      </c>
      <c r="K17" s="80">
        <f>DATE(YEAR(J17)+1,MONTH(J17),DAY(J17))</f>
        <v>47848.0</v>
      </c>
      <c r="L17" s="80">
        <f>DATE(YEAR(K17)+1,MONTH(K17),DAY(K17))</f>
        <v>48213.0</v>
      </c>
      <c r="M17" s="80">
        <f>DATE(YEAR(L17)+1,MONTH(L17),DAY(L17))</f>
        <v>48579.0</v>
      </c>
      <c r="N17" s="80">
        <f>DATE(YEAR(M17)+1,MONTH(M17),DAY(M17))</f>
        <v>48944.0</v>
      </c>
      <c r="O17" s="80">
        <f>DATE(YEAR(N17)+1,MONTH(N17),DAY(N17))</f>
        <v>49309.0</v>
      </c>
      <c r="P17" s="80">
        <f>DATE(YEAR(O17)+1,MONTH(O17),DAY(O17))</f>
        <v>49674.0</v>
      </c>
      <c r="Q17" s="80">
        <f>DATE(YEAR(P17)+1,MONTH(P17),DAY(P17))</f>
        <v>50040.0</v>
      </c>
      <c r="R17" s="80">
        <f>DATE(YEAR(Q17)+1,MONTH(Q17),DAY(Q17))</f>
        <v>50405.0</v>
      </c>
      <c r="S17" s="80">
        <f>DATE(YEAR(R17)+1,MONTH(R17),DAY(R17))</f>
        <v>50770.0</v>
      </c>
      <c r="T17" s="80">
        <f>DATE(YEAR(S17)+1,MONTH(S17),DAY(S17))</f>
        <v>51135.0</v>
      </c>
      <c r="U17" s="80">
        <f>DATE(YEAR(T17)+1,MONTH(T17),DAY(T17))</f>
        <v>51501.0</v>
      </c>
      <c r="V17" s="80">
        <f>DATE(YEAR(U17)+1,MONTH(U17),DAY(U17))</f>
        <v>51866.0</v>
      </c>
      <c r="W17" s="81" t="n"/>
      <c r="X17" s="77" t="n"/>
      <c r="Y17" s="77" t="n"/>
      <c r="Z17" s="77" t="n"/>
    </row>
    <row r="18">
      <c r="C18" s="82" t="inlineStr">
        <is>
          <t>Net Revenues</t>
        </is>
      </c>
      <c r="D18" s="83">
        <f>Model!W15</f>
        <v>60922</v>
      </c>
      <c r="E18" s="83">
        <f>Model!AB15</f>
        <v>130497</v>
      </c>
      <c r="F18" s="83">
        <f>Model!AG15</f>
        <v>215938</v>
      </c>
      <c r="G18" s="83">
        <f>Model!AL15</f>
        <v>302969</v>
      </c>
      <c r="H18" s="83">
        <f>Model!AQ15</f>
        <v>302969</v>
      </c>
      <c r="I18" s="83">
        <f>Model!AV15</f>
        <v>302969</v>
      </c>
      <c r="J18" s="83">
        <f>Model!BA15</f>
        <v>302969</v>
      </c>
      <c r="K18" s="83">
        <f>Model!BF15</f>
        <v>302969</v>
      </c>
      <c r="L18" s="83">
        <f>Model!BK15</f>
        <v>302969</v>
      </c>
      <c r="M18" s="83">
        <f>Model!BP15</f>
        <v>302969</v>
      </c>
      <c r="N18" s="83">
        <f>Model!BU15</f>
        <v>302969</v>
      </c>
      <c r="O18" s="83">
        <f>Model!BZ15</f>
        <v>302969</v>
      </c>
      <c r="P18" s="83">
        <f>Model!CE15</f>
        <v>302969</v>
      </c>
      <c r="Q18" s="83">
        <f>Model!CJ15</f>
        <v>302969</v>
      </c>
      <c r="R18" s="83">
        <f>Model!CO15</f>
        <v>302969</v>
      </c>
      <c r="S18" s="83" t="n"/>
      <c r="T18" s="83" t="n"/>
      <c r="U18" s="83" t="n"/>
      <c r="V18" s="84" t="n"/>
      <c r="X18" s="85">
        <f>((L18/F18)^(1/6))-1</f>
        <v>0.0580629810849389</v>
      </c>
      <c r="Y18" s="85">
        <f>((R18/L18)^(1/6))-1</f>
        <v>0</v>
      </c>
      <c r="Z18" s="77" t="n"/>
    </row>
    <row r="19">
      <c r="C19" s="86" t="n"/>
      <c r="D19" s="79" t="n"/>
      <c r="E19" s="87">
        <f>E18/D18-1</f>
        <v>1.14203407635994</v>
      </c>
      <c r="F19" s="87">
        <f>F18/E18-1</f>
        <v>0.654735357900948</v>
      </c>
      <c r="G19" s="87">
        <f>G18/F18-1</f>
        <v>0.403036982837666</v>
      </c>
      <c r="H19" s="87">
        <f>H18/G18-1</f>
        <v>0</v>
      </c>
      <c r="I19" s="87">
        <f>I18/H18-1</f>
        <v>0</v>
      </c>
      <c r="J19" s="87">
        <f>J18/I18-1</f>
        <v>0</v>
      </c>
      <c r="K19" s="87">
        <f>K18/J18-1</f>
        <v>0</v>
      </c>
      <c r="L19" s="87">
        <f>L18/K18-1</f>
        <v>0</v>
      </c>
      <c r="M19" s="87">
        <f>M18/L18-1</f>
        <v>0</v>
      </c>
      <c r="N19" s="87">
        <f>N18/M18-1</f>
        <v>0</v>
      </c>
      <c r="O19" s="87">
        <f>O18/N18-1</f>
        <v>0</v>
      </c>
      <c r="P19" s="87">
        <f>P18/O18-1</f>
        <v>0</v>
      </c>
      <c r="Q19" s="87">
        <f>Q18/P18-1</f>
        <v>0</v>
      </c>
      <c r="R19" s="87">
        <f>R18/Q18-1</f>
        <v>0</v>
      </c>
      <c r="S19" s="87" t="n"/>
      <c r="T19" s="87" t="n"/>
      <c r="U19" s="87" t="n"/>
      <c r="V19" s="88" t="n"/>
      <c r="X19" s="77" t="n"/>
      <c r="Y19" s="77" t="n"/>
      <c r="Z19" s="77" t="n"/>
    </row>
    <row r="20" outlineLevel="1">
      <c r="C20" s="89" t="inlineStr">
        <is>
          <t>EBITDA</t>
        </is>
      </c>
      <c r="D20" s="83">
        <f>Model!W68</f>
        <v>34479</v>
      </c>
      <c r="E20" s="83">
        <f>Model!AB68</f>
        <v>83318</v>
      </c>
      <c r="F20" s="83">
        <f>Model!AG68</f>
        <v>133230</v>
      </c>
      <c r="G20" s="83">
        <f>Model!AL68</f>
        <v>119394</v>
      </c>
      <c r="H20" s="83">
        <f>Model!AQ68</f>
        <v>0</v>
      </c>
      <c r="I20" s="83">
        <f>Model!BA68</f>
        <v>0</v>
      </c>
      <c r="J20" s="83">
        <f>Model!BA68</f>
        <v>0</v>
      </c>
      <c r="K20" s="83">
        <f>Model!BF68</f>
        <v>0</v>
      </c>
      <c r="L20" s="83">
        <f>Model!BK68</f>
        <v>0</v>
      </c>
      <c r="M20" s="90" t="n"/>
      <c r="N20" s="90" t="n"/>
      <c r="O20" s="90" t="n"/>
      <c r="P20" s="90" t="n"/>
      <c r="Q20" s="90" t="n"/>
      <c r="R20" s="90" t="n"/>
      <c r="S20" s="90" t="n"/>
      <c r="T20" s="90" t="n"/>
      <c r="U20" s="90" t="n"/>
      <c r="V20" s="91" t="n"/>
      <c r="X20" s="77" t="n"/>
      <c r="Y20" s="77" t="n"/>
      <c r="Z20" s="77" t="n"/>
    </row>
    <row r="21" outlineLevel="1">
      <c r="C21" s="86" t="n"/>
      <c r="D21" s="92">
        <f>D20/D18</f>
        <v>0.565953186041167</v>
      </c>
      <c r="E21" s="92">
        <f>E20/E18</f>
        <v>0.638466784677042</v>
      </c>
      <c r="F21" s="92">
        <f>F20/F18</f>
        <v>0.616982652428012</v>
      </c>
      <c r="G21" s="92">
        <f>G20/G18</f>
        <v>0.394079922368295</v>
      </c>
      <c r="H21" s="92">
        <f>H20/H18</f>
        <v>0</v>
      </c>
      <c r="I21" s="92">
        <f>I20/I18</f>
        <v>0</v>
      </c>
      <c r="J21" s="92">
        <f>J20/J18</f>
        <v>0</v>
      </c>
      <c r="K21" s="92">
        <f>K20/K18</f>
        <v>0</v>
      </c>
      <c r="L21" s="92">
        <f>L20/L18</f>
        <v>0</v>
      </c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93" t="n"/>
      <c r="X21" s="85" t="n"/>
      <c r="Y21" s="85" t="n"/>
      <c r="Z21" s="77" t="n"/>
    </row>
    <row r="22" outlineLevel="1">
      <c r="C22" s="82" t="inlineStr">
        <is>
          <t>EBIT</t>
        </is>
      </c>
      <c r="D22" s="83">
        <f>Model!W72</f>
        <v>32971</v>
      </c>
      <c r="E22" s="83">
        <f>Model!AB72</f>
        <v>81454</v>
      </c>
      <c r="F22" s="83">
        <f>Model!AG72</f>
        <v>130387</v>
      </c>
      <c r="G22" s="83">
        <f>Model!AL72</f>
        <v>117270</v>
      </c>
      <c r="H22" s="83">
        <f>Model!AQ72</f>
        <v>0</v>
      </c>
      <c r="I22" s="83">
        <f>Model!AV72</f>
        <v>0</v>
      </c>
      <c r="J22" s="83">
        <f>Model!BA72</f>
        <v>0</v>
      </c>
      <c r="K22" s="83">
        <f>Model!BF72</f>
        <v>0</v>
      </c>
      <c r="L22" s="83">
        <f>Model!BK72</f>
        <v>0</v>
      </c>
      <c r="M22" s="83">
        <f>Model!BP72</f>
        <v>0</v>
      </c>
      <c r="N22" s="83">
        <f>Model!BU72</f>
        <v>0</v>
      </c>
      <c r="O22" s="83">
        <f>Model!BZ72</f>
        <v>0</v>
      </c>
      <c r="P22" s="83">
        <f>Model!CE72</f>
        <v>0</v>
      </c>
      <c r="Q22" s="83">
        <f>Model!CJ72</f>
        <v>0</v>
      </c>
      <c r="R22" s="83">
        <f>Model!CO72</f>
        <v>0</v>
      </c>
      <c r="S22" s="83" t="n"/>
      <c r="T22" s="83" t="n"/>
      <c r="U22" s="83" t="n"/>
      <c r="V22" s="84" t="n"/>
      <c r="X22" s="85">
        <f>((L22/F22)^(1/6))-1</f>
        <v>-1</v>
      </c>
      <c r="Y22" s="85" t="e">
        <f>((R22/L22)^(1/6))-1</f>
        <v>#DIV/0!</v>
      </c>
      <c r="Z22" s="77" t="n"/>
    </row>
    <row r="23" outlineLevel="1">
      <c r="C23" s="86" t="n"/>
      <c r="D23" s="92">
        <f>D22/D18</f>
        <v>0.541200223236269</v>
      </c>
      <c r="E23" s="92">
        <f>E22/E18</f>
        <v>0.624182931408385</v>
      </c>
      <c r="F23" s="92">
        <f>F22/F18</f>
        <v>0.603816836314127</v>
      </c>
      <c r="G23" s="92">
        <f>G22/G18</f>
        <v>0.387069304120224</v>
      </c>
      <c r="H23" s="92">
        <f>H22/H18</f>
        <v>0</v>
      </c>
      <c r="I23" s="92">
        <f>I22/I18</f>
        <v>0</v>
      </c>
      <c r="J23" s="92">
        <f>J22/J18</f>
        <v>0</v>
      </c>
      <c r="K23" s="92">
        <f>K22/K18</f>
        <v>0</v>
      </c>
      <c r="L23" s="92">
        <f>L22/L18</f>
        <v>0</v>
      </c>
      <c r="M23" s="92">
        <f>M22/M18</f>
        <v>0</v>
      </c>
      <c r="N23" s="92">
        <f>N22/N18</f>
        <v>0</v>
      </c>
      <c r="O23" s="92">
        <f>O22/O18</f>
        <v>0</v>
      </c>
      <c r="P23" s="92">
        <f>P22/P18</f>
        <v>0</v>
      </c>
      <c r="Q23" s="92">
        <f>Q22/Q18</f>
        <v>0</v>
      </c>
      <c r="R23" s="92">
        <f>R22/R18</f>
        <v>0</v>
      </c>
      <c r="S23" s="92" t="n"/>
      <c r="T23" s="92" t="n"/>
      <c r="U23" s="92" t="n"/>
      <c r="V23" s="94" t="n"/>
      <c r="X23" s="77" t="n"/>
      <c r="Y23" s="77" t="n"/>
      <c r="Z23" s="77" t="n"/>
    </row>
    <row r="24">
      <c r="C24" s="82" t="inlineStr">
        <is>
          <t>Tax rate</t>
        </is>
      </c>
      <c r="D24" s="95">
        <f>Model!W131</f>
        <v>0.12002483884322</v>
      </c>
      <c r="E24" s="95">
        <f>Model!AB131</f>
        <v>0.132649418037274</v>
      </c>
      <c r="F24" s="95">
        <f>Model!AG131</f>
        <v>0.151170024743726</v>
      </c>
      <c r="G24" s="95">
        <f>Model!AL131</f>
        <v>0.141072709625691</v>
      </c>
      <c r="H24" s="95">
        <f>Model!AQ131</f>
        <v>0</v>
      </c>
      <c r="I24" s="95">
        <f>Model!AV131</f>
        <v>0</v>
      </c>
      <c r="J24" s="95">
        <f>Model!BA131</f>
        <v>0</v>
      </c>
      <c r="K24" s="95">
        <f>Model!BF131</f>
        <v>0</v>
      </c>
      <c r="L24" s="95">
        <f>Model!BK131</f>
        <v>0</v>
      </c>
      <c r="M24" s="95">
        <f>Model!BP131</f>
        <v>0</v>
      </c>
      <c r="N24" s="95">
        <f>Model!BU131</f>
        <v>0</v>
      </c>
      <c r="O24" s="95">
        <f>Model!BZ131</f>
        <v>0</v>
      </c>
      <c r="P24" s="95">
        <f>Model!CE131</f>
        <v>0</v>
      </c>
      <c r="Q24" s="95">
        <f>Model!CJ131</f>
        <v>0</v>
      </c>
      <c r="R24" s="95">
        <f>Model!CO131</f>
        <v>0</v>
      </c>
      <c r="S24" s="95" t="n"/>
      <c r="T24" s="95" t="n"/>
      <c r="U24" s="95" t="n"/>
      <c r="V24" s="96" t="n"/>
      <c r="X24" s="77" t="n"/>
      <c r="Y24" s="77" t="n"/>
      <c r="Z24" s="77" t="n"/>
    </row>
    <row r="25">
      <c r="C25" s="86" t="inlineStr">
        <is>
          <t>NOPLAT</t>
        </is>
      </c>
      <c r="D25" s="97">
        <f>D22*(1-D24)</f>
        <v>29013.6610385002</v>
      </c>
      <c r="E25" s="97">
        <f>E22*(1-E24)</f>
        <v>70649.1743031919</v>
      </c>
      <c r="F25" s="97">
        <f>F22*(1-F24)</f>
        <v>110676.39398374</v>
      </c>
      <c r="G25" s="97">
        <f>G22*(1-G24)</f>
        <v>100726.403342195</v>
      </c>
      <c r="H25" s="97">
        <f>H22*(1-H24)</f>
        <v>0</v>
      </c>
      <c r="I25" s="97">
        <f>I22*(1-I24)</f>
        <v>0</v>
      </c>
      <c r="J25" s="97">
        <f>J22*(1-J24)</f>
        <v>0</v>
      </c>
      <c r="K25" s="97">
        <f>K22*(1-K24)</f>
        <v>0</v>
      </c>
      <c r="L25" s="97">
        <f>L22*(1-L24)</f>
        <v>0</v>
      </c>
      <c r="M25" s="97">
        <f>M22*(1-M24)</f>
        <v>0</v>
      </c>
      <c r="N25" s="97">
        <f>N22*(1-N24)</f>
        <v>0</v>
      </c>
      <c r="O25" s="97">
        <f>O22*(1-O24)</f>
        <v>0</v>
      </c>
      <c r="P25" s="97">
        <f>P22*(1-P24)</f>
        <v>0</v>
      </c>
      <c r="Q25" s="97">
        <f>Q22*(1-Q24)</f>
        <v>0</v>
      </c>
      <c r="R25" s="97">
        <f>R22*(1-R24)</f>
        <v>0</v>
      </c>
      <c r="S25" s="97" t="n"/>
      <c r="T25" s="97" t="n"/>
      <c r="U25" s="97" t="n"/>
      <c r="V25" s="98" t="n"/>
      <c r="X25" s="85" t="n"/>
      <c r="Y25" s="85" t="n"/>
      <c r="Z25" s="77" t="n"/>
    </row>
    <row r="26">
      <c r="C26" s="99" t="inlineStr">
        <is>
          <t>Depreciation &amp; Amortization</t>
        </is>
      </c>
      <c r="D26" s="100">
        <f>Model!W69</f>
        <v>-1508</v>
      </c>
      <c r="E26" s="100">
        <f>Model!AB69</f>
        <v>-1864</v>
      </c>
      <c r="F26" s="100">
        <f>Model!AG69</f>
        <v>-2843</v>
      </c>
      <c r="G26" s="100">
        <f>Model!AL69</f>
        <v>-2124</v>
      </c>
      <c r="H26" s="100">
        <f>Model!AQ69</f>
        <v>0</v>
      </c>
      <c r="I26" s="100">
        <f>Model!AV69</f>
        <v>0</v>
      </c>
      <c r="J26" s="100">
        <f>Model!BA69</f>
        <v>0</v>
      </c>
      <c r="K26" s="100">
        <f>Model!BF69</f>
        <v>0</v>
      </c>
      <c r="L26" s="101">
        <f>Model!BK69</f>
        <v>0</v>
      </c>
      <c r="X26" s="77" t="n"/>
      <c r="Y26" s="77" t="n"/>
      <c r="Z26" s="77" t="n"/>
    </row>
    <row r="27">
      <c r="C27" s="102" t="inlineStr">
        <is>
          <t>Cash from working capital</t>
        </is>
      </c>
      <c r="D27" s="103">
        <f>SUM(D28:D39)</f>
        <v>-7253</v>
      </c>
      <c r="E27" s="103">
        <f>SUM(E28:E39)</f>
        <v>-15008</v>
      </c>
      <c r="F27" s="103">
        <f>SUM(F28:F39)</f>
        <v>-49247</v>
      </c>
      <c r="G27" s="103">
        <f>SUM(G28:G39)</f>
        <v>-33061</v>
      </c>
      <c r="H27" s="103" t="e">
        <f>SUM(H28:H39)</f>
        <v>#DIV/0!</v>
      </c>
      <c r="I27" s="103" t="e">
        <f>SUM(I28:I39)</f>
        <v>#DIV/0!</v>
      </c>
      <c r="J27" s="103" t="e">
        <f>SUM(J28:J39)</f>
        <v>#DIV/0!</v>
      </c>
      <c r="K27" s="103" t="e">
        <f>SUM(K28:K39)</f>
        <v>#DIV/0!</v>
      </c>
      <c r="L27" s="104" t="e">
        <f>SUM(L28:L39)</f>
        <v>#DIV/0!</v>
      </c>
      <c r="X27" s="77" t="n"/>
      <c r="Y27" s="77" t="n"/>
      <c r="Z27" s="77" t="n"/>
    </row>
    <row r="28" outlineLevel="1">
      <c r="C28" s="105" t="inlineStr">
        <is>
          <t>Accounts receivable</t>
        </is>
      </c>
      <c r="D28" s="106">
        <f>Model!W279</f>
        <v>-6172</v>
      </c>
      <c r="E28" s="106">
        <f>Model!AB279</f>
        <v>-13066</v>
      </c>
      <c r="F28" s="106">
        <f>Model!AG279</f>
        <v>-15401</v>
      </c>
      <c r="G28" s="106">
        <f>Model!AL279</f>
        <v>38466</v>
      </c>
      <c r="H28" s="106">
        <f>Model!AQ279</f>
        <v>0</v>
      </c>
      <c r="I28" s="106">
        <f>Model!AV279</f>
        <v>0</v>
      </c>
      <c r="J28" s="106">
        <f>Model!BA279</f>
        <v>0</v>
      </c>
      <c r="K28" s="106">
        <f>Model!BF279</f>
        <v>0</v>
      </c>
      <c r="L28" s="107">
        <f>Model!BK279</f>
        <v>0</v>
      </c>
      <c r="X28" s="77" t="n"/>
      <c r="Y28" s="77" t="n"/>
      <c r="Z28" s="77" t="n"/>
    </row>
    <row r="29" outlineLevel="1">
      <c r="C29" s="105" t="inlineStr">
        <is>
          <t>Inventories</t>
        </is>
      </c>
      <c r="D29" s="106">
        <f>Model!W280</f>
        <v>-123</v>
      </c>
      <c r="E29" s="106">
        <f>Model!AB280</f>
        <v>-4798</v>
      </c>
      <c r="F29" s="106">
        <f>Model!AG280</f>
        <v>-11323</v>
      </c>
      <c r="G29" s="106">
        <f>Model!AL280</f>
        <v>21403</v>
      </c>
      <c r="H29" s="106">
        <f>Model!AQ280</f>
        <v>0</v>
      </c>
      <c r="I29" s="106">
        <f>Model!AV280</f>
        <v>0</v>
      </c>
      <c r="J29" s="106">
        <f>Model!BA280</f>
        <v>0</v>
      </c>
      <c r="K29" s="106">
        <f>Model!BF280</f>
        <v>0</v>
      </c>
      <c r="L29" s="107">
        <f>Model!BK280</f>
        <v>0</v>
      </c>
      <c r="X29" s="77" t="n"/>
      <c r="Y29" s="77" t="n"/>
      <c r="Z29" s="77" t="n"/>
    </row>
    <row r="30" outlineLevel="1">
      <c r="C30" s="105" t="inlineStr">
        <is>
          <t>Deferred income taxes (assets)</t>
        </is>
      </c>
      <c r="D30" s="106">
        <f>Model!W281</f>
        <v>-2685</v>
      </c>
      <c r="E30" s="106">
        <f>Model!AB281</f>
        <v>-4898</v>
      </c>
      <c r="F30" s="106">
        <f>Model!AG281</f>
        <v>-2279</v>
      </c>
      <c r="G30" s="106">
        <f>Model!AL281</f>
        <v>1099</v>
      </c>
      <c r="H30" s="106">
        <f>Model!AQ281</f>
        <v>0</v>
      </c>
      <c r="I30" s="106">
        <f>Model!AV281</f>
        <v>0</v>
      </c>
      <c r="J30" s="106">
        <f>Model!BA281</f>
        <v>0</v>
      </c>
      <c r="K30" s="106">
        <f>Model!BF281</f>
        <v>0</v>
      </c>
      <c r="L30" s="107">
        <f>Model!BK281</f>
        <v>0</v>
      </c>
      <c r="X30" s="77" t="n"/>
      <c r="Y30" s="77" t="n"/>
      <c r="Z30" s="77" t="n"/>
    </row>
    <row r="31" outlineLevel="1">
      <c r="C31" s="105" t="inlineStr">
        <is>
          <t>Prepaid expenses</t>
        </is>
      </c>
      <c r="D31" s="106">
        <f>Model!W282</f>
        <v>0</v>
      </c>
      <c r="E31" s="106">
        <f>Model!AB282</f>
        <v>0</v>
      </c>
      <c r="F31" s="106">
        <f>Model!AG282</f>
        <v>0</v>
      </c>
      <c r="G31" s="106">
        <f>Model!AL282</f>
        <v>0</v>
      </c>
      <c r="H31" s="106">
        <f>Model!AQ282</f>
        <v>0</v>
      </c>
      <c r="I31" s="106">
        <f>Model!AV282</f>
        <v>0</v>
      </c>
      <c r="J31" s="106">
        <f>Model!BA282</f>
        <v>0</v>
      </c>
      <c r="K31" s="106">
        <f>Model!BF282</f>
        <v>0</v>
      </c>
      <c r="L31" s="107">
        <f>Model!BK282</f>
        <v>0</v>
      </c>
      <c r="X31" s="77" t="n"/>
      <c r="Y31" s="77" t="n"/>
      <c r="Z31" s="77" t="n"/>
    </row>
    <row r="32" outlineLevel="1">
      <c r="C32" s="105" t="inlineStr">
        <is>
          <t>Other current assets</t>
        </is>
      </c>
      <c r="D32" s="106">
        <f>Model!W283</f>
        <v>-2289</v>
      </c>
      <c r="E32" s="106">
        <f>Model!AB283</f>
        <v>-691</v>
      </c>
      <c r="F32" s="106">
        <f>Model!AG283</f>
        <v>-12295</v>
      </c>
      <c r="G32" s="106">
        <f>Model!AL283</f>
        <v>-30126</v>
      </c>
      <c r="H32" s="106">
        <f>Model!AQ283</f>
        <v>0</v>
      </c>
      <c r="I32" s="106">
        <f>Model!AV283</f>
        <v>0</v>
      </c>
      <c r="J32" s="106">
        <f>Model!BA283</f>
        <v>0</v>
      </c>
      <c r="K32" s="106">
        <f>Model!BF283</f>
        <v>0</v>
      </c>
      <c r="L32" s="107">
        <f>Model!BK283</f>
        <v>0</v>
      </c>
      <c r="X32" s="77" t="n"/>
      <c r="Y32" s="77" t="n"/>
      <c r="Z32" s="77" t="n"/>
    </row>
    <row r="33" outlineLevel="1">
      <c r="C33" s="105" t="inlineStr">
        <is>
          <t>Accounts payable</t>
        </is>
      </c>
      <c r="D33" s="106">
        <f>Model!W284</f>
        <v>1506</v>
      </c>
      <c r="E33" s="106">
        <f>Model!AB284</f>
        <v>3611</v>
      </c>
      <c r="F33" s="106">
        <f>Model!AG284</f>
        <v>3502</v>
      </c>
      <c r="G33" s="106">
        <f>Model!AL284</f>
        <v>-9812</v>
      </c>
      <c r="H33" s="106">
        <f>Model!AQ284</f>
        <v>0</v>
      </c>
      <c r="I33" s="106">
        <f>Model!AV284</f>
        <v>0</v>
      </c>
      <c r="J33" s="106">
        <f>Model!BA284</f>
        <v>0</v>
      </c>
      <c r="K33" s="106">
        <f>Model!BF284</f>
        <v>0</v>
      </c>
      <c r="L33" s="107">
        <f>Model!BK284</f>
        <v>0</v>
      </c>
      <c r="X33" s="77" t="n"/>
      <c r="Y33" s="77" t="n"/>
      <c r="Z33" s="77" t="n"/>
    </row>
    <row r="34" outlineLevel="1">
      <c r="C34" s="105" t="inlineStr">
        <is>
          <t>Accrued expenses</t>
        </is>
      </c>
      <c r="D34" s="106">
        <f>Model!W285</f>
        <v>2562</v>
      </c>
      <c r="E34" s="106">
        <f>Model!AB285</f>
        <v>5055</v>
      </c>
      <c r="F34" s="106">
        <f>Model!AG285</f>
        <v>9615</v>
      </c>
      <c r="G34" s="106">
        <f>Model!AL285</f>
        <v>-21352</v>
      </c>
      <c r="H34" s="106" t="e">
        <f>Model!AQ285</f>
        <v>#DIV/0!</v>
      </c>
      <c r="I34" s="106" t="e">
        <f>Model!AV285</f>
        <v>#DIV/0!</v>
      </c>
      <c r="J34" s="106" t="e">
        <f>Model!BA285</f>
        <v>#DIV/0!</v>
      </c>
      <c r="K34" s="106" t="e">
        <f>Model!BF285</f>
        <v>#DIV/0!</v>
      </c>
      <c r="L34" s="107" t="e">
        <f>Model!BK285</f>
        <v>#DIV/0!</v>
      </c>
      <c r="X34" s="77" t="n"/>
      <c r="Y34" s="77" t="n"/>
      <c r="Z34" s="77" t="n"/>
    </row>
    <row r="35" outlineLevel="1">
      <c r="C35" s="105" t="inlineStr">
        <is>
          <t>Taxes payable</t>
        </is>
      </c>
      <c r="D35" s="106">
        <f>Model!W286</f>
        <v>0</v>
      </c>
      <c r="E35" s="106">
        <f>Model!AB286</f>
        <v>0</v>
      </c>
      <c r="F35" s="106">
        <f>Model!AG286</f>
        <v>0</v>
      </c>
      <c r="G35" s="106">
        <f>Model!AL286</f>
        <v>0</v>
      </c>
      <c r="H35" s="106" t="e">
        <f>Model!AQ286</f>
        <v>#DIV/0!</v>
      </c>
      <c r="I35" s="106" t="e">
        <f>Model!AV286</f>
        <v>#DIV/0!</v>
      </c>
      <c r="J35" s="106" t="e">
        <f>Model!BA286</f>
        <v>#DIV/0!</v>
      </c>
      <c r="K35" s="106" t="e">
        <f>Model!BF286</f>
        <v>#DIV/0!</v>
      </c>
      <c r="L35" s="107" t="e">
        <f>Model!BK286</f>
        <v>#DIV/0!</v>
      </c>
      <c r="X35" s="77" t="n"/>
      <c r="Y35" s="77" t="n"/>
      <c r="Z35" s="77" t="n"/>
    </row>
    <row r="36" outlineLevel="1">
      <c r="C36" s="105" t="inlineStr">
        <is>
          <t>Other current liabilities</t>
        </is>
      </c>
      <c r="D36" s="106">
        <f>Model!W287</f>
        <v>0</v>
      </c>
      <c r="E36" s="106">
        <f>Model!AB287</f>
        <v>0</v>
      </c>
      <c r="F36" s="106">
        <f>Model!AG287</f>
        <v>0</v>
      </c>
      <c r="G36" s="106">
        <f>Model!AL287</f>
        <v>0</v>
      </c>
      <c r="H36" s="106">
        <f>Model!AQ287</f>
        <v>0</v>
      </c>
      <c r="I36" s="106">
        <f>Model!AV287</f>
        <v>0</v>
      </c>
      <c r="J36" s="106">
        <f>Model!BA287</f>
        <v>0</v>
      </c>
      <c r="K36" s="106">
        <f>Model!BF287</f>
        <v>0</v>
      </c>
      <c r="L36" s="107">
        <f>Model!BK287</f>
        <v>0</v>
      </c>
      <c r="X36" s="77" t="n"/>
      <c r="Y36" s="77" t="n"/>
      <c r="Z36" s="77" t="n"/>
    </row>
    <row r="37" outlineLevel="1">
      <c r="C37" s="105" t="inlineStr">
        <is>
          <t>Deferred tax (liabilities)</t>
        </is>
      </c>
      <c r="D37" s="106">
        <f>Model!W288</f>
        <v>0</v>
      </c>
      <c r="E37" s="106">
        <f>Model!AB288</f>
        <v>0</v>
      </c>
      <c r="F37" s="106">
        <f>Model!AG288</f>
        <v>0</v>
      </c>
      <c r="G37" s="106">
        <f>Model!AL288</f>
        <v>0</v>
      </c>
      <c r="H37" s="106">
        <f>Model!AQ288</f>
        <v>0</v>
      </c>
      <c r="I37" s="106">
        <f>Model!AV288</f>
        <v>0</v>
      </c>
      <c r="J37" s="106">
        <f>Model!BA288</f>
        <v>0</v>
      </c>
      <c r="K37" s="106">
        <f>Model!BF288</f>
        <v>0</v>
      </c>
      <c r="L37" s="107">
        <f>Model!BK288</f>
        <v>0</v>
      </c>
      <c r="X37" s="77" t="n"/>
      <c r="Y37" s="77" t="n"/>
      <c r="Z37" s="77" t="n"/>
    </row>
    <row r="38" outlineLevel="1" ht="15" customHeight="1">
      <c r="C38" s="105" t="inlineStr">
        <is>
          <t>Other non-current assets</t>
        </is>
      </c>
      <c r="D38" s="106">
        <f>(Model!W188-Model!R188)*-1</f>
        <v>-680</v>
      </c>
      <c r="E38" s="106">
        <f>(Model!AB188-Model!W188)*-1</f>
        <v>-1925</v>
      </c>
      <c r="F38" s="106">
        <f>(Model!AG188-Model!AB188)*-1</f>
        <v>-24127</v>
      </c>
      <c r="G38" s="106">
        <f>(Model!AL188-Model!AG188)*-1</f>
        <v>-36351</v>
      </c>
      <c r="H38" s="106">
        <f>(Model!AQ188-Model!AL188)*-1</f>
        <v>0</v>
      </c>
      <c r="I38" s="106">
        <f>(Model!AV188-Model!AQ188)*-1</f>
        <v>0</v>
      </c>
      <c r="J38" s="106">
        <f>(Model!BA188-Model!AV188)*-1</f>
        <v>0</v>
      </c>
      <c r="K38" s="106">
        <f>(Model!BF188-Model!BA188)*-1</f>
        <v>0</v>
      </c>
      <c r="L38" s="107">
        <f>(Model!BK188-Model!BF188)*-1</f>
        <v>0</v>
      </c>
      <c r="M38">
        <f>(Model!BP188-Model!BK188)*-1</f>
        <v>0</v>
      </c>
      <c r="N38">
        <f>(Model!BU188-Model!BP188)*-1</f>
        <v>0</v>
      </c>
      <c r="O38">
        <f>(Model!BZ188-Model!BU188)*-1</f>
        <v>0</v>
      </c>
      <c r="P38">
        <f>(Model!CE188-Model!BZ188)*-1</f>
        <v>0</v>
      </c>
      <c r="Q38">
        <f>(Model!CJ188-Model!CE188)*-1</f>
        <v>0</v>
      </c>
      <c r="R38">
        <f>(Model!CO188-Model!CJ188)*-1</f>
        <v>0</v>
      </c>
      <c r="X38" s="77" t="n"/>
      <c r="Y38" s="77" t="n"/>
      <c r="Z38" s="77" t="n"/>
    </row>
    <row r="39" outlineLevel="1" ht="15" customHeight="1">
      <c r="C39" s="105" t="inlineStr">
        <is>
          <t>Other non-current liabilities</t>
        </is>
      </c>
      <c r="D39" s="106">
        <f>Model!W239-Model!R239</f>
        <v>628</v>
      </c>
      <c r="E39" s="106">
        <f>Model!AB239-Model!W239</f>
        <v>1704</v>
      </c>
      <c r="F39" s="106">
        <f>Model!AG239-Model!AB239</f>
        <v>3061</v>
      </c>
      <c r="G39" s="106">
        <f>Model!AL239-Model!AG239</f>
        <v>3612</v>
      </c>
      <c r="H39" s="106">
        <f>Model!AQ239-Model!AL239</f>
        <v>0</v>
      </c>
      <c r="I39" s="106">
        <f>Model!AV239-Model!AQ239</f>
        <v>0</v>
      </c>
      <c r="J39" s="106">
        <f>Model!BA239-Model!AV239</f>
        <v>0</v>
      </c>
      <c r="K39" s="106">
        <f>Model!BF239-Model!BA239</f>
        <v>0</v>
      </c>
      <c r="L39" s="107">
        <f>Model!BK239-Model!BF239</f>
        <v>0</v>
      </c>
      <c r="M39">
        <f>Model!BP239-Model!BK239</f>
        <v>0</v>
      </c>
      <c r="N39">
        <f>Model!BU239-Model!BP239</f>
        <v>0</v>
      </c>
      <c r="O39">
        <f>Model!BZ239-Model!BU239</f>
        <v>0</v>
      </c>
      <c r="P39">
        <f>Model!CE239-Model!BZ239</f>
        <v>0</v>
      </c>
      <c r="Q39">
        <f>Model!CJ239-Model!CE239</f>
        <v>0</v>
      </c>
      <c r="R39">
        <f>Model!CO239-Model!CJ239</f>
        <v>0</v>
      </c>
      <c r="X39" s="77" t="n"/>
      <c r="Y39" s="77" t="n"/>
      <c r="Z39" s="77" t="n"/>
    </row>
    <row r="40">
      <c r="C40" s="105" t="inlineStr">
        <is>
          <t>Capital expenditures</t>
        </is>
      </c>
      <c r="D40" s="106" t="n"/>
      <c r="E40" s="106" t="n"/>
      <c r="F40" s="106" t="n"/>
      <c r="G40" s="106" t="n"/>
      <c r="H40" s="106" t="n"/>
      <c r="I40" s="106" t="n"/>
      <c r="J40" s="106" t="n"/>
      <c r="K40" s="106" t="n"/>
      <c r="L40" s="107" t="n"/>
      <c r="X40" s="77" t="n"/>
      <c r="Y40" s="77" t="n"/>
      <c r="Z40" s="77" t="n"/>
    </row>
    <row r="41">
      <c r="C41" s="105" t="inlineStr">
        <is>
          <t>Capital expenditures [IFRS16 - implied lease payments]</t>
        </is>
      </c>
      <c r="F41" s="106" t="n"/>
      <c r="G41" s="106" t="n"/>
      <c r="H41" s="106" t="n"/>
      <c r="I41" s="106" t="n"/>
      <c r="J41" s="106" t="n"/>
      <c r="K41" s="106" t="n"/>
      <c r="L41" s="107" t="n"/>
      <c r="X41" s="77" t="n"/>
      <c r="Y41" s="77" t="n"/>
      <c r="Z41" s="77" t="n"/>
    </row>
    <row r="42">
      <c r="C42" s="108" t="inlineStr">
        <is>
          <t>Purchase of intangible assets</t>
        </is>
      </c>
      <c r="D42" s="109" t="n">
        <v>0</v>
      </c>
      <c r="E42" s="109" t="n">
        <v>0</v>
      </c>
      <c r="F42" s="109" t="n">
        <v>0</v>
      </c>
      <c r="G42" s="109" t="n">
        <v>0</v>
      </c>
      <c r="H42" s="109" t="n">
        <v>0</v>
      </c>
      <c r="I42" s="109" t="n">
        <v>0</v>
      </c>
      <c r="J42" s="109" t="n">
        <v>0</v>
      </c>
      <c r="K42" s="109" t="n">
        <v>0</v>
      </c>
      <c r="L42" s="110" t="n">
        <v>0</v>
      </c>
      <c r="M42" s="111" t="n"/>
      <c r="X42" s="77" t="n"/>
      <c r="Y42" s="77" t="n"/>
      <c r="Z42" s="77" t="n"/>
      <c r="AB42" s="68" t="n"/>
    </row>
    <row r="43">
      <c r="X43" s="77" t="n"/>
      <c r="Y43" s="77" t="n"/>
      <c r="Z43" s="77" t="n"/>
    </row>
    <row r="44">
      <c r="C44" s="82" t="inlineStr">
        <is>
          <t>Net Investments</t>
        </is>
      </c>
      <c r="D44" s="103">
        <f>SUM(D27+D40+D41+D42+D26)</f>
        <v>-8761</v>
      </c>
      <c r="E44" s="103">
        <f>SUM(E27+E40+E41+E42+E26)</f>
        <v>-16872</v>
      </c>
      <c r="F44" s="103">
        <f>SUM(F27+F40+F41+F42+F26)</f>
        <v>-52090</v>
      </c>
      <c r="G44" s="103">
        <f>SUM(G27+G40+G41+G42+G26)</f>
        <v>-35185</v>
      </c>
      <c r="H44" s="103" t="e">
        <f>SUM(H27+H40+H41+H42+H26)</f>
        <v>#DIV/0!</v>
      </c>
      <c r="I44" s="103" t="e">
        <f>SUM(I27+I40+I41+I42+I26)</f>
        <v>#DIV/0!</v>
      </c>
      <c r="J44" s="103" t="e">
        <f>SUM(J27+J40+J41+J42+J26)</f>
        <v>#DIV/0!</v>
      </c>
      <c r="K44" s="103" t="e">
        <f>SUM(K27+K40+K41+K42+K26)</f>
        <v>#DIV/0!</v>
      </c>
      <c r="L44" s="103" t="e">
        <f>SUM(L27+L40+L41+L42+L26)</f>
        <v>#DIV/0!</v>
      </c>
      <c r="M44" s="112" t="e">
        <f>+L46-M46</f>
        <v>#DIV/0!</v>
      </c>
      <c r="N44" s="103" t="e">
        <f>+M46-N46</f>
        <v>#DIV/0!</v>
      </c>
      <c r="O44" s="103" t="e">
        <f>+N46-O46</f>
        <v>#DIV/0!</v>
      </c>
      <c r="P44" s="103" t="e">
        <f>+O46-P46</f>
        <v>#DIV/0!</v>
      </c>
      <c r="Q44" s="103" t="e">
        <f>+P46-Q46</f>
        <v>#DIV/0!</v>
      </c>
      <c r="R44" s="103" t="e">
        <f>+Q46-R46</f>
        <v>#DIV/0!</v>
      </c>
      <c r="S44" s="103" t="n"/>
      <c r="T44" s="103" t="n"/>
      <c r="U44" s="103" t="n"/>
      <c r="V44" s="104" t="n"/>
      <c r="X44" s="77" t="n"/>
      <c r="Y44" s="111" t="n"/>
      <c r="Z44" s="77" t="n"/>
    </row>
    <row r="45">
      <c r="C45" s="113" t="n"/>
      <c r="D45" s="111" t="n"/>
      <c r="E45" s="111" t="n"/>
      <c r="F45" s="111" t="n"/>
      <c r="G45" s="111" t="n"/>
      <c r="H45" s="111" t="n"/>
      <c r="I45" s="111" t="n"/>
      <c r="J45" s="111" t="n"/>
      <c r="K45" s="111" t="n"/>
      <c r="L45" s="111" t="n"/>
      <c r="V45" s="114" t="n"/>
      <c r="X45" s="77" t="n"/>
      <c r="Y45" s="77" t="n"/>
      <c r="Z45" s="77" t="n"/>
    </row>
    <row r="46">
      <c r="C46" s="113" t="inlineStr">
        <is>
          <t>Invested Capital</t>
        </is>
      </c>
      <c r="D46" s="106">
        <f>Model!W349</f>
        <v>27822</v>
      </c>
      <c r="E46" s="106">
        <f>Model!AB349</f>
        <v>46099</v>
      </c>
      <c r="F46" s="106">
        <f>Model!AG349</f>
        <v>118663</v>
      </c>
      <c r="G46" s="106">
        <f>Model!AL349</f>
        <v>155136</v>
      </c>
      <c r="H46" s="106" t="e">
        <f>Model!AQ349</f>
        <v>#DIV/0!</v>
      </c>
      <c r="I46" s="106" t="e">
        <f>Model!AV349</f>
        <v>#DIV/0!</v>
      </c>
      <c r="J46" s="106" t="e">
        <f>Model!BA349</f>
        <v>#DIV/0!</v>
      </c>
      <c r="K46" s="106" t="e">
        <f>Model!BF349</f>
        <v>#DIV/0!</v>
      </c>
      <c r="L46" s="106" t="e">
        <f>Model!BK349</f>
        <v>#DIV/0!</v>
      </c>
      <c r="M46" s="115" t="e">
        <f>Model!BP349</f>
        <v>#DIV/0!</v>
      </c>
      <c r="N46" s="115" t="e">
        <f>Model!BU349</f>
        <v>#DIV/0!</v>
      </c>
      <c r="O46" s="115" t="e">
        <f>Model!BZ349</f>
        <v>#DIV/0!</v>
      </c>
      <c r="P46" s="115" t="e">
        <f>Model!CE349</f>
        <v>#DIV/0!</v>
      </c>
      <c r="Q46" s="115" t="e">
        <f>Model!CJ349</f>
        <v>#DIV/0!</v>
      </c>
      <c r="R46" s="115" t="e">
        <f>Model!CO349</f>
        <v>#DIV/0!</v>
      </c>
      <c r="S46" s="115" t="n"/>
      <c r="T46" s="115" t="n"/>
      <c r="U46" s="115" t="n"/>
      <c r="V46" s="116" t="n"/>
      <c r="X46" s="111" t="n"/>
      <c r="Y46" s="111" t="n"/>
      <c r="Z46" s="77" t="n"/>
    </row>
    <row r="47" ht="15" customHeight="1">
      <c r="C47" s="113" t="inlineStr">
        <is>
          <t>Invested Capital (ex Goodwill)</t>
        </is>
      </c>
      <c r="D47" s="106">
        <f>Model!W350</f>
        <v>23392</v>
      </c>
      <c r="E47" s="106">
        <f>Model!AB350</f>
        <v>40911</v>
      </c>
      <c r="F47" s="106">
        <f>Model!AG350</f>
        <v>97831</v>
      </c>
      <c r="G47" s="106">
        <f>Model!AL350</f>
        <v>134011</v>
      </c>
      <c r="H47" s="106" t="e">
        <f>Model!AQ350</f>
        <v>#DIV/0!</v>
      </c>
      <c r="I47" s="106" t="e">
        <f>Model!AV350</f>
        <v>#DIV/0!</v>
      </c>
      <c r="J47" s="106" t="e">
        <f>Model!BA350</f>
        <v>#DIV/0!</v>
      </c>
      <c r="K47" s="106" t="e">
        <f>Model!BF350</f>
        <v>#DIV/0!</v>
      </c>
      <c r="L47" s="106" t="e">
        <f>Model!BK350</f>
        <v>#DIV/0!</v>
      </c>
      <c r="M47" t="e">
        <f>Model!BP350</f>
        <v>#DIV/0!</v>
      </c>
      <c r="N47" t="e">
        <f>Model!BU350</f>
        <v>#DIV/0!</v>
      </c>
      <c r="O47" t="e">
        <f>Model!BZ350</f>
        <v>#DIV/0!</v>
      </c>
      <c r="P47" t="e">
        <f>Model!CE350</f>
        <v>#DIV/0!</v>
      </c>
      <c r="Q47" t="e">
        <f>Model!CJ350</f>
        <v>#DIV/0!</v>
      </c>
      <c r="R47" t="e">
        <f>Model!CO350</f>
        <v>#DIV/0!</v>
      </c>
      <c r="V47" s="114" t="n"/>
      <c r="X47" s="77" t="n"/>
      <c r="Y47" s="77" t="n"/>
      <c r="Z47" s="77" t="n"/>
    </row>
    <row r="48">
      <c r="C48" s="86" t="inlineStr">
        <is>
          <t>Invested Capital / Net Revenues</t>
        </is>
      </c>
      <c r="D48" s="92">
        <f>D46/D18</f>
        <v>0.456682315091428</v>
      </c>
      <c r="E48" s="92">
        <f>E46/E18</f>
        <v>0.353257162999916</v>
      </c>
      <c r="F48" s="92">
        <f>F46/F18</f>
        <v>0.549523474330595</v>
      </c>
      <c r="G48" s="92">
        <f>G46/G18</f>
        <v>0.512052388198133</v>
      </c>
      <c r="H48" s="92" t="e">
        <f>H46/H18</f>
        <v>#DIV/0!</v>
      </c>
      <c r="I48" s="92" t="e">
        <f>I46/I18</f>
        <v>#DIV/0!</v>
      </c>
      <c r="J48" s="92" t="e">
        <f>J46/J18</f>
        <v>#DIV/0!</v>
      </c>
      <c r="K48" s="92" t="e">
        <f>K46/K18</f>
        <v>#DIV/0!</v>
      </c>
      <c r="L48" s="92" t="e">
        <f>L46/L18</f>
        <v>#DIV/0!</v>
      </c>
      <c r="M48" s="117" t="n"/>
      <c r="N48" s="117" t="n"/>
      <c r="O48" s="117" t="n"/>
      <c r="P48" s="117" t="n"/>
      <c r="Q48" s="117" t="n"/>
      <c r="R48" s="117" t="n"/>
      <c r="S48" s="117" t="n"/>
      <c r="T48" s="117" t="n"/>
      <c r="U48" s="117" t="n"/>
      <c r="V48" s="118" t="n"/>
      <c r="X48" s="76" t="inlineStr">
        <is>
          <t>ROIC</t>
        </is>
      </c>
      <c r="Y48" s="77" t="n"/>
      <c r="Z48" s="77" t="n"/>
    </row>
    <row r="49">
      <c r="X49" s="77">
        <f>F16</f>
        <v>2025</v>
      </c>
      <c r="Y49" s="77">
        <f>L16</f>
        <v>2031</v>
      </c>
      <c r="Z49" s="77">
        <f>R16</f>
        <v>2037</v>
      </c>
    </row>
    <row r="50">
      <c r="C50" s="119" t="inlineStr">
        <is>
          <t>ROIC</t>
        </is>
      </c>
      <c r="D50" s="120" t="n"/>
      <c r="E50" s="120" t="n"/>
      <c r="F50" s="120" t="n"/>
      <c r="G50" s="120">
        <f>G25/AVERAGE(F46,G46)</f>
        <v>0.735768964402319</v>
      </c>
      <c r="H50" s="120" t="e">
        <f>H25/AVERAGE(G46,H46)</f>
        <v>#DIV/0!</v>
      </c>
      <c r="I50" s="120" t="e">
        <f>I25/AVERAGE(H46,I46)</f>
        <v>#DIV/0!</v>
      </c>
      <c r="J50" s="120" t="e">
        <f>J25/AVERAGE(I46,J46)</f>
        <v>#DIV/0!</v>
      </c>
      <c r="K50" s="120" t="e">
        <f>K25/AVERAGE(J46,K46)</f>
        <v>#DIV/0!</v>
      </c>
      <c r="L50" s="120" t="e">
        <f>L25/AVERAGE(K46,L46)</f>
        <v>#DIV/0!</v>
      </c>
      <c r="M50" s="121" t="e">
        <f>M25/AVERAGE(L46,M46)</f>
        <v>#DIV/0!</v>
      </c>
      <c r="N50" s="121" t="e">
        <f>N25/AVERAGE(M46,N46)</f>
        <v>#DIV/0!</v>
      </c>
      <c r="O50" s="121" t="e">
        <f>O25/AVERAGE(N46,O46)</f>
        <v>#DIV/0!</v>
      </c>
      <c r="P50" s="121" t="e">
        <f>P25/AVERAGE(O46,P46)</f>
        <v>#DIV/0!</v>
      </c>
      <c r="Q50" s="121" t="e">
        <f>Q25/AVERAGE(P46,Q46)</f>
        <v>#DIV/0!</v>
      </c>
      <c r="R50" s="121" t="e">
        <f>R25/AVERAGE(Q46,R46)</f>
        <v>#DIV/0!</v>
      </c>
      <c r="S50" s="121" t="n"/>
      <c r="T50" s="121" t="n"/>
      <c r="U50" s="121" t="n"/>
      <c r="V50" s="122" t="n"/>
      <c r="X50" s="85">
        <f>F50</f>
        <v>0</v>
      </c>
      <c r="Y50" s="85" t="e">
        <f>L50</f>
        <v>#DIV/0!</v>
      </c>
      <c r="Z50" s="123" t="e">
        <f>R50</f>
        <v>#DIV/0!</v>
      </c>
    </row>
    <row r="51">
      <c r="C51" s="68" t="inlineStr">
        <is>
          <t>Capital Turnover</t>
        </is>
      </c>
      <c r="D51" s="124">
        <f>D18/D46</f>
        <v>2.189705988067</v>
      </c>
      <c r="E51" s="124">
        <f>E18/E46</f>
        <v>2.83079893273173</v>
      </c>
      <c r="F51" s="124">
        <f>F18/F46</f>
        <v>1.81975847568324</v>
      </c>
      <c r="G51" s="124">
        <f>G18/G46</f>
        <v>1.95292517533003</v>
      </c>
      <c r="H51" s="124" t="e">
        <f>H18/H46</f>
        <v>#DIV/0!</v>
      </c>
      <c r="I51" s="124" t="e">
        <f>I18/I46</f>
        <v>#DIV/0!</v>
      </c>
      <c r="J51" s="124" t="e">
        <f>J18/J46</f>
        <v>#DIV/0!</v>
      </c>
      <c r="K51" s="124" t="e">
        <f>K18/K46</f>
        <v>#DIV/0!</v>
      </c>
      <c r="L51" s="124" t="e">
        <f>L18/L46</f>
        <v>#DIV/0!</v>
      </c>
      <c r="M51" s="124" t="e">
        <f>M18/M46</f>
        <v>#DIV/0!</v>
      </c>
      <c r="N51" s="124" t="e">
        <f>N18/N46</f>
        <v>#DIV/0!</v>
      </c>
      <c r="O51" s="124" t="e">
        <f>O18/O46</f>
        <v>#DIV/0!</v>
      </c>
      <c r="P51" s="124" t="e">
        <f>P18/P46</f>
        <v>#DIV/0!</v>
      </c>
      <c r="Q51" s="124" t="e">
        <f>Q18/Q46</f>
        <v>#DIV/0!</v>
      </c>
      <c r="R51" s="124" t="e">
        <f>R18/R46</f>
        <v>#DIV/0!</v>
      </c>
      <c r="S51" s="124" t="n"/>
      <c r="T51" s="124" t="n"/>
      <c r="U51" s="124" t="n"/>
      <c r="V51" s="124" t="n"/>
    </row>
    <row r="53" customFormat="1" s="68">
      <c r="A53" s="249" t="n"/>
      <c r="B53" s="249" t="n"/>
      <c r="C53" s="68" t="inlineStr">
        <is>
          <t>Unlevered free cash flows = FCFF</t>
        </is>
      </c>
      <c r="D53" s="125">
        <f>D25+D44</f>
        <v>20252.6610385002</v>
      </c>
      <c r="E53" s="125">
        <f>E25+E44</f>
        <v>53777.1743031919</v>
      </c>
      <c r="F53" s="125">
        <f>F25+F44</f>
        <v>58586.3939837398</v>
      </c>
      <c r="G53" s="126">
        <f>(G25+G44)*stub_year_fraction</f>
        <v>17058.7214178316</v>
      </c>
      <c r="H53" s="125" t="e">
        <f>H25+H44</f>
        <v>#DIV/0!</v>
      </c>
      <c r="I53" s="125" t="e">
        <f>I25+I44</f>
        <v>#DIV/0!</v>
      </c>
      <c r="J53" s="125" t="e">
        <f>J25+J44</f>
        <v>#DIV/0!</v>
      </c>
      <c r="K53" s="125" t="e">
        <f>K25+K44</f>
        <v>#DIV/0!</v>
      </c>
      <c r="L53" s="125" t="e">
        <f>L25+L44</f>
        <v>#DIV/0!</v>
      </c>
      <c r="M53" s="125" t="e">
        <f>M25+M44</f>
        <v>#DIV/0!</v>
      </c>
      <c r="N53" s="125" t="e">
        <f>N25+N44</f>
        <v>#DIV/0!</v>
      </c>
      <c r="O53" s="125" t="e">
        <f>O25+O44</f>
        <v>#DIV/0!</v>
      </c>
      <c r="P53" s="125" t="e">
        <f>P25+P44</f>
        <v>#DIV/0!</v>
      </c>
      <c r="Q53" s="125" t="e">
        <f>Q25+Q44</f>
        <v>#DIV/0!</v>
      </c>
      <c r="R53" s="125" t="e">
        <f>R25+R44</f>
        <v>#DIV/0!</v>
      </c>
      <c r="S53" s="125" t="n"/>
      <c r="T53" s="125" t="n"/>
      <c r="U53" s="125" t="n"/>
      <c r="V53" s="125" t="n"/>
    </row>
    <row r="54">
      <c r="C54" s="127" t="inlineStr">
        <is>
          <t>Discount factor</t>
        </is>
      </c>
      <c r="G54" s="128" t="e">
        <f>1/(1+wacc)^stub_year_fraction</f>
        <v>#DIV/0!</v>
      </c>
      <c r="H54" s="128" t="e">
        <f>1/(1+wacc)^(1+stub_year_fraction)</f>
        <v>#DIV/0!</v>
      </c>
      <c r="I54" s="128" t="e">
        <f>1/(1+wacc)^(2+stub_year_fraction)</f>
        <v>#DIV/0!</v>
      </c>
      <c r="J54" s="128" t="e">
        <f>1/(1+wacc)^(3+stub_year_fraction)</f>
        <v>#DIV/0!</v>
      </c>
      <c r="K54" s="128" t="e">
        <f>1/(1+wacc)^(4+stub_year_fraction)</f>
        <v>#DIV/0!</v>
      </c>
      <c r="L54" s="128" t="e">
        <f>1/(1+wacc)^(5+stub_year_fraction)</f>
        <v>#DIV/0!</v>
      </c>
      <c r="M54" s="128" t="e">
        <f>1/(1+wacc)^(6+stub_year_fraction)</f>
        <v>#DIV/0!</v>
      </c>
      <c r="N54" s="128" t="e">
        <f>1/(1+wacc)^(7+stub_year_fraction)</f>
        <v>#DIV/0!</v>
      </c>
      <c r="O54" s="128" t="e">
        <f>1/(1+wacc)^(8+stub_year_fraction)</f>
        <v>#DIV/0!</v>
      </c>
      <c r="P54" s="128" t="e">
        <f>1/(1+wacc)^(9+stub_year_fraction)</f>
        <v>#DIV/0!</v>
      </c>
      <c r="Q54" s="128" t="e">
        <f>1/(1+wacc)^(10+stub_year_fraction)</f>
        <v>#DIV/0!</v>
      </c>
      <c r="R54" s="128" t="e">
        <f>1/(1+wacc)^(11+stub_year_fraction)</f>
        <v>#DIV/0!</v>
      </c>
      <c r="S54" s="128" t="n"/>
      <c r="T54" s="128" t="n"/>
      <c r="U54" s="128" t="n"/>
      <c r="V54" s="128" t="n"/>
    </row>
    <row r="55">
      <c r="C55" s="127" t="inlineStr">
        <is>
          <t>Midyear adjustment factor</t>
        </is>
      </c>
      <c r="G55" s="129" t="e">
        <f>(1+wacc)^(stub_year_fraction/2)</f>
        <v>#DIV/0!</v>
      </c>
      <c r="H55" s="128" t="e">
        <f>(1+wacc)^0.5</f>
        <v>#DIV/0!</v>
      </c>
      <c r="I55" s="128" t="e">
        <f>(1+wacc)^0.5</f>
        <v>#DIV/0!</v>
      </c>
      <c r="J55" s="128" t="e">
        <f>(1+wacc)^0.5</f>
        <v>#DIV/0!</v>
      </c>
      <c r="K55" s="128" t="e">
        <f>(1+wacc)^0.5</f>
        <v>#DIV/0!</v>
      </c>
      <c r="L55" s="128" t="e">
        <f>(1+wacc)^0.5</f>
        <v>#DIV/0!</v>
      </c>
      <c r="M55" s="128" t="e">
        <f>(1+wacc)^0.5</f>
        <v>#DIV/0!</v>
      </c>
      <c r="N55" s="128" t="e">
        <f>(1+wacc)^0.5</f>
        <v>#DIV/0!</v>
      </c>
      <c r="O55" s="128" t="e">
        <f>(1+wacc)^0.5</f>
        <v>#DIV/0!</v>
      </c>
      <c r="P55" s="128" t="e">
        <f>(1+wacc)^0.5</f>
        <v>#DIV/0!</v>
      </c>
      <c r="Q55" s="128" t="e">
        <f>(1+wacc)^0.5</f>
        <v>#DIV/0!</v>
      </c>
      <c r="R55" s="128" t="e">
        <f>(1+wacc)^0.5</f>
        <v>#DIV/0!</v>
      </c>
      <c r="S55" s="128" t="n"/>
      <c r="T55" s="128" t="n"/>
      <c r="U55" s="128" t="n"/>
      <c r="V55" s="128" t="n"/>
    </row>
    <row r="56">
      <c r="C56" s="127" t="inlineStr">
        <is>
          <t>Present value of free cash flows</t>
        </is>
      </c>
      <c r="G56" s="111" t="e">
        <f>G54*G53*G55</f>
        <v>#DIV/0!</v>
      </c>
      <c r="H56" s="111" t="e">
        <f>H54*H53*H55</f>
        <v>#DIV/0!</v>
      </c>
      <c r="I56" s="111" t="e">
        <f>I54*I53*I55</f>
        <v>#DIV/0!</v>
      </c>
      <c r="J56" s="111" t="e">
        <f>J54*J53*J55</f>
        <v>#DIV/0!</v>
      </c>
      <c r="K56" s="111" t="e">
        <f>K54*K53*K55</f>
        <v>#DIV/0!</v>
      </c>
      <c r="L56" s="111" t="e">
        <f>L54*L53*L55</f>
        <v>#DIV/0!</v>
      </c>
      <c r="M56" s="111" t="e">
        <f>M54*M53*M55</f>
        <v>#DIV/0!</v>
      </c>
      <c r="N56" s="111" t="e">
        <f>N54*N53*N55</f>
        <v>#DIV/0!</v>
      </c>
      <c r="O56" s="111" t="e">
        <f>O54*O53*O55</f>
        <v>#DIV/0!</v>
      </c>
      <c r="P56" s="111" t="e">
        <f>P54*P53*P55</f>
        <v>#DIV/0!</v>
      </c>
      <c r="Q56" s="111" t="e">
        <f>Q54*Q53*Q55</f>
        <v>#DIV/0!</v>
      </c>
      <c r="R56" s="111" t="e">
        <f>R54*R53*R55</f>
        <v>#DIV/0!</v>
      </c>
      <c r="S56" s="111" t="n"/>
      <c r="T56" s="111" t="n"/>
      <c r="U56" s="111" t="n"/>
      <c r="V56" s="111" t="n"/>
    </row>
    <row r="57">
      <c r="C57" s="68" t="inlineStr">
        <is>
          <t>Sum of present values of FCFs</t>
        </is>
      </c>
      <c r="G57" s="125" t="e">
        <f>SUM(G56:R56)</f>
        <v>#DIV/0!</v>
      </c>
      <c r="H57" s="111" t="n"/>
      <c r="N57" s="130" t="n"/>
    </row>
    <row r="59">
      <c r="C59" s="68" t="n"/>
      <c r="D59" s="61" t="n">
        <v>50405</v>
      </c>
      <c r="E59" s="131" t="n"/>
      <c r="F59" s="132" t="n"/>
      <c r="G59" s="132" t="n"/>
      <c r="H59" s="61" t="n">
        <v>46022</v>
      </c>
      <c r="I59" s="132" t="n"/>
      <c r="J59" s="132" t="n"/>
      <c r="K59" s="132" t="n"/>
      <c r="L59" s="132" t="n"/>
    </row>
    <row r="60" ht="13.5" customHeight="1" thickBot="1">
      <c r="C60" s="133" t="inlineStr">
        <is>
          <t>Terminal value</t>
        </is>
      </c>
      <c r="D60" s="134" t="n"/>
      <c r="E60" s="135" t="inlineStr">
        <is>
          <t>Equity value calculations</t>
        </is>
      </c>
      <c r="F60" s="136" t="n"/>
      <c r="G60" s="136" t="n"/>
      <c r="H60" s="136" t="n"/>
      <c r="I60" s="137" t="inlineStr">
        <is>
          <t xml:space="preserve"> Shares Outstanding Worksheet</t>
        </is>
      </c>
      <c r="J60" s="138" t="n"/>
      <c r="K60" s="139" t="n"/>
      <c r="L60" s="140" t="n"/>
    </row>
    <row r="61">
      <c r="C61" s="113" t="n"/>
      <c r="D61" s="114" t="n"/>
      <c r="I61" s="113" t="n"/>
      <c r="L61" s="114" t="n"/>
    </row>
    <row r="62">
      <c r="C62" s="141" t="inlineStr">
        <is>
          <t>Key value driver method</t>
        </is>
      </c>
      <c r="D62" s="142" t="n"/>
      <c r="E62" s="143" t="inlineStr">
        <is>
          <t>Enterprise value</t>
        </is>
      </c>
      <c r="H62" s="125" t="e">
        <f>D80</f>
        <v>#DIV/0!</v>
      </c>
      <c r="I62" s="144" t="inlineStr">
        <is>
          <t>Basic Shares Outanding :</t>
        </is>
      </c>
      <c r="J62" s="63" t="n"/>
      <c r="L62" s="145" t="n"/>
    </row>
    <row r="63" ht="13.5" customHeight="1" thickBot="1">
      <c r="C63" s="141" t="inlineStr">
        <is>
          <t>g</t>
        </is>
      </c>
      <c r="D63" s="146" t="n"/>
      <c r="E63" s="147" t="inlineStr">
        <is>
          <t>Calculation of net debt:</t>
        </is>
      </c>
      <c r="H63" s="111" t="n"/>
      <c r="I63" s="144" t="inlineStr">
        <is>
          <t>Current Share Price:</t>
        </is>
      </c>
      <c r="L63" s="148" t="n"/>
    </row>
    <row r="64" ht="13.5" customHeight="1" thickBot="1">
      <c r="C64" s="141" t="inlineStr">
        <is>
          <t>RONIC</t>
        </is>
      </c>
      <c r="D64" s="149" t="e">
        <f>R50</f>
        <v>#DIV/0!</v>
      </c>
      <c r="E64" s="127" t="inlineStr">
        <is>
          <t>Current portion of long-term debt</t>
        </is>
      </c>
      <c r="H64" s="107" t="n"/>
      <c r="I64" s="150" t="inlineStr">
        <is>
          <t>Options / Warrants Data</t>
        </is>
      </c>
      <c r="J64" s="79" t="n"/>
      <c r="K64" s="79" t="n"/>
      <c r="L64" s="151" t="n"/>
    </row>
    <row r="65">
      <c r="C65" s="141" t="inlineStr">
        <is>
          <t>NOPLAT (t+1)</t>
        </is>
      </c>
      <c r="D65" s="152">
        <f>SUMIFS(INDEX($C$17:$AQ$42,,MATCH(D$59,$C$17:$AQ$17,0)),$C$17:$C$42,"NOPLAT")*(1+D63)</f>
        <v>0</v>
      </c>
      <c r="E65" s="127" t="inlineStr">
        <is>
          <t>Short term debt</t>
        </is>
      </c>
      <c r="H65" s="107" t="n"/>
      <c r="I65" s="150" t="n"/>
      <c r="J65" s="153" t="inlineStr">
        <is>
          <t># of options</t>
        </is>
      </c>
      <c r="K65" s="153" t="inlineStr">
        <is>
          <t xml:space="preserve">$ strike </t>
        </is>
      </c>
      <c r="L65" s="151" t="inlineStr">
        <is>
          <t># In-the-$</t>
        </is>
      </c>
    </row>
    <row r="66">
      <c r="C66" s="141" t="inlineStr">
        <is>
          <t>Terminal value</t>
        </is>
      </c>
      <c r="D66" s="152" t="e">
        <f>(noplat_t1*(1-(g/ronic)))/(wacc-g)</f>
        <v>#DIV/0!</v>
      </c>
      <c r="E66" s="127" t="inlineStr">
        <is>
          <t>Long term debt</t>
        </is>
      </c>
      <c r="H66" s="107" t="n"/>
      <c r="I66" s="127" t="inlineStr">
        <is>
          <t>Batch 1</t>
        </is>
      </c>
      <c r="J66" s="154" t="n"/>
      <c r="K66" s="155" t="n"/>
      <c r="L66" s="156">
        <f>IF($K66&lt;$L$62,J66,0)</f>
        <v>0</v>
      </c>
    </row>
    <row r="67">
      <c r="C67" s="141" t="inlineStr">
        <is>
          <t>Midyear adjusted terminal value</t>
        </is>
      </c>
      <c r="D67" s="152" t="e">
        <f>D66*R55</f>
        <v>#DIV/0!</v>
      </c>
      <c r="E67" s="127" t="inlineStr">
        <is>
          <t>Convertible debt</t>
        </is>
      </c>
      <c r="H67" s="107" t="n"/>
      <c r="I67" s="127" t="inlineStr">
        <is>
          <t>Batch 2</t>
        </is>
      </c>
      <c r="J67" s="157" t="n"/>
      <c r="K67" s="158" t="n"/>
      <c r="L67" s="156">
        <f>IF($K67&lt;$L$61,J67,0)</f>
        <v>0</v>
      </c>
    </row>
    <row r="68">
      <c r="C68" s="141" t="inlineStr">
        <is>
          <t>Present value of terminal value</t>
        </is>
      </c>
      <c r="D68" s="152" t="e">
        <f>D67*R54</f>
        <v>#DIV/0!</v>
      </c>
      <c r="E68" s="127" t="inlineStr">
        <is>
          <t>Minority interest</t>
        </is>
      </c>
      <c r="H68" s="107" t="n"/>
      <c r="I68" s="127" t="inlineStr">
        <is>
          <t>Batch 3</t>
        </is>
      </c>
      <c r="J68" s="157" t="n"/>
      <c r="K68" s="158" t="n"/>
      <c r="L68" s="156">
        <f>IF($K68&lt;$L$61,J68,0)</f>
        <v>0</v>
      </c>
    </row>
    <row r="69">
      <c r="C69" s="144" t="inlineStr">
        <is>
          <t>Enterprise value</t>
        </is>
      </c>
      <c r="D69" s="159" t="e">
        <f>D68+G57</f>
        <v>#DIV/0!</v>
      </c>
      <c r="E69" s="127" t="inlineStr">
        <is>
          <t>Convertible preferred stock</t>
        </is>
      </c>
      <c r="H69" s="107" t="n"/>
      <c r="I69" s="127" t="inlineStr">
        <is>
          <t>Batch 4</t>
        </is>
      </c>
      <c r="J69" s="157" t="n"/>
      <c r="K69" s="158" t="n"/>
      <c r="L69" s="156">
        <f>IF($K69&lt;$L$61,J69,0)</f>
        <v>0</v>
      </c>
    </row>
    <row r="70">
      <c r="C70" s="113" t="n"/>
      <c r="D70" s="114" t="n"/>
      <c r="E70" s="127" t="inlineStr">
        <is>
          <t>Short term operating leases</t>
        </is>
      </c>
      <c r="H70" s="107" t="n"/>
      <c r="I70" s="127" t="inlineStr">
        <is>
          <t>Batch 5</t>
        </is>
      </c>
      <c r="J70" s="157" t="n"/>
      <c r="K70" s="158" t="n"/>
      <c r="L70" s="156">
        <f>IF($K70&lt;$L$61,J70,0)</f>
        <v>0</v>
      </c>
    </row>
    <row r="71">
      <c r="C71" s="141" t="inlineStr">
        <is>
          <t>Exit multiple method</t>
        </is>
      </c>
      <c r="D71" s="142" t="n"/>
      <c r="E71" s="127" t="inlineStr">
        <is>
          <t>Long term operating leases</t>
        </is>
      </c>
      <c r="H71" s="107" t="n"/>
      <c r="I71" s="150" t="inlineStr">
        <is>
          <t>Batch 6</t>
        </is>
      </c>
      <c r="J71" s="160" t="n"/>
      <c r="K71" s="161" t="n"/>
      <c r="L71" s="162">
        <f>IF($K71&lt;$L$61,J71,0)</f>
        <v>0</v>
      </c>
    </row>
    <row r="72">
      <c r="C72" s="144" t="inlineStr">
        <is>
          <t>Exit EV / EBITDA multiple</t>
        </is>
      </c>
      <c r="D72" s="163" t="n"/>
      <c r="E72" s="147" t="inlineStr">
        <is>
          <t>Less: Excess cash</t>
        </is>
      </c>
      <c r="H72" s="107" t="n"/>
      <c r="J72" s="132" t="n"/>
      <c r="K72" s="164" t="inlineStr">
        <is>
          <t>Total in-the-$ options:</t>
        </is>
      </c>
      <c r="L72" s="156">
        <f>SUM(L66:L71)</f>
        <v>0</v>
      </c>
    </row>
    <row r="73">
      <c r="C73" s="144" t="inlineStr">
        <is>
          <t>LTM EBITDA at end of projection</t>
        </is>
      </c>
      <c r="D73" s="159">
        <f>L20</f>
        <v>0</v>
      </c>
      <c r="E73" s="147" t="inlineStr">
        <is>
          <t>Less: Equity investments</t>
        </is>
      </c>
      <c r="H73" s="107" t="n"/>
      <c r="J73" s="132" t="n"/>
      <c r="K73" s="164" t="inlineStr">
        <is>
          <t>Total $ proceeds:</t>
        </is>
      </c>
      <c r="L73" s="165">
        <f>SUMPRODUCT(K66:K71,L66:L71)</f>
        <v>0</v>
      </c>
    </row>
    <row r="74">
      <c r="C74" s="144" t="inlineStr">
        <is>
          <t>Terminal value</t>
        </is>
      </c>
      <c r="D74" s="159">
        <f>D73*D72</f>
        <v>0</v>
      </c>
      <c r="E74" s="127" t="inlineStr">
        <is>
          <t>Net debt</t>
        </is>
      </c>
      <c r="H74" s="159">
        <f>SUM(H64:H73)</f>
        <v>0</v>
      </c>
      <c r="J74" s="132" t="n"/>
      <c r="K74" s="164" t="inlineStr">
        <is>
          <t>Total shares repurchased:</t>
        </is>
      </c>
      <c r="L74" s="156" t="e">
        <f>L73/L63</f>
        <v>#DIV/0!</v>
      </c>
    </row>
    <row r="75">
      <c r="C75" s="144" t="inlineStr">
        <is>
          <t>Present value of terminal value</t>
        </is>
      </c>
      <c r="D75" s="159" t="e">
        <f>D74*L54</f>
        <v>#DIV/0!</v>
      </c>
      <c r="E75" s="143" t="inlineStr">
        <is>
          <t>Equity value</t>
        </is>
      </c>
      <c r="H75" s="152" t="e">
        <f>D80-H74</f>
        <v>#DIV/0!</v>
      </c>
      <c r="J75" s="132" t="n"/>
      <c r="K75" s="166" t="inlineStr">
        <is>
          <t>Basic shares outstanding</t>
        </is>
      </c>
      <c r="L75" s="142">
        <f>L62</f>
        <v>0</v>
      </c>
    </row>
    <row r="76" ht="13.5" customHeight="1" thickBot="1">
      <c r="C76" s="144" t="inlineStr">
        <is>
          <t>Enterprise value</t>
        </is>
      </c>
      <c r="D76" s="159" t="e">
        <f>G57+D75</f>
        <v>#DIV/0!</v>
      </c>
      <c r="E76" s="127" t="inlineStr">
        <is>
          <t>Shares outstanding</t>
        </is>
      </c>
      <c r="H76" s="159" t="e">
        <f>L79</f>
        <v>#DIV/0!</v>
      </c>
      <c r="J76" s="167" t="n"/>
      <c r="K76" s="166" t="inlineStr">
        <is>
          <t>New shares from options:</t>
        </is>
      </c>
      <c r="L76" s="142" t="e">
        <f>L72-L74</f>
        <v>#DIV/0!</v>
      </c>
    </row>
    <row r="77" ht="13.5" customHeight="1" thickBot="1">
      <c r="C77" s="113" t="n"/>
      <c r="D77" s="168" t="n"/>
      <c r="E77" s="143" t="inlineStr">
        <is>
          <t>Equity value / share</t>
        </is>
      </c>
      <c r="H77" s="169" t="e">
        <f>H75/H76</f>
        <v>#DIV/0!</v>
      </c>
      <c r="K77" s="166" t="inlineStr">
        <is>
          <t>New shares from convert. pref. stock:</t>
        </is>
      </c>
      <c r="L77" s="170" t="n"/>
    </row>
    <row r="78">
      <c r="C78" s="141" t="inlineStr">
        <is>
          <t>Select a terminal value method</t>
        </is>
      </c>
      <c r="D78" s="171" t="n"/>
      <c r="F78" s="130" t="n"/>
      <c r="H78" s="172" t="n"/>
      <c r="K78" s="166" t="inlineStr">
        <is>
          <t>New shares from convertible debt:</t>
        </is>
      </c>
      <c r="L78" s="173" t="n"/>
    </row>
    <row r="79">
      <c r="C79" s="144" t="inlineStr">
        <is>
          <t>Perpetual growth = 1 / Exit multiple = 2</t>
        </is>
      </c>
      <c r="D79" s="174" t="n"/>
      <c r="H79" s="172" t="n"/>
      <c r="K79" s="175" t="inlineStr">
        <is>
          <t>Total Shares Outstanding:</t>
        </is>
      </c>
      <c r="L79" s="176" t="e">
        <f>L62+SUM(L76:L78)</f>
        <v>#DIV/0!</v>
      </c>
    </row>
    <row r="80">
      <c r="C80" s="144" t="inlineStr">
        <is>
          <t>Enterprise value</t>
        </is>
      </c>
      <c r="D80" s="142" t="e">
        <f>IF(D79=1,D69,D76)</f>
        <v>#DIV/0!</v>
      </c>
      <c r="H80" s="114" t="n"/>
      <c r="K80" s="175" t="n"/>
      <c r="L80" s="176" t="n"/>
    </row>
    <row r="81">
      <c r="C81" s="177" t="inlineStr">
        <is>
          <t>Terminal value as percent of total value</t>
        </is>
      </c>
      <c r="D81" s="178" t="e">
        <f>IF(D79=1,D68/D69,D75/D76)</f>
        <v>#DIV/0!</v>
      </c>
      <c r="E81" s="79" t="n"/>
      <c r="F81" s="79" t="n"/>
      <c r="G81" s="79" t="n"/>
      <c r="H81" s="93" t="n"/>
      <c r="I81" s="79" t="n"/>
      <c r="J81" s="79" t="n"/>
      <c r="K81" s="79" t="n"/>
      <c r="L81" s="93" t="n"/>
    </row>
    <row r="83" ht="13.5" customHeight="1" thickBot="1">
      <c r="C83" s="179" t="inlineStr">
        <is>
          <t>Analysis of WACC</t>
        </is>
      </c>
      <c r="D83" s="180" t="n"/>
      <c r="E83" s="181" t="n"/>
      <c r="F83" s="181" t="n"/>
      <c r="G83" s="179" t="n"/>
      <c r="H83" s="180" t="n"/>
      <c r="I83" s="181" t="n"/>
      <c r="J83" s="181" t="n"/>
      <c r="K83" s="181" t="n"/>
      <c r="L83" s="181" t="n"/>
    </row>
    <row r="85">
      <c r="C85" s="182" t="inlineStr">
        <is>
          <t>Cost of debt</t>
        </is>
      </c>
      <c r="D85" s="79" t="n"/>
      <c r="F85" s="182" t="inlineStr">
        <is>
          <t>Capital structure</t>
        </is>
      </c>
      <c r="G85" s="182" t="n"/>
      <c r="H85" s="182" t="n"/>
      <c r="I85" s="182" t="n"/>
      <c r="J85" s="182" t="n"/>
    </row>
    <row r="86">
      <c r="C86" s="127" t="inlineStr">
        <is>
          <t>Cost of debt</t>
        </is>
      </c>
      <c r="D86" s="183" t="n"/>
      <c r="G86" s="184" t="inlineStr">
        <is>
          <t>Current capital structure</t>
        </is>
      </c>
      <c r="H86" s="184" t="n"/>
      <c r="I86" s="185" t="inlineStr">
        <is>
          <t>Target capital structure</t>
        </is>
      </c>
      <c r="J86" s="186" t="n"/>
    </row>
    <row r="87">
      <c r="C87" s="127" t="inlineStr">
        <is>
          <t>Marginal tax rate</t>
        </is>
      </c>
      <c r="D87" s="183" t="n"/>
      <c r="F87" s="79" t="n"/>
      <c r="G87" s="153" t="inlineStr">
        <is>
          <t>Market value</t>
        </is>
      </c>
      <c r="H87" s="153" t="inlineStr">
        <is>
          <t>% Weight</t>
        </is>
      </c>
      <c r="I87" s="153" t="inlineStr">
        <is>
          <t>override</t>
        </is>
      </c>
      <c r="J87" s="187" t="inlineStr">
        <is>
          <t>% Weight</t>
        </is>
      </c>
      <c r="K87" s="188" t="n"/>
      <c r="L87" s="189" t="n"/>
    </row>
    <row r="88">
      <c r="C88" s="249" t="inlineStr">
        <is>
          <t>Cost of debt after tax shield</t>
        </is>
      </c>
      <c r="D88" s="190">
        <f>costdebtfirm*(1-D87)</f>
        <v>0</v>
      </c>
      <c r="F88" s="249" t="inlineStr">
        <is>
          <t>Net debt</t>
        </is>
      </c>
      <c r="G88" s="191">
        <f>H74</f>
        <v>0</v>
      </c>
      <c r="H88" s="63" t="e">
        <f>debt/totalcap</f>
        <v>#DIV/0!</v>
      </c>
      <c r="I88" s="183" t="n"/>
      <c r="J88" s="63" t="e">
        <f>IF(I88,I88,H88)</f>
        <v>#DIV/0!</v>
      </c>
      <c r="L88" s="192" t="n"/>
    </row>
    <row r="89">
      <c r="F89" s="249" t="inlineStr">
        <is>
          <t>Equity</t>
        </is>
      </c>
      <c r="G89" s="193" t="e">
        <f>L63*L79</f>
        <v>#DIV/0!</v>
      </c>
      <c r="H89" s="63" t="e">
        <f>1-H88</f>
        <v>#DIV/0!</v>
      </c>
      <c r="J89" s="63" t="e">
        <f>1-debt_weight</f>
        <v>#DIV/0!</v>
      </c>
    </row>
    <row r="90">
      <c r="C90" s="182" t="inlineStr">
        <is>
          <t>Cost of equity</t>
        </is>
      </c>
      <c r="D90" s="79" t="n"/>
      <c r="F90" s="249" t="inlineStr">
        <is>
          <t>Total</t>
        </is>
      </c>
      <c r="G90" s="188" t="e">
        <f>SUM(G88:G89)</f>
        <v>#DIV/0!</v>
      </c>
    </row>
    <row r="91">
      <c r="C91" s="127" t="inlineStr">
        <is>
          <t>Risk-Free Rate (rf)</t>
        </is>
      </c>
      <c r="D91" s="183" t="n"/>
      <c r="E91" s="194" t="n"/>
    </row>
    <row r="92">
      <c r="C92" s="127" t="inlineStr">
        <is>
          <t>Market Risk Premium (rm-rf)</t>
        </is>
      </c>
      <c r="D92" s="183" t="n"/>
      <c r="F92" s="182" t="inlineStr">
        <is>
          <t>Weighted average cost of capital</t>
        </is>
      </c>
      <c r="G92" s="79" t="n"/>
      <c r="H92" s="79" t="n"/>
      <c r="I92" s="79" t="n"/>
      <c r="J92" s="79" t="n"/>
    </row>
    <row r="93">
      <c r="C93" s="127" t="inlineStr">
        <is>
          <t>Raw (observed) beta</t>
        </is>
      </c>
      <c r="D93" s="195" t="n"/>
      <c r="F93" s="249" t="inlineStr">
        <is>
          <t>Weighted average cost of capital:</t>
        </is>
      </c>
      <c r="J93" s="63" t="e">
        <f>debt_weight*D88+J89*costequity</f>
        <v>#DIV/0!</v>
      </c>
    </row>
    <row r="94">
      <c r="C94" s="127" t="inlineStr">
        <is>
          <t>Cost of equity using relevered industry beta</t>
        </is>
      </c>
      <c r="D94" s="190" t="e">
        <f>risk_free_rate+relevered_beta*risk_premium</f>
        <v>#DIV/0!</v>
      </c>
      <c r="E94" s="196" t="n"/>
    </row>
    <row r="95">
      <c r="C95" s="127" t="n"/>
      <c r="D95" s="190" t="n"/>
      <c r="E95" s="68" t="n"/>
      <c r="G95" s="188" t="n"/>
    </row>
    <row r="96">
      <c r="C96" s="182" t="inlineStr">
        <is>
          <t>Industry beta calculation</t>
        </is>
      </c>
      <c r="D96" s="79" t="n"/>
      <c r="E96" s="79" t="n"/>
      <c r="F96" s="79" t="n"/>
      <c r="G96" s="79" t="n"/>
      <c r="H96" s="79" t="n"/>
      <c r="I96" s="79" t="n"/>
      <c r="J96" s="79" t="n"/>
      <c r="K96" s="79" t="n"/>
      <c r="L96" s="79" t="n"/>
      <c r="M96" s="79" t="n"/>
    </row>
    <row r="97" ht="25.5" customHeight="1">
      <c r="C97" s="197" t="inlineStr">
        <is>
          <t xml:space="preserve">Comps </t>
        </is>
      </c>
      <c r="D97" s="198" t="inlineStr">
        <is>
          <t>Raw beta</t>
        </is>
      </c>
      <c r="E97" s="198" t="inlineStr">
        <is>
          <t>Share price</t>
        </is>
      </c>
      <c r="F97" s="198" t="inlineStr">
        <is>
          <t>Shares</t>
        </is>
      </c>
      <c r="G97" s="198" t="inlineStr">
        <is>
          <t>Market cap.</t>
        </is>
      </c>
      <c r="H97" s="198" t="inlineStr">
        <is>
          <t>Debt</t>
        </is>
      </c>
      <c r="I97" s="198" t="inlineStr">
        <is>
          <t>D / E</t>
        </is>
      </c>
      <c r="J97" s="198" t="inlineStr">
        <is>
          <t>Tax rate</t>
        </is>
      </c>
      <c r="K97" s="198" t="inlineStr">
        <is>
          <t>Unl. Beta</t>
        </is>
      </c>
      <c r="L97" s="198" t="inlineStr">
        <is>
          <t>Weigh. Beta</t>
        </is>
      </c>
      <c r="M97" s="198" t="inlineStr">
        <is>
          <t>Relev. Beta</t>
        </is>
      </c>
    </row>
    <row r="98">
      <c r="C98" s="249">
        <f>ticker</f>
        <v>0.0</v>
      </c>
      <c r="D98" s="199">
        <f>beta_observed</f>
        <v>0</v>
      </c>
      <c r="E98" s="200">
        <f>L63</f>
        <v>0</v>
      </c>
      <c r="F98" s="111" t="e">
        <f>L79</f>
        <v>#DIV/0!</v>
      </c>
      <c r="G98" s="111" t="e">
        <f>E98*F98</f>
        <v>#DIV/0!</v>
      </c>
      <c r="H98" s="111">
        <f>debt</f>
        <v>0</v>
      </c>
      <c r="I98" s="201" t="e">
        <f>debt/market_equity</f>
        <v>#DIV/0!</v>
      </c>
      <c r="J98" s="201">
        <f>F24</f>
        <v>0.151170024743726</v>
      </c>
      <c r="K98" s="199" t="e">
        <f>D98/(1+(I98)*(1-J98))</f>
        <v>#DIV/0!</v>
      </c>
      <c r="L98" s="202" t="e">
        <f>K98*G98/$G$102</f>
        <v>#DIV/0!</v>
      </c>
    </row>
    <row r="99">
      <c r="C99" s="203" t="inlineStr">
        <is>
          <t>TICKER 2</t>
        </is>
      </c>
      <c r="D99" s="195" t="n"/>
      <c r="E99" s="204" t="n"/>
      <c r="F99" s="205" t="n"/>
      <c r="G99" s="111">
        <f>E99*F99</f>
        <v>0</v>
      </c>
      <c r="H99" s="205" t="n"/>
      <c r="I99" s="201" t="e">
        <f>H99/(F99*E99)</f>
        <v>#DIV/0!</v>
      </c>
      <c r="J99" s="206" t="n"/>
      <c r="K99" s="199" t="e">
        <f>D99/(1+(I99)*(1-J99))</f>
        <v>#DIV/0!</v>
      </c>
      <c r="L99" s="202" t="e">
        <f>K99*G99/$G$102</f>
        <v>#DIV/0!</v>
      </c>
    </row>
    <row r="100">
      <c r="C100" s="203" t="inlineStr">
        <is>
          <t>TICKER 3</t>
        </is>
      </c>
      <c r="D100" s="195" t="n"/>
      <c r="E100" s="204" t="n"/>
      <c r="F100" s="205" t="n"/>
      <c r="G100" s="111">
        <f>E100*F100</f>
        <v>0</v>
      </c>
      <c r="H100" s="205" t="n"/>
      <c r="I100" s="201" t="e">
        <f>H100/(F100*E100)</f>
        <v>#DIV/0!</v>
      </c>
      <c r="J100" s="206" t="n"/>
      <c r="K100" s="199" t="e">
        <f>D100/(1+(I100)*(1-J100))</f>
        <v>#DIV/0!</v>
      </c>
      <c r="L100" s="202" t="e">
        <f>K100*G100/$G$102</f>
        <v>#DIV/0!</v>
      </c>
    </row>
    <row r="101">
      <c r="C101" s="207" t="inlineStr">
        <is>
          <t>TICKER 4</t>
        </is>
      </c>
      <c r="D101" s="208" t="n"/>
      <c r="E101" s="209" t="n"/>
      <c r="F101" s="210" t="n"/>
      <c r="G101" s="97">
        <f>E101*F101</f>
        <v>0</v>
      </c>
      <c r="H101" s="210" t="n"/>
      <c r="I101" s="211" t="e">
        <f>H101/(F101*E101)</f>
        <v>#DIV/0!</v>
      </c>
      <c r="J101" s="212" t="n"/>
      <c r="K101" s="213" t="e">
        <f>D101/(1+(I101)*(1-J101))</f>
        <v>#DIV/0!</v>
      </c>
      <c r="L101" s="202" t="e">
        <f>K101*G101/$G$102</f>
        <v>#DIV/0!</v>
      </c>
      <c r="M101" s="214" t="n"/>
    </row>
    <row r="102">
      <c r="D102" s="199" t="n"/>
      <c r="E102" s="175" t="n"/>
      <c r="F102" s="131" t="n"/>
      <c r="G102" s="111" t="e">
        <f>SUM(G98:G101)</f>
        <v>#DIV/0!</v>
      </c>
      <c r="I102" s="199" t="n"/>
      <c r="J102" s="214" t="inlineStr">
        <is>
          <t>Average:</t>
        </is>
      </c>
      <c r="K102" s="215" t="e">
        <f>AVERAGE(K98:K101)</f>
        <v>#DIV/0!</v>
      </c>
      <c r="L102" s="215" t="e">
        <f>SUM(L98:L101)</f>
        <v>#DIV/0!</v>
      </c>
      <c r="M102" s="215" t="e">
        <f>L102*(1+(debt/market_equity)*(1-D87))</f>
        <v>#DIV/0!</v>
      </c>
    </row>
  </sheetData>
  <mergeCells count="1">
    <mergeCell ref="G14:V14"/>
  </mergeCells>
  <pageMargins left="0.511811024" right="0.511811024" top="0.787401575" bottom="0.787401575" header="0.31496062" footer="0.31496062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Nascimento</dc:creator>
  <dcterms:created xmlns:dcterms="http://purl.org/dc/terms/" xmlns:xsi="http://www.w3.org/2001/XMLSchema-instance" xsi:type="dcterms:W3CDTF">2025-10-26T03:14:16Z</dcterms:created>
  <dcterms:modified xmlns:dcterms="http://purl.org/dc/terms/" xmlns:xsi="http://www.w3.org/2001/XMLSchema-instance" xsi:type="dcterms:W3CDTF">2026-10-13T13:50:58Z</dcterms:modified>
  <cp:lastModifiedBy>Lucas Nascimento</cp:lastModifiedBy>
</cp:coreProperties>
</file>