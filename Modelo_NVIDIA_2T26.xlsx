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b val="1"/>
      <sz val="10"/>
    </font>
    <font>
      <name val="Verdana"/>
      <family val="2"/>
      <b val="1"/>
      <color theme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5" fillId="17" borderId="0" applyAlignment="1" pivotButton="0" quotePrefix="0" xfId="0">
      <alignment horizontal="center"/>
    </xf>
    <xf numFmtId="3" fontId="25" fillId="0" borderId="0" applyAlignment="1" pivotButton="0" quotePrefix="0" xfId="0">
      <alignment horizontal="center"/>
    </xf>
    <xf numFmtId="0" fontId="25" fillId="16" borderId="0" pivotButton="0" quotePrefix="0" xfId="0"/>
    <xf numFmtId="171" fontId="25" fillId="17" borderId="0" applyAlignment="1" pivotButton="0" quotePrefix="0" xfId="0">
      <alignment horizontal="center"/>
    </xf>
    <xf numFmtId="171" fontId="25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16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BRUTO COMO DIVULGADO (USD). 3M = trimestre do 10-Q (FQ1-FQ3 = 1T, 2T, 3T calendário); 12M = ano fiscal do 10-K (na coluna do 4T calendário); 9M = acumulado do 10-Q de out (coluna do 3T)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(revenue) - 3M (10-Q) [us-gaap:Revenues] · memoria · unid. moeda</t>
        </is>
      </c>
      <c r="C5" t="inlineStr">
        <is>
          <t>[linha bruta, sem código; lançada nas linhas abaixo]</t>
        </is>
      </c>
      <c r="D5" s="265" t="n">
        <v>5661000</v>
      </c>
      <c r="E5" s="265" t="n">
        <v>6507000</v>
      </c>
      <c r="F5" s="265" t="n">
        <v>7103000</v>
      </c>
      <c r="G5" s="265" t="n"/>
      <c r="I5" s="265" t="n">
        <v>8288000</v>
      </c>
      <c r="J5" s="265" t="n">
        <v>6704000</v>
      </c>
      <c r="K5" s="265" t="n">
        <v>5931000</v>
      </c>
      <c r="L5" s="265" t="n"/>
      <c r="N5" s="265" t="n">
        <v>7192000</v>
      </c>
      <c r="O5" s="265" t="n">
        <v>13507000</v>
      </c>
      <c r="P5" s="265" t="n">
        <v>18120000</v>
      </c>
      <c r="Q5" s="265" t="n"/>
      <c r="S5" s="265" t="n">
        <v>26044000</v>
      </c>
      <c r="T5" s="265" t="n">
        <v>30040000</v>
      </c>
      <c r="U5" s="265" t="n">
        <v>35082000</v>
      </c>
      <c r="V5" s="265" t="n"/>
      <c r="X5" s="265" t="n">
        <v>44062000</v>
      </c>
      <c r="Y5" s="265" t="n">
        <v>46743000</v>
      </c>
      <c r="Z5" s="265" t="n">
        <v>57006000</v>
      </c>
      <c r="AA5" s="265" t="n"/>
      <c r="AC5" s="265" t="n">
        <v>81615000</v>
      </c>
      <c r="AD5" s="265" t="n">
        <v>96221000</v>
      </c>
    </row>
    <row r="6">
      <c r="A6" t="inlineStr">
        <is>
          <t>Receita (revenue) - ano fiscal 12M (10-K; na coluna do 4T) · memoria · unid. moeda</t>
        </is>
      </c>
      <c r="C6" t="inlineStr">
        <is>
          <t>[linha bruta, sem código; lançada nas linhas abaixo]</t>
        </is>
      </c>
      <c r="D6" s="265" t="n"/>
      <c r="E6" s="265" t="n"/>
      <c r="F6" s="265" t="n"/>
      <c r="G6" s="265" t="n">
        <v>26914000</v>
      </c>
      <c r="I6" s="265" t="n"/>
      <c r="J6" s="265" t="n"/>
      <c r="K6" s="265" t="n"/>
      <c r="L6" s="265" t="n">
        <v>26974000</v>
      </c>
      <c r="N6" s="265" t="n"/>
      <c r="O6" s="265" t="n"/>
      <c r="P6" s="265" t="n"/>
      <c r="Q6" s="265" t="n">
        <v>60922000</v>
      </c>
      <c r="S6" s="265" t="n"/>
      <c r="T6" s="265" t="n"/>
      <c r="U6" s="265" t="n"/>
      <c r="V6" s="265" t="n">
        <v>130497000</v>
      </c>
      <c r="X6" s="265" t="n"/>
      <c r="Y6" s="265" t="n"/>
      <c r="Z6" s="265" t="n"/>
      <c r="AA6" s="265" t="n">
        <v>215938000</v>
      </c>
      <c r="AC6" s="265" t="n"/>
      <c r="AD6" s="265" t="n"/>
    </row>
    <row r="7">
      <c r="A7" t="inlineStr">
        <is>
          <t>Receita (revenue) - 9M acumulado (10-Q de out; na coluna do 3T) · memoria · unid. moeda</t>
        </is>
      </c>
      <c r="C7" t="inlineStr">
        <is>
          <t>[linha bruta, sem código; lançada nas linhas abaixo]</t>
        </is>
      </c>
      <c r="D7" s="265" t="n"/>
      <c r="E7" s="265" t="n"/>
      <c r="F7" s="265" t="n">
        <v>19271000</v>
      </c>
      <c r="G7" s="265" t="n"/>
      <c r="I7" s="265" t="n"/>
      <c r="J7" s="265" t="n"/>
      <c r="K7" s="265" t="n">
        <v>20923000</v>
      </c>
      <c r="L7" s="265" t="n"/>
      <c r="N7" s="265" t="n"/>
      <c r="O7" s="265" t="n"/>
      <c r="P7" s="265" t="n">
        <v>38819000</v>
      </c>
      <c r="Q7" s="265" t="n"/>
      <c r="S7" s="265" t="n"/>
      <c r="T7" s="265" t="n"/>
      <c r="U7" s="265" t="n">
        <v>91166000</v>
      </c>
      <c r="V7" s="265" t="n"/>
      <c r="X7" s="265" t="n"/>
      <c r="Y7" s="265" t="n"/>
      <c r="Z7" s="265" t="n">
        <v>147811000</v>
      </c>
      <c r="AA7" s="265" t="n"/>
      <c r="AC7" s="265" t="n"/>
      <c r="AD7" s="265" t="n"/>
    </row>
    <row r="8">
      <c r="A8" t="inlineStr">
        <is>
          <t>Custo da receita (divulgado positivo) - 3M (10-Q) [us-gaap:CostOfRevenue] · memoria · unid. moeda</t>
        </is>
      </c>
      <c r="C8" t="inlineStr">
        <is>
          <t>[linha bruta, sem código; lançada nas linhas abaixo]</t>
        </is>
      </c>
      <c r="D8" s="265" t="n">
        <v>2032000</v>
      </c>
      <c r="E8" s="265" t="n">
        <v>2292000</v>
      </c>
      <c r="F8" s="265" t="n">
        <v>2472000</v>
      </c>
      <c r="G8" s="265" t="n"/>
      <c r="I8" s="265" t="n">
        <v>2857000</v>
      </c>
      <c r="J8" s="265" t="n">
        <v>3789000</v>
      </c>
      <c r="K8" s="265" t="n">
        <v>2754000</v>
      </c>
      <c r="L8" s="265" t="n"/>
      <c r="N8" s="265" t="n">
        <v>2544000</v>
      </c>
      <c r="O8" s="265" t="n">
        <v>4045000</v>
      </c>
      <c r="P8" s="265" t="n">
        <v>4720000</v>
      </c>
      <c r="Q8" s="265" t="n"/>
      <c r="S8" s="265" t="n">
        <v>5638000</v>
      </c>
      <c r="T8" s="265" t="n">
        <v>7466000</v>
      </c>
      <c r="U8" s="265" t="n">
        <v>8926000</v>
      </c>
      <c r="V8" s="265" t="n"/>
      <c r="X8" s="265" t="n">
        <v>17394000</v>
      </c>
      <c r="Y8" s="265" t="n">
        <v>12890000</v>
      </c>
      <c r="Z8" s="265" t="n">
        <v>15157000</v>
      </c>
      <c r="AA8" s="265" t="n"/>
      <c r="AC8" s="265" t="n">
        <v>20458000</v>
      </c>
      <c r="AD8" s="265" t="n">
        <v>24079000</v>
      </c>
    </row>
    <row r="9">
      <c r="A9" t="inlineStr">
        <is>
          <t>Custo da receita (divulgado positivo) - ano fiscal 12M (10-K; na coluna do 4T) · memoria · unid. moeda</t>
        </is>
      </c>
      <c r="C9" t="inlineStr">
        <is>
          <t>[linha bruta, sem código; lançada nas linhas abaixo]</t>
        </is>
      </c>
      <c r="D9" s="265" t="n"/>
      <c r="E9" s="265" t="n"/>
      <c r="F9" s="265" t="n"/>
      <c r="G9" s="265" t="n">
        <v>9439000</v>
      </c>
      <c r="I9" s="265" t="n"/>
      <c r="J9" s="265" t="n"/>
      <c r="K9" s="265" t="n"/>
      <c r="L9" s="265" t="n">
        <v>11618000</v>
      </c>
      <c r="N9" s="265" t="n"/>
      <c r="O9" s="265" t="n"/>
      <c r="P9" s="265" t="n"/>
      <c r="Q9" s="265" t="n">
        <v>16621000</v>
      </c>
      <c r="S9" s="265" t="n"/>
      <c r="T9" s="265" t="n"/>
      <c r="U9" s="265" t="n"/>
      <c r="V9" s="265" t="n">
        <v>32639000</v>
      </c>
      <c r="X9" s="265" t="n"/>
      <c r="Y9" s="265" t="n"/>
      <c r="Z9" s="265" t="n"/>
      <c r="AA9" s="265" t="n">
        <v>62475000</v>
      </c>
      <c r="AC9" s="265" t="n"/>
      <c r="AD9" s="265" t="n"/>
    </row>
    <row r="10">
      <c r="A10" t="inlineStr">
        <is>
          <t>Custo da receita (divulgado positivo) - 9M acumulado (10-Q de out; na coluna do 3T) · memoria · unid. moeda</t>
        </is>
      </c>
      <c r="C10" t="inlineStr">
        <is>
          <t>[linha bruta, sem código; lançada nas linhas abaixo]</t>
        </is>
      </c>
      <c r="D10" s="265" t="n"/>
      <c r="E10" s="265" t="n"/>
      <c r="F10" s="265" t="n">
        <v>6795000</v>
      </c>
      <c r="G10" s="265" t="n"/>
      <c r="I10" s="265" t="n"/>
      <c r="J10" s="265" t="n"/>
      <c r="K10" s="265" t="n">
        <v>9400000</v>
      </c>
      <c r="L10" s="265" t="n"/>
      <c r="N10" s="265" t="n"/>
      <c r="O10" s="265" t="n"/>
      <c r="P10" s="265" t="n">
        <v>11309000</v>
      </c>
      <c r="Q10" s="265" t="n"/>
      <c r="S10" s="265" t="n"/>
      <c r="T10" s="265" t="n"/>
      <c r="U10" s="265" t="n">
        <v>22031000</v>
      </c>
      <c r="V10" s="265" t="n"/>
      <c r="X10" s="265" t="n"/>
      <c r="Y10" s="265" t="n"/>
      <c r="Z10" s="265" t="n">
        <v>45441000</v>
      </c>
      <c r="AA10" s="265" t="n"/>
      <c r="AC10" s="265" t="n"/>
      <c r="AD10" s="265" t="n"/>
    </row>
    <row r="11">
      <c r="A11" t="inlineStr">
        <is>
          <t>Despesas operacionais totais = P&amp;D + SG&amp;A (+ custo de rescisão da aquisição da Arm no FQ1 FY23) (divulgado positivo) - 3M (10-Q) [us-gaap:OperatingExpenses] · memoria · unid. moeda</t>
        </is>
      </c>
      <c r="C11" t="inlineStr">
        <is>
          <t>[linha bruta, sem código; lançada nas linhas abaixo]</t>
        </is>
      </c>
      <c r="D11" s="265" t="n">
        <v>1673000</v>
      </c>
      <c r="E11" s="265" t="n">
        <v>1771000</v>
      </c>
      <c r="F11" s="265" t="n">
        <v>1960000</v>
      </c>
      <c r="G11" s="265" t="n"/>
      <c r="I11" s="265" t="n">
        <v>3563000</v>
      </c>
      <c r="J11" s="265" t="n">
        <v>2416000</v>
      </c>
      <c r="K11" s="265" t="n">
        <v>2576000</v>
      </c>
      <c r="L11" s="265" t="n"/>
      <c r="N11" s="265" t="n">
        <v>2508000</v>
      </c>
      <c r="O11" s="265" t="n">
        <v>2662000</v>
      </c>
      <c r="P11" s="265" t="n">
        <v>2983000</v>
      </c>
      <c r="Q11" s="265" t="n"/>
      <c r="S11" s="265" t="n">
        <v>3497000</v>
      </c>
      <c r="T11" s="265" t="n">
        <v>3932000</v>
      </c>
      <c r="U11" s="265" t="n">
        <v>4287000</v>
      </c>
      <c r="V11" s="265" t="n"/>
      <c r="X11" s="265" t="n">
        <v>5030000</v>
      </c>
      <c r="Y11" s="265" t="n">
        <v>5413000</v>
      </c>
      <c r="Z11" s="265" t="n">
        <v>5839000</v>
      </c>
      <c r="AA11" s="265" t="n"/>
      <c r="AC11" s="265" t="n">
        <v>7621000</v>
      </c>
      <c r="AD11" s="265" t="n">
        <v>8408000</v>
      </c>
    </row>
    <row r="12">
      <c r="A12" t="inlineStr">
        <is>
          <t>Despesas operacionais totais = P&amp;D + SG&amp;A (+ custo de rescisão da aquisição da Arm no FQ1 FY23) (divulgado positivo) - ano fiscal 12M (10-K; na coluna do 4T) · memoria · unid. moeda</t>
        </is>
      </c>
      <c r="C12" t="inlineStr">
        <is>
          <t>[linha bruta, sem código; lançada nas linhas abaixo]</t>
        </is>
      </c>
      <c r="D12" s="265" t="n"/>
      <c r="E12" s="265" t="n"/>
      <c r="F12" s="265" t="n"/>
      <c r="G12" s="265" t="n">
        <v>7434000</v>
      </c>
      <c r="I12" s="265" t="n"/>
      <c r="J12" s="265" t="n"/>
      <c r="K12" s="265" t="n"/>
      <c r="L12" s="265" t="n">
        <v>11132000</v>
      </c>
      <c r="N12" s="265" t="n"/>
      <c r="O12" s="265" t="n"/>
      <c r="P12" s="265" t="n"/>
      <c r="Q12" s="265" t="n">
        <v>11329000</v>
      </c>
      <c r="S12" s="265" t="n"/>
      <c r="T12" s="265" t="n"/>
      <c r="U12" s="265" t="n"/>
      <c r="V12" s="265" t="n">
        <v>16405000</v>
      </c>
      <c r="X12" s="265" t="n"/>
      <c r="Y12" s="265" t="n"/>
      <c r="Z12" s="265" t="n"/>
      <c r="AA12" s="265" t="n">
        <v>23076000</v>
      </c>
      <c r="AC12" s="265" t="n"/>
      <c r="AD12" s="265" t="n"/>
    </row>
    <row r="13">
      <c r="A13" t="inlineStr">
        <is>
          <t>Despesas operacionais totais = P&amp;D + SG&amp;A (+ custo de rescisão da aquisição da Arm no FQ1 FY23) (divulgado positivo) - 9M acumulado (10-Q de out; na coluna do 3T) · memoria · unid. moeda</t>
        </is>
      </c>
      <c r="C13" t="inlineStr">
        <is>
          <t>[linha bruta, sem código; lançada nas linhas abaixo]</t>
        </is>
      </c>
      <c r="D13" s="265" t="n"/>
      <c r="E13" s="265" t="n"/>
      <c r="F13" s="265" t="n">
        <v>5405000</v>
      </c>
      <c r="G13" s="265" t="n"/>
      <c r="I13" s="265" t="n"/>
      <c r="J13" s="265" t="n"/>
      <c r="K13" s="265" t="n">
        <v>8555000</v>
      </c>
      <c r="L13" s="265" t="n"/>
      <c r="N13" s="265" t="n"/>
      <c r="O13" s="265" t="n"/>
      <c r="P13" s="265" t="n">
        <v>8152000</v>
      </c>
      <c r="Q13" s="265" t="n"/>
      <c r="S13" s="265" t="n"/>
      <c r="T13" s="265" t="n"/>
      <c r="U13" s="265" t="n">
        <v>11716000</v>
      </c>
      <c r="V13" s="265" t="n"/>
      <c r="X13" s="265" t="n"/>
      <c r="Y13" s="265" t="n"/>
      <c r="Z13" s="265" t="n">
        <v>16282000</v>
      </c>
      <c r="AA13" s="265" t="n"/>
      <c r="AC13" s="265" t="n"/>
      <c r="AD13" s="265" t="n"/>
    </row>
    <row r="14">
      <c r="A14" t="inlineStr">
        <is>
          <t>Resultado não operacional total = juros recebidos - juros pagos + outras (inclui ganhos/perdas em participações) - 3M (10-Q) [us-gaap:NonoperatingIncomeExpense] · memoria · unid. moeda</t>
        </is>
      </c>
      <c r="C14" t="inlineStr">
        <is>
          <t>[linha bruta, sem código; lançada nas linhas abaixo]</t>
        </is>
      </c>
      <c r="D14" s="265" t="n">
        <v>88000</v>
      </c>
      <c r="E14" s="265" t="n">
        <v>-50000</v>
      </c>
      <c r="F14" s="265" t="n">
        <v>-33000</v>
      </c>
      <c r="G14" s="265" t="n"/>
      <c r="I14" s="265" t="n">
        <v>-63000</v>
      </c>
      <c r="J14" s="265" t="n">
        <v>-24000</v>
      </c>
      <c r="K14" s="265" t="n">
        <v>12000</v>
      </c>
      <c r="L14" s="265" t="n"/>
      <c r="N14" s="265" t="n">
        <v>69000</v>
      </c>
      <c r="O14" s="265" t="n">
        <v>181000</v>
      </c>
      <c r="P14" s="265" t="n">
        <v>105000</v>
      </c>
      <c r="Q14" s="265" t="n"/>
      <c r="S14" s="265" t="n">
        <v>370000</v>
      </c>
      <c r="T14" s="265" t="n">
        <v>572000</v>
      </c>
      <c r="U14" s="265" t="n">
        <v>447000</v>
      </c>
      <c r="V14" s="265" t="n"/>
      <c r="X14" s="265" t="n">
        <v>272000</v>
      </c>
      <c r="Y14" s="265" t="n">
        <v>2766000</v>
      </c>
      <c r="Z14" s="265" t="n">
        <v>1926000</v>
      </c>
      <c r="AA14" s="265" t="n"/>
      <c r="AC14" s="265" t="n">
        <v>16367000</v>
      </c>
      <c r="AD14" s="265" t="n">
        <v>7773000</v>
      </c>
    </row>
    <row r="15">
      <c r="A15" t="inlineStr">
        <is>
          <t>Resultado não operacional total = juros recebidos - juros pagos + outras (inclui ganhos/perdas em participações) - ano fiscal 12M (10-K; na coluna do 4T) · memoria · unid. moeda</t>
        </is>
      </c>
      <c r="C15" t="inlineStr">
        <is>
          <t>[linha bruta, sem código; lançada nas linhas abaixo]</t>
        </is>
      </c>
      <c r="D15" s="265" t="n"/>
      <c r="E15" s="265" t="n"/>
      <c r="F15" s="265" t="n"/>
      <c r="G15" s="265" t="n">
        <v>-100000</v>
      </c>
      <c r="I15" s="265" t="n"/>
      <c r="J15" s="265" t="n"/>
      <c r="K15" s="265" t="n"/>
      <c r="L15" s="265" t="n">
        <v>-43000</v>
      </c>
      <c r="N15" s="265" t="n"/>
      <c r="O15" s="265" t="n"/>
      <c r="P15" s="265" t="n"/>
      <c r="Q15" s="265" t="n">
        <v>846000</v>
      </c>
      <c r="S15" s="265" t="n"/>
      <c r="T15" s="265" t="n"/>
      <c r="U15" s="265" t="n"/>
      <c r="V15" s="265" t="n">
        <v>2573000</v>
      </c>
      <c r="X15" s="265" t="n"/>
      <c r="Y15" s="265" t="n"/>
      <c r="Z15" s="265" t="n"/>
      <c r="AA15" s="265" t="n">
        <v>11063000</v>
      </c>
      <c r="AC15" s="265" t="n"/>
      <c r="AD15" s="265" t="n"/>
    </row>
    <row r="16">
      <c r="A16" t="inlineStr">
        <is>
          <t>Resultado não operacional total = juros recebidos - juros pagos + outras (inclui ganhos/perdas em participações) - 9M acumulado (10-Q de out; na coluna do 3T) · memoria · unid. moeda</t>
        </is>
      </c>
      <c r="C16" t="inlineStr">
        <is>
          <t>[linha bruta, sem código; lançada nas linhas abaixo]</t>
        </is>
      </c>
      <c r="D16" s="265" t="n"/>
      <c r="E16" s="265" t="n"/>
      <c r="F16" s="265" t="n">
        <v>5000</v>
      </c>
      <c r="G16" s="265" t="n"/>
      <c r="I16" s="265" t="n"/>
      <c r="J16" s="265" t="n"/>
      <c r="K16" s="265" t="n">
        <v>-75000</v>
      </c>
      <c r="L16" s="265" t="n"/>
      <c r="N16" s="265" t="n"/>
      <c r="O16" s="265" t="n"/>
      <c r="P16" s="265" t="n">
        <v>354000</v>
      </c>
      <c r="Q16" s="265" t="n"/>
      <c r="S16" s="265" t="n"/>
      <c r="T16" s="265" t="n"/>
      <c r="U16" s="265" t="n">
        <v>1390000</v>
      </c>
      <c r="V16" s="265" t="n"/>
      <c r="X16" s="265" t="n"/>
      <c r="Y16" s="265" t="n"/>
      <c r="Z16" s="265" t="n">
        <v>4964000</v>
      </c>
      <c r="AA16" s="265" t="n"/>
      <c r="AC16" s="265" t="n"/>
      <c r="AD16" s="265" t="n"/>
    </row>
    <row r="17">
      <c r="A17" t="inlineStr">
        <is>
          <t>Despesa de juros (divulgado positivo): COD1=5 lança a despesa; COD2=6 devolve ao não operacional, que já a contém - 3M (10-Q) [us-gaap:InterestExpense/InterestExpenseNonoperating] · memoria · unid. moeda</t>
        </is>
      </c>
      <c r="C17" t="inlineStr">
        <is>
          <t>[linha bruta, sem código; lançada nas linhas abaixo]</t>
        </is>
      </c>
      <c r="D17" s="265" t="n">
        <v>53000</v>
      </c>
      <c r="E17" s="265" t="n">
        <v>60000</v>
      </c>
      <c r="F17" s="265" t="n">
        <v>62000</v>
      </c>
      <c r="G17" s="265" t="n"/>
      <c r="I17" s="265" t="n">
        <v>68000</v>
      </c>
      <c r="J17" s="265" t="n">
        <v>65000</v>
      </c>
      <c r="K17" s="265" t="n">
        <v>65000</v>
      </c>
      <c r="L17" s="265" t="n"/>
      <c r="N17" s="265" t="n">
        <v>66000</v>
      </c>
      <c r="O17" s="265" t="n">
        <v>65000</v>
      </c>
      <c r="P17" s="265" t="n">
        <v>63000</v>
      </c>
      <c r="Q17" s="265" t="n"/>
      <c r="S17" s="265" t="n">
        <v>64000</v>
      </c>
      <c r="T17" s="265" t="n">
        <v>61000</v>
      </c>
      <c r="U17" s="265" t="n">
        <v>61000</v>
      </c>
      <c r="V17" s="265" t="n"/>
      <c r="X17" s="265" t="n">
        <v>63000</v>
      </c>
      <c r="Y17" s="265" t="n">
        <v>62000</v>
      </c>
      <c r="Z17" s="265" t="n">
        <v>61000</v>
      </c>
      <c r="AA17" s="265" t="n"/>
      <c r="AC17" s="265" t="n">
        <v>102000</v>
      </c>
      <c r="AD17" s="265" t="n">
        <v>227000</v>
      </c>
    </row>
    <row r="18">
      <c r="A18" t="inlineStr">
        <is>
          <t>Despesa de juros (divulgado positivo): COD1=5 lança a despesa; COD2=6 devolve ao não operacional, que já a contém - ano fiscal 12M (10-K; na coluna do 4T) · memoria · unid. moeda</t>
        </is>
      </c>
      <c r="C18" t="inlineStr">
        <is>
          <t>[linha bruta, sem código; lançada nas linhas abaixo]</t>
        </is>
      </c>
      <c r="D18" s="265" t="n"/>
      <c r="E18" s="265" t="n"/>
      <c r="F18" s="265" t="n"/>
      <c r="G18" s="265" t="n">
        <v>236000</v>
      </c>
      <c r="I18" s="265" t="n"/>
      <c r="J18" s="265" t="n"/>
      <c r="K18" s="265" t="n"/>
      <c r="L18" s="265" t="n">
        <v>262000</v>
      </c>
      <c r="N18" s="265" t="n"/>
      <c r="O18" s="265" t="n"/>
      <c r="P18" s="265" t="n"/>
      <c r="Q18" s="265" t="n">
        <v>257000</v>
      </c>
      <c r="S18" s="265" t="n"/>
      <c r="T18" s="265" t="n"/>
      <c r="U18" s="265" t="n"/>
      <c r="V18" s="265" t="n">
        <v>247000</v>
      </c>
      <c r="X18" s="265" t="n"/>
      <c r="Y18" s="265" t="n"/>
      <c r="Z18" s="265" t="n"/>
      <c r="AA18" s="265" t="n">
        <v>259000</v>
      </c>
      <c r="AC18" s="265" t="n"/>
      <c r="AD18" s="265" t="n"/>
    </row>
    <row r="19">
      <c r="A19" t="inlineStr">
        <is>
          <t>Despesa de juros (divulgado positivo): COD1=5 lança a despesa; COD2=6 devolve ao não operacional, que já a contém - 9M acumulado (10-Q de out; na coluna do 3T) · memoria · unid. moeda</t>
        </is>
      </c>
      <c r="C19" t="inlineStr">
        <is>
          <t>[linha bruta, sem código; lançada nas linhas abaixo]</t>
        </is>
      </c>
      <c r="D19" s="265" t="n"/>
      <c r="E19" s="265" t="n"/>
      <c r="F19" s="265" t="n">
        <v>175000</v>
      </c>
      <c r="G19" s="265" t="n"/>
      <c r="I19" s="265" t="n"/>
      <c r="J19" s="265" t="n"/>
      <c r="K19" s="265" t="n">
        <v>198000</v>
      </c>
      <c r="L19" s="265" t="n"/>
      <c r="N19" s="265" t="n"/>
      <c r="O19" s="265" t="n"/>
      <c r="P19" s="265" t="n">
        <v>194000</v>
      </c>
      <c r="Q19" s="265" t="n"/>
      <c r="S19" s="265" t="n"/>
      <c r="T19" s="265" t="n"/>
      <c r="U19" s="265" t="n">
        <v>186000</v>
      </c>
      <c r="V19" s="265" t="n"/>
      <c r="X19" s="265" t="n"/>
      <c r="Y19" s="265" t="n"/>
      <c r="Z19" s="265" t="n">
        <v>186000</v>
      </c>
      <c r="AA19" s="265" t="n"/>
      <c r="AC19" s="265" t="n"/>
      <c r="AD19" s="265" t="n"/>
    </row>
    <row r="20">
      <c r="A20" t="inlineStr">
        <is>
          <t>Receita de juros (memória; dentro do não operacional) - 3M (10-Q) [us-gaap:InvestmentIncomeInterest] · memoria · unid. moeda</t>
        </is>
      </c>
      <c r="C20" t="inlineStr">
        <is>
          <t>[linha bruta, sem código; lançada nas linhas abaixo]</t>
        </is>
      </c>
      <c r="D20" s="265" t="n">
        <v>6000</v>
      </c>
      <c r="E20" s="265" t="n">
        <v>6000</v>
      </c>
      <c r="F20" s="265" t="n">
        <v>7000</v>
      </c>
      <c r="G20" s="265" t="n"/>
      <c r="I20" s="265" t="n">
        <v>18000</v>
      </c>
      <c r="J20" s="265" t="n">
        <v>46000</v>
      </c>
      <c r="K20" s="265" t="n">
        <v>88000</v>
      </c>
      <c r="L20" s="265" t="n"/>
      <c r="N20" s="265" t="n">
        <v>150000</v>
      </c>
      <c r="O20" s="265" t="n">
        <v>187000</v>
      </c>
      <c r="P20" s="265" t="n">
        <v>234000</v>
      </c>
      <c r="Q20" s="265" t="n"/>
      <c r="S20" s="265" t="n">
        <v>359000</v>
      </c>
      <c r="T20" s="265" t="n">
        <v>444000</v>
      </c>
      <c r="U20" s="265" t="n">
        <v>472000</v>
      </c>
      <c r="V20" s="265" t="n"/>
      <c r="X20" s="265" t="n">
        <v>515000</v>
      </c>
      <c r="Y20" s="265" t="n">
        <v>592000</v>
      </c>
      <c r="Z20" s="265" t="n">
        <v>624000</v>
      </c>
      <c r="AA20" s="265" t="n"/>
      <c r="AC20" s="265" t="n">
        <v>540000</v>
      </c>
      <c r="AD20" s="265" t="n">
        <v>496000</v>
      </c>
    </row>
    <row r="21">
      <c r="A21" t="inlineStr">
        <is>
          <t>Receita de juros (memória; dentro do não operacional) - ano fiscal 12M (10-K; na coluna do 4T) · memoria · unid. moeda</t>
        </is>
      </c>
      <c r="C21" t="inlineStr">
        <is>
          <t>[linha bruta, sem código; lançada nas linhas abaixo]</t>
        </is>
      </c>
      <c r="D21" s="265" t="n"/>
      <c r="E21" s="265" t="n"/>
      <c r="F21" s="265" t="n"/>
      <c r="G21" s="265" t="n">
        <v>29000</v>
      </c>
      <c r="I21" s="265" t="n"/>
      <c r="J21" s="265" t="n"/>
      <c r="K21" s="265" t="n"/>
      <c r="L21" s="265" t="n">
        <v>267000</v>
      </c>
      <c r="N21" s="265" t="n"/>
      <c r="O21" s="265" t="n"/>
      <c r="P21" s="265" t="n"/>
      <c r="Q21" s="265" t="n">
        <v>866000</v>
      </c>
      <c r="S21" s="265" t="n"/>
      <c r="T21" s="265" t="n"/>
      <c r="U21" s="265" t="n"/>
      <c r="V21" s="265" t="n">
        <v>1786000</v>
      </c>
      <c r="X21" s="265" t="n"/>
      <c r="Y21" s="265" t="n"/>
      <c r="Z21" s="265" t="n"/>
      <c r="AA21" s="265" t="n">
        <v>2300000</v>
      </c>
      <c r="AC21" s="265" t="n"/>
      <c r="AD21" s="265" t="n"/>
    </row>
    <row r="22">
      <c r="A22" t="inlineStr">
        <is>
          <t>Receita de juros (memória; dentro do não operacional) - 9M acumulado (10-Q de out; na coluna do 3T) · memoria · unid. moeda</t>
        </is>
      </c>
      <c r="C22" t="inlineStr">
        <is>
          <t>[linha bruta, sem código; lançada nas linhas abaixo]</t>
        </is>
      </c>
      <c r="D22" s="265" t="n"/>
      <c r="E22" s="265" t="n"/>
      <c r="F22" s="265" t="n">
        <v>20000</v>
      </c>
      <c r="G22" s="265" t="n"/>
      <c r="I22" s="265" t="n"/>
      <c r="J22" s="265" t="n"/>
      <c r="K22" s="265" t="n">
        <v>152000</v>
      </c>
      <c r="L22" s="265" t="n"/>
      <c r="N22" s="265" t="n"/>
      <c r="O22" s="265" t="n"/>
      <c r="P22" s="265" t="n">
        <v>572000</v>
      </c>
      <c r="Q22" s="265" t="n"/>
      <c r="S22" s="265" t="n"/>
      <c r="T22" s="265" t="n"/>
      <c r="U22" s="265" t="n">
        <v>1275000</v>
      </c>
      <c r="V22" s="265" t="n"/>
      <c r="X22" s="265" t="n"/>
      <c r="Y22" s="265" t="n"/>
      <c r="Z22" s="265" t="n">
        <v>1732000</v>
      </c>
      <c r="AA22" s="265" t="n"/>
      <c r="AC22" s="265" t="n"/>
      <c r="AD22" s="265" t="n"/>
    </row>
    <row r="23">
      <c r="A23" t="inlineStr">
        <is>
          <t>Imposto de renda (divulgado positivo) - 3M (10-Q) [us-gaap:IncomeTaxExpenseBenefit] · memoria · unid. moeda</t>
        </is>
      </c>
      <c r="C23" t="inlineStr">
        <is>
          <t>[linha bruta, sem código; lançada nas linhas abaixo]</t>
        </is>
      </c>
      <c r="D23" s="265" t="n">
        <v>132000</v>
      </c>
      <c r="E23" s="265" t="n">
        <v>20000</v>
      </c>
      <c r="F23" s="265" t="n">
        <v>174000</v>
      </c>
      <c r="G23" s="265" t="n"/>
      <c r="I23" s="265" t="n">
        <v>187000</v>
      </c>
      <c r="J23" s="265" t="n">
        <v>-181000</v>
      </c>
      <c r="K23" s="265" t="n">
        <v>-67000</v>
      </c>
      <c r="L23" s="265" t="n"/>
      <c r="N23" s="265" t="n">
        <v>166000</v>
      </c>
      <c r="O23" s="265" t="n">
        <v>793000</v>
      </c>
      <c r="P23" s="265" t="n">
        <v>1279000</v>
      </c>
      <c r="Q23" s="265" t="n"/>
      <c r="S23" s="265" t="n">
        <v>2398000</v>
      </c>
      <c r="T23" s="265" t="n">
        <v>2615000</v>
      </c>
      <c r="U23" s="265" t="n">
        <v>3007000</v>
      </c>
      <c r="V23" s="265" t="n"/>
      <c r="X23" s="265" t="n">
        <v>3135000</v>
      </c>
      <c r="Y23" s="265" t="n">
        <v>4784000</v>
      </c>
      <c r="Z23" s="265" t="n">
        <v>6026000</v>
      </c>
      <c r="AA23" s="265" t="n"/>
      <c r="AC23" s="265" t="n">
        <v>11582000</v>
      </c>
      <c r="AD23" s="265" t="n">
        <v>11819000</v>
      </c>
    </row>
    <row r="24">
      <c r="A24" t="inlineStr">
        <is>
          <t>Imposto de renda (divulgado positivo) - ano fiscal 12M (10-K; na coluna do 4T) · memoria · unid. moeda</t>
        </is>
      </c>
      <c r="C24" t="inlineStr">
        <is>
          <t>[linha bruta, sem código; lançada nas linhas abaixo]</t>
        </is>
      </c>
      <c r="D24" s="265" t="n"/>
      <c r="E24" s="265" t="n"/>
      <c r="F24" s="265" t="n"/>
      <c r="G24" s="265" t="n">
        <v>189000</v>
      </c>
      <c r="I24" s="265" t="n"/>
      <c r="J24" s="265" t="n"/>
      <c r="K24" s="265" t="n"/>
      <c r="L24" s="265" t="n">
        <v>-187000</v>
      </c>
      <c r="N24" s="265" t="n"/>
      <c r="O24" s="265" t="n"/>
      <c r="P24" s="265" t="n"/>
      <c r="Q24" s="265" t="n">
        <v>4058000</v>
      </c>
      <c r="S24" s="265" t="n"/>
      <c r="T24" s="265" t="n"/>
      <c r="U24" s="265" t="n"/>
      <c r="V24" s="265" t="n">
        <v>11146000</v>
      </c>
      <c r="X24" s="265" t="n"/>
      <c r="Y24" s="265" t="n"/>
      <c r="Z24" s="265" t="n"/>
      <c r="AA24" s="265" t="n">
        <v>21383000</v>
      </c>
      <c r="AC24" s="265" t="n"/>
      <c r="AD24" s="265" t="n"/>
    </row>
    <row r="25">
      <c r="A25" t="inlineStr">
        <is>
          <t>Imposto de renda (divulgado positivo) - 9M acumulado (10-Q de out; na coluna do 3T) · memoria · unid. moeda</t>
        </is>
      </c>
      <c r="C25" t="inlineStr">
        <is>
          <t>[linha bruta, sem código; lançada nas linhas abaixo]</t>
        </is>
      </c>
      <c r="D25" s="265" t="n"/>
      <c r="E25" s="265" t="n"/>
      <c r="F25" s="265" t="n">
        <v>327000</v>
      </c>
      <c r="G25" s="265" t="n"/>
      <c r="I25" s="265" t="n"/>
      <c r="J25" s="265" t="n"/>
      <c r="K25" s="265" t="n">
        <v>-61000</v>
      </c>
      <c r="L25" s="265" t="n"/>
      <c r="N25" s="265" t="n"/>
      <c r="O25" s="265" t="n"/>
      <c r="P25" s="265" t="n">
        <v>2237000</v>
      </c>
      <c r="Q25" s="265" t="n"/>
      <c r="S25" s="265" t="n"/>
      <c r="T25" s="265" t="n"/>
      <c r="U25" s="265" t="n">
        <v>8020000</v>
      </c>
      <c r="V25" s="265" t="n"/>
      <c r="X25" s="265" t="n"/>
      <c r="Y25" s="265" t="n"/>
      <c r="Z25" s="265" t="n">
        <v>13945000</v>
      </c>
      <c r="AA25" s="265" t="n"/>
      <c r="AC25" s="265" t="n"/>
      <c r="AD25" s="265" t="n"/>
    </row>
    <row r="26">
      <c r="A26" t="inlineStr">
        <is>
          <t>Lucro líquido - 3M (10-Q) [us-gaap:NetIncomeLoss] · memoria · unid. moeda</t>
        </is>
      </c>
      <c r="C26" t="inlineStr">
        <is>
          <t>[linha bruta, sem código; lançada nas linhas abaixo]</t>
        </is>
      </c>
      <c r="D26" s="265" t="n">
        <v>1912000</v>
      </c>
      <c r="E26" s="265" t="n">
        <v>2374000</v>
      </c>
      <c r="F26" s="265" t="n">
        <v>2464000</v>
      </c>
      <c r="G26" s="265" t="n"/>
      <c r="I26" s="265" t="n">
        <v>1618000</v>
      </c>
      <c r="J26" s="265" t="n">
        <v>656000</v>
      </c>
      <c r="K26" s="265" t="n">
        <v>680000</v>
      </c>
      <c r="L26" s="265" t="n"/>
      <c r="N26" s="265" t="n">
        <v>2043000</v>
      </c>
      <c r="O26" s="265" t="n">
        <v>6188000</v>
      </c>
      <c r="P26" s="265" t="n">
        <v>9243000</v>
      </c>
      <c r="Q26" s="265" t="n"/>
      <c r="S26" s="265" t="n">
        <v>14881000</v>
      </c>
      <c r="T26" s="265" t="n">
        <v>16599000</v>
      </c>
      <c r="U26" s="265" t="n">
        <v>19309000</v>
      </c>
      <c r="V26" s="265" t="n"/>
      <c r="X26" s="265" t="n">
        <v>18775000</v>
      </c>
      <c r="Y26" s="265" t="n">
        <v>26422000</v>
      </c>
      <c r="Z26" s="265" t="n">
        <v>31910000</v>
      </c>
      <c r="AA26" s="265" t="n"/>
      <c r="AC26" s="265" t="n">
        <v>58321000</v>
      </c>
      <c r="AD26" s="265" t="n">
        <v>59688000</v>
      </c>
    </row>
    <row r="27">
      <c r="A27" t="inlineStr">
        <is>
          <t>Lucro líquido - ano fiscal 12M (10-K; na coluna do 4T) · memoria · unid. moeda</t>
        </is>
      </c>
      <c r="C27" t="inlineStr">
        <is>
          <t>[linha bruta, sem código; lançada nas linhas abaixo]</t>
        </is>
      </c>
      <c r="D27" s="265" t="n"/>
      <c r="E27" s="265" t="n"/>
      <c r="F27" s="265" t="n"/>
      <c r="G27" s="265" t="n">
        <v>9752000</v>
      </c>
      <c r="I27" s="265" t="n"/>
      <c r="J27" s="265" t="n"/>
      <c r="K27" s="265" t="n"/>
      <c r="L27" s="265" t="n">
        <v>4368000</v>
      </c>
      <c r="N27" s="265" t="n"/>
      <c r="O27" s="265" t="n"/>
      <c r="P27" s="265" t="n"/>
      <c r="Q27" s="265" t="n">
        <v>29760000</v>
      </c>
      <c r="S27" s="265" t="n"/>
      <c r="T27" s="265" t="n"/>
      <c r="U27" s="265" t="n"/>
      <c r="V27" s="265" t="n">
        <v>72880000</v>
      </c>
      <c r="X27" s="265" t="n"/>
      <c r="Y27" s="265" t="n"/>
      <c r="Z27" s="265" t="n"/>
      <c r="AA27" s="265" t="n">
        <v>120067000</v>
      </c>
      <c r="AC27" s="265" t="n"/>
      <c r="AD27" s="265" t="n"/>
    </row>
    <row r="28">
      <c r="A28" t="inlineStr">
        <is>
          <t>Lucro líquido - 9M acumulado (10-Q de out; na coluna do 3T) · memoria · unid. moeda</t>
        </is>
      </c>
      <c r="C28" t="inlineStr">
        <is>
          <t>[linha bruta, sem código; lançada nas linhas abaixo]</t>
        </is>
      </c>
      <c r="D28" s="265" t="n"/>
      <c r="E28" s="265" t="n"/>
      <c r="F28" s="265" t="n">
        <v>6749000</v>
      </c>
      <c r="G28" s="265" t="n"/>
      <c r="I28" s="265" t="n"/>
      <c r="J28" s="265" t="n"/>
      <c r="K28" s="265" t="n">
        <v>2954000</v>
      </c>
      <c r="L28" s="265" t="n"/>
      <c r="N28" s="265" t="n"/>
      <c r="O28" s="265" t="n"/>
      <c r="P28" s="265" t="n">
        <v>17475000</v>
      </c>
      <c r="Q28" s="265" t="n"/>
      <c r="S28" s="265" t="n"/>
      <c r="T28" s="265" t="n"/>
      <c r="U28" s="265" t="n">
        <v>50789000</v>
      </c>
      <c r="V28" s="265" t="n"/>
      <c r="X28" s="265" t="n"/>
      <c r="Y28" s="265" t="n"/>
      <c r="Z28" s="265" t="n">
        <v>77107000</v>
      </c>
      <c r="AA28" s="265" t="n"/>
      <c r="AC28" s="265" t="n"/>
      <c r="AD28" s="265" t="n"/>
    </row>
    <row r="29">
      <c r="A29" t="inlineStr">
        <is>
          <t>DRE TRIMESTRALIZADA (derivada por fórmula): 4T calendário (nov-jan) = ano fiscal - 9M</t>
        </is>
      </c>
      <c r="C29" t="inlineStr">
        <is>
          <t>[linha bruta, sem código; lançada nas linhas abaixo]</t>
        </is>
      </c>
      <c r="D29" s="265" t="n"/>
      <c r="E29" s="265" t="n"/>
      <c r="F29" s="265" t="n"/>
      <c r="G29" s="265" t="n"/>
      <c r="I29" s="265" t="n"/>
      <c r="J29" s="265" t="n"/>
      <c r="K29" s="265" t="n"/>
      <c r="L29" s="265" t="n"/>
      <c r="N29" s="265" t="n"/>
      <c r="O29" s="265" t="n"/>
      <c r="P29" s="265" t="n"/>
      <c r="Q29" s="265" t="n"/>
      <c r="S29" s="265" t="n"/>
      <c r="T29" s="265" t="n"/>
      <c r="U29" s="265" t="n"/>
      <c r="V29" s="265" t="n"/>
      <c r="X29" s="265" t="n"/>
      <c r="Y29" s="265" t="n"/>
      <c r="Z29" s="265" t="n"/>
      <c r="AA29" s="265" t="n"/>
      <c r="AC29" s="265" t="n"/>
      <c r="AD29" s="265" t="n"/>
    </row>
    <row r="30">
      <c r="A30" t="inlineStr">
        <is>
          <t>Receita (revenue) - trimestre · derivada · unid. moeda</t>
        </is>
      </c>
      <c r="B30" t="n">
        <v>1</v>
      </c>
      <c r="C30" t="inlineStr">
        <is>
          <t>Net Revenues</t>
        </is>
      </c>
      <c r="D30" s="265">
        <f>D5</f>
        <v>5661000</v>
      </c>
      <c r="E30" s="265">
        <f>E5</f>
        <v>6507000</v>
      </c>
      <c r="F30" s="265">
        <f>F5</f>
        <v>7103000</v>
      </c>
      <c r="G30" s="265">
        <f>N(G6)-N(F7)</f>
        <v>7643000</v>
      </c>
      <c r="I30" s="265">
        <f>I5</f>
        <v>8288000</v>
      </c>
      <c r="J30" s="265">
        <f>J5</f>
        <v>6704000</v>
      </c>
      <c r="K30" s="265">
        <f>K5</f>
        <v>5931000</v>
      </c>
      <c r="L30" s="265">
        <f>N(L6)-N(K7)</f>
        <v>6051000</v>
      </c>
      <c r="N30" s="265">
        <f>N5</f>
        <v>7192000</v>
      </c>
      <c r="O30" s="265">
        <f>O5</f>
        <v>13507000</v>
      </c>
      <c r="P30" s="265">
        <f>P5</f>
        <v>18120000</v>
      </c>
      <c r="Q30" s="265">
        <f>N(Q6)-N(P7)</f>
        <v>22103000</v>
      </c>
      <c r="S30" s="265">
        <f>S5</f>
        <v>26044000</v>
      </c>
      <c r="T30" s="265">
        <f>T5</f>
        <v>30040000</v>
      </c>
      <c r="U30" s="265">
        <f>U5</f>
        <v>35082000</v>
      </c>
      <c r="V30" s="265">
        <f>N(V6)-N(U7)</f>
        <v>39331000</v>
      </c>
      <c r="X30" s="265">
        <f>X5</f>
        <v>44062000</v>
      </c>
      <c r="Y30" s="265">
        <f>Y5</f>
        <v>46743000</v>
      </c>
      <c r="Z30" s="265">
        <f>Z5</f>
        <v>57006000</v>
      </c>
      <c r="AA30" s="265">
        <f>N(AA6)-N(Z7)</f>
        <v>68127000</v>
      </c>
      <c r="AC30" s="265">
        <f>AC5</f>
        <v>81615000</v>
      </c>
      <c r="AD30" s="265">
        <f>AD5</f>
        <v>96221000</v>
      </c>
    </row>
    <row r="31">
      <c r="A31" t="inlineStr">
        <is>
          <t>Custo da receita (divulgado positivo) - trimestre · derivada · unid. moeda</t>
        </is>
      </c>
      <c r="C31" t="inlineStr">
        <is>
          <t>[linha bruta, sem código; lançada nas linhas abaixo]</t>
        </is>
      </c>
      <c r="D31" s="265">
        <f>D8</f>
        <v>2032000</v>
      </c>
      <c r="E31" s="265">
        <f>E8</f>
        <v>2292000</v>
      </c>
      <c r="F31" s="265">
        <f>F8</f>
        <v>2472000</v>
      </c>
      <c r="G31" s="265">
        <f>N(G9)-N(F10)</f>
        <v>2644000</v>
      </c>
      <c r="I31" s="265">
        <f>I8</f>
        <v>2857000</v>
      </c>
      <c r="J31" s="265">
        <f>J8</f>
        <v>3789000</v>
      </c>
      <c r="K31" s="265">
        <f>K8</f>
        <v>2754000</v>
      </c>
      <c r="L31" s="265">
        <f>N(L9)-N(K10)</f>
        <v>2218000</v>
      </c>
      <c r="N31" s="265">
        <f>N8</f>
        <v>2544000</v>
      </c>
      <c r="O31" s="265">
        <f>O8</f>
        <v>4045000</v>
      </c>
      <c r="P31" s="265">
        <f>P8</f>
        <v>4720000</v>
      </c>
      <c r="Q31" s="265">
        <f>N(Q9)-N(P10)</f>
        <v>5312000</v>
      </c>
      <c r="S31" s="265">
        <f>S8</f>
        <v>5638000</v>
      </c>
      <c r="T31" s="265">
        <f>T8</f>
        <v>7466000</v>
      </c>
      <c r="U31" s="265">
        <f>U8</f>
        <v>8926000</v>
      </c>
      <c r="V31" s="265">
        <f>N(V9)-N(U10)</f>
        <v>10608000</v>
      </c>
      <c r="X31" s="265">
        <f>X8</f>
        <v>17394000</v>
      </c>
      <c r="Y31" s="265">
        <f>Y8</f>
        <v>12890000</v>
      </c>
      <c r="Z31" s="265">
        <f>Z8</f>
        <v>15157000</v>
      </c>
      <c r="AA31" s="265">
        <f>N(AA9)-N(Z10)</f>
        <v>17034000</v>
      </c>
      <c r="AC31" s="265">
        <f>AC8</f>
        <v>20458000</v>
      </c>
      <c r="AD31" s="265">
        <f>AD8</f>
        <v>24079000</v>
      </c>
    </row>
    <row r="32">
      <c r="A32" t="inlineStr">
        <is>
          <t>(lançamento) código 2, sinal -1 sobre a linha bruta 31: Custo da receita (divulgado positivo) - trimestre</t>
        </is>
      </c>
      <c r="B32" t="n">
        <v>2</v>
      </c>
      <c r="C32" t="inlineStr">
        <is>
          <t>COGS (cash)</t>
        </is>
      </c>
      <c r="D32" s="265">
        <f>IF(D31="","",-1*D31)</f>
        <v>-2032000</v>
      </c>
      <c r="E32" s="265">
        <f>IF(E31="","",-1*E31)</f>
        <v>-2292000</v>
      </c>
      <c r="F32" s="265">
        <f>IF(F31="","",-1*F31)</f>
        <v>-2472000</v>
      </c>
      <c r="G32" s="265">
        <f>IF(G31="","",-1*G31)</f>
        <v>-2644000</v>
      </c>
      <c r="I32" s="265">
        <f>IF(I31="","",-1*I31)</f>
        <v>-2857000</v>
      </c>
      <c r="J32" s="265">
        <f>IF(J31="","",-1*J31)</f>
        <v>-3789000</v>
      </c>
      <c r="K32" s="265">
        <f>IF(K31="","",-1*K31)</f>
        <v>-2754000</v>
      </c>
      <c r="L32" s="265">
        <f>IF(L31="","",-1*L31)</f>
        <v>-2218000</v>
      </c>
      <c r="N32" s="265">
        <f>IF(N31="","",-1*N31)</f>
        <v>-2544000</v>
      </c>
      <c r="O32" s="265">
        <f>IF(O31="","",-1*O31)</f>
        <v>-4045000</v>
      </c>
      <c r="P32" s="265">
        <f>IF(P31="","",-1*P31)</f>
        <v>-4720000</v>
      </c>
      <c r="Q32" s="265">
        <f>IF(Q31="","",-1*Q31)</f>
        <v>-5312000</v>
      </c>
      <c r="S32" s="265">
        <f>IF(S31="","",-1*S31)</f>
        <v>-5638000</v>
      </c>
      <c r="T32" s="265">
        <f>IF(T31="","",-1*T31)</f>
        <v>-7466000</v>
      </c>
      <c r="U32" s="265">
        <f>IF(U31="","",-1*U31)</f>
        <v>-8926000</v>
      </c>
      <c r="V32" s="265">
        <f>IF(V31="","",-1*V31)</f>
        <v>-10608000</v>
      </c>
      <c r="X32" s="265">
        <f>IF(X31="","",-1*X31)</f>
        <v>-17394000</v>
      </c>
      <c r="Y32" s="265">
        <f>IF(Y31="","",-1*Y31)</f>
        <v>-12890000</v>
      </c>
      <c r="Z32" s="265">
        <f>IF(Z31="","",-1*Z31)</f>
        <v>-15157000</v>
      </c>
      <c r="AA32" s="265">
        <f>IF(AA31="","",-1*AA31)</f>
        <v>-17034000</v>
      </c>
      <c r="AC32" s="265">
        <f>IF(AC31="","",-1*AC31)</f>
        <v>-20458000</v>
      </c>
      <c r="AD32" s="265">
        <f>IF(AD31="","",-1*AD31)</f>
        <v>-24079000</v>
      </c>
    </row>
    <row r="33">
      <c r="A33" t="inlineStr">
        <is>
          <t>Despesas operacionais totais = P&amp;D + SG&amp;A (+ custo de rescisão da aquisição da Arm no FQ1 FY23) (divulgado positivo) - trimestre · derivada · unid. moeda</t>
        </is>
      </c>
      <c r="C33" t="inlineStr">
        <is>
          <t>[linha bruta, sem código; lançada nas linhas abaixo]</t>
        </is>
      </c>
      <c r="D33" s="265">
        <f>D11</f>
        <v>1673000</v>
      </c>
      <c r="E33" s="265">
        <f>E11</f>
        <v>1771000</v>
      </c>
      <c r="F33" s="265">
        <f>F11</f>
        <v>1960000</v>
      </c>
      <c r="G33" s="265">
        <f>N(G12)-N(F13)</f>
        <v>2029000</v>
      </c>
      <c r="I33" s="265">
        <f>I11</f>
        <v>3563000</v>
      </c>
      <c r="J33" s="265">
        <f>J11</f>
        <v>2416000</v>
      </c>
      <c r="K33" s="265">
        <f>K11</f>
        <v>2576000</v>
      </c>
      <c r="L33" s="265">
        <f>N(L12)-N(K13)</f>
        <v>2577000</v>
      </c>
      <c r="N33" s="265">
        <f>N11</f>
        <v>2508000</v>
      </c>
      <c r="O33" s="265">
        <f>O11</f>
        <v>2662000</v>
      </c>
      <c r="P33" s="265">
        <f>P11</f>
        <v>2983000</v>
      </c>
      <c r="Q33" s="265">
        <f>N(Q12)-N(P13)</f>
        <v>3177000</v>
      </c>
      <c r="S33" s="265">
        <f>S11</f>
        <v>3497000</v>
      </c>
      <c r="T33" s="265">
        <f>T11</f>
        <v>3932000</v>
      </c>
      <c r="U33" s="265">
        <f>U11</f>
        <v>4287000</v>
      </c>
      <c r="V33" s="265">
        <f>N(V12)-N(U13)</f>
        <v>4689000</v>
      </c>
      <c r="X33" s="265">
        <f>X11</f>
        <v>5030000</v>
      </c>
      <c r="Y33" s="265">
        <f>Y11</f>
        <v>5413000</v>
      </c>
      <c r="Z33" s="265">
        <f>Z11</f>
        <v>5839000</v>
      </c>
      <c r="AA33" s="265">
        <f>N(AA12)-N(Z13)</f>
        <v>6794000</v>
      </c>
      <c r="AC33" s="265">
        <f>AC11</f>
        <v>7621000</v>
      </c>
      <c r="AD33" s="265">
        <f>AD11</f>
        <v>8408000</v>
      </c>
    </row>
    <row r="34">
      <c r="A34" t="inlineStr">
        <is>
          <t xml:space="preserve">(lançamento) código 3, sinal -1 sobre a linha bruta 33: Despesas operacionais totais = P&amp;D + SG&amp;A (+ custo de rescisão da aquisição da Arm no FQ1 </t>
        </is>
      </c>
      <c r="B34" t="n">
        <v>3</v>
      </c>
      <c r="C34" t="inlineStr">
        <is>
          <t>SG&amp;A and Other (cash)</t>
        </is>
      </c>
      <c r="D34" s="265">
        <f>IF(D33="","",-1*D33)</f>
        <v>-1673000</v>
      </c>
      <c r="E34" s="265">
        <f>IF(E33="","",-1*E33)</f>
        <v>-1771000</v>
      </c>
      <c r="F34" s="265">
        <f>IF(F33="","",-1*F33)</f>
        <v>-1960000</v>
      </c>
      <c r="G34" s="265">
        <f>IF(G33="","",-1*G33)</f>
        <v>-2029000</v>
      </c>
      <c r="I34" s="265">
        <f>IF(I33="","",-1*I33)</f>
        <v>-3563000</v>
      </c>
      <c r="J34" s="265">
        <f>IF(J33="","",-1*J33)</f>
        <v>-2416000</v>
      </c>
      <c r="K34" s="265">
        <f>IF(K33="","",-1*K33)</f>
        <v>-2576000</v>
      </c>
      <c r="L34" s="265">
        <f>IF(L33="","",-1*L33)</f>
        <v>-2577000</v>
      </c>
      <c r="N34" s="265">
        <f>IF(N33="","",-1*N33)</f>
        <v>-2508000</v>
      </c>
      <c r="O34" s="265">
        <f>IF(O33="","",-1*O33)</f>
        <v>-2662000</v>
      </c>
      <c r="P34" s="265">
        <f>IF(P33="","",-1*P33)</f>
        <v>-2983000</v>
      </c>
      <c r="Q34" s="265">
        <f>IF(Q33="","",-1*Q33)</f>
        <v>-3177000</v>
      </c>
      <c r="S34" s="265">
        <f>IF(S33="","",-1*S33)</f>
        <v>-3497000</v>
      </c>
      <c r="T34" s="265">
        <f>IF(T33="","",-1*T33)</f>
        <v>-3932000</v>
      </c>
      <c r="U34" s="265">
        <f>IF(U33="","",-1*U33)</f>
        <v>-4287000</v>
      </c>
      <c r="V34" s="265">
        <f>IF(V33="","",-1*V33)</f>
        <v>-4689000</v>
      </c>
      <c r="X34" s="265">
        <f>IF(X33="","",-1*X33)</f>
        <v>-5030000</v>
      </c>
      <c r="Y34" s="265">
        <f>IF(Y33="","",-1*Y33)</f>
        <v>-5413000</v>
      </c>
      <c r="Z34" s="265">
        <f>IF(Z33="","",-1*Z33)</f>
        <v>-5839000</v>
      </c>
      <c r="AA34" s="265">
        <f>IF(AA33="","",-1*AA33)</f>
        <v>-6794000</v>
      </c>
      <c r="AC34" s="265">
        <f>IF(AC33="","",-1*AC33)</f>
        <v>-7621000</v>
      </c>
      <c r="AD34" s="265">
        <f>IF(AD33="","",-1*AD33)</f>
        <v>-8408000</v>
      </c>
    </row>
    <row r="35">
      <c r="A35" t="inlineStr">
        <is>
          <t>Resultado não operacional total = juros recebidos - juros pagos + outras (inclui ganhos/perdas em participações) - trimestre · derivada · unid. moeda</t>
        </is>
      </c>
      <c r="B35" t="n">
        <v>6</v>
      </c>
      <c r="C35" t="inlineStr">
        <is>
          <t>Nonoperating Income / (Loss)</t>
        </is>
      </c>
      <c r="D35" s="265">
        <f>D14</f>
        <v>88000</v>
      </c>
      <c r="E35" s="265">
        <f>E14</f>
        <v>-50000</v>
      </c>
      <c r="F35" s="265">
        <f>F14</f>
        <v>-33000</v>
      </c>
      <c r="G35" s="265">
        <f>N(G15)-N(F16)</f>
        <v>-105000</v>
      </c>
      <c r="I35" s="265">
        <f>I14</f>
        <v>-63000</v>
      </c>
      <c r="J35" s="265">
        <f>J14</f>
        <v>-24000</v>
      </c>
      <c r="K35" s="265">
        <f>K14</f>
        <v>12000</v>
      </c>
      <c r="L35" s="265">
        <f>N(L15)-N(K16)</f>
        <v>32000</v>
      </c>
      <c r="N35" s="265">
        <f>N14</f>
        <v>69000</v>
      </c>
      <c r="O35" s="265">
        <f>O14</f>
        <v>181000</v>
      </c>
      <c r="P35" s="265">
        <f>P14</f>
        <v>105000</v>
      </c>
      <c r="Q35" s="265">
        <f>N(Q15)-N(P16)</f>
        <v>492000</v>
      </c>
      <c r="S35" s="265">
        <f>S14</f>
        <v>370000</v>
      </c>
      <c r="T35" s="265">
        <f>T14</f>
        <v>572000</v>
      </c>
      <c r="U35" s="265">
        <f>U14</f>
        <v>447000</v>
      </c>
      <c r="V35" s="265">
        <f>N(V15)-N(U16)</f>
        <v>1183000</v>
      </c>
      <c r="X35" s="265">
        <f>X14</f>
        <v>272000</v>
      </c>
      <c r="Y35" s="265">
        <f>Y14</f>
        <v>2766000</v>
      </c>
      <c r="Z35" s="265">
        <f>Z14</f>
        <v>1926000</v>
      </c>
      <c r="AA35" s="265">
        <f>N(AA15)-N(Z16)</f>
        <v>6099000</v>
      </c>
      <c r="AC35" s="265">
        <f>AC14</f>
        <v>16367000</v>
      </c>
      <c r="AD35" s="265">
        <f>AD14</f>
        <v>7773000</v>
      </c>
    </row>
    <row r="36">
      <c r="A36" t="inlineStr">
        <is>
          <t>Despesa de juros (divulgado positivo): COD1=5 lança a despesa; COD2=6 devolve ao não operacional, que já a contém - trimestre · derivada · unid. moeda</t>
        </is>
      </c>
      <c r="C36" t="inlineStr">
        <is>
          <t>[linha bruta, sem código; lançada nas linhas abaixo]</t>
        </is>
      </c>
      <c r="D36" s="265">
        <f>D17</f>
        <v>53000</v>
      </c>
      <c r="E36" s="265">
        <f>E17</f>
        <v>60000</v>
      </c>
      <c r="F36" s="265">
        <f>F17</f>
        <v>62000</v>
      </c>
      <c r="G36" s="265">
        <f>N(G18)-N(F19)</f>
        <v>61000</v>
      </c>
      <c r="I36" s="265">
        <f>I17</f>
        <v>68000</v>
      </c>
      <c r="J36" s="265">
        <f>J17</f>
        <v>65000</v>
      </c>
      <c r="K36" s="265">
        <f>K17</f>
        <v>65000</v>
      </c>
      <c r="L36" s="265">
        <f>N(L18)-N(K19)</f>
        <v>64000</v>
      </c>
      <c r="N36" s="265">
        <f>N17</f>
        <v>66000</v>
      </c>
      <c r="O36" s="265">
        <f>O17</f>
        <v>65000</v>
      </c>
      <c r="P36" s="265">
        <f>P17</f>
        <v>63000</v>
      </c>
      <c r="Q36" s="265">
        <f>N(Q18)-N(P19)</f>
        <v>63000</v>
      </c>
      <c r="S36" s="265">
        <f>S17</f>
        <v>64000</v>
      </c>
      <c r="T36" s="265">
        <f>T17</f>
        <v>61000</v>
      </c>
      <c r="U36" s="265">
        <f>U17</f>
        <v>61000</v>
      </c>
      <c r="V36" s="265">
        <f>N(V18)-N(U19)</f>
        <v>61000</v>
      </c>
      <c r="X36" s="265">
        <f>X17</f>
        <v>63000</v>
      </c>
      <c r="Y36" s="265">
        <f>Y17</f>
        <v>62000</v>
      </c>
      <c r="Z36" s="265">
        <f>Z17</f>
        <v>61000</v>
      </c>
      <c r="AA36" s="265">
        <f>N(AA18)-N(Z19)</f>
        <v>73000</v>
      </c>
      <c r="AC36" s="265">
        <f>AC17</f>
        <v>102000</v>
      </c>
      <c r="AD36" s="265">
        <f>AD17</f>
        <v>227000</v>
      </c>
    </row>
    <row r="37">
      <c r="A37" t="inlineStr">
        <is>
          <t>(lançamento) código 5, sinal -1 sobre a linha bruta 36: Despesa de juros (divulgado positivo): COD1=5 lança a despesa; COD2=6 devolve ao não opera</t>
        </is>
      </c>
      <c r="B37" t="n">
        <v>5</v>
      </c>
      <c r="C37" t="inlineStr">
        <is>
          <t>Interest Expense</t>
        </is>
      </c>
      <c r="D37" s="265">
        <f>IF(D36="","",-1*D36)</f>
        <v>-53000</v>
      </c>
      <c r="E37" s="265">
        <f>IF(E36="","",-1*E36)</f>
        <v>-60000</v>
      </c>
      <c r="F37" s="265">
        <f>IF(F36="","",-1*F36)</f>
        <v>-62000</v>
      </c>
      <c r="G37" s="265">
        <f>IF(G36="","",-1*G36)</f>
        <v>-61000</v>
      </c>
      <c r="I37" s="265">
        <f>IF(I36="","",-1*I36)</f>
        <v>-68000</v>
      </c>
      <c r="J37" s="265">
        <f>IF(J36="","",-1*J36)</f>
        <v>-65000</v>
      </c>
      <c r="K37" s="265">
        <f>IF(K36="","",-1*K36)</f>
        <v>-65000</v>
      </c>
      <c r="L37" s="265">
        <f>IF(L36="","",-1*L36)</f>
        <v>-64000</v>
      </c>
      <c r="N37" s="265">
        <f>IF(N36="","",-1*N36)</f>
        <v>-66000</v>
      </c>
      <c r="O37" s="265">
        <f>IF(O36="","",-1*O36)</f>
        <v>-65000</v>
      </c>
      <c r="P37" s="265">
        <f>IF(P36="","",-1*P36)</f>
        <v>-63000</v>
      </c>
      <c r="Q37" s="265">
        <f>IF(Q36="","",-1*Q36)</f>
        <v>-63000</v>
      </c>
      <c r="S37" s="265">
        <f>IF(S36="","",-1*S36)</f>
        <v>-64000</v>
      </c>
      <c r="T37" s="265">
        <f>IF(T36="","",-1*T36)</f>
        <v>-61000</v>
      </c>
      <c r="U37" s="265">
        <f>IF(U36="","",-1*U36)</f>
        <v>-61000</v>
      </c>
      <c r="V37" s="265">
        <f>IF(V36="","",-1*V36)</f>
        <v>-61000</v>
      </c>
      <c r="X37" s="265">
        <f>IF(X36="","",-1*X36)</f>
        <v>-63000</v>
      </c>
      <c r="Y37" s="265">
        <f>IF(Y36="","",-1*Y36)</f>
        <v>-62000</v>
      </c>
      <c r="Z37" s="265">
        <f>IF(Z36="","",-1*Z36)</f>
        <v>-61000</v>
      </c>
      <c r="AA37" s="265">
        <f>IF(AA36="","",-1*AA36)</f>
        <v>-73000</v>
      </c>
      <c r="AC37" s="265">
        <f>IF(AC36="","",-1*AC36)</f>
        <v>-102000</v>
      </c>
      <c r="AD37" s="265">
        <f>IF(AD36="","",-1*AD36)</f>
        <v>-227000</v>
      </c>
    </row>
    <row r="38">
      <c r="A38" t="inlineStr">
        <is>
          <t>(lançamento) código 6, sinal +1 sobre a linha bruta 36: Despesa de juros (divulgado positivo): COD1=5 lança a despesa; COD2=6 devolve ao não opera</t>
        </is>
      </c>
      <c r="B38" t="n">
        <v>6</v>
      </c>
      <c r="C38" t="inlineStr">
        <is>
          <t>Nonoperating Income / (Loss)</t>
        </is>
      </c>
      <c r="D38" s="265">
        <f>IF(D36="","",D36)</f>
        <v>53000</v>
      </c>
      <c r="E38" s="265">
        <f>IF(E36="","",E36)</f>
        <v>60000</v>
      </c>
      <c r="F38" s="265">
        <f>IF(F36="","",F36)</f>
        <v>62000</v>
      </c>
      <c r="G38" s="265">
        <f>IF(G36="","",G36)</f>
        <v>61000</v>
      </c>
      <c r="I38" s="265">
        <f>IF(I36="","",I36)</f>
        <v>68000</v>
      </c>
      <c r="J38" s="265">
        <f>IF(J36="","",J36)</f>
        <v>65000</v>
      </c>
      <c r="K38" s="265">
        <f>IF(K36="","",K36)</f>
        <v>65000</v>
      </c>
      <c r="L38" s="265">
        <f>IF(L36="","",L36)</f>
        <v>64000</v>
      </c>
      <c r="N38" s="265">
        <f>IF(N36="","",N36)</f>
        <v>66000</v>
      </c>
      <c r="O38" s="265">
        <f>IF(O36="","",O36)</f>
        <v>65000</v>
      </c>
      <c r="P38" s="265">
        <f>IF(P36="","",P36)</f>
        <v>63000</v>
      </c>
      <c r="Q38" s="265">
        <f>IF(Q36="","",Q36)</f>
        <v>63000</v>
      </c>
      <c r="S38" s="265">
        <f>IF(S36="","",S36)</f>
        <v>64000</v>
      </c>
      <c r="T38" s="265">
        <f>IF(T36="","",T36)</f>
        <v>61000</v>
      </c>
      <c r="U38" s="265">
        <f>IF(U36="","",U36)</f>
        <v>61000</v>
      </c>
      <c r="V38" s="265">
        <f>IF(V36="","",V36)</f>
        <v>61000</v>
      </c>
      <c r="X38" s="265">
        <f>IF(X36="","",X36)</f>
        <v>63000</v>
      </c>
      <c r="Y38" s="265">
        <f>IF(Y36="","",Y36)</f>
        <v>62000</v>
      </c>
      <c r="Z38" s="265">
        <f>IF(Z36="","",Z36)</f>
        <v>61000</v>
      </c>
      <c r="AA38" s="265">
        <f>IF(AA36="","",AA36)</f>
        <v>73000</v>
      </c>
      <c r="AC38" s="265">
        <f>IF(AC36="","",AC36)</f>
        <v>102000</v>
      </c>
      <c r="AD38" s="265">
        <f>IF(AD36="","",AD36)</f>
        <v>227000</v>
      </c>
    </row>
    <row r="39">
      <c r="A39" t="inlineStr">
        <is>
          <t>Receita de juros (memória; dentro do não operacional) - trimestre · derivada · unid. moeda</t>
        </is>
      </c>
      <c r="C39" t="inlineStr">
        <is>
          <t>[linha bruta, sem código; lançada nas linhas abaixo]</t>
        </is>
      </c>
      <c r="D39" s="265">
        <f>D20</f>
        <v>6000</v>
      </c>
      <c r="E39" s="265">
        <f>E20</f>
        <v>6000</v>
      </c>
      <c r="F39" s="265">
        <f>F20</f>
        <v>7000</v>
      </c>
      <c r="G39" s="265">
        <f>N(G21)-N(F22)</f>
        <v>9000</v>
      </c>
      <c r="I39" s="265">
        <f>I20</f>
        <v>18000</v>
      </c>
      <c r="J39" s="265">
        <f>J20</f>
        <v>46000</v>
      </c>
      <c r="K39" s="265">
        <f>K20</f>
        <v>88000</v>
      </c>
      <c r="L39" s="265">
        <f>N(L21)-N(K22)</f>
        <v>115000</v>
      </c>
      <c r="N39" s="265">
        <f>N20</f>
        <v>150000</v>
      </c>
      <c r="O39" s="265">
        <f>O20</f>
        <v>187000</v>
      </c>
      <c r="P39" s="265">
        <f>P20</f>
        <v>234000</v>
      </c>
      <c r="Q39" s="265">
        <f>N(Q21)-N(P22)</f>
        <v>294000</v>
      </c>
      <c r="S39" s="265">
        <f>S20</f>
        <v>359000</v>
      </c>
      <c r="T39" s="265">
        <f>T20</f>
        <v>444000</v>
      </c>
      <c r="U39" s="265">
        <f>U20</f>
        <v>472000</v>
      </c>
      <c r="V39" s="265">
        <f>N(V21)-N(U22)</f>
        <v>511000</v>
      </c>
      <c r="X39" s="265">
        <f>X20</f>
        <v>515000</v>
      </c>
      <c r="Y39" s="265">
        <f>Y20</f>
        <v>592000</v>
      </c>
      <c r="Z39" s="265">
        <f>Z20</f>
        <v>624000</v>
      </c>
      <c r="AA39" s="265">
        <f>N(AA21)-N(Z22)</f>
        <v>568000</v>
      </c>
      <c r="AC39" s="265">
        <f>AC20</f>
        <v>540000</v>
      </c>
      <c r="AD39" s="265">
        <f>AD20</f>
        <v>496000</v>
      </c>
    </row>
    <row r="40">
      <c r="A40" t="inlineStr">
        <is>
          <t>Imposto de renda (divulgado positivo) - trimestre · derivada · unid. moeda</t>
        </is>
      </c>
      <c r="C40" t="inlineStr">
        <is>
          <t>[linha bruta, sem código; lançada nas linhas abaixo]</t>
        </is>
      </c>
      <c r="D40" s="265">
        <f>D23</f>
        <v>132000</v>
      </c>
      <c r="E40" s="265">
        <f>E23</f>
        <v>20000</v>
      </c>
      <c r="F40" s="265">
        <f>F23</f>
        <v>174000</v>
      </c>
      <c r="G40" s="265">
        <f>N(G24)-N(F25)</f>
        <v>-138000</v>
      </c>
      <c r="I40" s="265">
        <f>I23</f>
        <v>187000</v>
      </c>
      <c r="J40" s="265">
        <f>J23</f>
        <v>-181000</v>
      </c>
      <c r="K40" s="265">
        <f>K23</f>
        <v>-67000</v>
      </c>
      <c r="L40" s="265">
        <f>N(L24)-N(K25)</f>
        <v>-126000</v>
      </c>
      <c r="N40" s="265">
        <f>N23</f>
        <v>166000</v>
      </c>
      <c r="O40" s="265">
        <f>O23</f>
        <v>793000</v>
      </c>
      <c r="P40" s="265">
        <f>P23</f>
        <v>1279000</v>
      </c>
      <c r="Q40" s="265">
        <f>N(Q24)-N(P25)</f>
        <v>1821000</v>
      </c>
      <c r="S40" s="265">
        <f>S23</f>
        <v>2398000</v>
      </c>
      <c r="T40" s="265">
        <f>T23</f>
        <v>2615000</v>
      </c>
      <c r="U40" s="265">
        <f>U23</f>
        <v>3007000</v>
      </c>
      <c r="V40" s="265">
        <f>N(V24)-N(U25)</f>
        <v>3126000</v>
      </c>
      <c r="X40" s="265">
        <f>X23</f>
        <v>3135000</v>
      </c>
      <c r="Y40" s="265">
        <f>Y23</f>
        <v>4784000</v>
      </c>
      <c r="Z40" s="265">
        <f>Z23</f>
        <v>6026000</v>
      </c>
      <c r="AA40" s="265">
        <f>N(AA24)-N(Z25)</f>
        <v>7438000</v>
      </c>
      <c r="AC40" s="265">
        <f>AC23</f>
        <v>11582000</v>
      </c>
      <c r="AD40" s="265">
        <f>AD23</f>
        <v>11819000</v>
      </c>
    </row>
    <row r="41">
      <c r="A41" t="inlineStr">
        <is>
          <t>(lançamento) código 7, sinal -1 sobre a linha bruta 40: Imposto de renda (divulgado positivo) - trimestre</t>
        </is>
      </c>
      <c r="B41" t="n">
        <v>7</v>
      </c>
      <c r="C41" t="inlineStr">
        <is>
          <t>Taxes</t>
        </is>
      </c>
      <c r="D41" s="265">
        <f>IF(D40="","",-1*D40)</f>
        <v>-132000</v>
      </c>
      <c r="E41" s="265">
        <f>IF(E40="","",-1*E40)</f>
        <v>-20000</v>
      </c>
      <c r="F41" s="265">
        <f>IF(F40="","",-1*F40)</f>
        <v>-174000</v>
      </c>
      <c r="G41" s="265">
        <f>IF(G40="","",-1*G40)</f>
        <v>138000</v>
      </c>
      <c r="I41" s="265">
        <f>IF(I40="","",-1*I40)</f>
        <v>-187000</v>
      </c>
      <c r="J41" s="265">
        <f>IF(J40="","",-1*J40)</f>
        <v>181000</v>
      </c>
      <c r="K41" s="265">
        <f>IF(K40="","",-1*K40)</f>
        <v>67000</v>
      </c>
      <c r="L41" s="265">
        <f>IF(L40="","",-1*L40)</f>
        <v>126000</v>
      </c>
      <c r="N41" s="265">
        <f>IF(N40="","",-1*N40)</f>
        <v>-166000</v>
      </c>
      <c r="O41" s="265">
        <f>IF(O40="","",-1*O40)</f>
        <v>-793000</v>
      </c>
      <c r="P41" s="265">
        <f>IF(P40="","",-1*P40)</f>
        <v>-1279000</v>
      </c>
      <c r="Q41" s="265">
        <f>IF(Q40="","",-1*Q40)</f>
        <v>-1821000</v>
      </c>
      <c r="S41" s="265">
        <f>IF(S40="","",-1*S40)</f>
        <v>-2398000</v>
      </c>
      <c r="T41" s="265">
        <f>IF(T40="","",-1*T40)</f>
        <v>-2615000</v>
      </c>
      <c r="U41" s="265">
        <f>IF(U40="","",-1*U40)</f>
        <v>-3007000</v>
      </c>
      <c r="V41" s="265">
        <f>IF(V40="","",-1*V40)</f>
        <v>-3126000</v>
      </c>
      <c r="X41" s="265">
        <f>IF(X40="","",-1*X40)</f>
        <v>-3135000</v>
      </c>
      <c r="Y41" s="265">
        <f>IF(Y40="","",-1*Y40)</f>
        <v>-4784000</v>
      </c>
      <c r="Z41" s="265">
        <f>IF(Z40="","",-1*Z40)</f>
        <v>-6026000</v>
      </c>
      <c r="AA41" s="265">
        <f>IF(AA40="","",-1*AA40)</f>
        <v>-7438000</v>
      </c>
      <c r="AC41" s="265">
        <f>IF(AC40="","",-1*AC40)</f>
        <v>-11582000</v>
      </c>
      <c r="AD41" s="265">
        <f>IF(AD40="","",-1*AD40)</f>
        <v>-11819000</v>
      </c>
    </row>
    <row r="42">
      <c r="A42" t="inlineStr">
        <is>
          <t>Lucro líquido - trimestre · derivada · unid. moeda</t>
        </is>
      </c>
      <c r="B42" t="n">
        <v>44</v>
      </c>
      <c r="C42" t="inlineStr">
        <is>
          <t>Lucro líquido - trimestre</t>
        </is>
      </c>
      <c r="D42" s="265">
        <f>D26</f>
        <v>1912000</v>
      </c>
      <c r="E42" s="265">
        <f>E26</f>
        <v>2374000</v>
      </c>
      <c r="F42" s="265">
        <f>F26</f>
        <v>2464000</v>
      </c>
      <c r="G42" s="265">
        <f>N(G27)-N(F28)</f>
        <v>3003000</v>
      </c>
      <c r="I42" s="265">
        <f>I26</f>
        <v>1618000</v>
      </c>
      <c r="J42" s="265">
        <f>J26</f>
        <v>656000</v>
      </c>
      <c r="K42" s="265">
        <f>K26</f>
        <v>680000</v>
      </c>
      <c r="L42" s="265">
        <f>N(L27)-N(K28)</f>
        <v>1414000</v>
      </c>
      <c r="N42" s="265">
        <f>N26</f>
        <v>2043000</v>
      </c>
      <c r="O42" s="265">
        <f>O26</f>
        <v>6188000</v>
      </c>
      <c r="P42" s="265">
        <f>P26</f>
        <v>9243000</v>
      </c>
      <c r="Q42" s="265">
        <f>N(Q27)-N(P28)</f>
        <v>12285000</v>
      </c>
      <c r="S42" s="265">
        <f>S26</f>
        <v>14881000</v>
      </c>
      <c r="T42" s="265">
        <f>T26</f>
        <v>16599000</v>
      </c>
      <c r="U42" s="265">
        <f>U26</f>
        <v>19309000</v>
      </c>
      <c r="V42" s="265">
        <f>N(V27)-N(U28)</f>
        <v>22091000</v>
      </c>
      <c r="X42" s="265">
        <f>X26</f>
        <v>18775000</v>
      </c>
      <c r="Y42" s="265">
        <f>Y26</f>
        <v>26422000</v>
      </c>
      <c r="Z42" s="265">
        <f>Z26</f>
        <v>31910000</v>
      </c>
      <c r="AA42" s="265">
        <f>N(AA27)-N(Z28)</f>
        <v>42960000</v>
      </c>
      <c r="AC42" s="265">
        <f>AC26</f>
        <v>58321000</v>
      </c>
      <c r="AD42" s="265">
        <f>AD26</f>
        <v>59688000</v>
      </c>
    </row>
    <row r="43">
      <c r="A43" t="inlineStr">
        <is>
          <t>DFC - ACUMULADO NO ANO FISCAL (USD): 3M (abr), 6M (jul), 9M (out), 12M (jan)</t>
        </is>
      </c>
      <c r="C43" t="inlineStr">
        <is>
          <t>[linha bruta, sem código; lançada nas linhas abaixo]</t>
        </is>
      </c>
      <c r="D43" s="265" t="n"/>
      <c r="E43" s="265" t="n"/>
      <c r="F43" s="265" t="n"/>
      <c r="G43" s="265" t="n"/>
      <c r="I43" s="265" t="n"/>
      <c r="J43" s="265" t="n"/>
      <c r="K43" s="265" t="n"/>
      <c r="L43" s="265" t="n"/>
      <c r="N43" s="265" t="n"/>
      <c r="O43" s="265" t="n"/>
      <c r="P43" s="265" t="n"/>
      <c r="Q43" s="265" t="n"/>
      <c r="S43" s="265" t="n"/>
      <c r="T43" s="265" t="n"/>
      <c r="U43" s="265" t="n"/>
      <c r="V43" s="265" t="n"/>
      <c r="X43" s="265" t="n"/>
      <c r="Y43" s="265" t="n"/>
      <c r="Z43" s="265" t="n"/>
      <c r="AA43" s="265" t="n"/>
      <c r="AC43" s="265" t="n"/>
      <c r="AD43" s="265" t="n"/>
    </row>
    <row r="44">
      <c r="A44" t="inlineStr">
        <is>
          <t>Depreciação e amortização - acumulado no ano fiscal [us-gaap:DepreciationDepletionAndAmortization/DepreciationAndAmortization] · memoria · unid. moeda</t>
        </is>
      </c>
      <c r="C44" t="inlineStr">
        <is>
          <t>[linha bruta, sem código; lançada nas linhas abaixo]</t>
        </is>
      </c>
      <c r="D44" s="265" t="n">
        <v>281000</v>
      </c>
      <c r="E44" s="265" t="n">
        <v>567000</v>
      </c>
      <c r="F44" s="265" t="n">
        <v>865000</v>
      </c>
      <c r="G44" s="265" t="n">
        <v>1174000</v>
      </c>
      <c r="I44" s="265" t="n">
        <v>334000</v>
      </c>
      <c r="J44" s="265" t="n">
        <v>712000</v>
      </c>
      <c r="K44" s="265" t="n">
        <v>1118000</v>
      </c>
      <c r="L44" s="265" t="n">
        <v>1544000</v>
      </c>
      <c r="N44" s="265" t="n">
        <v>384000</v>
      </c>
      <c r="O44" s="265" t="n">
        <v>749000</v>
      </c>
      <c r="P44" s="265" t="n">
        <v>1121000</v>
      </c>
      <c r="Q44" s="265" t="n">
        <v>1508000</v>
      </c>
      <c r="S44" s="265" t="n">
        <v>410000</v>
      </c>
      <c r="T44" s="265" t="n">
        <v>843000</v>
      </c>
      <c r="U44" s="265" t="n">
        <v>1321000</v>
      </c>
      <c r="V44" s="265" t="n">
        <v>1864000</v>
      </c>
      <c r="X44" s="265" t="n">
        <v>611000</v>
      </c>
      <c r="Y44" s="265" t="n">
        <v>1280000</v>
      </c>
      <c r="Z44" s="265" t="n">
        <v>2031000</v>
      </c>
      <c r="AA44" s="265" t="n">
        <v>2843000</v>
      </c>
      <c r="AC44" s="265" t="n">
        <v>997000</v>
      </c>
      <c r="AD44" s="265" t="n">
        <v>2124000</v>
      </c>
    </row>
    <row r="45">
      <c r="A45" t="inlineStr">
        <is>
          <t>Dividendos pagos - acumulado no ano fiscal [us-gaap:PaymentsOfDividends] · memoria · unid. moeda</t>
        </is>
      </c>
      <c r="C45" t="inlineStr">
        <is>
          <t>[linha bruta, sem código; lançada nas linhas abaixo]</t>
        </is>
      </c>
      <c r="D45" s="265" t="n">
        <v>99000</v>
      </c>
      <c r="E45" s="265" t="n">
        <v>198000</v>
      </c>
      <c r="F45" s="265" t="n">
        <v>298000</v>
      </c>
      <c r="G45" s="265" t="n">
        <v>399000</v>
      </c>
      <c r="I45" s="265" t="n">
        <v>100000</v>
      </c>
      <c r="J45" s="265" t="n">
        <v>200000</v>
      </c>
      <c r="K45" s="265" t="n">
        <v>300000</v>
      </c>
      <c r="L45" s="265" t="n">
        <v>398000</v>
      </c>
      <c r="N45" s="265" t="n">
        <v>99000</v>
      </c>
      <c r="O45" s="265" t="n">
        <v>199000</v>
      </c>
      <c r="P45" s="265" t="n">
        <v>296000</v>
      </c>
      <c r="Q45" s="265" t="n">
        <v>395000</v>
      </c>
      <c r="S45" s="265" t="n">
        <v>98000</v>
      </c>
      <c r="T45" s="265" t="n">
        <v>344000</v>
      </c>
      <c r="U45" s="265" t="n">
        <v>589000</v>
      </c>
      <c r="V45" s="265" t="n">
        <v>834000</v>
      </c>
      <c r="X45" s="265" t="n">
        <v>244000</v>
      </c>
      <c r="Y45" s="265" t="n">
        <v>488000</v>
      </c>
      <c r="Z45" s="265" t="n">
        <v>732000</v>
      </c>
      <c r="AA45" s="265" t="n">
        <v>974000</v>
      </c>
      <c r="AC45" s="265" t="n">
        <v>243000</v>
      </c>
      <c r="AD45" s="265" t="n">
        <v>6290000</v>
      </c>
    </row>
    <row r="46">
      <c r="A46" t="inlineStr">
        <is>
          <t>D&amp;A trimestral (desacumulada). COD1=4 lança (positivo -&gt; -1); COD2=3 devolve às despesas operacionais (a NVIDIA não abre D&amp;A entre custo e despesa) · derivada · unid. moeda</t>
        </is>
      </c>
      <c r="C46" t="inlineStr">
        <is>
          <t>[linha bruta, sem código; lançada nas linhas abaixo]</t>
        </is>
      </c>
      <c r="D46" s="265">
        <f>N(D44)</f>
        <v>281000</v>
      </c>
      <c r="E46" s="265">
        <f>N(E44)-N(D44)</f>
        <v>286000</v>
      </c>
      <c r="F46" s="265">
        <f>N(F44)-N(E44)</f>
        <v>298000</v>
      </c>
      <c r="G46" s="265">
        <f>N(G44)-N(F44)</f>
        <v>309000</v>
      </c>
      <c r="I46" s="265">
        <f>N(I44)</f>
        <v>334000</v>
      </c>
      <c r="J46" s="265">
        <f>N(J44)-N(I44)</f>
        <v>378000</v>
      </c>
      <c r="K46" s="265">
        <f>N(K44)-N(J44)</f>
        <v>406000</v>
      </c>
      <c r="L46" s="265">
        <f>N(L44)-N(K44)</f>
        <v>426000</v>
      </c>
      <c r="N46" s="265">
        <f>N(N44)</f>
        <v>384000</v>
      </c>
      <c r="O46" s="265">
        <f>N(O44)-N(N44)</f>
        <v>365000</v>
      </c>
      <c r="P46" s="265">
        <f>N(P44)-N(O44)</f>
        <v>372000</v>
      </c>
      <c r="Q46" s="265">
        <f>N(Q44)-N(P44)</f>
        <v>387000</v>
      </c>
      <c r="S46" s="265">
        <f>N(S44)</f>
        <v>410000</v>
      </c>
      <c r="T46" s="265">
        <f>N(T44)-N(S44)</f>
        <v>433000</v>
      </c>
      <c r="U46" s="265">
        <f>N(U44)-N(T44)</f>
        <v>478000</v>
      </c>
      <c r="V46" s="265">
        <f>N(V44)-N(U44)</f>
        <v>543000</v>
      </c>
      <c r="X46" s="265">
        <f>N(X44)</f>
        <v>611000</v>
      </c>
      <c r="Y46" s="265">
        <f>N(Y44)-N(X44)</f>
        <v>669000</v>
      </c>
      <c r="Z46" s="265">
        <f>N(Z44)-N(Y44)</f>
        <v>751000</v>
      </c>
      <c r="AA46" s="265">
        <f>N(AA44)-N(Z44)</f>
        <v>812000</v>
      </c>
      <c r="AC46" s="265">
        <f>N(AC44)</f>
        <v>997000</v>
      </c>
      <c r="AD46" s="265">
        <f>N(AD44)-N(AC44)</f>
        <v>1127000</v>
      </c>
    </row>
    <row r="47">
      <c r="A47" t="inlineStr">
        <is>
          <t>(lançamento) código 4, sinal -1 sobre a linha bruta 46: D&amp;A trimestral (desacumulada). COD1=4 lança (positivo -&gt; -1); COD2=3 devolve às despesas o</t>
        </is>
      </c>
      <c r="B47" t="n">
        <v>4</v>
      </c>
      <c r="C47" t="inlineStr">
        <is>
          <t>D&amp;A</t>
        </is>
      </c>
      <c r="D47" s="265">
        <f>IF(D46="","",-1*D46)</f>
        <v>-281000</v>
      </c>
      <c r="E47" s="265">
        <f>IF(E46="","",-1*E46)</f>
        <v>-286000</v>
      </c>
      <c r="F47" s="265">
        <f>IF(F46="","",-1*F46)</f>
        <v>-298000</v>
      </c>
      <c r="G47" s="265">
        <f>IF(G46="","",-1*G46)</f>
        <v>-309000</v>
      </c>
      <c r="I47" s="265">
        <f>IF(I46="","",-1*I46)</f>
        <v>-334000</v>
      </c>
      <c r="J47" s="265">
        <f>IF(J46="","",-1*J46)</f>
        <v>-378000</v>
      </c>
      <c r="K47" s="265">
        <f>IF(K46="","",-1*K46)</f>
        <v>-406000</v>
      </c>
      <c r="L47" s="265">
        <f>IF(L46="","",-1*L46)</f>
        <v>-426000</v>
      </c>
      <c r="N47" s="265">
        <f>IF(N46="","",-1*N46)</f>
        <v>-384000</v>
      </c>
      <c r="O47" s="265">
        <f>IF(O46="","",-1*O46)</f>
        <v>-365000</v>
      </c>
      <c r="P47" s="265">
        <f>IF(P46="","",-1*P46)</f>
        <v>-372000</v>
      </c>
      <c r="Q47" s="265">
        <f>IF(Q46="","",-1*Q46)</f>
        <v>-387000</v>
      </c>
      <c r="S47" s="265">
        <f>IF(S46="","",-1*S46)</f>
        <v>-410000</v>
      </c>
      <c r="T47" s="265">
        <f>IF(T46="","",-1*T46)</f>
        <v>-433000</v>
      </c>
      <c r="U47" s="265">
        <f>IF(U46="","",-1*U46)</f>
        <v>-478000</v>
      </c>
      <c r="V47" s="265">
        <f>IF(V46="","",-1*V46)</f>
        <v>-543000</v>
      </c>
      <c r="X47" s="265">
        <f>IF(X46="","",-1*X46)</f>
        <v>-611000</v>
      </c>
      <c r="Y47" s="265">
        <f>IF(Y46="","",-1*Y46)</f>
        <v>-669000</v>
      </c>
      <c r="Z47" s="265">
        <f>IF(Z46="","",-1*Z46)</f>
        <v>-751000</v>
      </c>
      <c r="AA47" s="265">
        <f>IF(AA46="","",-1*AA46)</f>
        <v>-812000</v>
      </c>
      <c r="AC47" s="265">
        <f>IF(AC46="","",-1*AC46)</f>
        <v>-997000</v>
      </c>
      <c r="AD47" s="265">
        <f>IF(AD46="","",-1*AD46)</f>
        <v>-1127000</v>
      </c>
    </row>
    <row r="48">
      <c r="A48" t="inlineStr">
        <is>
          <t>(lançamento) código 3, sinal +1 sobre a linha bruta 46: D&amp;A trimestral (desacumulada). COD1=4 lança (positivo -&gt; -1); COD2=3 devolve às despesas o</t>
        </is>
      </c>
      <c r="B48" t="n">
        <v>3</v>
      </c>
      <c r="C48" t="inlineStr">
        <is>
          <t>SG&amp;A and Other (cash)</t>
        </is>
      </c>
      <c r="D48" s="265">
        <f>IF(D46="","",D46)</f>
        <v>281000</v>
      </c>
      <c r="E48" s="265">
        <f>IF(E46="","",E46)</f>
        <v>286000</v>
      </c>
      <c r="F48" s="265">
        <f>IF(F46="","",F46)</f>
        <v>298000</v>
      </c>
      <c r="G48" s="265">
        <f>IF(G46="","",G46)</f>
        <v>309000</v>
      </c>
      <c r="I48" s="265">
        <f>IF(I46="","",I46)</f>
        <v>334000</v>
      </c>
      <c r="J48" s="265">
        <f>IF(J46="","",J46)</f>
        <v>378000</v>
      </c>
      <c r="K48" s="265">
        <f>IF(K46="","",K46)</f>
        <v>406000</v>
      </c>
      <c r="L48" s="265">
        <f>IF(L46="","",L46)</f>
        <v>426000</v>
      </c>
      <c r="N48" s="265">
        <f>IF(N46="","",N46)</f>
        <v>384000</v>
      </c>
      <c r="O48" s="265">
        <f>IF(O46="","",O46)</f>
        <v>365000</v>
      </c>
      <c r="P48" s="265">
        <f>IF(P46="","",P46)</f>
        <v>372000</v>
      </c>
      <c r="Q48" s="265">
        <f>IF(Q46="","",Q46)</f>
        <v>387000</v>
      </c>
      <c r="S48" s="265">
        <f>IF(S46="","",S46)</f>
        <v>410000</v>
      </c>
      <c r="T48" s="265">
        <f>IF(T46="","",T46)</f>
        <v>433000</v>
      </c>
      <c r="U48" s="265">
        <f>IF(U46="","",U46)</f>
        <v>478000</v>
      </c>
      <c r="V48" s="265">
        <f>IF(V46="","",V46)</f>
        <v>543000</v>
      </c>
      <c r="X48" s="265">
        <f>IF(X46="","",X46)</f>
        <v>611000</v>
      </c>
      <c r="Y48" s="265">
        <f>IF(Y46="","",Y46)</f>
        <v>669000</v>
      </c>
      <c r="Z48" s="265">
        <f>IF(Z46="","",Z46)</f>
        <v>751000</v>
      </c>
      <c r="AA48" s="265">
        <f>IF(AA46="","",AA46)</f>
        <v>812000</v>
      </c>
      <c r="AC48" s="265">
        <f>IF(AC46="","",AC46)</f>
        <v>997000</v>
      </c>
      <c r="AD48" s="265">
        <f>IF(AD46="","",AD46)</f>
        <v>1127000</v>
      </c>
    </row>
    <row r="49">
      <c r="A49" t="inlineStr">
        <is>
          <t>Dividendos pagos - trimestre (desacumulado) · derivada · unid. moeda</t>
        </is>
      </c>
      <c r="C49" t="inlineStr">
        <is>
          <t>[linha bruta, sem código; lançada nas linhas abaixo]</t>
        </is>
      </c>
      <c r="D49" s="265">
        <f>N(D45)</f>
        <v>99000</v>
      </c>
      <c r="E49" s="265">
        <f>N(E45)-N(D45)</f>
        <v>99000</v>
      </c>
      <c r="F49" s="265">
        <f>N(F45)-N(E45)</f>
        <v>100000</v>
      </c>
      <c r="G49" s="265">
        <f>N(G45)-N(F45)</f>
        <v>101000</v>
      </c>
      <c r="I49" s="265">
        <f>N(I45)</f>
        <v>100000</v>
      </c>
      <c r="J49" s="265">
        <f>N(J45)-N(I45)</f>
        <v>100000</v>
      </c>
      <c r="K49" s="265">
        <f>N(K45)-N(J45)</f>
        <v>100000</v>
      </c>
      <c r="L49" s="265">
        <f>N(L45)-N(K45)</f>
        <v>98000</v>
      </c>
      <c r="N49" s="265">
        <f>N(N45)</f>
        <v>99000</v>
      </c>
      <c r="O49" s="265">
        <f>N(O45)-N(N45)</f>
        <v>100000</v>
      </c>
      <c r="P49" s="265">
        <f>N(P45)-N(O45)</f>
        <v>97000</v>
      </c>
      <c r="Q49" s="265">
        <f>N(Q45)-N(P45)</f>
        <v>99000</v>
      </c>
      <c r="S49" s="265">
        <f>N(S45)</f>
        <v>98000</v>
      </c>
      <c r="T49" s="265">
        <f>N(T45)-N(S45)</f>
        <v>246000</v>
      </c>
      <c r="U49" s="265">
        <f>N(U45)-N(T45)</f>
        <v>245000</v>
      </c>
      <c r="V49" s="265">
        <f>N(V45)-N(U45)</f>
        <v>245000</v>
      </c>
      <c r="X49" s="265">
        <f>N(X45)</f>
        <v>244000</v>
      </c>
      <c r="Y49" s="265">
        <f>N(Y45)-N(X45)</f>
        <v>244000</v>
      </c>
      <c r="Z49" s="265">
        <f>N(Z45)-N(Y45)</f>
        <v>244000</v>
      </c>
      <c r="AA49" s="265">
        <f>N(AA45)-N(Z45)</f>
        <v>242000</v>
      </c>
      <c r="AC49" s="265">
        <f>N(AC45)</f>
        <v>243000</v>
      </c>
      <c r="AD49" s="265">
        <f>N(AD45)-N(AC45)</f>
        <v>6047000</v>
      </c>
    </row>
    <row r="50">
      <c r="A50" t="inlineStr">
        <is>
          <t>(lançamento) código 10, sinal -1 sobre a linha bruta 49: Dividendos pagos - trimestre (desacumulado)</t>
        </is>
      </c>
      <c r="B50" t="n">
        <v>10</v>
      </c>
      <c r="C50" t="inlineStr">
        <is>
          <t>Common Dividends</t>
        </is>
      </c>
      <c r="D50" s="265">
        <f>IF(D49="","",-1*D49)</f>
        <v>-99000</v>
      </c>
      <c r="E50" s="265">
        <f>IF(E49="","",-1*E49)</f>
        <v>-99000</v>
      </c>
      <c r="F50" s="265">
        <f>IF(F49="","",-1*F49)</f>
        <v>-100000</v>
      </c>
      <c r="G50" s="265">
        <f>IF(G49="","",-1*G49)</f>
        <v>-101000</v>
      </c>
      <c r="I50" s="265">
        <f>IF(I49="","",-1*I49)</f>
        <v>-100000</v>
      </c>
      <c r="J50" s="265">
        <f>IF(J49="","",-1*J49)</f>
        <v>-100000</v>
      </c>
      <c r="K50" s="265">
        <f>IF(K49="","",-1*K49)</f>
        <v>-100000</v>
      </c>
      <c r="L50" s="265">
        <f>IF(L49="","",-1*L49)</f>
        <v>-98000</v>
      </c>
      <c r="N50" s="265">
        <f>IF(N49="","",-1*N49)</f>
        <v>-99000</v>
      </c>
      <c r="O50" s="265">
        <f>IF(O49="","",-1*O49)</f>
        <v>-100000</v>
      </c>
      <c r="P50" s="265">
        <f>IF(P49="","",-1*P49)</f>
        <v>-97000</v>
      </c>
      <c r="Q50" s="265">
        <f>IF(Q49="","",-1*Q49)</f>
        <v>-99000</v>
      </c>
      <c r="S50" s="265">
        <f>IF(S49="","",-1*S49)</f>
        <v>-98000</v>
      </c>
      <c r="T50" s="265">
        <f>IF(T49="","",-1*T49)</f>
        <v>-246000</v>
      </c>
      <c r="U50" s="265">
        <f>IF(U49="","",-1*U49)</f>
        <v>-245000</v>
      </c>
      <c r="V50" s="265">
        <f>IF(V49="","",-1*V49)</f>
        <v>-245000</v>
      </c>
      <c r="X50" s="265">
        <f>IF(X49="","",-1*X49)</f>
        <v>-244000</v>
      </c>
      <c r="Y50" s="265">
        <f>IF(Y49="","",-1*Y49)</f>
        <v>-244000</v>
      </c>
      <c r="Z50" s="265">
        <f>IF(Z49="","",-1*Z49)</f>
        <v>-244000</v>
      </c>
      <c r="AA50" s="265">
        <f>IF(AA49="","",-1*AA49)</f>
        <v>-242000</v>
      </c>
      <c r="AC50" s="265">
        <f>IF(AC49="","",-1*AC49)</f>
        <v>-243000</v>
      </c>
      <c r="AD50" s="265">
        <f>IF(AD49="","",-1*AD49)</f>
        <v>-6047000</v>
      </c>
    </row>
    <row r="51">
      <c r="A51" t="inlineStr">
        <is>
          <t>BALANÇO (USD, saldo no fim do trimestre; cada trimestre lido da instância XBRL do próprio 10-Q/10-K; 4T25 da coluna comparativa do 10-Q de abr/26, que separa títulos de dívida e ações listadas)</t>
        </is>
      </c>
      <c r="C51" t="inlineStr">
        <is>
          <t>[linha bruta, sem código; lançada nas linhas abaixo]</t>
        </is>
      </c>
      <c r="D51" s="265" t="n"/>
      <c r="E51" s="265" t="n"/>
      <c r="F51" s="265" t="n"/>
      <c r="G51" s="265" t="n"/>
      <c r="I51" s="265" t="n"/>
      <c r="J51" s="265" t="n"/>
      <c r="K51" s="265" t="n"/>
      <c r="L51" s="265" t="n"/>
      <c r="N51" s="265" t="n"/>
      <c r="O51" s="265" t="n"/>
      <c r="P51" s="265" t="n"/>
      <c r="Q51" s="265" t="n"/>
      <c r="S51" s="265" t="n"/>
      <c r="T51" s="265" t="n"/>
      <c r="U51" s="265" t="n"/>
      <c r="V51" s="265" t="n"/>
      <c r="X51" s="265" t="n"/>
      <c r="Y51" s="265" t="n"/>
      <c r="Z51" s="265" t="n"/>
      <c r="AA51" s="265" t="n"/>
      <c r="AC51" s="265" t="n"/>
      <c r="AD51" s="265" t="n"/>
    </row>
    <row r="52">
      <c r="A52" t="inlineStr">
        <is>
          <t>Caixa e equivalentes [us-gaap/nvda:CashAndCashEquivalentsAtCarryingValue] · fonte · unid. moeda</t>
        </is>
      </c>
      <c r="B52" t="n">
        <v>11</v>
      </c>
      <c r="C52" t="inlineStr">
        <is>
          <t>Cash and equivalents (inc. investment securities)</t>
        </is>
      </c>
      <c r="D52" s="265" t="n">
        <v>978000</v>
      </c>
      <c r="E52" s="265" t="n">
        <v>5628000</v>
      </c>
      <c r="F52" s="265" t="n">
        <v>1288000</v>
      </c>
      <c r="G52" s="265" t="n">
        <v>1990000</v>
      </c>
      <c r="I52" s="265" t="n">
        <v>3887000</v>
      </c>
      <c r="J52" s="265" t="n">
        <v>3013000</v>
      </c>
      <c r="K52" s="265" t="n">
        <v>2800000</v>
      </c>
      <c r="L52" s="265" t="n">
        <v>3389000</v>
      </c>
      <c r="N52" s="265" t="n">
        <v>5079000</v>
      </c>
      <c r="O52" s="265" t="n">
        <v>5783000</v>
      </c>
      <c r="P52" s="265" t="n">
        <v>5519000</v>
      </c>
      <c r="Q52" s="265" t="n">
        <v>7280000</v>
      </c>
      <c r="S52" s="265" t="n">
        <v>7587000</v>
      </c>
      <c r="T52" s="265" t="n">
        <v>8563000</v>
      </c>
      <c r="U52" s="265" t="n">
        <v>9107000</v>
      </c>
      <c r="V52" s="265" t="n">
        <v>8589000</v>
      </c>
      <c r="X52" s="265" t="n">
        <v>15234000</v>
      </c>
      <c r="Y52" s="265" t="n">
        <v>11639000</v>
      </c>
      <c r="Z52" s="265" t="n">
        <v>11486000</v>
      </c>
      <c r="AA52" s="265" t="n">
        <v>10605000</v>
      </c>
      <c r="AC52" s="265" t="n">
        <v>13237000</v>
      </c>
      <c r="AD52" s="265" t="n">
        <v>22443000</v>
      </c>
    </row>
    <row r="53">
      <c r="A53" t="inlineStr">
        <is>
          <t>Títulos negociáveis (marketable securities, CP) [us-gaap/nvda:MarketableSecuritiesCurrent/DebtSecuritiesCurrent/AvailableForSaleSecuritiesDebtSecuritiesCurrent] · fonte · unid. moeda</t>
        </is>
      </c>
      <c r="B53" t="n">
        <v>11</v>
      </c>
      <c r="C53" t="inlineStr">
        <is>
          <t>Cash and equivalents (inc. investment securities)</t>
        </is>
      </c>
      <c r="D53" s="265" t="n">
        <v>11689000</v>
      </c>
      <c r="E53" s="265" t="n">
        <v>14026000</v>
      </c>
      <c r="F53" s="265" t="n">
        <v>18010000</v>
      </c>
      <c r="G53" s="265" t="n">
        <v>19218000</v>
      </c>
      <c r="I53" s="265" t="n">
        <v>16451000</v>
      </c>
      <c r="J53" s="265" t="n">
        <v>14024000</v>
      </c>
      <c r="K53" s="265" t="n">
        <v>10343000</v>
      </c>
      <c r="L53" s="265" t="n">
        <v>9907000</v>
      </c>
      <c r="N53" s="265" t="n">
        <v>10241000</v>
      </c>
      <c r="O53" s="265" t="n">
        <v>10240000</v>
      </c>
      <c r="P53" s="265" t="n">
        <v>12762000</v>
      </c>
      <c r="Q53" s="265" t="n">
        <v>18704000</v>
      </c>
      <c r="S53" s="265" t="n">
        <v>23851000</v>
      </c>
      <c r="T53" s="265" t="n">
        <v>26237000</v>
      </c>
      <c r="U53" s="265" t="n">
        <v>29380000</v>
      </c>
      <c r="V53" s="265" t="n">
        <v>34621000</v>
      </c>
      <c r="X53" s="265" t="n">
        <v>38457000</v>
      </c>
      <c r="Y53" s="265" t="n">
        <v>45152000</v>
      </c>
      <c r="Z53" s="265" t="n">
        <v>49122000</v>
      </c>
      <c r="AA53" s="265" t="n">
        <v>39065000</v>
      </c>
      <c r="AC53" s="265" t="n">
        <v>37098000</v>
      </c>
      <c r="AD53" s="265" t="n">
        <v>34143000</v>
      </c>
    </row>
    <row r="54">
      <c r="A54" t="inlineStr">
        <is>
          <t>Contas a receber de clientes [us-gaap/nvda:AccountsReceivableNetCurrent] · fonte · unid. moeda</t>
        </is>
      </c>
      <c r="B54" t="n">
        <v>12</v>
      </c>
      <c r="C54" t="inlineStr">
        <is>
          <t>Accounts receivable</t>
        </is>
      </c>
      <c r="D54" s="265" t="n">
        <v>3024000</v>
      </c>
      <c r="E54" s="265" t="n">
        <v>3586000</v>
      </c>
      <c r="F54" s="265" t="n">
        <v>3954000</v>
      </c>
      <c r="G54" s="265" t="n">
        <v>4650000</v>
      </c>
      <c r="I54" s="265" t="n">
        <v>5438000</v>
      </c>
      <c r="J54" s="265" t="n">
        <v>5317000</v>
      </c>
      <c r="K54" s="265" t="n">
        <v>4908000</v>
      </c>
      <c r="L54" s="265" t="n">
        <v>3827000</v>
      </c>
      <c r="N54" s="265" t="n">
        <v>4080000</v>
      </c>
      <c r="O54" s="265" t="n">
        <v>7066000</v>
      </c>
      <c r="P54" s="265" t="n">
        <v>8309000</v>
      </c>
      <c r="Q54" s="265" t="n">
        <v>9999000</v>
      </c>
      <c r="S54" s="265" t="n">
        <v>12365000</v>
      </c>
      <c r="T54" s="265" t="n">
        <v>14132000</v>
      </c>
      <c r="U54" s="265" t="n">
        <v>17693000</v>
      </c>
      <c r="V54" s="265" t="n">
        <v>23065000</v>
      </c>
      <c r="X54" s="265" t="n">
        <v>22132000</v>
      </c>
      <c r="Y54" s="265" t="n">
        <v>27808000</v>
      </c>
      <c r="Z54" s="265" t="n">
        <v>33391000</v>
      </c>
      <c r="AA54" s="265" t="n">
        <v>38466000</v>
      </c>
      <c r="AC54" s="265" t="n">
        <v>40710000</v>
      </c>
      <c r="AD54" s="265" t="n">
        <v>63059000</v>
      </c>
    </row>
    <row r="55">
      <c r="A55" t="inlineStr">
        <is>
          <t>Estoques [us-gaap/nvda:InventoryNet] · fonte · unid. moeda</t>
        </is>
      </c>
      <c r="B55" t="n">
        <v>13</v>
      </c>
      <c r="C55" t="inlineStr">
        <is>
          <t>Inventories</t>
        </is>
      </c>
      <c r="D55" s="265" t="n">
        <v>1992000</v>
      </c>
      <c r="E55" s="265" t="n">
        <v>2114000</v>
      </c>
      <c r="F55" s="265" t="n">
        <v>2233000</v>
      </c>
      <c r="G55" s="265" t="n">
        <v>2605000</v>
      </c>
      <c r="I55" s="265" t="n">
        <v>3163000</v>
      </c>
      <c r="J55" s="265" t="n">
        <v>3889000</v>
      </c>
      <c r="K55" s="265" t="n">
        <v>4454000</v>
      </c>
      <c r="L55" s="265" t="n">
        <v>5159000</v>
      </c>
      <c r="N55" s="265" t="n">
        <v>4611000</v>
      </c>
      <c r="O55" s="265" t="n">
        <v>4319000</v>
      </c>
      <c r="P55" s="265" t="n">
        <v>4779000</v>
      </c>
      <c r="Q55" s="265" t="n">
        <v>5282000</v>
      </c>
      <c r="S55" s="265" t="n">
        <v>5864000</v>
      </c>
      <c r="T55" s="265" t="n">
        <v>6675000</v>
      </c>
      <c r="U55" s="265" t="n">
        <v>7654000</v>
      </c>
      <c r="V55" s="265" t="n">
        <v>10080000</v>
      </c>
      <c r="X55" s="265" t="n">
        <v>11333000</v>
      </c>
      <c r="Y55" s="265" t="n">
        <v>14962000</v>
      </c>
      <c r="Z55" s="265" t="n">
        <v>19784000</v>
      </c>
      <c r="AA55" s="265" t="n">
        <v>21403000</v>
      </c>
      <c r="AC55" s="265" t="n">
        <v>25797000</v>
      </c>
      <c r="AD55" s="265" t="n">
        <v>31575000</v>
      </c>
    </row>
    <row r="56">
      <c r="A56" t="inlineStr">
        <is>
          <t>Despesas antecipadas e outros ativos circulantes [us-gaap/nvda:PrepaidExpenseAndOtherAssetsCurrent] · fonte · unid. moeda</t>
        </is>
      </c>
      <c r="B56" t="n">
        <v>16</v>
      </c>
      <c r="C56" t="inlineStr">
        <is>
          <t>Other current assets</t>
        </is>
      </c>
      <c r="D56" s="265" t="n">
        <v>444000</v>
      </c>
      <c r="E56" s="265" t="n">
        <v>452000</v>
      </c>
      <c r="F56" s="265" t="n">
        <v>321000</v>
      </c>
      <c r="G56" s="265" t="n">
        <v>366000</v>
      </c>
      <c r="I56" s="265" t="n">
        <v>636000</v>
      </c>
      <c r="J56" s="265" t="n">
        <v>1175000</v>
      </c>
      <c r="K56" s="265" t="n">
        <v>718000</v>
      </c>
      <c r="L56" s="265" t="n">
        <v>791000</v>
      </c>
      <c r="N56" s="265" t="n">
        <v>872000</v>
      </c>
      <c r="O56" s="265" t="n">
        <v>1389000</v>
      </c>
      <c r="P56" s="265" t="n">
        <v>1289000</v>
      </c>
      <c r="Q56" s="265" t="n">
        <v>3080000</v>
      </c>
      <c r="S56" s="265" t="n">
        <v>4062000</v>
      </c>
      <c r="T56" s="265" t="n">
        <v>4026000</v>
      </c>
      <c r="U56" s="265" t="n">
        <v>3806000</v>
      </c>
      <c r="V56" s="265" t="n">
        <v>3771000</v>
      </c>
      <c r="X56" s="265" t="n">
        <v>2779000</v>
      </c>
      <c r="Y56" s="265" t="n">
        <v>2658000</v>
      </c>
      <c r="Z56" s="265" t="n">
        <v>2709000</v>
      </c>
      <c r="AA56" s="265" t="n">
        <v>3180000</v>
      </c>
      <c r="AC56" s="265" t="n">
        <v>3916000</v>
      </c>
      <c r="AD56" s="265" t="n">
        <v>3409000</v>
      </c>
    </row>
    <row r="57">
      <c r="A57" t="inlineStr">
        <is>
          <t>Participações em ações listadas a valor justo (circulante; linha própria a partir de 2026) [us-gaap/nvda:EquitySecuritiesFvNi] · fonte · unid. moeda</t>
        </is>
      </c>
      <c r="B57" t="n">
        <v>16</v>
      </c>
      <c r="C57" t="inlineStr">
        <is>
          <t>Other current assets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12886000</v>
      </c>
      <c r="AC57" s="265" t="n">
        <v>30237000</v>
      </c>
      <c r="AD57" s="265" t="n">
        <v>42783000</v>
      </c>
    </row>
    <row r="58">
      <c r="A58" t="inlineStr">
        <is>
          <t>Imobilizado líquido [us-gaap/nvda:PropertyPlantAndEquipmentNet] · fonte · unid. moeda</t>
        </is>
      </c>
      <c r="B58" t="n">
        <v>18</v>
      </c>
      <c r="C58" t="inlineStr">
        <is>
          <t>PP&amp;E</t>
        </is>
      </c>
      <c r="D58" s="265" t="n">
        <v>2268000</v>
      </c>
      <c r="E58" s="265" t="n">
        <v>2364000</v>
      </c>
      <c r="F58" s="265" t="n">
        <v>2509000</v>
      </c>
      <c r="G58" s="265" t="n">
        <v>2778000</v>
      </c>
      <c r="I58" s="265" t="n">
        <v>2916000</v>
      </c>
      <c r="J58" s="265" t="n">
        <v>3233000</v>
      </c>
      <c r="K58" s="265" t="n">
        <v>3774000</v>
      </c>
      <c r="L58" s="265" t="n">
        <v>3807000</v>
      </c>
      <c r="N58" s="265" t="n">
        <v>3740000</v>
      </c>
      <c r="O58" s="265" t="n">
        <v>3799000</v>
      </c>
      <c r="P58" s="265" t="n">
        <v>3844000</v>
      </c>
      <c r="Q58" s="265" t="n">
        <v>3914000</v>
      </c>
      <c r="S58" s="265" t="n">
        <v>4006000</v>
      </c>
      <c r="T58" s="265" t="n">
        <v>4885000</v>
      </c>
      <c r="U58" s="265" t="n">
        <v>5343000</v>
      </c>
      <c r="V58" s="265" t="n">
        <v>6283000</v>
      </c>
      <c r="X58" s="265" t="n">
        <v>7136000</v>
      </c>
      <c r="Y58" s="265" t="n">
        <v>9141000</v>
      </c>
      <c r="Z58" s="265" t="n">
        <v>9780000</v>
      </c>
      <c r="AA58" s="265" t="n">
        <v>10383000</v>
      </c>
      <c r="AC58" s="265" t="n">
        <v>12403000</v>
      </c>
      <c r="AD58" s="265" t="n">
        <v>14285000</v>
      </c>
    </row>
    <row r="59">
      <c r="A59" t="inlineStr">
        <is>
          <t>Direito de uso (arrendamento operacional) [us-gaap/nvda:OperatingLeaseRightOfUseAsset] · fonte · unid. moeda</t>
        </is>
      </c>
      <c r="B59" t="n">
        <v>19</v>
      </c>
      <c r="C59" t="inlineStr">
        <is>
          <t>Right-of-use-assets</t>
        </is>
      </c>
      <c r="D59" s="265" t="n">
        <v>727000</v>
      </c>
      <c r="E59" s="265" t="n">
        <v>801000</v>
      </c>
      <c r="F59" s="265" t="n">
        <v>830000</v>
      </c>
      <c r="G59" s="265" t="n">
        <v>829000</v>
      </c>
      <c r="I59" s="265" t="n">
        <v>856000</v>
      </c>
      <c r="J59" s="265" t="n">
        <v>852000</v>
      </c>
      <c r="K59" s="265" t="n">
        <v>927000</v>
      </c>
      <c r="L59" s="265" t="n">
        <v>1038000</v>
      </c>
      <c r="N59" s="265" t="n">
        <v>1094000</v>
      </c>
      <c r="O59" s="265" t="n">
        <v>1235000</v>
      </c>
      <c r="P59" s="265" t="n">
        <v>1316000</v>
      </c>
      <c r="Q59" s="265" t="n">
        <v>1346000</v>
      </c>
      <c r="S59" s="265" t="n">
        <v>1532000</v>
      </c>
      <c r="T59" s="265" t="n">
        <v>1556000</v>
      </c>
      <c r="U59" s="265" t="n">
        <v>1755000</v>
      </c>
      <c r="V59" s="265" t="n">
        <v>1793000</v>
      </c>
      <c r="X59" s="265" t="n">
        <v>1810000</v>
      </c>
      <c r="Y59" s="265" t="n">
        <v>2084000</v>
      </c>
      <c r="Z59" s="265" t="n">
        <v>2281000</v>
      </c>
      <c r="AA59" s="265" t="n">
        <v>2867000</v>
      </c>
      <c r="AC59" s="265" t="n">
        <v>4258000</v>
      </c>
      <c r="AD59" s="265" t="n">
        <v>5390000</v>
      </c>
    </row>
    <row r="60">
      <c r="A60" t="inlineStr">
        <is>
          <t>Goodwill [us-gaap/nvda:Goodwill] · fonte · unid. moeda</t>
        </is>
      </c>
      <c r="B60" t="n">
        <v>20</v>
      </c>
      <c r="C60" t="inlineStr">
        <is>
          <t>Goodwill</t>
        </is>
      </c>
      <c r="D60" s="265" t="n">
        <v>4193000</v>
      </c>
      <c r="E60" s="265" t="n">
        <v>4193000</v>
      </c>
      <c r="F60" s="265" t="n">
        <v>4302000</v>
      </c>
      <c r="G60" s="265" t="n">
        <v>4349000</v>
      </c>
      <c r="I60" s="265" t="n">
        <v>4365000</v>
      </c>
      <c r="J60" s="265" t="n">
        <v>4372000</v>
      </c>
      <c r="K60" s="265" t="n">
        <v>4372000</v>
      </c>
      <c r="L60" s="265" t="n">
        <v>4372000</v>
      </c>
      <c r="N60" s="265" t="n">
        <v>4430000</v>
      </c>
      <c r="O60" s="265" t="n">
        <v>4430000</v>
      </c>
      <c r="P60" s="265" t="n">
        <v>4430000</v>
      </c>
      <c r="Q60" s="265" t="n">
        <v>4430000</v>
      </c>
      <c r="S60" s="265" t="n">
        <v>4453000</v>
      </c>
      <c r="T60" s="265" t="n">
        <v>4622000</v>
      </c>
      <c r="U60" s="265" t="n">
        <v>4724000</v>
      </c>
      <c r="V60" s="265" t="n">
        <v>5188000</v>
      </c>
      <c r="X60" s="265" t="n">
        <v>5498000</v>
      </c>
      <c r="Y60" s="265" t="n">
        <v>5755000</v>
      </c>
      <c r="Z60" s="265" t="n">
        <v>6261000</v>
      </c>
      <c r="AA60" s="265" t="n">
        <v>20832000</v>
      </c>
      <c r="AC60" s="265" t="n">
        <v>20894000</v>
      </c>
      <c r="AD60" s="265" t="n">
        <v>21125000</v>
      </c>
    </row>
    <row r="61">
      <c r="A61" t="inlineStr">
        <is>
          <t>Intangíveis líquidos [us-gaap/nvda:IntangibleAssetsNetExcludingGoodwill] · fonte · unid. moeda</t>
        </is>
      </c>
      <c r="B61" t="n">
        <v>21</v>
      </c>
      <c r="C61" t="inlineStr">
        <is>
          <t>Intangibles</t>
        </is>
      </c>
      <c r="D61" s="265" t="n">
        <v>2613000</v>
      </c>
      <c r="E61" s="265" t="n">
        <v>2478000</v>
      </c>
      <c r="F61" s="265" t="n">
        <v>2454000</v>
      </c>
      <c r="G61" s="265" t="n">
        <v>2339000</v>
      </c>
      <c r="I61" s="265" t="n">
        <v>2211000</v>
      </c>
      <c r="J61" s="265" t="n">
        <v>2036000</v>
      </c>
      <c r="K61" s="265" t="n">
        <v>1850000</v>
      </c>
      <c r="L61" s="265" t="n">
        <v>1676000</v>
      </c>
      <c r="N61" s="265" t="n">
        <v>1541000</v>
      </c>
      <c r="O61" s="265" t="n">
        <v>1395000</v>
      </c>
      <c r="P61" s="265" t="n">
        <v>1251000</v>
      </c>
      <c r="Q61" s="265" t="n">
        <v>1112000</v>
      </c>
      <c r="S61" s="265" t="n">
        <v>986000</v>
      </c>
      <c r="T61" s="265" t="n">
        <v>952000</v>
      </c>
      <c r="U61" s="265" t="n">
        <v>838000</v>
      </c>
      <c r="V61" s="265" t="n">
        <v>807000</v>
      </c>
      <c r="X61" s="265" t="n">
        <v>769000</v>
      </c>
      <c r="Y61" s="265" t="n">
        <v>755000</v>
      </c>
      <c r="Z61" s="265" t="n">
        <v>936000</v>
      </c>
      <c r="AA61" s="265" t="n">
        <v>3306000</v>
      </c>
      <c r="AC61" s="265" t="n">
        <v>3120000</v>
      </c>
      <c r="AD61" s="265" t="n">
        <v>2998000</v>
      </c>
    </row>
    <row r="62">
      <c r="A62" t="inlineStr">
        <is>
          <t>IR diferido ativo [us-gaap/nvda:DeferredIncomeTaxAssetsNet] · fonte · unid. moeda</t>
        </is>
      </c>
      <c r="B62" t="n">
        <v>14</v>
      </c>
      <c r="C62" t="inlineStr">
        <is>
          <t>Deferred income taxes</t>
        </is>
      </c>
      <c r="D62" s="265" t="n">
        <v>778000</v>
      </c>
      <c r="E62" s="265" t="n">
        <v>958000</v>
      </c>
      <c r="F62" s="265" t="n">
        <v>970000</v>
      </c>
      <c r="G62" s="265" t="n">
        <v>1222000</v>
      </c>
      <c r="I62" s="265" t="n">
        <v>1784000</v>
      </c>
      <c r="J62" s="265" t="n">
        <v>2225000</v>
      </c>
      <c r="K62" s="265" t="n">
        <v>2762000</v>
      </c>
      <c r="L62" s="265" t="n">
        <v>3396000</v>
      </c>
      <c r="N62" s="265" t="n">
        <v>4568000</v>
      </c>
      <c r="O62" s="265" t="n">
        <v>5398000</v>
      </c>
      <c r="P62" s="265" t="n">
        <v>5982000</v>
      </c>
      <c r="Q62" s="265" t="n">
        <v>6081000</v>
      </c>
      <c r="S62" s="265" t="n">
        <v>7798000</v>
      </c>
      <c r="T62" s="265" t="n">
        <v>9578000</v>
      </c>
      <c r="U62" s="265" t="n">
        <v>10276000</v>
      </c>
      <c r="V62" s="265" t="n">
        <v>10979000</v>
      </c>
      <c r="X62" s="265" t="n">
        <v>13318000</v>
      </c>
      <c r="Y62" s="265" t="n">
        <v>13570000</v>
      </c>
      <c r="Z62" s="265" t="n">
        <v>13674000</v>
      </c>
      <c r="AA62" s="265" t="n">
        <v>13258000</v>
      </c>
      <c r="AC62" s="265" t="n">
        <v>11707000</v>
      </c>
      <c r="AD62" s="265" t="n">
        <v>12159000</v>
      </c>
    </row>
    <row r="63">
      <c r="A63" t="inlineStr">
        <is>
          <t>Investimentos em empresas fechadas (non-marketable equity; linha própria no balanço recente) [us-gaap/nvda:NonMarketableSecurities/EquitySecuritiesFVNINoncurrent] · fonte · unid. moeda</t>
        </is>
      </c>
      <c r="B63" t="n">
        <v>22</v>
      </c>
      <c r="C63" t="inlineStr">
        <is>
          <t>Other non-current assets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22251000</v>
      </c>
      <c r="AC63" s="265" t="n">
        <v>43364000</v>
      </c>
      <c r="AD63" s="265" t="n">
        <v>51157000</v>
      </c>
    </row>
    <row r="64">
      <c r="A64" t="inlineStr">
        <is>
          <t>Outros ativos não circulantes [us-gaap/nvda:OtherAssetsNoncurrent/OtherAssets] · fonte · unid. moeda</t>
        </is>
      </c>
      <c r="B64" t="n">
        <v>22</v>
      </c>
      <c r="C64" t="inlineStr">
        <is>
          <t>Other non-current assets</t>
        </is>
      </c>
      <c r="D64" s="265" t="n">
        <v>2090000</v>
      </c>
      <c r="E64" s="265" t="n">
        <v>2050000</v>
      </c>
      <c r="F64" s="265" t="n">
        <v>3761000</v>
      </c>
      <c r="G64" s="265" t="n">
        <v>3841000</v>
      </c>
      <c r="I64" s="265" t="n">
        <v>3505000</v>
      </c>
      <c r="J64" s="265" t="n">
        <v>3340000</v>
      </c>
      <c r="K64" s="265" t="n">
        <v>3580000</v>
      </c>
      <c r="L64" s="265" t="n">
        <v>3820000</v>
      </c>
      <c r="N64" s="265" t="n">
        <v>4204000</v>
      </c>
      <c r="O64" s="265" t="n">
        <v>4501000</v>
      </c>
      <c r="P64" s="265" t="n">
        <v>4667000</v>
      </c>
      <c r="Q64" s="265" t="n">
        <v>4500000</v>
      </c>
      <c r="S64" s="265" t="n">
        <v>4568000</v>
      </c>
      <c r="T64" s="265" t="n">
        <v>4001000</v>
      </c>
      <c r="U64" s="265" t="n">
        <v>5437000</v>
      </c>
      <c r="V64" s="265" t="n">
        <v>6425000</v>
      </c>
      <c r="X64" s="265" t="n">
        <v>6788000</v>
      </c>
      <c r="Y64" s="265" t="n">
        <v>7216000</v>
      </c>
      <c r="Z64" s="265" t="n">
        <v>11724000</v>
      </c>
      <c r="AA64" s="265" t="n">
        <v>8301000</v>
      </c>
      <c r="AC64" s="265" t="n">
        <v>12733000</v>
      </c>
      <c r="AD64" s="265" t="n">
        <v>15746000</v>
      </c>
    </row>
    <row r="65">
      <c r="A65" t="inlineStr">
        <is>
          <t>Fornecedores [us-gaap/nvda:AccountsPayableCurrent] · fonte · unid. moeda</t>
        </is>
      </c>
      <c r="B65" t="n">
        <v>23</v>
      </c>
      <c r="C65" t="inlineStr">
        <is>
          <t>Accounts payable</t>
        </is>
      </c>
      <c r="D65" s="265" t="n">
        <v>1218000</v>
      </c>
      <c r="E65" s="265" t="n">
        <v>1474000</v>
      </c>
      <c r="F65" s="265" t="n">
        <v>1664000</v>
      </c>
      <c r="G65" s="265" t="n">
        <v>1783000</v>
      </c>
      <c r="I65" s="265" t="n">
        <v>1999000</v>
      </c>
      <c r="J65" s="265" t="n">
        <v>2421000</v>
      </c>
      <c r="K65" s="265" t="n">
        <v>1491000</v>
      </c>
      <c r="L65" s="265" t="n">
        <v>1193000</v>
      </c>
      <c r="N65" s="265" t="n">
        <v>1141000</v>
      </c>
      <c r="O65" s="265" t="n">
        <v>1929000</v>
      </c>
      <c r="P65" s="265" t="n">
        <v>2380000</v>
      </c>
      <c r="Q65" s="265" t="n">
        <v>2699000</v>
      </c>
      <c r="S65" s="265" t="n">
        <v>2715000</v>
      </c>
      <c r="T65" s="265" t="n">
        <v>3680000</v>
      </c>
      <c r="U65" s="265" t="n">
        <v>5353000</v>
      </c>
      <c r="V65" s="265" t="n">
        <v>6310000</v>
      </c>
      <c r="X65" s="265" t="n">
        <v>7331000</v>
      </c>
      <c r="Y65" s="265" t="n">
        <v>9064000</v>
      </c>
      <c r="Z65" s="265" t="n">
        <v>8624000</v>
      </c>
      <c r="AA65" s="265" t="n">
        <v>9812000</v>
      </c>
      <c r="AC65" s="265" t="n">
        <v>13097000</v>
      </c>
      <c r="AD65" s="265" t="n">
        <v>15059000</v>
      </c>
    </row>
    <row r="66">
      <c r="A66" t="inlineStr">
        <is>
          <t>Despesas provisionadas e outros passivos circulantes (inclui arrendamento CP) [us-gaap/nvda:AccruedLiabilitiesCurrent] · fonte · unid. moeda</t>
        </is>
      </c>
      <c r="B66" t="n">
        <v>24</v>
      </c>
      <c r="C66" t="inlineStr">
        <is>
          <t>Accrued expenses</t>
        </is>
      </c>
      <c r="D66" s="265" t="n">
        <v>1787000</v>
      </c>
      <c r="E66" s="265" t="n">
        <v>1974000</v>
      </c>
      <c r="F66" s="265" t="n">
        <v>1948000</v>
      </c>
      <c r="G66" s="265" t="n">
        <v>2552000</v>
      </c>
      <c r="I66" s="265" t="n">
        <v>3563000</v>
      </c>
      <c r="J66" s="265" t="n">
        <v>3903000</v>
      </c>
      <c r="K66" s="265" t="n">
        <v>4115000</v>
      </c>
      <c r="L66" s="265" t="n">
        <v>4120000</v>
      </c>
      <c r="N66" s="265" t="n">
        <v>4869000</v>
      </c>
      <c r="O66" s="265" t="n">
        <v>7156000</v>
      </c>
      <c r="P66" s="265" t="n">
        <v>5472000</v>
      </c>
      <c r="Q66" s="265" t="n">
        <v>6682000</v>
      </c>
      <c r="S66" s="265" t="n">
        <v>11258000</v>
      </c>
      <c r="T66" s="265" t="n">
        <v>10289000</v>
      </c>
      <c r="U66" s="265" t="n">
        <v>11126000</v>
      </c>
      <c r="V66" s="265" t="n">
        <v>11737000</v>
      </c>
      <c r="X66" s="265" t="n">
        <v>19211000</v>
      </c>
      <c r="Y66" s="265" t="n">
        <v>15193000</v>
      </c>
      <c r="Z66" s="265" t="n">
        <v>16452000</v>
      </c>
      <c r="AA66" s="265" t="n">
        <v>21352000</v>
      </c>
      <c r="AC66" s="265" t="n">
        <v>29787000</v>
      </c>
      <c r="AD66" s="265" t="n">
        <v>26960000</v>
      </c>
    </row>
    <row r="67">
      <c r="A67" t="inlineStr">
        <is>
          <t>Dívida de curto prazo [us-gaap/nvda:DebtCurrent/LongTermDebtCurrent/ShortTermBorrowings] · fonte · unid. moeda</t>
        </is>
      </c>
      <c r="B67" t="n">
        <v>27</v>
      </c>
      <c r="C67" t="inlineStr">
        <is>
          <t>Current portion of long-term debt</t>
        </is>
      </c>
      <c r="D67" s="265" t="n">
        <v>999000</v>
      </c>
      <c r="E67" s="265" t="n">
        <v>1000000</v>
      </c>
      <c r="F67" s="265" t="n">
        <v>0</v>
      </c>
      <c r="G67" s="265" t="n">
        <v>0</v>
      </c>
      <c r="I67" s="265" t="n">
        <v>0</v>
      </c>
      <c r="J67" s="265" t="n">
        <v>1249000</v>
      </c>
      <c r="K67" s="265" t="n">
        <v>1249000</v>
      </c>
      <c r="L67" s="265" t="n">
        <v>1250000</v>
      </c>
      <c r="N67" s="265" t="n">
        <v>1250000</v>
      </c>
      <c r="O67" s="265" t="n">
        <v>1249000</v>
      </c>
      <c r="P67" s="265" t="n">
        <v>1249000</v>
      </c>
      <c r="Q67" s="265" t="n">
        <v>1250000</v>
      </c>
      <c r="S67" s="265" t="n">
        <v>1250000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999000</v>
      </c>
      <c r="AA67" s="265" t="n">
        <v>999000</v>
      </c>
      <c r="AC67" s="265" t="n">
        <v>1000000</v>
      </c>
      <c r="AD67" s="265" t="n">
        <v>1000000</v>
      </c>
    </row>
    <row r="68">
      <c r="A68" t="inlineStr">
        <is>
          <t>Dívida de longo prazo [us-gaap/nvda:LongTermDebtNoncurrent/LongTermDebt] · fonte · unid. moeda</t>
        </is>
      </c>
      <c r="B68" t="n">
        <v>30</v>
      </c>
      <c r="C68" t="inlineStr">
        <is>
          <t>Long term debt</t>
        </is>
      </c>
      <c r="D68" s="265" t="n">
        <v>5964000</v>
      </c>
      <c r="E68" s="265" t="n">
        <v>10943000</v>
      </c>
      <c r="F68" s="265" t="n">
        <v>10944000</v>
      </c>
      <c r="G68" s="265" t="n">
        <v>10946000</v>
      </c>
      <c r="I68" s="265" t="n">
        <v>10947000</v>
      </c>
      <c r="J68" s="265" t="n">
        <v>9700000</v>
      </c>
      <c r="K68" s="265" t="n">
        <v>9701000</v>
      </c>
      <c r="L68" s="265" t="n">
        <v>9703000</v>
      </c>
      <c r="N68" s="265" t="n">
        <v>9704000</v>
      </c>
      <c r="O68" s="265" t="n">
        <v>8456000</v>
      </c>
      <c r="P68" s="265" t="n">
        <v>8457000</v>
      </c>
      <c r="Q68" s="265" t="n">
        <v>8459000</v>
      </c>
      <c r="S68" s="265" t="n">
        <v>8460000</v>
      </c>
      <c r="T68" s="265" t="n">
        <v>8461000</v>
      </c>
      <c r="U68" s="265" t="n">
        <v>8462000</v>
      </c>
      <c r="V68" s="265" t="n">
        <v>8463000</v>
      </c>
      <c r="X68" s="265" t="n">
        <v>8464000</v>
      </c>
      <c r="Y68" s="265" t="n">
        <v>8466000</v>
      </c>
      <c r="Z68" s="265" t="n">
        <v>7468000</v>
      </c>
      <c r="AA68" s="265" t="n">
        <v>7469000</v>
      </c>
      <c r="AC68" s="265" t="n">
        <v>7470000</v>
      </c>
      <c r="AD68" s="265" t="n">
        <v>32366000</v>
      </c>
    </row>
    <row r="69">
      <c r="A69" t="inlineStr">
        <is>
          <t>Arrendamento operacional LP [us-gaap/nvda:OperatingLeaseLiabilityNoncurrent] · fonte · unid. moeda</t>
        </is>
      </c>
      <c r="B69" t="n">
        <v>31</v>
      </c>
      <c r="C69" t="inlineStr">
        <is>
          <t>Long term operating leases</t>
        </is>
      </c>
      <c r="D69" s="265" t="n">
        <v>640000</v>
      </c>
      <c r="E69" s="265" t="n">
        <v>716000</v>
      </c>
      <c r="F69" s="265" t="n">
        <v>743000</v>
      </c>
      <c r="G69" s="265" t="n">
        <v>741000</v>
      </c>
      <c r="I69" s="265" t="n">
        <v>752000</v>
      </c>
      <c r="J69" s="265" t="n">
        <v>743000</v>
      </c>
      <c r="K69" s="265" t="n">
        <v>798000</v>
      </c>
      <c r="L69" s="265" t="n">
        <v>902000</v>
      </c>
      <c r="N69" s="265" t="n">
        <v>939000</v>
      </c>
      <c r="O69" s="265" t="n">
        <v>1041000</v>
      </c>
      <c r="P69" s="265" t="n">
        <v>1091000</v>
      </c>
      <c r="Q69" s="265" t="n">
        <v>1119000</v>
      </c>
      <c r="S69" s="265" t="n">
        <v>1281000</v>
      </c>
      <c r="T69" s="265" t="n">
        <v>1304000</v>
      </c>
      <c r="U69" s="265" t="n">
        <v>1490000</v>
      </c>
      <c r="V69" s="265" t="n">
        <v>1519000</v>
      </c>
      <c r="X69" s="265" t="n">
        <v>1521000</v>
      </c>
      <c r="Y69" s="265" t="n">
        <v>1831000</v>
      </c>
      <c r="Z69" s="265" t="n">
        <v>2014000</v>
      </c>
      <c r="AA69" s="265" t="n">
        <v>2572000</v>
      </c>
      <c r="AC69" s="265" t="n">
        <v>3878000</v>
      </c>
      <c r="AD69" s="265" t="n">
        <v>4985000</v>
      </c>
    </row>
    <row r="70">
      <c r="A70" t="inlineStr">
        <is>
          <t>Outros passivos não circulantes (inclui IR a pagar LP) [us-gaap/nvda:OtherLiabilitiesNoncurrent] · fonte · unid. moeda</t>
        </is>
      </c>
      <c r="B70" t="n">
        <v>34</v>
      </c>
      <c r="C70" t="inlineStr">
        <is>
          <t>Other non-current liabilities</t>
        </is>
      </c>
      <c r="D70" s="265" t="n">
        <v>1414000</v>
      </c>
      <c r="E70" s="265" t="n">
        <v>1396000</v>
      </c>
      <c r="F70" s="265" t="n">
        <v>1535000</v>
      </c>
      <c r="G70" s="265" t="n">
        <v>1553000</v>
      </c>
      <c r="I70" s="265" t="n">
        <v>1631000</v>
      </c>
      <c r="J70" s="265" t="n">
        <v>1609000</v>
      </c>
      <c r="K70" s="265" t="n">
        <v>1785000</v>
      </c>
      <c r="L70" s="265" t="n">
        <v>1913000</v>
      </c>
      <c r="N70" s="265" t="n">
        <v>2037000</v>
      </c>
      <c r="O70" s="265" t="n">
        <v>2223000</v>
      </c>
      <c r="P70" s="265" t="n">
        <v>2234000</v>
      </c>
      <c r="Q70" s="265" t="n">
        <v>2541000</v>
      </c>
      <c r="S70" s="265" t="n">
        <v>2966000</v>
      </c>
      <c r="T70" s="265" t="n">
        <v>3336000</v>
      </c>
      <c r="U70" s="265" t="n">
        <v>3683000</v>
      </c>
      <c r="V70" s="265" t="n">
        <v>4245000</v>
      </c>
      <c r="X70" s="265" t="n">
        <v>4884000</v>
      </c>
      <c r="Y70" s="265" t="n">
        <v>6055000</v>
      </c>
      <c r="Z70" s="265" t="n">
        <v>6694000</v>
      </c>
      <c r="AA70" s="265" t="n">
        <v>7306000</v>
      </c>
      <c r="AC70" s="265" t="n">
        <v>8768000</v>
      </c>
      <c r="AD70" s="265" t="n">
        <v>10918000</v>
      </c>
    </row>
    <row r="71">
      <c r="A71" t="inlineStr">
        <is>
          <t>Ações ordinárias (valor nominal) [us-gaap/nvda:CommonStockValue] · fonte · unid. moeda</t>
        </is>
      </c>
      <c r="B71" t="n">
        <v>37</v>
      </c>
      <c r="C71" t="inlineStr">
        <is>
          <t>Common Stock and APIC</t>
        </is>
      </c>
      <c r="D71" s="265" t="n">
        <v>1000</v>
      </c>
      <c r="E71" s="265" t="n">
        <v>3000</v>
      </c>
      <c r="F71" s="265" t="n">
        <v>3000</v>
      </c>
      <c r="G71" s="265" t="n">
        <v>3000</v>
      </c>
      <c r="I71" s="265" t="n">
        <v>3000</v>
      </c>
      <c r="J71" s="265" t="n">
        <v>2000</v>
      </c>
      <c r="K71" s="265" t="n">
        <v>2000</v>
      </c>
      <c r="L71" s="265" t="n">
        <v>2000</v>
      </c>
      <c r="N71" s="265" t="n">
        <v>2000</v>
      </c>
      <c r="O71" s="265" t="n">
        <v>2000</v>
      </c>
      <c r="P71" s="265" t="n">
        <v>2000</v>
      </c>
      <c r="Q71" s="265" t="n">
        <v>2000</v>
      </c>
      <c r="S71" s="265" t="n">
        <v>2000</v>
      </c>
      <c r="T71" s="265" t="n">
        <v>25000</v>
      </c>
      <c r="U71" s="265" t="n">
        <v>25000</v>
      </c>
      <c r="V71" s="265" t="n">
        <v>24000</v>
      </c>
      <c r="X71" s="265" t="n">
        <v>24000</v>
      </c>
      <c r="Y71" s="265" t="n">
        <v>24000</v>
      </c>
      <c r="Z71" s="265" t="n">
        <v>24000</v>
      </c>
      <c r="AA71" s="265" t="n">
        <v>24000</v>
      </c>
      <c r="AC71" s="265" t="n">
        <v>24000</v>
      </c>
      <c r="AD71" s="265" t="n">
        <v>24000</v>
      </c>
    </row>
    <row r="72">
      <c r="A72" t="inlineStr">
        <is>
          <t>Capital adicional integralizado [us-gaap/nvda:AdditionalPaidInCapital] · fonte · unid. moeda</t>
        </is>
      </c>
      <c r="B72" t="n">
        <v>37</v>
      </c>
      <c r="C72" t="inlineStr">
        <is>
          <t>Common Stock and APIC</t>
        </is>
      </c>
      <c r="D72" s="265" t="n">
        <v>9280000</v>
      </c>
      <c r="E72" s="265" t="n">
        <v>9745000</v>
      </c>
      <c r="F72" s="265" t="n">
        <v>10465000</v>
      </c>
      <c r="G72" s="265" t="n">
        <v>10385000</v>
      </c>
      <c r="I72" s="265" t="n">
        <v>10623000</v>
      </c>
      <c r="J72" s="265" t="n">
        <v>10968000</v>
      </c>
      <c r="K72" s="265" t="n">
        <v>11565000</v>
      </c>
      <c r="L72" s="265" t="n">
        <v>11971000</v>
      </c>
      <c r="N72" s="265" t="n">
        <v>12453000</v>
      </c>
      <c r="O72" s="265" t="n">
        <v>12629000</v>
      </c>
      <c r="P72" s="265" t="n">
        <v>12991000</v>
      </c>
      <c r="Q72" s="265" t="n">
        <v>13132000</v>
      </c>
      <c r="S72" s="265" t="n">
        <v>12651000</v>
      </c>
      <c r="T72" s="265" t="n">
        <v>12115000</v>
      </c>
      <c r="U72" s="265" t="n">
        <v>11821000</v>
      </c>
      <c r="V72" s="265" t="n">
        <v>11237000</v>
      </c>
      <c r="X72" s="265" t="n">
        <v>11475000</v>
      </c>
      <c r="Y72" s="265" t="n">
        <v>11200000</v>
      </c>
      <c r="Z72" s="265" t="n">
        <v>10626000</v>
      </c>
      <c r="AA72" s="265" t="n">
        <v>10118000</v>
      </c>
      <c r="AC72" s="265" t="n">
        <v>10275000</v>
      </c>
      <c r="AD72" s="265" t="n">
        <v>9828000</v>
      </c>
    </row>
    <row r="73">
      <c r="A73" t="inlineStr">
        <is>
          <t>Ações em tesouraria (divulgado positivo) [us-gaap/nvda:TreasuryStockValue/TreasuryStockCommonValue] · fonte · unid. moeda</t>
        </is>
      </c>
      <c r="C73" t="inlineStr">
        <is>
          <t>[linha bruta, sem código; lançada nas linhas abaixo]</t>
        </is>
      </c>
      <c r="D73" s="265" t="n">
        <v>11242000</v>
      </c>
      <c r="E73" s="265" t="n">
        <v>11604000</v>
      </c>
      <c r="F73" s="265" t="n">
        <v>12038000</v>
      </c>
      <c r="G73" s="265" t="n">
        <v>0</v>
      </c>
      <c r="I73" s="265" t="n">
        <v>0</v>
      </c>
      <c r="J73" s="265" t="n">
        <v>0</v>
      </c>
      <c r="K73" s="265" t="n">
        <v>0</v>
      </c>
      <c r="L73" s="265" t="n">
        <v>0</v>
      </c>
      <c r="N73" s="265" t="n">
        <v>0</v>
      </c>
      <c r="O73" s="265" t="n">
        <v>0</v>
      </c>
      <c r="P73" s="265" t="n">
        <v>0</v>
      </c>
      <c r="Q73" s="265" t="n">
        <v>0</v>
      </c>
      <c r="S73" s="265" t="n">
        <v>0</v>
      </c>
      <c r="T73" s="265" t="n">
        <v>0</v>
      </c>
      <c r="U73" s="265" t="n">
        <v>0</v>
      </c>
      <c r="V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C73" s="265" t="n">
        <v>0</v>
      </c>
      <c r="AD73" s="265" t="n">
        <v>0</v>
      </c>
    </row>
    <row r="74">
      <c r="A74" t="inlineStr">
        <is>
          <t>(lançamento) código 38, sinal -1 sobre a linha bruta 73: Ações em tesouraria (divulgado positivo) [us-gaap/nvda:TreasuryStockValue/TreasuryStockCom</t>
        </is>
      </c>
      <c r="B74" t="n">
        <v>38</v>
      </c>
      <c r="C74" t="inlineStr">
        <is>
          <t>Treasury stock (contra account)</t>
        </is>
      </c>
      <c r="D74" s="265">
        <f>IF(D73="","",-1*D73)</f>
        <v>-11242000</v>
      </c>
      <c r="E74" s="265">
        <f>IF(E73="","",-1*E73)</f>
        <v>-11604000</v>
      </c>
      <c r="F74" s="265">
        <f>IF(F73="","",-1*F73)</f>
        <v>-12038000</v>
      </c>
      <c r="G74" s="265">
        <f>IF(G73="","",-1*G73)</f>
        <v>0</v>
      </c>
      <c r="I74" s="265">
        <f>IF(I73="","",-1*I73)</f>
        <v>0</v>
      </c>
      <c r="J74" s="265">
        <f>IF(J73="","",-1*J73)</f>
        <v>0</v>
      </c>
      <c r="K74" s="265">
        <f>IF(K73="","",-1*K73)</f>
        <v>0</v>
      </c>
      <c r="L74" s="265">
        <f>IF(L73="","",-1*L73)</f>
        <v>0</v>
      </c>
      <c r="N74" s="265">
        <f>IF(N73="","",-1*N73)</f>
        <v>0</v>
      </c>
      <c r="O74" s="265">
        <f>IF(O73="","",-1*O73)</f>
        <v>0</v>
      </c>
      <c r="P74" s="265">
        <f>IF(P73="","",-1*P73)</f>
        <v>0</v>
      </c>
      <c r="Q74" s="265">
        <f>IF(Q73="","",-1*Q73)</f>
        <v>0</v>
      </c>
      <c r="S74" s="265">
        <f>IF(S73="","",-1*S73)</f>
        <v>0</v>
      </c>
      <c r="T74" s="265">
        <f>IF(T73="","",-1*T73)</f>
        <v>0</v>
      </c>
      <c r="U74" s="265">
        <f>IF(U73="","",-1*U73)</f>
        <v>0</v>
      </c>
      <c r="V74" s="265">
        <f>IF(V73="","",-1*V73)</f>
        <v>0</v>
      </c>
      <c r="X74" s="265">
        <f>IF(X73="","",-1*X73)</f>
        <v>0</v>
      </c>
      <c r="Y74" s="265">
        <f>IF(Y73="","",-1*Y73)</f>
        <v>0</v>
      </c>
      <c r="Z74" s="265">
        <f>IF(Z73="","",-1*Z73)</f>
        <v>0</v>
      </c>
      <c r="AA74" s="265">
        <f>IF(AA73="","",-1*AA73)</f>
        <v>0</v>
      </c>
      <c r="AC74" s="265">
        <f>IF(AC73="","",-1*AC73)</f>
        <v>0</v>
      </c>
      <c r="AD74" s="265">
        <f>IF(AD73="","",-1*AD73)</f>
        <v>0</v>
      </c>
    </row>
    <row r="75">
      <c r="A75" t="inlineStr">
        <is>
          <t>Outros resultados abrangentes acumulados [us-gaap/nvda:AccumulatedOtherComprehensiveIncomeLossNetOfTax] · fonte · unid. moeda</t>
        </is>
      </c>
      <c r="B75" t="n">
        <v>39</v>
      </c>
      <c r="C75" t="inlineStr">
        <is>
          <t>Comprehensive (accumulated) loss</t>
        </is>
      </c>
      <c r="D75" s="265" t="n">
        <v>14000</v>
      </c>
      <c r="E75" s="265" t="n">
        <v>8000</v>
      </c>
      <c r="F75" s="265" t="n">
        <v>9000</v>
      </c>
      <c r="G75" s="265" t="n">
        <v>-11000</v>
      </c>
      <c r="I75" s="265" t="n">
        <v>-64000</v>
      </c>
      <c r="J75" s="265" t="n">
        <v>-90000</v>
      </c>
      <c r="K75" s="265" t="n">
        <v>-123000</v>
      </c>
      <c r="L75" s="265" t="n">
        <v>-43000</v>
      </c>
      <c r="N75" s="265" t="n">
        <v>-50000</v>
      </c>
      <c r="O75" s="265" t="n">
        <v>-51000</v>
      </c>
      <c r="P75" s="265" t="n">
        <v>-88000</v>
      </c>
      <c r="Q75" s="265" t="n">
        <v>27000</v>
      </c>
      <c r="S75" s="265" t="n">
        <v>-109000</v>
      </c>
      <c r="T75" s="265" t="n">
        <v>56000</v>
      </c>
      <c r="U75" s="265" t="n">
        <v>103000</v>
      </c>
      <c r="V75" s="265" t="n">
        <v>28000</v>
      </c>
      <c r="X75" s="265" t="n">
        <v>186000</v>
      </c>
      <c r="Y75" s="265" t="n">
        <v>170000</v>
      </c>
      <c r="Z75" s="265" t="n">
        <v>339000</v>
      </c>
      <c r="AA75" s="265" t="n">
        <v>178000</v>
      </c>
      <c r="AC75" s="265" t="n">
        <v>137000</v>
      </c>
      <c r="AD75" s="265" t="n">
        <v>-25000</v>
      </c>
    </row>
    <row r="76">
      <c r="A76" t="inlineStr">
        <is>
          <t>Lucros retidos [us-gaap/nvda:RetainedEarningsAccumulatedDeficit] · fonte · unid. moeda</t>
        </is>
      </c>
      <c r="B76" t="n">
        <v>41</v>
      </c>
      <c r="C76" t="inlineStr">
        <is>
          <t>Retained earnings</t>
        </is>
      </c>
      <c r="D76" s="265" t="n">
        <v>20721000</v>
      </c>
      <c r="E76" s="265" t="n">
        <v>22995000</v>
      </c>
      <c r="F76" s="265" t="n">
        <v>25359000</v>
      </c>
      <c r="G76" s="265" t="n">
        <v>16235000</v>
      </c>
      <c r="I76" s="265" t="n">
        <v>15758000</v>
      </c>
      <c r="J76" s="265" t="n">
        <v>12971000</v>
      </c>
      <c r="K76" s="265" t="n">
        <v>9905000</v>
      </c>
      <c r="L76" s="265" t="n">
        <v>10171000</v>
      </c>
      <c r="N76" s="265" t="n">
        <v>12115000</v>
      </c>
      <c r="O76" s="265" t="n">
        <v>14921000</v>
      </c>
      <c r="P76" s="265" t="n">
        <v>20360000</v>
      </c>
      <c r="Q76" s="265" t="n">
        <v>29817000</v>
      </c>
      <c r="S76" s="265" t="n">
        <v>36598000</v>
      </c>
      <c r="T76" s="265" t="n">
        <v>45961000</v>
      </c>
      <c r="U76" s="265" t="n">
        <v>53950000</v>
      </c>
      <c r="V76" s="265" t="n">
        <v>68038000</v>
      </c>
      <c r="X76" s="265" t="n">
        <v>72158000</v>
      </c>
      <c r="Y76" s="265" t="n">
        <v>88737000</v>
      </c>
      <c r="Z76" s="265" t="n">
        <v>107908000</v>
      </c>
      <c r="AA76" s="265" t="n">
        <v>146973000</v>
      </c>
      <c r="AC76" s="265" t="n">
        <v>185038000</v>
      </c>
      <c r="AD76" s="265" t="n">
        <v>219157000</v>
      </c>
    </row>
    <row r="77">
      <c r="A77" t="inlineStr">
        <is>
          <t>BALANÇO - totais divulgados (memória)</t>
        </is>
      </c>
      <c r="C77" t="inlineStr">
        <is>
          <t>[linha bruta, sem código; lançada nas linhas abaixo]</t>
        </is>
      </c>
      <c r="D77" s="265" t="n"/>
      <c r="E77" s="265" t="n"/>
      <c r="F77" s="265" t="n"/>
      <c r="G77" s="265" t="n"/>
      <c r="I77" s="265" t="n"/>
      <c r="J77" s="265" t="n"/>
      <c r="K77" s="265" t="n"/>
      <c r="L77" s="265" t="n"/>
      <c r="N77" s="265" t="n"/>
      <c r="O77" s="265" t="n"/>
      <c r="P77" s="265" t="n"/>
      <c r="Q77" s="265" t="n"/>
      <c r="S77" s="265" t="n"/>
      <c r="T77" s="265" t="n"/>
      <c r="U77" s="265" t="n"/>
      <c r="V77" s="265" t="n"/>
      <c r="X77" s="265" t="n"/>
      <c r="Y77" s="265" t="n"/>
      <c r="Z77" s="265" t="n"/>
      <c r="AA77" s="265" t="n"/>
      <c r="AC77" s="265" t="n"/>
      <c r="AD77" s="265" t="n"/>
    </row>
    <row r="78">
      <c r="A78" t="inlineStr">
        <is>
          <t>Total do ativo [us-gaap:Assets] · memoria · unid. moeda</t>
        </is>
      </c>
      <c r="C78" t="inlineStr">
        <is>
          <t>[linha bruta, sem código; lançada nas linhas abaixo]</t>
        </is>
      </c>
      <c r="D78" s="265" t="n">
        <v>30796000</v>
      </c>
      <c r="E78" s="265" t="n">
        <v>38650000</v>
      </c>
      <c r="F78" s="265" t="n">
        <v>40632000</v>
      </c>
      <c r="G78" s="265" t="n">
        <v>44187000</v>
      </c>
      <c r="I78" s="265" t="n">
        <v>45212000</v>
      </c>
      <c r="J78" s="265" t="n">
        <v>43476000</v>
      </c>
      <c r="K78" s="265" t="n">
        <v>40488000</v>
      </c>
      <c r="L78" s="265" t="n">
        <v>41182000</v>
      </c>
      <c r="N78" s="265" t="n">
        <v>44460000</v>
      </c>
      <c r="O78" s="265" t="n">
        <v>49555000</v>
      </c>
      <c r="P78" s="265" t="n">
        <v>54148000</v>
      </c>
      <c r="Q78" s="265" t="n">
        <v>65728000</v>
      </c>
      <c r="S78" s="265" t="n">
        <v>77072000</v>
      </c>
      <c r="T78" s="265" t="n">
        <v>85227000</v>
      </c>
      <c r="U78" s="265" t="n">
        <v>96013000</v>
      </c>
      <c r="V78" s="265" t="n">
        <v>111601000</v>
      </c>
      <c r="X78" s="265" t="n">
        <v>125254000</v>
      </c>
      <c r="Y78" s="265" t="n">
        <v>140740000</v>
      </c>
      <c r="Z78" s="265" t="n">
        <v>161148000</v>
      </c>
      <c r="AA78" s="265" t="n">
        <v>206803000</v>
      </c>
      <c r="AC78" s="265" t="n">
        <v>259474000</v>
      </c>
      <c r="AD78" s="265" t="n">
        <v>320272000</v>
      </c>
    </row>
    <row r="79">
      <c r="A79" t="inlineStr">
        <is>
          <t>Total do passivo [us-gaap:Liabilities] · memoria · unid. moeda</t>
        </is>
      </c>
      <c r="C79" t="inlineStr">
        <is>
          <t>[linha bruta, sem código; lançada nas linhas abaixo]</t>
        </is>
      </c>
      <c r="D79" s="265" t="n">
        <v>12022000</v>
      </c>
      <c r="E79" s="265" t="n">
        <v>17503000</v>
      </c>
      <c r="F79" s="265" t="n">
        <v>16834000</v>
      </c>
      <c r="G79" s="265" t="n">
        <v>17575000</v>
      </c>
      <c r="I79" s="265" t="n">
        <v>18892000</v>
      </c>
      <c r="J79" s="265" t="n">
        <v>19625000</v>
      </c>
      <c r="K79" s="265" t="n">
        <v>19139000</v>
      </c>
      <c r="L79" s="265" t="n">
        <v>19081000</v>
      </c>
      <c r="N79" s="265" t="n">
        <v>19940000</v>
      </c>
      <c r="O79" s="265" t="n">
        <v>22054000</v>
      </c>
      <c r="P79" s="265" t="n">
        <v>20883000</v>
      </c>
      <c r="Q79" s="265" t="n">
        <v>22750000</v>
      </c>
      <c r="S79" s="265" t="n">
        <v>27930000</v>
      </c>
      <c r="T79" s="265" t="n">
        <v>27070000</v>
      </c>
      <c r="U79" s="265" t="n">
        <v>30114000</v>
      </c>
      <c r="V79" s="265" t="n">
        <v>32274000</v>
      </c>
      <c r="X79" s="265" t="n">
        <v>41411000</v>
      </c>
      <c r="Y79" s="265" t="n">
        <v>40609000</v>
      </c>
      <c r="Z79" s="265" t="n">
        <v>42251000</v>
      </c>
      <c r="AA79" s="265" t="n">
        <v>49510000</v>
      </c>
      <c r="AC79" s="265" t="n">
        <v>64000000</v>
      </c>
      <c r="AD79" s="265" t="n">
        <v>91288000</v>
      </c>
    </row>
    <row r="80">
      <c r="A80" t="inlineStr">
        <is>
          <t>Total do PL [us-gaap:StockholdersEquity] · memoria · unid. moeda</t>
        </is>
      </c>
      <c r="C80" t="inlineStr">
        <is>
          <t>[linha bruta, sem código; lançada nas linhas abaixo]</t>
        </is>
      </c>
      <c r="D80" s="265" t="n">
        <v>18774000</v>
      </c>
      <c r="E80" s="265" t="n">
        <v>21147000</v>
      </c>
      <c r="F80" s="265" t="n">
        <v>23798000</v>
      </c>
      <c r="G80" s="265" t="n">
        <v>26612000</v>
      </c>
      <c r="I80" s="265" t="n">
        <v>26320000</v>
      </c>
      <c r="J80" s="265" t="n">
        <v>23851000</v>
      </c>
      <c r="K80" s="265" t="n">
        <v>21349000</v>
      </c>
      <c r="L80" s="265" t="n">
        <v>22101000</v>
      </c>
      <c r="N80" s="265" t="n">
        <v>24520000</v>
      </c>
      <c r="O80" s="265" t="n">
        <v>27501000</v>
      </c>
      <c r="P80" s="265" t="n">
        <v>33265000</v>
      </c>
      <c r="Q80" s="265" t="n">
        <v>42978000</v>
      </c>
      <c r="S80" s="265" t="n">
        <v>49142000</v>
      </c>
      <c r="T80" s="265" t="n">
        <v>58157000</v>
      </c>
      <c r="U80" s="265" t="n">
        <v>65899000</v>
      </c>
      <c r="V80" s="265" t="n">
        <v>79327000</v>
      </c>
      <c r="X80" s="265" t="n">
        <v>83843000</v>
      </c>
      <c r="Y80" s="265" t="n">
        <v>100131000</v>
      </c>
      <c r="Z80" s="265" t="n">
        <v>118897000</v>
      </c>
      <c r="AA80" s="265" t="n">
        <v>157293000</v>
      </c>
      <c r="AC80" s="265" t="n">
        <v>195474000</v>
      </c>
      <c r="AD80" s="265" t="n">
        <v>228984000</v>
      </c>
    </row>
    <row r="81">
      <c r="A81" t="inlineStr">
        <is>
          <t>CHECKS (devem ser 0)</t>
        </is>
      </c>
      <c r="C81" t="inlineStr">
        <is>
          <t>[linha bruta, sem código; lançada nas linhas abaixo]</t>
        </is>
      </c>
      <c r="D81" s="265" t="n"/>
      <c r="E81" s="265" t="n"/>
      <c r="F81" s="265" t="n"/>
      <c r="G81" s="265" t="n"/>
      <c r="I81" s="265" t="n"/>
      <c r="J81" s="265" t="n"/>
      <c r="K81" s="265" t="n"/>
      <c r="L81" s="265" t="n"/>
      <c r="N81" s="265" t="n"/>
      <c r="O81" s="265" t="n"/>
      <c r="P81" s="265" t="n"/>
      <c r="Q81" s="265" t="n"/>
      <c r="S81" s="265" t="n"/>
      <c r="T81" s="265" t="n"/>
      <c r="U81" s="265" t="n"/>
      <c r="V81" s="265" t="n"/>
      <c r="X81" s="265" t="n"/>
      <c r="Y81" s="265" t="n"/>
      <c r="Z81" s="265" t="n"/>
      <c r="AA81" s="265" t="n"/>
      <c r="AC81" s="265" t="n"/>
      <c r="AD81" s="265" t="n"/>
    </row>
    <row r="82">
      <c r="A82" t="inlineStr">
        <is>
          <t>CHECK: contas de ativo - ativo total (USD, arredondado a 100 mil) · derivada · unid. moeda</t>
        </is>
      </c>
      <c r="C82" t="inlineStr">
        <is>
          <t>[linha bruta, sem código; lançada nas linhas abaixo]</t>
        </is>
      </c>
      <c r="D82" s="265">
        <f>ROUND(N(D52)+N(D53)+N(D54)+N(D55)+N(D56)+N(D57)+N(D58)+N(D59)+N(D60)+N(D61)+N(D62)+N(D63)+N(D64)-N(D78),-2)</f>
        <v>0</v>
      </c>
      <c r="E82" s="265">
        <f>ROUND(N(E52)+N(E53)+N(E54)+N(E55)+N(E56)+N(E57)+N(E58)+N(E59)+N(E60)+N(E61)+N(E62)+N(E63)+N(E64)-N(E78),-2)</f>
        <v>0</v>
      </c>
      <c r="F82" s="265">
        <f>ROUND(N(F52)+N(F53)+N(F54)+N(F55)+N(F56)+N(F57)+N(F58)+N(F59)+N(F60)+N(F61)+N(F62)+N(F63)+N(F64)-N(F78),-2)</f>
        <v>0</v>
      </c>
      <c r="G82" s="265">
        <f>ROUND(N(G52)+N(G53)+N(G54)+N(G55)+N(G56)+N(G57)+N(G58)+N(G59)+N(G60)+N(G61)+N(G62)+N(G63)+N(G64)-N(G78),-2)</f>
        <v>0</v>
      </c>
      <c r="I82" s="265">
        <f>ROUND(N(I52)+N(I53)+N(I54)+N(I55)+N(I56)+N(I57)+N(I58)+N(I59)+N(I60)+N(I61)+N(I62)+N(I63)+N(I64)-N(I78),-2)</f>
        <v>0</v>
      </c>
      <c r="J82" s="265">
        <f>ROUND(N(J52)+N(J53)+N(J54)+N(J55)+N(J56)+N(J57)+N(J58)+N(J59)+N(J60)+N(J61)+N(J62)+N(J63)+N(J64)-N(J78),-2)</f>
        <v>0</v>
      </c>
      <c r="K82" s="265">
        <f>ROUND(N(K52)+N(K53)+N(K54)+N(K55)+N(K56)+N(K57)+N(K58)+N(K59)+N(K60)+N(K61)+N(K62)+N(K63)+N(K64)-N(K78),-2)</f>
        <v>0</v>
      </c>
      <c r="L82" s="265">
        <f>ROUND(N(L52)+N(L53)+N(L54)+N(L55)+N(L56)+N(L57)+N(L58)+N(L59)+N(L60)+N(L61)+N(L62)+N(L63)+N(L64)-N(L78),-2)</f>
        <v>0</v>
      </c>
      <c r="N82" s="265">
        <f>ROUND(N(N52)+N(N53)+N(N54)+N(N55)+N(N56)+N(N57)+N(N58)+N(N59)+N(N60)+N(N61)+N(N62)+N(N63)+N(N64)-N(N78),-2)</f>
        <v>0</v>
      </c>
      <c r="O82" s="265">
        <f>ROUND(N(O52)+N(O53)+N(O54)+N(O55)+N(O56)+N(O57)+N(O58)+N(O59)+N(O60)+N(O61)+N(O62)+N(O63)+N(O64)-N(O78),-2)</f>
        <v>0</v>
      </c>
      <c r="P82" s="265">
        <f>ROUND(N(P52)+N(P53)+N(P54)+N(P55)+N(P56)+N(P57)+N(P58)+N(P59)+N(P60)+N(P61)+N(P62)+N(P63)+N(P64)-N(P78),-2)</f>
        <v>0</v>
      </c>
      <c r="Q82" s="265">
        <f>ROUND(N(Q52)+N(Q53)+N(Q54)+N(Q55)+N(Q56)+N(Q57)+N(Q58)+N(Q59)+N(Q60)+N(Q61)+N(Q62)+N(Q63)+N(Q64)-N(Q78),-2)</f>
        <v>0</v>
      </c>
      <c r="S82" s="265">
        <f>ROUND(N(S52)+N(S53)+N(S54)+N(S55)+N(S56)+N(S57)+N(S58)+N(S59)+N(S60)+N(S61)+N(S62)+N(S63)+N(S64)-N(S78),-2)</f>
        <v>0</v>
      </c>
      <c r="T82" s="265">
        <f>ROUND(N(T52)+N(T53)+N(T54)+N(T55)+N(T56)+N(T57)+N(T58)+N(T59)+N(T60)+N(T61)+N(T62)+N(T63)+N(T64)-N(T78),-2)</f>
        <v>0</v>
      </c>
      <c r="U82" s="265">
        <f>ROUND(N(U52)+N(U53)+N(U54)+N(U55)+N(U56)+N(U57)+N(U58)+N(U59)+N(U60)+N(U61)+N(U62)+N(U63)+N(U64)-N(U78),-2)</f>
        <v>0</v>
      </c>
      <c r="V82" s="265">
        <f>ROUND(N(V52)+N(V53)+N(V54)+N(V55)+N(V56)+N(V57)+N(V58)+N(V59)+N(V60)+N(V61)+N(V62)+N(V63)+N(V64)-N(V78),-2)</f>
        <v>0</v>
      </c>
      <c r="X82" s="265">
        <f>ROUND(N(X52)+N(X53)+N(X54)+N(X55)+N(X56)+N(X57)+N(X58)+N(X59)+N(X60)+N(X61)+N(X62)+N(X63)+N(X64)-N(X78),-2)</f>
        <v>0</v>
      </c>
      <c r="Y82" s="265">
        <f>ROUND(N(Y52)+N(Y53)+N(Y54)+N(Y55)+N(Y56)+N(Y57)+N(Y58)+N(Y59)+N(Y60)+N(Y61)+N(Y62)+N(Y63)+N(Y64)-N(Y78),-2)</f>
        <v>0</v>
      </c>
      <c r="Z82" s="265">
        <f>ROUND(N(Z52)+N(Z53)+N(Z54)+N(Z55)+N(Z56)+N(Z57)+N(Z58)+N(Z59)+N(Z60)+N(Z61)+N(Z62)+N(Z63)+N(Z64)-N(Z78),-2)</f>
        <v>0</v>
      </c>
      <c r="AA82" s="265">
        <f>ROUND(N(AA52)+N(AA53)+N(AA54)+N(AA55)+N(AA56)+N(AA57)+N(AA58)+N(AA59)+N(AA60)+N(AA61)+N(AA62)+N(AA63)+N(AA64)-N(AA78),-2)</f>
        <v>0</v>
      </c>
      <c r="AC82" s="265">
        <f>ROUND(N(AC52)+N(AC53)+N(AC54)+N(AC55)+N(AC56)+N(AC57)+N(AC58)+N(AC59)+N(AC60)+N(AC61)+N(AC62)+N(AC63)+N(AC64)-N(AC78),-2)</f>
        <v>0</v>
      </c>
      <c r="AD82" s="265">
        <f>ROUND(N(AD52)+N(AD53)+N(AD54)+N(AD55)+N(AD56)+N(AD57)+N(AD58)+N(AD59)+N(AD60)+N(AD61)+N(AD62)+N(AD63)+N(AD64)-N(AD78),-2)</f>
        <v>0</v>
      </c>
    </row>
    <row r="83">
      <c r="A83" t="inlineStr">
        <is>
          <t>CHECK: contas de passivo - passivo total · derivada · unid. moeda</t>
        </is>
      </c>
      <c r="C83" t="inlineStr">
        <is>
          <t>[linha bruta, sem código; lançada nas linhas abaixo]</t>
        </is>
      </c>
      <c r="D83" s="265">
        <f>ROUND(N(D65)+N(D66)+N(D67)+N(D68)+N(D69)+N(D70)-N(D79),-2)</f>
        <v>0</v>
      </c>
      <c r="E83" s="265">
        <f>ROUND(N(E65)+N(E66)+N(E67)+N(E68)+N(E69)+N(E70)-N(E79),-2)</f>
        <v>0</v>
      </c>
      <c r="F83" s="265">
        <f>ROUND(N(F65)+N(F66)+N(F67)+N(F68)+N(F69)+N(F70)-N(F79),-2)</f>
        <v>0</v>
      </c>
      <c r="G83" s="265">
        <f>ROUND(N(G65)+N(G66)+N(G67)+N(G68)+N(G69)+N(G70)-N(G79),-2)</f>
        <v>0</v>
      </c>
      <c r="I83" s="265">
        <f>ROUND(N(I65)+N(I66)+N(I67)+N(I68)+N(I69)+N(I70)-N(I79),-2)</f>
        <v>0</v>
      </c>
      <c r="J83" s="265">
        <f>ROUND(N(J65)+N(J66)+N(J67)+N(J68)+N(J69)+N(J70)-N(J79),-2)</f>
        <v>0</v>
      </c>
      <c r="K83" s="265">
        <f>ROUND(N(K65)+N(K66)+N(K67)+N(K68)+N(K69)+N(K70)-N(K79),-2)</f>
        <v>0</v>
      </c>
      <c r="L83" s="265">
        <f>ROUND(N(L65)+N(L66)+N(L67)+N(L68)+N(L69)+N(L70)-N(L79),-2)</f>
        <v>0</v>
      </c>
      <c r="N83" s="265">
        <f>ROUND(N(N65)+N(N66)+N(N67)+N(N68)+N(N69)+N(N70)-N(N79),-2)</f>
        <v>0</v>
      </c>
      <c r="O83" s="265">
        <f>ROUND(N(O65)+N(O66)+N(O67)+N(O68)+N(O69)+N(O70)-N(O79),-2)</f>
        <v>0</v>
      </c>
      <c r="P83" s="265">
        <f>ROUND(N(P65)+N(P66)+N(P67)+N(P68)+N(P69)+N(P70)-N(P79),-2)</f>
        <v>0</v>
      </c>
      <c r="Q83" s="265">
        <f>ROUND(N(Q65)+N(Q66)+N(Q67)+N(Q68)+N(Q69)+N(Q70)-N(Q79),-2)</f>
        <v>0</v>
      </c>
      <c r="S83" s="265">
        <f>ROUND(N(S65)+N(S66)+N(S67)+N(S68)+N(S69)+N(S70)-N(S79),-2)</f>
        <v>0</v>
      </c>
      <c r="T83" s="265">
        <f>ROUND(N(T65)+N(T66)+N(T67)+N(T68)+N(T69)+N(T70)-N(T79),-2)</f>
        <v>0</v>
      </c>
      <c r="U83" s="265">
        <f>ROUND(N(U65)+N(U66)+N(U67)+N(U68)+N(U69)+N(U70)-N(U79),-2)</f>
        <v>0</v>
      </c>
      <c r="V83" s="265">
        <f>ROUND(N(V65)+N(V66)+N(V67)+N(V68)+N(V69)+N(V70)-N(V79),-2)</f>
        <v>0</v>
      </c>
      <c r="X83" s="265">
        <f>ROUND(N(X65)+N(X66)+N(X67)+N(X68)+N(X69)+N(X70)-N(X79),-2)</f>
        <v>0</v>
      </c>
      <c r="Y83" s="265">
        <f>ROUND(N(Y65)+N(Y66)+N(Y67)+N(Y68)+N(Y69)+N(Y70)-N(Y79),-2)</f>
        <v>0</v>
      </c>
      <c r="Z83" s="265">
        <f>ROUND(N(Z65)+N(Z66)+N(Z67)+N(Z68)+N(Z69)+N(Z70)-N(Z79),-2)</f>
        <v>0</v>
      </c>
      <c r="AA83" s="265">
        <f>ROUND(N(AA65)+N(AA66)+N(AA67)+N(AA68)+N(AA69)+N(AA70)-N(AA79),-2)</f>
        <v>0</v>
      </c>
      <c r="AC83" s="265">
        <f>ROUND(N(AC65)+N(AC66)+N(AC67)+N(AC68)+N(AC69)+N(AC70)-N(AC79),-2)</f>
        <v>0</v>
      </c>
      <c r="AD83" s="265">
        <f>ROUND(N(AD65)+N(AD66)+N(AD67)+N(AD68)+N(AD69)+N(AD70)-N(AD79),-2)</f>
        <v>0</v>
      </c>
    </row>
    <row r="84">
      <c r="A84" t="inlineStr">
        <is>
          <t>CHECK: contas de PL - PL total · derivada · unid. moeda</t>
        </is>
      </c>
      <c r="C84" t="inlineStr">
        <is>
          <t>[linha bruta, sem código; lançada nas linhas abaixo]</t>
        </is>
      </c>
      <c r="D84" s="265">
        <f>ROUND(N(D71)+N(D72)-N(D73)+N(D75)+N(D76)-N(D80),-2)</f>
        <v>0</v>
      </c>
      <c r="E84" s="265">
        <f>ROUND(N(E71)+N(E72)-N(E73)+N(E75)+N(E76)-N(E80),-2)</f>
        <v>0</v>
      </c>
      <c r="F84" s="265">
        <f>ROUND(N(F71)+N(F72)-N(F73)+N(F75)+N(F76)-N(F80),-2)</f>
        <v>0</v>
      </c>
      <c r="G84" s="265">
        <f>ROUND(N(G71)+N(G72)-N(G73)+N(G75)+N(G76)-N(G80),-2)</f>
        <v>0</v>
      </c>
      <c r="I84" s="265">
        <f>ROUND(N(I71)+N(I72)-N(I73)+N(I75)+N(I76)-N(I80),-2)</f>
        <v>0</v>
      </c>
      <c r="J84" s="265">
        <f>ROUND(N(J71)+N(J72)-N(J73)+N(J75)+N(J76)-N(J80),-2)</f>
        <v>0</v>
      </c>
      <c r="K84" s="265">
        <f>ROUND(N(K71)+N(K72)-N(K73)+N(K75)+N(K76)-N(K80),-2)</f>
        <v>0</v>
      </c>
      <c r="L84" s="265">
        <f>ROUND(N(L71)+N(L72)-N(L73)+N(L75)+N(L76)-N(L80),-2)</f>
        <v>0</v>
      </c>
      <c r="N84" s="265">
        <f>ROUND(N(N71)+N(N72)-N(N73)+N(N75)+N(N76)-N(N80),-2)</f>
        <v>0</v>
      </c>
      <c r="O84" s="265">
        <f>ROUND(N(O71)+N(O72)-N(O73)+N(O75)+N(O76)-N(O80),-2)</f>
        <v>0</v>
      </c>
      <c r="P84" s="265">
        <f>ROUND(N(P71)+N(P72)-N(P73)+N(P75)+N(P76)-N(P80),-2)</f>
        <v>0</v>
      </c>
      <c r="Q84" s="265">
        <f>ROUND(N(Q71)+N(Q72)-N(Q73)+N(Q75)+N(Q76)-N(Q80),-2)</f>
        <v>0</v>
      </c>
      <c r="S84" s="265">
        <f>ROUND(N(S71)+N(S72)-N(S73)+N(S75)+N(S76)-N(S80),-2)</f>
        <v>0</v>
      </c>
      <c r="T84" s="265">
        <f>ROUND(N(T71)+N(T72)-N(T73)+N(T75)+N(T76)-N(T80),-2)</f>
        <v>0</v>
      </c>
      <c r="U84" s="265">
        <f>ROUND(N(U71)+N(U72)-N(U73)+N(U75)+N(U76)-N(U80),-2)</f>
        <v>0</v>
      </c>
      <c r="V84" s="265">
        <f>ROUND(N(V71)+N(V72)-N(V73)+N(V75)+N(V76)-N(V80),-2)</f>
        <v>0</v>
      </c>
      <c r="X84" s="265">
        <f>ROUND(N(X71)+N(X72)-N(X73)+N(X75)+N(X76)-N(X80),-2)</f>
        <v>0</v>
      </c>
      <c r="Y84" s="265">
        <f>ROUND(N(Y71)+N(Y72)-N(Y73)+N(Y75)+N(Y76)-N(Y80),-2)</f>
        <v>0</v>
      </c>
      <c r="Z84" s="265">
        <f>ROUND(N(Z71)+N(Z72)-N(Z73)+N(Z75)+N(Z76)-N(Z80),-2)</f>
        <v>0</v>
      </c>
      <c r="AA84" s="265">
        <f>ROUND(N(AA71)+N(AA72)-N(AA73)+N(AA75)+N(AA76)-N(AA80),-2)</f>
        <v>0</v>
      </c>
      <c r="AC84" s="265">
        <f>ROUND(N(AC71)+N(AC72)-N(AC73)+N(AC75)+N(AC76)-N(AC80),-2)</f>
        <v>0</v>
      </c>
      <c r="AD84" s="265">
        <f>ROUND(N(AD71)+N(AD72)-N(AD73)+N(AD75)+N(AD76)-N(AD80),-2)</f>
        <v>0</v>
      </c>
    </row>
    <row r="85">
      <c r="A85" t="inlineStr">
        <is>
          <t>CHECK: receita - custo - despesas + não operacional - IR - lucro (deve ser 0) · derivada</t>
        </is>
      </c>
      <c r="C85" t="inlineStr">
        <is>
          <t>[linha bruta, sem código; lançada nas linhas abaixo]</t>
        </is>
      </c>
      <c r="D85" s="265">
        <f>ROUND(N(D30)-N(D31)-N(D33)+N(D35)-N(D40)-N(D42),-2)</f>
        <v>0</v>
      </c>
      <c r="E85" s="265">
        <f>ROUND(N(E30)-N(E31)-N(E33)+N(E35)-N(E40)-N(E42),-2)</f>
        <v>0</v>
      </c>
      <c r="F85" s="265">
        <f>ROUND(N(F30)-N(F31)-N(F33)+N(F35)-N(F40)-N(F42),-2)</f>
        <v>0</v>
      </c>
      <c r="G85" s="265">
        <f>ROUND(N(G30)-N(G31)-N(G33)+N(G35)-N(G40)-N(G42),-2)</f>
        <v>0</v>
      </c>
      <c r="I85" s="265">
        <f>ROUND(N(I30)-N(I31)-N(I33)+N(I35)-N(I40)-N(I42),-2)</f>
        <v>0</v>
      </c>
      <c r="J85" s="265">
        <f>ROUND(N(J30)-N(J31)-N(J33)+N(J35)-N(J40)-N(J42),-2)</f>
        <v>0</v>
      </c>
      <c r="K85" s="265">
        <f>ROUND(N(K30)-N(K31)-N(K33)+N(K35)-N(K40)-N(K42),-2)</f>
        <v>0</v>
      </c>
      <c r="L85" s="265">
        <f>ROUND(N(L30)-N(L31)-N(L33)+N(L35)-N(L40)-N(L42),-2)</f>
        <v>0</v>
      </c>
      <c r="N85" s="265">
        <f>ROUND(N(N30)-N(N31)-N(N33)+N(N35)-N(N40)-N(N42),-2)</f>
        <v>0</v>
      </c>
      <c r="O85" s="265">
        <f>ROUND(N(O30)-N(O31)-N(O33)+N(O35)-N(O40)-N(O42),-2)</f>
        <v>0</v>
      </c>
      <c r="P85" s="265">
        <f>ROUND(N(P30)-N(P31)-N(P33)+N(P35)-N(P40)-N(P42),-2)</f>
        <v>0</v>
      </c>
      <c r="Q85" s="265">
        <f>ROUND(N(Q30)-N(Q31)-N(Q33)+N(Q35)-N(Q40)-N(Q42),-2)</f>
        <v>0</v>
      </c>
      <c r="S85" s="265">
        <f>ROUND(N(S30)-N(S31)-N(S33)+N(S35)-N(S40)-N(S42),-2)</f>
        <v>0</v>
      </c>
      <c r="T85" s="265">
        <f>ROUND(N(T30)-N(T31)-N(T33)+N(T35)-N(T40)-N(T42),-2)</f>
        <v>0</v>
      </c>
      <c r="U85" s="265">
        <f>ROUND(N(U30)-N(U31)-N(U33)+N(U35)-N(U40)-N(U42),-2)</f>
        <v>0</v>
      </c>
      <c r="V85" s="265">
        <f>ROUND(N(V30)-N(V31)-N(V33)+N(V35)-N(V40)-N(V42),-2)</f>
        <v>0</v>
      </c>
      <c r="X85" s="265">
        <f>ROUND(N(X30)-N(X31)-N(X33)+N(X35)-N(X40)-N(X42),-2)</f>
        <v>0</v>
      </c>
      <c r="Y85" s="265">
        <f>ROUND(N(Y30)-N(Y31)-N(Y33)+N(Y35)-N(Y40)-N(Y42),-2)</f>
        <v>0</v>
      </c>
      <c r="Z85" s="265">
        <f>ROUND(N(Z30)-N(Z31)-N(Z33)+N(Z35)-N(Z40)-N(Z42),-2)</f>
        <v>0</v>
      </c>
      <c r="AA85" s="265">
        <f>ROUND(N(AA30)-N(AA31)-N(AA33)+N(AA35)-N(AA40)-N(AA42),-2)</f>
        <v>0</v>
      </c>
      <c r="AC85" s="265">
        <f>ROUND(N(AC30)-N(AC31)-N(AC33)+N(AC35)-N(AC40)-N(AC42),-2)</f>
        <v>0</v>
      </c>
      <c r="AD85" s="265">
        <f>ROUND(N(AD30)-N(AD31)-N(AD33)+N(AD35)-N(AD40)-N(AD42),-2)</f>
        <v>0</v>
      </c>
    </row>
    <row r="86">
      <c r="A86" t="inlineStr">
        <is>
          <t>[vazio] cod 8 Equity in affiliates: inexistente na DRE (ganhos/perdas em participações ficam em outras receitas, cod 6)</t>
        </is>
      </c>
      <c r="C86" t="inlineStr">
        <is>
          <t>[linha bruta, sem código; lançada nas linhas abaixo]</t>
        </is>
      </c>
      <c r="D86" s="265" t="n"/>
      <c r="E86" s="265" t="n"/>
      <c r="F86" s="265" t="n"/>
      <c r="G86" s="265" t="n"/>
      <c r="I86" s="265" t="n"/>
      <c r="J86" s="265" t="n"/>
      <c r="K86" s="265" t="n"/>
      <c r="L86" s="265" t="n"/>
      <c r="N86" s="265" t="n"/>
      <c r="O86" s="265" t="n"/>
      <c r="P86" s="265" t="n"/>
      <c r="Q86" s="265" t="n"/>
      <c r="S86" s="265" t="n"/>
      <c r="T86" s="265" t="n"/>
      <c r="U86" s="265" t="n"/>
      <c r="V86" s="265" t="n"/>
      <c r="X86" s="265" t="n"/>
      <c r="Y86" s="265" t="n"/>
      <c r="Z86" s="265" t="n"/>
      <c r="AA86" s="265" t="n"/>
      <c r="AC86" s="265" t="n"/>
      <c r="AD86" s="265" t="n"/>
    </row>
    <row r="87">
      <c r="A87" t="inlineStr">
        <is>
          <t>[vazio] cod 9 Minority interest: inexistente</t>
        </is>
      </c>
      <c r="C87" t="inlineStr">
        <is>
          <t>[linha bruta, sem código; lançada nas linhas abaixo]</t>
        </is>
      </c>
      <c r="D87" s="265" t="n"/>
      <c r="E87" s="265" t="n"/>
      <c r="F87" s="265" t="n"/>
      <c r="G87" s="265" t="n"/>
      <c r="I87" s="265" t="n"/>
      <c r="J87" s="265" t="n"/>
      <c r="K87" s="265" t="n"/>
      <c r="L87" s="265" t="n"/>
      <c r="N87" s="265" t="n"/>
      <c r="O87" s="265" t="n"/>
      <c r="P87" s="265" t="n"/>
      <c r="Q87" s="265" t="n"/>
      <c r="S87" s="265" t="n"/>
      <c r="T87" s="265" t="n"/>
      <c r="U87" s="265" t="n"/>
      <c r="V87" s="265" t="n"/>
      <c r="X87" s="265" t="n"/>
      <c r="Y87" s="265" t="n"/>
      <c r="Z87" s="265" t="n"/>
      <c r="AA87" s="265" t="n"/>
      <c r="AC87" s="265" t="n"/>
      <c r="AD87" s="265" t="n"/>
    </row>
    <row r="88">
      <c r="A88" t="inlineStr">
        <is>
          <t>[vazio] cod 15 Prepaid: junto com outros ativos circulantes (cod 16)</t>
        </is>
      </c>
      <c r="C88" t="inlineStr">
        <is>
          <t>[linha bruta, sem código; lançada nas linhas abaixo]</t>
        </is>
      </c>
      <c r="D88" s="265" t="n"/>
      <c r="E88" s="265" t="n"/>
      <c r="F88" s="265" t="n"/>
      <c r="G88" s="265" t="n"/>
      <c r="I88" s="265" t="n"/>
      <c r="J88" s="265" t="n"/>
      <c r="K88" s="265" t="n"/>
      <c r="L88" s="265" t="n"/>
      <c r="N88" s="265" t="n"/>
      <c r="O88" s="265" t="n"/>
      <c r="P88" s="265" t="n"/>
      <c r="Q88" s="265" t="n"/>
      <c r="S88" s="265" t="n"/>
      <c r="T88" s="265" t="n"/>
      <c r="U88" s="265" t="n"/>
      <c r="V88" s="265" t="n"/>
      <c r="X88" s="265" t="n"/>
      <c r="Y88" s="265" t="n"/>
      <c r="Z88" s="265" t="n"/>
      <c r="AA88" s="265" t="n"/>
      <c r="AC88" s="265" t="n"/>
      <c r="AD88" s="265" t="n"/>
    </row>
    <row r="89">
      <c r="A89" t="inlineStr">
        <is>
          <t>[vazio] cod 17 Equity in affiliates: participações ficam em ativos circulantes (ações listadas) e outros ativos NC (non-marketable)</t>
        </is>
      </c>
      <c r="C89" t="inlineStr">
        <is>
          <t>[linha bruta, sem código; lançada nas linhas abaixo]</t>
        </is>
      </c>
      <c r="D89" s="265" t="n"/>
      <c r="E89" s="265" t="n"/>
      <c r="F89" s="265" t="n"/>
      <c r="G89" s="265" t="n"/>
      <c r="I89" s="265" t="n"/>
      <c r="J89" s="265" t="n"/>
      <c r="K89" s="265" t="n"/>
      <c r="L89" s="265" t="n"/>
      <c r="N89" s="265" t="n"/>
      <c r="O89" s="265" t="n"/>
      <c r="P89" s="265" t="n"/>
      <c r="Q89" s="265" t="n"/>
      <c r="S89" s="265" t="n"/>
      <c r="T89" s="265" t="n"/>
      <c r="U89" s="265" t="n"/>
      <c r="V89" s="265" t="n"/>
      <c r="X89" s="265" t="n"/>
      <c r="Y89" s="265" t="n"/>
      <c r="Z89" s="265" t="n"/>
      <c r="AA89" s="265" t="n"/>
      <c r="AC89" s="265" t="n"/>
      <c r="AD89" s="265" t="n"/>
    </row>
    <row r="90">
      <c r="A90" t="inlineStr">
        <is>
          <t>[vazio] cod 25 IR a pagar CP: dentro de despesas provisionadas (cod 24)</t>
        </is>
      </c>
      <c r="C90" t="inlineStr">
        <is>
          <t>[linha bruta, sem código; lançada nas linhas abaixo]</t>
        </is>
      </c>
      <c r="D90" s="265" t="n"/>
      <c r="E90" s="265" t="n"/>
      <c r="F90" s="265" t="n"/>
      <c r="G90" s="265" t="n"/>
      <c r="I90" s="265" t="n"/>
      <c r="J90" s="265" t="n"/>
      <c r="K90" s="265" t="n"/>
      <c r="L90" s="265" t="n"/>
      <c r="N90" s="265" t="n"/>
      <c r="O90" s="265" t="n"/>
      <c r="P90" s="265" t="n"/>
      <c r="Q90" s="265" t="n"/>
      <c r="S90" s="265" t="n"/>
      <c r="T90" s="265" t="n"/>
      <c r="U90" s="265" t="n"/>
      <c r="V90" s="265" t="n"/>
      <c r="X90" s="265" t="n"/>
      <c r="Y90" s="265" t="n"/>
      <c r="Z90" s="265" t="n"/>
      <c r="AA90" s="265" t="n"/>
      <c r="AC90" s="265" t="n"/>
      <c r="AD90" s="265" t="n"/>
    </row>
    <row r="91">
      <c r="A91" t="inlineStr">
        <is>
          <t>[vazio] cod 26 Outros passivos circulantes: dentro de despesas provisionadas (cod 24)</t>
        </is>
      </c>
      <c r="C91" t="inlineStr">
        <is>
          <t>[linha bruta, sem código; lançada nas linhas abaixo]</t>
        </is>
      </c>
      <c r="D91" s="265" t="n"/>
      <c r="E91" s="265" t="n"/>
      <c r="F91" s="265" t="n"/>
      <c r="G91" s="265" t="n"/>
      <c r="I91" s="265" t="n"/>
      <c r="J91" s="265" t="n"/>
      <c r="K91" s="265" t="n"/>
      <c r="L91" s="265" t="n"/>
      <c r="N91" s="265" t="n"/>
      <c r="O91" s="265" t="n"/>
      <c r="P91" s="265" t="n"/>
      <c r="Q91" s="265" t="n"/>
      <c r="S91" s="265" t="n"/>
      <c r="T91" s="265" t="n"/>
      <c r="U91" s="265" t="n"/>
      <c r="V91" s="265" t="n"/>
      <c r="X91" s="265" t="n"/>
      <c r="Y91" s="265" t="n"/>
      <c r="Z91" s="265" t="n"/>
      <c r="AA91" s="265" t="n"/>
      <c r="AC91" s="265" t="n"/>
      <c r="AD91" s="265" t="n"/>
    </row>
    <row r="92">
      <c r="A92" t="inlineStr">
        <is>
          <t>[vazio] cod 29 Arrendamento CP: dentro de despesas provisionadas (cod 24)</t>
        </is>
      </c>
      <c r="C92" t="inlineStr">
        <is>
          <t>[linha bruta, sem código; lançada nas linhas abaixo]</t>
        </is>
      </c>
      <c r="D92" s="265" t="n"/>
      <c r="E92" s="265" t="n"/>
      <c r="F92" s="265" t="n"/>
      <c r="G92" s="265" t="n"/>
      <c r="I92" s="265" t="n"/>
      <c r="J92" s="265" t="n"/>
      <c r="K92" s="265" t="n"/>
      <c r="L92" s="265" t="n"/>
      <c r="N92" s="265" t="n"/>
      <c r="O92" s="265" t="n"/>
      <c r="P92" s="265" t="n"/>
      <c r="Q92" s="265" t="n"/>
      <c r="S92" s="265" t="n"/>
      <c r="T92" s="265" t="n"/>
      <c r="U92" s="265" t="n"/>
      <c r="V92" s="265" t="n"/>
      <c r="X92" s="265" t="n"/>
      <c r="Y92" s="265" t="n"/>
      <c r="Z92" s="265" t="n"/>
      <c r="AA92" s="265" t="n"/>
      <c r="AC92" s="265" t="n"/>
      <c r="AD92" s="265" t="n"/>
    </row>
    <row r="93">
      <c r="A93" t="inlineStr">
        <is>
          <t>[vazio] cod 33 IR diferido passivo: dentro de outros passivos não circulantes</t>
        </is>
      </c>
      <c r="C93" t="inlineStr">
        <is>
          <t>[linha bruta, sem código; lançada nas linhas abaixo]</t>
        </is>
      </c>
      <c r="D93" s="265" t="n"/>
      <c r="E93" s="265" t="n"/>
      <c r="F93" s="265" t="n"/>
      <c r="G93" s="265" t="n"/>
      <c r="I93" s="265" t="n"/>
      <c r="J93" s="265" t="n"/>
      <c r="K93" s="265" t="n"/>
      <c r="L93" s="265" t="n"/>
      <c r="N93" s="265" t="n"/>
      <c r="O93" s="265" t="n"/>
      <c r="P93" s="265" t="n"/>
      <c r="Q93" s="265" t="n"/>
      <c r="S93" s="265" t="n"/>
      <c r="T93" s="265" t="n"/>
      <c r="U93" s="265" t="n"/>
      <c r="V93" s="265" t="n"/>
      <c r="X93" s="265" t="n"/>
      <c r="Y93" s="265" t="n"/>
      <c r="Z93" s="265" t="n"/>
      <c r="AA93" s="265" t="n"/>
      <c r="AC93" s="265" t="n"/>
      <c r="AD93" s="265" t="n"/>
    </row>
    <row r="94">
      <c r="A94" t="inlineStr">
        <is>
          <t>[vazio] cod 38 Tesouraria: só até out/21; a NVIDIA cancelou as ações em tesouraria no FQ4 FY22 (a partir daí, zero)</t>
        </is>
      </c>
      <c r="C94" t="inlineStr">
        <is>
          <t>[linha bruta, sem código; lançada nas linhas abaixo]</t>
        </is>
      </c>
      <c r="D94" s="265" t="n"/>
      <c r="E94" s="265" t="n"/>
      <c r="F94" s="265" t="n"/>
      <c r="G94" s="265" t="n"/>
      <c r="I94" s="265" t="n"/>
      <c r="J94" s="265" t="n"/>
      <c r="K94" s="265" t="n"/>
      <c r="L94" s="265" t="n"/>
      <c r="N94" s="265" t="n"/>
      <c r="O94" s="265" t="n"/>
      <c r="P94" s="265" t="n"/>
      <c r="Q94" s="265" t="n"/>
      <c r="S94" s="265" t="n"/>
      <c r="T94" s="265" t="n"/>
      <c r="U94" s="265" t="n"/>
      <c r="V94" s="265" t="n"/>
      <c r="X94" s="265" t="n"/>
      <c r="Y94" s="265" t="n"/>
      <c r="Z94" s="265" t="n"/>
      <c r="AA94" s="265" t="n"/>
      <c r="AC94" s="265" t="n"/>
      <c r="AD94" s="265" t="n"/>
    </row>
    <row r="95">
      <c r="D95" s="265" t="n"/>
      <c r="E95" s="265" t="n"/>
      <c r="F95" s="265" t="n"/>
      <c r="G95" s="265" t="n"/>
      <c r="I95" s="265" t="n"/>
      <c r="J95" s="265" t="n"/>
      <c r="K95" s="265" t="n"/>
      <c r="L95" s="265" t="n"/>
      <c r="N95" s="265" t="n"/>
      <c r="O95" s="265" t="n"/>
      <c r="P95" s="265" t="n"/>
      <c r="Q95" s="265" t="n"/>
      <c r="S95" s="265" t="n"/>
      <c r="T95" s="265" t="n"/>
      <c r="U95" s="265" t="n"/>
      <c r="V95" s="265" t="n"/>
      <c r="X95" s="265" t="n"/>
      <c r="Y95" s="265" t="n"/>
      <c r="Z95" s="265" t="n"/>
      <c r="AA95" s="265" t="n"/>
      <c r="AC95" s="265" t="n"/>
      <c r="AD95" s="265" t="n"/>
    </row>
    <row r="96">
      <c r="A96" t="inlineStr">
        <is>
          <t>DRIVERS DE RECEITA (codigos 45+): receita por plataforma de mercado, segmentos operacionais (receita e lucro operacional) e receita por local de faturamento - SEC XBRL (instâncias dos 10-Q/10-K; USD, fator 0,000001).</t>
        </is>
      </c>
      <c r="C96" t="inlineStr">
        <is>
          <t>[linha bruta, sem código; lançada nas linhas abaixo]</t>
        </is>
      </c>
      <c r="D96" s="265" t="n"/>
      <c r="E96" s="265" t="n"/>
      <c r="F96" s="265" t="n"/>
      <c r="G96" s="265" t="n"/>
      <c r="I96" s="265" t="n"/>
      <c r="J96" s="265" t="n"/>
      <c r="K96" s="265" t="n"/>
      <c r="L96" s="265" t="n"/>
      <c r="N96" s="265" t="n"/>
      <c r="O96" s="265" t="n"/>
      <c r="P96" s="265" t="n"/>
      <c r="Q96" s="265" t="n"/>
      <c r="S96" s="265" t="n"/>
      <c r="T96" s="265" t="n"/>
      <c r="U96" s="265" t="n"/>
      <c r="V96" s="265" t="n"/>
      <c r="X96" s="265" t="n"/>
      <c r="Y96" s="265" t="n"/>
      <c r="Z96" s="265" t="n"/>
      <c r="AA96" s="265" t="n"/>
      <c r="AC96" s="265" t="n"/>
      <c r="AD96" s="265" t="n"/>
    </row>
    <row r="97">
      <c r="A97" t="inlineStr">
        <is>
          <t>Receita Data Center (USD; trimestre-calendário; o 4T (nov-jan, FQ4) = ano fiscal do 10-K menos 9M do 10-Q de out) · fonte · unid. moeda</t>
        </is>
      </c>
      <c r="B97" t="n">
        <v>45</v>
      </c>
      <c r="C97" t="inlineStr">
        <is>
          <t>Receita Data Center (USD; trimestre-calendário; o 4T (nov-ja</t>
        </is>
      </c>
      <c r="D97" s="265" t="n">
        <v>2048000</v>
      </c>
      <c r="E97" s="265" t="n">
        <v>2366000</v>
      </c>
      <c r="F97" s="265" t="n">
        <v>2936000</v>
      </c>
      <c r="G97" s="265" t="n">
        <v>3263000</v>
      </c>
      <c r="I97" s="265" t="n">
        <v>3750000</v>
      </c>
      <c r="J97" s="265" t="n">
        <v>3806000</v>
      </c>
      <c r="K97" s="265" t="n">
        <v>3833000</v>
      </c>
      <c r="L97" s="265" t="n">
        <v>3616000</v>
      </c>
      <c r="N97" s="265" t="n">
        <v>4284000</v>
      </c>
      <c r="O97" s="265" t="n">
        <v>10323000</v>
      </c>
      <c r="P97" s="265" t="n">
        <v>14514000</v>
      </c>
      <c r="Q97" s="265" t="n">
        <v>18404000</v>
      </c>
      <c r="S97" s="265" t="n">
        <v>22563000</v>
      </c>
      <c r="T97" s="265" t="n">
        <v>26272000</v>
      </c>
      <c r="U97" s="265" t="n">
        <v>30771000</v>
      </c>
      <c r="V97" s="265" t="n">
        <v>35580000</v>
      </c>
      <c r="X97" s="265" t="n">
        <v>39112000</v>
      </c>
      <c r="Y97" s="265" t="n">
        <v>41096000</v>
      </c>
      <c r="Z97" s="265" t="n">
        <v>51215000</v>
      </c>
      <c r="AA97" s="265" t="n">
        <v>62314000</v>
      </c>
      <c r="AC97" s="265" t="n">
        <v>75246000</v>
      </c>
      <c r="AD97" s="265" t="n">
        <v>89023000</v>
      </c>
    </row>
    <row r="98">
      <c r="A98" t="inlineStr">
        <is>
          <t>Data Center - Compute (USD; aberto de 1T23 a 4T25) · fonte · unid. moeda</t>
        </is>
      </c>
      <c r="B98" t="n">
        <v>46</v>
      </c>
      <c r="C98" t="inlineStr">
        <is>
          <t>Data Center - Compute (USD; aberto de 1T23 a 4T25)</t>
        </is>
      </c>
      <c r="D98" s="265" t="n"/>
      <c r="E98" s="265" t="n"/>
      <c r="F98" s="265" t="n"/>
      <c r="G98" s="265" t="n"/>
      <c r="I98" s="265" t="n"/>
      <c r="J98" s="265" t="n"/>
      <c r="K98" s="265" t="n"/>
      <c r="L98" s="265" t="n"/>
      <c r="N98" s="265" t="n">
        <v>3357000</v>
      </c>
      <c r="O98" s="265" t="n">
        <v>8612000</v>
      </c>
      <c r="P98" s="265" t="n">
        <v>11908000</v>
      </c>
      <c r="Q98" s="265" t="n">
        <v>15073000</v>
      </c>
      <c r="S98" s="265" t="n">
        <v>19392000</v>
      </c>
      <c r="T98" s="265" t="n">
        <v>22604000</v>
      </c>
      <c r="U98" s="265" t="n">
        <v>27644000</v>
      </c>
      <c r="V98" s="265" t="n">
        <v>32556000</v>
      </c>
      <c r="X98" s="265" t="n">
        <v>34155000</v>
      </c>
      <c r="Y98" s="265" t="n">
        <v>33844000</v>
      </c>
      <c r="Z98" s="265" t="n">
        <v>43028000</v>
      </c>
      <c r="AA98" s="265" t="n">
        <v>51334000</v>
      </c>
      <c r="AC98" s="265" t="n"/>
      <c r="AD98" s="265" t="n"/>
    </row>
    <row r="99">
      <c r="A99" t="inlineStr">
        <is>
          <t>Data Center - Networking (USD; aberto de 1T23 a 4T25) · fonte · unid. moeda</t>
        </is>
      </c>
      <c r="B99" t="n">
        <v>47</v>
      </c>
      <c r="C99" t="inlineStr">
        <is>
          <t>Data Center - Networking (USD; aberto de 1T23 a 4T25)</t>
        </is>
      </c>
      <c r="D99" s="265" t="n"/>
      <c r="E99" s="265" t="n"/>
      <c r="F99" s="265" t="n"/>
      <c r="G99" s="265" t="n"/>
      <c r="I99" s="265" t="n"/>
      <c r="J99" s="265" t="n"/>
      <c r="K99" s="265" t="n"/>
      <c r="L99" s="265" t="n"/>
      <c r="N99" s="265" t="n">
        <v>927000</v>
      </c>
      <c r="O99" s="265" t="n">
        <v>1711000</v>
      </c>
      <c r="P99" s="265" t="n">
        <v>2606000</v>
      </c>
      <c r="Q99" s="265" t="n">
        <v>3331000</v>
      </c>
      <c r="S99" s="265" t="n">
        <v>3171000</v>
      </c>
      <c r="T99" s="265" t="n">
        <v>3668000</v>
      </c>
      <c r="U99" s="265" t="n">
        <v>3127000</v>
      </c>
      <c r="V99" s="265" t="n">
        <v>3024000</v>
      </c>
      <c r="X99" s="265" t="n">
        <v>4957000</v>
      </c>
      <c r="Y99" s="265" t="n">
        <v>7252000</v>
      </c>
      <c r="Z99" s="265" t="n">
        <v>8187000</v>
      </c>
      <c r="AA99" s="265" t="n">
        <v>10980000</v>
      </c>
      <c r="AC99" s="265" t="n"/>
      <c r="AD99" s="265" t="n"/>
    </row>
    <row r="100">
      <c r="A100" t="inlineStr">
        <is>
          <t>Data Center - Hyperscale (USD; nova abertura do FY27, com 1T25 e 2T25 reapresentados) · fonte · unid. moeda</t>
        </is>
      </c>
      <c r="B100" t="n">
        <v>48</v>
      </c>
      <c r="C100" t="inlineStr">
        <is>
          <t>Data Center - Hyperscale (USD; nova abertura do FY27, com 1T</t>
        </is>
      </c>
      <c r="D100" s="265" t="n"/>
      <c r="E100" s="265" t="n"/>
      <c r="F100" s="265" t="n"/>
      <c r="G100" s="265" t="n"/>
      <c r="I100" s="265" t="n"/>
      <c r="J100" s="265" t="n"/>
      <c r="K100" s="265" t="n"/>
      <c r="L100" s="265" t="n"/>
      <c r="N100" s="265" t="n"/>
      <c r="O100" s="265" t="n"/>
      <c r="P100" s="265" t="n"/>
      <c r="Q100" s="265" t="n"/>
      <c r="S100" s="265" t="n"/>
      <c r="T100" s="265" t="n"/>
      <c r="U100" s="265" t="n"/>
      <c r="V100" s="265" t="n"/>
      <c r="X100" s="265" t="n">
        <v>17599000</v>
      </c>
      <c r="Y100" s="265" t="n">
        <v>24168000</v>
      </c>
      <c r="Z100" s="265" t="n"/>
      <c r="AA100" s="265" t="n"/>
      <c r="AC100" s="265" t="n">
        <v>37869000</v>
      </c>
      <c r="AD100" s="265" t="n">
        <v>48710000</v>
      </c>
    </row>
    <row r="101">
      <c r="A101" t="inlineStr">
        <is>
          <t>Data Center - AI Clouds, Industrial &amp; Enterprise (USD; nova abertura do FY27) · fonte · unid. moeda</t>
        </is>
      </c>
      <c r="B101" t="n">
        <v>49</v>
      </c>
      <c r="C101" t="inlineStr">
        <is>
          <t xml:space="preserve">Data Center - AI Clouds, Industrial &amp; Enterprise (USD; nova </t>
        </is>
      </c>
      <c r="D101" s="265" t="n"/>
      <c r="E101" s="265" t="n"/>
      <c r="F101" s="265" t="n"/>
      <c r="G101" s="265" t="n"/>
      <c r="I101" s="265" t="n"/>
      <c r="J101" s="265" t="n"/>
      <c r="K101" s="265" t="n"/>
      <c r="L101" s="265" t="n"/>
      <c r="N101" s="265" t="n"/>
      <c r="O101" s="265" t="n"/>
      <c r="P101" s="265" t="n"/>
      <c r="Q101" s="265" t="n"/>
      <c r="S101" s="265" t="n"/>
      <c r="T101" s="265" t="n"/>
      <c r="U101" s="265" t="n"/>
      <c r="V101" s="265" t="n"/>
      <c r="X101" s="265" t="n">
        <v>21513000</v>
      </c>
      <c r="Y101" s="265" t="n">
        <v>16928000</v>
      </c>
      <c r="Z101" s="265" t="n"/>
      <c r="AA101" s="265" t="n"/>
      <c r="AC101" s="265" t="n">
        <v>37377000</v>
      </c>
      <c r="AD101" s="265" t="n">
        <v>40313000</v>
      </c>
    </row>
    <row r="102">
      <c r="A102" t="inlineStr">
        <is>
          <t>Receita Gaming (USD; até 4T25) · fonte · unid. moeda</t>
        </is>
      </c>
      <c r="B102" t="n">
        <v>50</v>
      </c>
      <c r="C102" t="inlineStr">
        <is>
          <t>Receita Gaming (USD; até 4T25)</t>
        </is>
      </c>
      <c r="D102" s="265" t="n">
        <v>2760000</v>
      </c>
      <c r="E102" s="265" t="n">
        <v>3061000</v>
      </c>
      <c r="F102" s="265" t="n">
        <v>3221000</v>
      </c>
      <c r="G102" s="265" t="n">
        <v>3420000</v>
      </c>
      <c r="I102" s="265" t="n">
        <v>3620000</v>
      </c>
      <c r="J102" s="265" t="n">
        <v>2042000</v>
      </c>
      <c r="K102" s="265" t="n">
        <v>1574000</v>
      </c>
      <c r="L102" s="265" t="n">
        <v>1831000</v>
      </c>
      <c r="N102" s="265" t="n">
        <v>2240000</v>
      </c>
      <c r="O102" s="265" t="n">
        <v>2486000</v>
      </c>
      <c r="P102" s="265" t="n">
        <v>2856000</v>
      </c>
      <c r="Q102" s="265" t="n">
        <v>2865000</v>
      </c>
      <c r="S102" s="265" t="n">
        <v>2647000</v>
      </c>
      <c r="T102" s="265" t="n">
        <v>2880000</v>
      </c>
      <c r="U102" s="265" t="n">
        <v>3279000</v>
      </c>
      <c r="V102" s="265" t="n">
        <v>2544000</v>
      </c>
      <c r="X102" s="265" t="n">
        <v>3763000</v>
      </c>
      <c r="Y102" s="265" t="n">
        <v>4287000</v>
      </c>
      <c r="Z102" s="265" t="n">
        <v>4265000</v>
      </c>
      <c r="AA102" s="265" t="n">
        <v>3727000</v>
      </c>
      <c r="AC102" s="265" t="n"/>
      <c r="AD102" s="265" t="n"/>
    </row>
    <row r="103">
      <c r="A103" t="inlineStr">
        <is>
          <t>Receita Professional Visualization (USD; até 4T25) · fonte · unid. moeda</t>
        </is>
      </c>
      <c r="B103" t="n">
        <v>51</v>
      </c>
      <c r="C103" t="inlineStr">
        <is>
          <t>Receita Professional Visualization (USD; até 4T25)</t>
        </is>
      </c>
      <c r="D103" s="265" t="n">
        <v>372000</v>
      </c>
      <c r="E103" s="265" t="n">
        <v>519000</v>
      </c>
      <c r="F103" s="265" t="n">
        <v>577000</v>
      </c>
      <c r="G103" s="265" t="n">
        <v>643000</v>
      </c>
      <c r="I103" s="265" t="n">
        <v>622000</v>
      </c>
      <c r="J103" s="265" t="n">
        <v>496000</v>
      </c>
      <c r="K103" s="265" t="n">
        <v>200000</v>
      </c>
      <c r="L103" s="265" t="n">
        <v>226000</v>
      </c>
      <c r="N103" s="265" t="n">
        <v>295000</v>
      </c>
      <c r="O103" s="265" t="n">
        <v>379000</v>
      </c>
      <c r="P103" s="265" t="n">
        <v>416000</v>
      </c>
      <c r="Q103" s="265" t="n">
        <v>463000</v>
      </c>
      <c r="S103" s="265" t="n">
        <v>427000</v>
      </c>
      <c r="T103" s="265" t="n">
        <v>454000</v>
      </c>
      <c r="U103" s="265" t="n">
        <v>486000</v>
      </c>
      <c r="V103" s="265" t="n">
        <v>511000</v>
      </c>
      <c r="X103" s="265" t="n">
        <v>509000</v>
      </c>
      <c r="Y103" s="265" t="n">
        <v>601000</v>
      </c>
      <c r="Z103" s="265" t="n">
        <v>760000</v>
      </c>
      <c r="AA103" s="265" t="n">
        <v>1321000</v>
      </c>
      <c r="AC103" s="265" t="n"/>
      <c r="AD103" s="265" t="n"/>
    </row>
    <row r="104">
      <c r="A104" t="inlineStr">
        <is>
          <t>Receita Automotive (USD; até 4T25) · fonte · unid. moeda</t>
        </is>
      </c>
      <c r="B104" t="n">
        <v>52</v>
      </c>
      <c r="C104" t="inlineStr">
        <is>
          <t>Receita Automotive (USD; até 4T25)</t>
        </is>
      </c>
      <c r="D104" s="265" t="n">
        <v>154000</v>
      </c>
      <c r="E104" s="265" t="n">
        <v>152000</v>
      </c>
      <c r="F104" s="265" t="n">
        <v>135000</v>
      </c>
      <c r="G104" s="265" t="n">
        <v>125000</v>
      </c>
      <c r="I104" s="265" t="n">
        <v>138000</v>
      </c>
      <c r="J104" s="265" t="n">
        <v>220000</v>
      </c>
      <c r="K104" s="265" t="n">
        <v>251000</v>
      </c>
      <c r="L104" s="265" t="n">
        <v>294000</v>
      </c>
      <c r="N104" s="265" t="n">
        <v>296000</v>
      </c>
      <c r="O104" s="265" t="n">
        <v>253000</v>
      </c>
      <c r="P104" s="265" t="n">
        <v>261000</v>
      </c>
      <c r="Q104" s="265" t="n">
        <v>281000</v>
      </c>
      <c r="S104" s="265" t="n">
        <v>329000</v>
      </c>
      <c r="T104" s="265" t="n">
        <v>346000</v>
      </c>
      <c r="U104" s="265" t="n">
        <v>449000</v>
      </c>
      <c r="V104" s="265" t="n">
        <v>570000</v>
      </c>
      <c r="X104" s="265" t="n">
        <v>567000</v>
      </c>
      <c r="Y104" s="265" t="n">
        <v>586000</v>
      </c>
      <c r="Z104" s="265" t="n">
        <v>592000</v>
      </c>
      <c r="AA104" s="265" t="n">
        <v>604000</v>
      </c>
      <c r="AC104" s="265" t="n"/>
      <c r="AD104" s="265" t="n"/>
    </row>
    <row r="105">
      <c r="A105" t="inlineStr">
        <is>
          <t>Receita OEM &amp; Other (USD; até 4T25) · fonte · unid. moeda</t>
        </is>
      </c>
      <c r="B105" t="n">
        <v>53</v>
      </c>
      <c r="C105" t="inlineStr">
        <is>
          <t>Receita OEM &amp; Other (USD; até 4T25)</t>
        </is>
      </c>
      <c r="D105" s="265" t="n">
        <v>327000</v>
      </c>
      <c r="E105" s="265" t="n">
        <v>409000</v>
      </c>
      <c r="F105" s="265" t="n">
        <v>234000</v>
      </c>
      <c r="G105" s="265" t="n">
        <v>192000</v>
      </c>
      <c r="I105" s="265" t="n">
        <v>158000</v>
      </c>
      <c r="J105" s="265" t="n">
        <v>140000</v>
      </c>
      <c r="K105" s="265" t="n">
        <v>73000</v>
      </c>
      <c r="L105" s="265" t="n">
        <v>84000</v>
      </c>
      <c r="N105" s="265" t="n">
        <v>77000</v>
      </c>
      <c r="O105" s="265" t="n">
        <v>66000</v>
      </c>
      <c r="P105" s="265" t="n">
        <v>73000</v>
      </c>
      <c r="Q105" s="265" t="n">
        <v>90000</v>
      </c>
      <c r="S105" s="265" t="n">
        <v>78000</v>
      </c>
      <c r="T105" s="265" t="n">
        <v>88000</v>
      </c>
      <c r="U105" s="265" t="n">
        <v>97000</v>
      </c>
      <c r="V105" s="265" t="n">
        <v>126000</v>
      </c>
      <c r="X105" s="265" t="n">
        <v>111000</v>
      </c>
      <c r="Y105" s="265" t="n">
        <v>173000</v>
      </c>
      <c r="Z105" s="265" t="n">
        <v>174000</v>
      </c>
      <c r="AA105" s="265" t="n">
        <v>161000</v>
      </c>
      <c r="AC105" s="265" t="n"/>
      <c r="AD105" s="265" t="n"/>
    </row>
    <row r="106">
      <c r="A106" t="inlineStr">
        <is>
          <t>Receita Edge Computing (USD; plataforma nova do FY27 que reúne o que não é Data Center) · fonte · unid. moeda</t>
        </is>
      </c>
      <c r="B106" t="n">
        <v>54</v>
      </c>
      <c r="C106" t="inlineStr">
        <is>
          <t>Receita Edge Computing (USD; plataforma nova do FY27 que reú</t>
        </is>
      </c>
      <c r="D106" s="265" t="n"/>
      <c r="E106" s="265" t="n"/>
      <c r="F106" s="265" t="n"/>
      <c r="G106" s="265" t="n"/>
      <c r="I106" s="265" t="n"/>
      <c r="J106" s="265" t="n"/>
      <c r="K106" s="265" t="n"/>
      <c r="L106" s="265" t="n"/>
      <c r="N106" s="265" t="n"/>
      <c r="O106" s="265" t="n"/>
      <c r="P106" s="265" t="n"/>
      <c r="Q106" s="265" t="n"/>
      <c r="S106" s="265" t="n"/>
      <c r="T106" s="265" t="n"/>
      <c r="U106" s="265" t="n"/>
      <c r="V106" s="265" t="n"/>
      <c r="X106" s="265" t="n">
        <v>4950000</v>
      </c>
      <c r="Y106" s="265" t="n">
        <v>5647000</v>
      </c>
      <c r="Z106" s="265" t="n"/>
      <c r="AA106" s="265" t="n"/>
      <c r="AC106" s="265" t="n">
        <v>6369000</v>
      </c>
      <c r="AD106" s="265" t="n">
        <v>7198000</v>
      </c>
    </row>
    <row r="107">
      <c r="A107" t="inlineStr">
        <is>
          <t>Segmento Compute &amp; Networking - receita (USD) · fonte · unid. moeda</t>
        </is>
      </c>
      <c r="B107" t="n">
        <v>55</v>
      </c>
      <c r="C107" t="inlineStr">
        <is>
          <t>Segmento Compute &amp; Networking - receita (USD)</t>
        </is>
      </c>
      <c r="D107" s="265" t="n">
        <v>2210000</v>
      </c>
      <c r="E107" s="265" t="n">
        <v>2600000</v>
      </c>
      <c r="F107" s="265" t="n">
        <v>3011000</v>
      </c>
      <c r="G107" s="265" t="n">
        <v>3225000</v>
      </c>
      <c r="I107" s="265" t="n">
        <v>3672000</v>
      </c>
      <c r="J107" s="265" t="n">
        <v>3907000</v>
      </c>
      <c r="K107" s="265" t="n">
        <v>3816000</v>
      </c>
      <c r="L107" s="265" t="n">
        <v>3673000</v>
      </c>
      <c r="N107" s="265" t="n">
        <v>4460000</v>
      </c>
      <c r="O107" s="265" t="n">
        <v>10402000</v>
      </c>
      <c r="P107" s="265" t="n">
        <v>14645000</v>
      </c>
      <c r="Q107" s="265" t="n">
        <v>17898000</v>
      </c>
      <c r="S107" s="265" t="n">
        <v>22675000</v>
      </c>
      <c r="T107" s="265" t="n">
        <v>26446000</v>
      </c>
      <c r="U107" s="265" t="n">
        <v>31036000</v>
      </c>
      <c r="V107" s="265" t="n">
        <v>36036000</v>
      </c>
      <c r="X107" s="265" t="n">
        <v>39589000</v>
      </c>
      <c r="Y107" s="265" t="n">
        <v>41331000</v>
      </c>
      <c r="Z107" s="265" t="n">
        <v>50908000</v>
      </c>
      <c r="AA107" s="265" t="n">
        <v>61651000</v>
      </c>
      <c r="AC107" s="265" t="n">
        <v>74550000</v>
      </c>
      <c r="AD107" s="265" t="n">
        <v>88299000</v>
      </c>
    </row>
    <row r="108">
      <c r="A108" t="inlineStr">
        <is>
          <t>Segmento Graphics - receita (USD) · fonte · unid. moeda</t>
        </is>
      </c>
      <c r="B108" t="n">
        <v>56</v>
      </c>
      <c r="C108" t="inlineStr">
        <is>
          <t>Segmento Graphics - receita (USD)</t>
        </is>
      </c>
      <c r="D108" s="265" t="n">
        <v>3451000</v>
      </c>
      <c r="E108" s="265" t="n">
        <v>3907000</v>
      </c>
      <c r="F108" s="265" t="n">
        <v>4092000</v>
      </c>
      <c r="G108" s="265" t="n">
        <v>4418000</v>
      </c>
      <c r="I108" s="265" t="n">
        <v>4616000</v>
      </c>
      <c r="J108" s="265" t="n">
        <v>2797000</v>
      </c>
      <c r="K108" s="265" t="n">
        <v>2115000</v>
      </c>
      <c r="L108" s="265" t="n">
        <v>2378000</v>
      </c>
      <c r="N108" s="265" t="n">
        <v>2732000</v>
      </c>
      <c r="O108" s="265" t="n">
        <v>3105000</v>
      </c>
      <c r="P108" s="265" t="n">
        <v>3475000</v>
      </c>
      <c r="Q108" s="265" t="n">
        <v>4205000</v>
      </c>
      <c r="S108" s="265" t="n">
        <v>3369000</v>
      </c>
      <c r="T108" s="265" t="n">
        <v>3594000</v>
      </c>
      <c r="U108" s="265" t="n">
        <v>4046000</v>
      </c>
      <c r="V108" s="265" t="n">
        <v>3295000</v>
      </c>
      <c r="X108" s="265" t="n">
        <v>4473000</v>
      </c>
      <c r="Y108" s="265" t="n">
        <v>5412000</v>
      </c>
      <c r="Z108" s="265" t="n">
        <v>6098000</v>
      </c>
      <c r="AA108" s="265" t="n">
        <v>6476000</v>
      </c>
      <c r="AC108" s="265" t="n">
        <v>7065000</v>
      </c>
      <c r="AD108" s="265" t="n">
        <v>7922000</v>
      </c>
    </row>
    <row r="109">
      <c r="A109" t="inlineStr">
        <is>
          <t>Segmento Compute &amp; Networking - lucro operacional (USD) · fonte · unid. moeda</t>
        </is>
      </c>
      <c r="B109" t="n">
        <v>57</v>
      </c>
      <c r="C109" t="inlineStr">
        <is>
          <t>Segmento Compute &amp; Networking - lucro operacional (USD)</t>
        </is>
      </c>
      <c r="D109" s="265" t="n">
        <v>861000</v>
      </c>
      <c r="E109" s="265" t="n">
        <v>1034000</v>
      </c>
      <c r="F109" s="265" t="n">
        <v>1332000</v>
      </c>
      <c r="G109" s="265" t="n">
        <v>1371000</v>
      </c>
      <c r="I109" s="265" t="n">
        <v>1606000</v>
      </c>
      <c r="J109" s="265" t="n">
        <v>816000</v>
      </c>
      <c r="K109" s="265" t="n">
        <v>1086000</v>
      </c>
      <c r="L109" s="265" t="n">
        <v>1574000</v>
      </c>
      <c r="N109" s="265" t="n">
        <v>2160000</v>
      </c>
      <c r="O109" s="265" t="n">
        <v>6728000</v>
      </c>
      <c r="P109" s="265" t="n">
        <v>10262000</v>
      </c>
      <c r="Q109" s="265" t="n">
        <v>12867000</v>
      </c>
      <c r="S109" s="265" t="n">
        <v>17047000</v>
      </c>
      <c r="T109" s="265" t="n">
        <v>18848000</v>
      </c>
      <c r="U109" s="265" t="n">
        <v>22081000</v>
      </c>
      <c r="V109" s="265" t="n">
        <v>24898000</v>
      </c>
      <c r="X109" s="265" t="n">
        <v>22054000</v>
      </c>
      <c r="Y109" s="265" t="n">
        <v>28363000</v>
      </c>
      <c r="Z109" s="265" t="n">
        <v>35721000</v>
      </c>
      <c r="AA109" s="265" t="n">
        <v>44002000</v>
      </c>
      <c r="AC109" s="265" t="n">
        <v>53335000</v>
      </c>
      <c r="AD109" s="265" t="n">
        <v>62696000</v>
      </c>
    </row>
    <row r="110">
      <c r="A110" t="inlineStr">
        <is>
          <t>Segmento Graphics - lucro operacional (USD) · fonte · unid. moeda</t>
        </is>
      </c>
      <c r="B110" t="n">
        <v>58</v>
      </c>
      <c r="C110" t="inlineStr">
        <is>
          <t>Segmento Graphics - lucro operacional (USD)</t>
        </is>
      </c>
      <c r="D110" s="265" t="n">
        <v>1786000</v>
      </c>
      <c r="E110" s="265" t="n">
        <v>2127000</v>
      </c>
      <c r="F110" s="265" t="n">
        <v>2160000</v>
      </c>
      <c r="G110" s="265" t="n">
        <v>2419000</v>
      </c>
      <c r="I110" s="265" t="n">
        <v>2476000</v>
      </c>
      <c r="J110" s="265" t="n">
        <v>657000</v>
      </c>
      <c r="K110" s="265" t="n">
        <v>606000</v>
      </c>
      <c r="L110" s="265" t="n">
        <v>813000</v>
      </c>
      <c r="N110" s="265" t="n">
        <v>1046000</v>
      </c>
      <c r="O110" s="265" t="n">
        <v>1211000</v>
      </c>
      <c r="P110" s="265" t="n">
        <v>1493000</v>
      </c>
      <c r="Q110" s="265" t="n">
        <v>2095000</v>
      </c>
      <c r="S110" s="265" t="n">
        <v>1241000</v>
      </c>
      <c r="T110" s="265" t="n">
        <v>1369000</v>
      </c>
      <c r="U110" s="265" t="n">
        <v>1502000</v>
      </c>
      <c r="V110" s="265" t="n">
        <v>974000</v>
      </c>
      <c r="X110" s="265" t="n">
        <v>1640000</v>
      </c>
      <c r="Y110" s="265" t="n">
        <v>2242000</v>
      </c>
      <c r="Z110" s="265" t="n">
        <v>2546000</v>
      </c>
      <c r="AA110" s="265" t="n">
        <v>2728000</v>
      </c>
      <c r="AC110" s="265" t="n">
        <v>2941000</v>
      </c>
      <c r="AD110" s="265" t="n">
        <v>3899000</v>
      </c>
    </row>
    <row r="111">
      <c r="A111" t="inlineStr">
        <is>
          <t>Receita por local de faturamento - Estados Unidos (USD; como divulgado originalmente: os 10-Qs do FY26 reapresentaram a abertura geográfica de 3T24-2T25 e o modelo mantém a base original para o 4T = ano - 9M ficar coerente) · fonte · unid. moeda</t>
        </is>
      </c>
      <c r="B111" t="n">
        <v>59</v>
      </c>
      <c r="C111" t="inlineStr">
        <is>
          <t>Receita por local de faturamento - Estados Unidos (USD; como</t>
        </is>
      </c>
      <c r="D111" s="265" t="n">
        <v>768000</v>
      </c>
      <c r="E111" s="265" t="n">
        <v>996000</v>
      </c>
      <c r="F111" s="265" t="n">
        <v>1126000</v>
      </c>
      <c r="G111" s="265" t="n">
        <v>1459000</v>
      </c>
      <c r="I111" s="265" t="n">
        <v>1932000</v>
      </c>
      <c r="J111" s="265" t="n">
        <v>1988000</v>
      </c>
      <c r="K111" s="265" t="n">
        <v>2148000</v>
      </c>
      <c r="L111" s="265" t="n">
        <v>2223000</v>
      </c>
      <c r="N111" s="265" t="n">
        <v>2385000</v>
      </c>
      <c r="O111" s="265" t="n">
        <v>6043000</v>
      </c>
      <c r="P111" s="265" t="n">
        <v>6302000</v>
      </c>
      <c r="Q111" s="265" t="n">
        <v>12236000</v>
      </c>
      <c r="S111" s="265" t="n">
        <v>13496000</v>
      </c>
      <c r="T111" s="265" t="n">
        <v>13022000</v>
      </c>
      <c r="U111" s="265" t="n">
        <v>14800000</v>
      </c>
      <c r="V111" s="265" t="n">
        <v>19939000</v>
      </c>
      <c r="X111" s="265" t="n">
        <v>20739000</v>
      </c>
      <c r="Y111" s="265" t="n">
        <v>23470000</v>
      </c>
      <c r="Z111" s="265" t="n">
        <v>39177000</v>
      </c>
      <c r="AA111" s="265" t="n">
        <v>51858000</v>
      </c>
      <c r="AC111" s="265" t="n">
        <v>63769000</v>
      </c>
      <c r="AD111" s="265" t="n">
        <v>60074000</v>
      </c>
    </row>
    <row r="112">
      <c r="A112" t="inlineStr">
        <is>
          <t>Receita por local de faturamento - Taiwan (USD) · fonte · unid. moeda</t>
        </is>
      </c>
      <c r="B112" t="n">
        <v>60</v>
      </c>
      <c r="C112" t="inlineStr">
        <is>
          <t>Receita por local de faturamento - Taiwan (USD)</t>
        </is>
      </c>
      <c r="D112" s="265" t="n">
        <v>1784000</v>
      </c>
      <c r="E112" s="265" t="n">
        <v>1961000</v>
      </c>
      <c r="F112" s="265" t="n">
        <v>2187000</v>
      </c>
      <c r="G112" s="265" t="n">
        <v>2612000</v>
      </c>
      <c r="I112" s="265" t="n">
        <v>2777000</v>
      </c>
      <c r="J112" s="265" t="n">
        <v>1204000</v>
      </c>
      <c r="K112" s="265" t="n">
        <v>1153000</v>
      </c>
      <c r="L112" s="265" t="n">
        <v>1852000</v>
      </c>
      <c r="N112" s="265" t="n">
        <v>1796000</v>
      </c>
      <c r="O112" s="265" t="n">
        <v>2839000</v>
      </c>
      <c r="P112" s="265" t="n">
        <v>4333000</v>
      </c>
      <c r="Q112" s="265" t="n">
        <v>4437000</v>
      </c>
      <c r="S112" s="265" t="n">
        <v>4373000</v>
      </c>
      <c r="T112" s="265" t="n">
        <v>5740000</v>
      </c>
      <c r="U112" s="265" t="n">
        <v>5153000</v>
      </c>
      <c r="V112" s="265" t="n">
        <v>5307000</v>
      </c>
      <c r="X112" s="265" t="n">
        <v>7158000</v>
      </c>
      <c r="Y112" s="265" t="n">
        <v>8529000</v>
      </c>
      <c r="Z112" s="265" t="n">
        <v>13751000</v>
      </c>
      <c r="AA112" s="265" t="n">
        <v>12044000</v>
      </c>
      <c r="AC112" s="265" t="n">
        <v>12006000</v>
      </c>
      <c r="AD112" s="265" t="n">
        <v>26985000</v>
      </c>
    </row>
    <row r="113">
      <c r="A113" t="inlineStr">
        <is>
          <t>Receita por local de faturamento - China, inclui Hong Kong (USD) · fonte · unid. moeda</t>
        </is>
      </c>
      <c r="B113" t="n">
        <v>61</v>
      </c>
      <c r="C113" t="inlineStr">
        <is>
          <t>Receita por local de faturamento - China, inclui Hong Kong (</t>
        </is>
      </c>
      <c r="D113" s="265" t="n">
        <v>1391000</v>
      </c>
      <c r="E113" s="265" t="n">
        <v>1720000</v>
      </c>
      <c r="F113" s="265" t="n">
        <v>2017000</v>
      </c>
      <c r="G113" s="265" t="n">
        <v>1983000</v>
      </c>
      <c r="I113" s="265" t="n">
        <v>2081000</v>
      </c>
      <c r="J113" s="265" t="n">
        <v>1602000</v>
      </c>
      <c r="K113" s="265" t="n">
        <v>1148000</v>
      </c>
      <c r="L113" s="265" t="n">
        <v>954000</v>
      </c>
      <c r="N113" s="265" t="n">
        <v>1590000</v>
      </c>
      <c r="O113" s="265" t="n">
        <v>2740000</v>
      </c>
      <c r="P113" s="265" t="n">
        <v>4030000</v>
      </c>
      <c r="Q113" s="265" t="n">
        <v>1946000</v>
      </c>
      <c r="S113" s="265" t="n">
        <v>2491000</v>
      </c>
      <c r="T113" s="265" t="n">
        <v>3667000</v>
      </c>
      <c r="U113" s="265" t="n">
        <v>5416000</v>
      </c>
      <c r="V113" s="265" t="n">
        <v>5534000</v>
      </c>
      <c r="X113" s="265" t="n">
        <v>5522000</v>
      </c>
      <c r="Y113" s="265" t="n">
        <v>2769000</v>
      </c>
      <c r="Z113" s="265" t="n">
        <v>2973000</v>
      </c>
      <c r="AA113" s="265" t="n">
        <v>3060000</v>
      </c>
      <c r="AC113" s="265" t="n">
        <v>4550000</v>
      </c>
      <c r="AD113" s="265" t="n">
        <v>7880000</v>
      </c>
    </row>
    <row r="114">
      <c r="A114" t="inlineStr">
        <is>
          <t>Notas: valores dimensionais lidos das instâncias XBRL; o trimestre nov-jan (FQ4) é o ano fiscal menos 9M, calculado na extração. Em 2026 (FY27) a NVIDIA trocou a abertura por plataforma: Data Center passou a abrir Hyperscale e AI Clouds/Industrial/Enterprise, e Gaming, ProViz, Automotive e OEM viraram Edge Computing; o 3T25 e o 4T25 ainda não foram reapresentados no formato novo.</t>
        </is>
      </c>
      <c r="C114" t="inlineStr">
        <is>
          <t>[linha bruta, sem código; lançada nas linhas abaixo]</t>
        </is>
      </c>
      <c r="D114" s="265" t="n"/>
      <c r="E114" s="265" t="n"/>
      <c r="F114" s="265" t="n"/>
      <c r="G114" s="265" t="n"/>
      <c r="I114" s="265" t="n"/>
      <c r="J114" s="265" t="n"/>
      <c r="K114" s="265" t="n"/>
      <c r="L114" s="265" t="n"/>
      <c r="N114" s="265" t="n"/>
      <c r="O114" s="265" t="n"/>
      <c r="P114" s="265" t="n"/>
      <c r="Q114" s="265" t="n"/>
      <c r="S114" s="265" t="n"/>
      <c r="T114" s="265" t="n"/>
      <c r="U114" s="265" t="n"/>
      <c r="V114" s="265" t="n"/>
      <c r="X114" s="265" t="n"/>
      <c r="Y114" s="265" t="n"/>
      <c r="Z114" s="265" t="n"/>
      <c r="AA114" s="265" t="n"/>
      <c r="AC114" s="265" t="n"/>
      <c r="AD114" s="265" t="n"/>
    </row>
    <row r="116">
      <c r="A116" t="inlineStr">
        <is>
          <t>Linhas de origem: 4 a 114. A Inputs (2) varre as linhas 4 a 200; as linhas 115 a 200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9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NVIDIA Corp.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IF(D$3=0,"",SUMIFS(INDEX(Inputs!$D$4:$AG$200,0,MATCH(D$2,Inputs!$D$2:$AG$2,0)),Inputs!$B$4:$B$200,$B4)/1000)</f>
        <v>5661</v>
      </c>
      <c r="E4" s="11">
        <f>IF(E$3=0,"",SUMIFS(INDEX(Inputs!$D$4:$AG$200,0,MATCH(E$2,Inputs!$D$2:$AG$2,0)),Inputs!$B$4:$B$200,$B4)/1000)</f>
        <v>6507</v>
      </c>
      <c r="F4" s="11">
        <f>IF(F$3=0,"",SUMIFS(INDEX(Inputs!$D$4:$AG$200,0,MATCH(F$2,Inputs!$D$2:$AG$2,0)),Inputs!$B$4:$B$200,$B4)/1000)</f>
        <v>7103</v>
      </c>
      <c r="G4" s="11">
        <f>IF(G$3=0,"",SUMIFS(INDEX(Inputs!$D$4:$AG$200,0,MATCH(G$2,Inputs!$D$2:$AG$2,0)),Inputs!$B$4:$B$200,$B4)/1000)</f>
        <v>7643</v>
      </c>
      <c r="H4" s="12">
        <f>IF(COUNT(D4:G4)=4,SUM(D4:G4),"")</f>
        <v>26914</v>
      </c>
      <c r="I4" s="11">
        <f>IF(I$3=0,"",SUMIFS(INDEX(Inputs!$D$4:$AG$200,0,MATCH(I$2,Inputs!$D$2:$AG$2,0)),Inputs!$B$4:$B$200,$B4)/1000)</f>
        <v>8288</v>
      </c>
      <c r="J4" s="11">
        <f>IF(J$3=0,"",SUMIFS(INDEX(Inputs!$D$4:$AG$200,0,MATCH(J$2,Inputs!$D$2:$AG$2,0)),Inputs!$B$4:$B$200,$B4)/1000)</f>
        <v>6704</v>
      </c>
      <c r="K4" s="11">
        <f>IF(K$3=0,"",SUMIFS(INDEX(Inputs!$D$4:$AG$200,0,MATCH(K$2,Inputs!$D$2:$AG$2,0)),Inputs!$B$4:$B$200,$B4)/1000)</f>
        <v>5931</v>
      </c>
      <c r="L4" s="11">
        <f>IF(L$3=0,"",SUMIFS(INDEX(Inputs!$D$4:$AG$200,0,MATCH(L$2,Inputs!$D$2:$AG$2,0)),Inputs!$B$4:$B$200,$B4)/1000)</f>
        <v>6051</v>
      </c>
      <c r="M4" s="12">
        <f>IF(COUNT(I4:L4)=4,SUM(I4:L4),"")</f>
        <v>26974</v>
      </c>
      <c r="N4" s="11">
        <f>IF(N$3=0,"",SUMIFS(INDEX(Inputs!$D$4:$AG$200,0,MATCH(N$2,Inputs!$D$2:$AG$2,0)),Inputs!$B$4:$B$200,$B4)/1000)</f>
        <v>7192</v>
      </c>
      <c r="O4" s="11">
        <f>IF(O$3=0,"",SUMIFS(INDEX(Inputs!$D$4:$AG$200,0,MATCH(O$2,Inputs!$D$2:$AG$2,0)),Inputs!$B$4:$B$200,$B4)/1000)</f>
        <v>13507</v>
      </c>
      <c r="P4" s="11">
        <f>IF(P$3=0,"",SUMIFS(INDEX(Inputs!$D$4:$AG$200,0,MATCH(P$2,Inputs!$D$2:$AG$2,0)),Inputs!$B$4:$B$200,$B4)/1000)</f>
        <v>18120</v>
      </c>
      <c r="Q4" s="11">
        <f>IF(Q$3=0,"",SUMIFS(INDEX(Inputs!$D$4:$AG$200,0,MATCH(Q$2,Inputs!$D$2:$AG$2,0)),Inputs!$B$4:$B$200,$B4)/1000)</f>
        <v>22103</v>
      </c>
      <c r="R4" s="12">
        <f>IF(COUNT(N4:Q4)=4,SUM(N4:Q4),"")</f>
        <v>60922</v>
      </c>
      <c r="S4" s="11">
        <f>IF(S$3=0,"",SUMIFS(INDEX(Inputs!$D$4:$AG$200,0,MATCH(S$2,Inputs!$D$2:$AG$2,0)),Inputs!$B$4:$B$200,$B4)/1000)</f>
        <v>26044</v>
      </c>
      <c r="T4" s="11">
        <f>IF(T$3=0,"",SUMIFS(INDEX(Inputs!$D$4:$AG$200,0,MATCH(T$2,Inputs!$D$2:$AG$2,0)),Inputs!$B$4:$B$200,$B4)/1000)</f>
        <v>30040</v>
      </c>
      <c r="U4" s="11">
        <f>IF(U$3=0,"",SUMIFS(INDEX(Inputs!$D$4:$AG$200,0,MATCH(U$2,Inputs!$D$2:$AG$2,0)),Inputs!$B$4:$B$200,$B4)/1000)</f>
        <v>35082</v>
      </c>
      <c r="V4" s="11">
        <f>IF(V$3=0,"",SUMIFS(INDEX(Inputs!$D$4:$AG$200,0,MATCH(V$2,Inputs!$D$2:$AG$2,0)),Inputs!$B$4:$B$200,$B4)/1000)</f>
        <v>39331</v>
      </c>
      <c r="W4" s="12">
        <f>IF(COUNT(S4:V4)=4,SUM(S4:V4),"")</f>
        <v>130497</v>
      </c>
      <c r="X4" s="11">
        <f>IF(X$3=0,"",SUMIFS(INDEX(Inputs!$D$4:$AG$200,0,MATCH(X$2,Inputs!$D$2:$AG$2,0)),Inputs!$B$4:$B$200,$B4)/1000)</f>
        <v>44062</v>
      </c>
      <c r="Y4" s="11">
        <f>IF(Y$3=0,"",SUMIFS(INDEX(Inputs!$D$4:$AG$200,0,MATCH(Y$2,Inputs!$D$2:$AG$2,0)),Inputs!$B$4:$B$200,$B4)/1000)</f>
        <v>46743</v>
      </c>
      <c r="Z4" s="11">
        <f>IF(Z$3=0,"",SUMIFS(INDEX(Inputs!$D$4:$AG$200,0,MATCH(Z$2,Inputs!$D$2:$AG$2,0)),Inputs!$B$4:$B$200,$B4)/1000)</f>
        <v>57006</v>
      </c>
      <c r="AA4" s="11">
        <f>IF(AA$3=0,"",SUMIFS(INDEX(Inputs!$D$4:$AG$200,0,MATCH(AA$2,Inputs!$D$2:$AG$2,0)),Inputs!$B$4:$B$200,$B4)/1000)</f>
        <v>68127</v>
      </c>
      <c r="AB4" s="12">
        <f>IF(COUNT(X4:AA4)=4,SUM(X4:AA4),"")</f>
        <v>215938</v>
      </c>
      <c r="AC4" s="11">
        <f>IF(AC$3=0,"",SUMIFS(INDEX(Inputs!$D$4:$AG$200,0,MATCH(AC$2,Inputs!$D$2:$AG$2,0)),Inputs!$B$4:$B$200,$B4)/1000)</f>
        <v>81615</v>
      </c>
      <c r="AD4" s="11">
        <f>IF(AD$3=0,"",SUMIFS(INDEX(Inputs!$D$4:$AG$200,0,MATCH(AD$2,Inputs!$D$2:$AG$2,0)),Inputs!$B$4:$B$200,$B4)/1000)</f>
        <v>96221</v>
      </c>
      <c r="AE4" s="11" t="str">
        <f>IF(AE$3=0,"",SUMIFS(INDEX(Inputs!$D$4:$AG$200,0,MATCH(AE$2,Inputs!$D$2:$AG$2,0)),Inputs!$B$4:$B$200,$B4)/1000)</f>
        <v/>
      </c>
      <c r="AF4" s="11" t="str">
        <f>IF(AF$3=0,"",SUMIFS(INDEX(Inputs!$D$4:$AG$200,0,MATCH(AF$2,Inputs!$D$2:$AG$2,0)),Inputs!$B$4:$B$200,$B4)/1000)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IF(D$3=0,"",SUMIFS(INDEX(Inputs!$D$4:$AG$200,0,MATCH(D$2,Inputs!$D$2:$AG$2,0)),Inputs!$B$4:$B$200,$B5)/1000)</f>
        <v>-2032</v>
      </c>
      <c r="E5" s="11">
        <f>IF(E$3=0,"",SUMIFS(INDEX(Inputs!$D$4:$AG$200,0,MATCH(E$2,Inputs!$D$2:$AG$2,0)),Inputs!$B$4:$B$200,$B5)/1000)</f>
        <v>-2292</v>
      </c>
      <c r="F5" s="11">
        <f>IF(F$3=0,"",SUMIFS(INDEX(Inputs!$D$4:$AG$200,0,MATCH(F$2,Inputs!$D$2:$AG$2,0)),Inputs!$B$4:$B$200,$B5)/1000)</f>
        <v>-2472</v>
      </c>
      <c r="G5" s="11">
        <f>IF(G$3=0,"",SUMIFS(INDEX(Inputs!$D$4:$AG$200,0,MATCH(G$2,Inputs!$D$2:$AG$2,0)),Inputs!$B$4:$B$200,$B5)/1000)</f>
        <v>-2644</v>
      </c>
      <c r="H5" s="12">
        <f>IF(COUNT(D5:G5)=4,SUM(D5:G5),"")</f>
        <v>-9440</v>
      </c>
      <c r="I5" s="11">
        <f>IF(I$3=0,"",SUMIFS(INDEX(Inputs!$D$4:$AG$200,0,MATCH(I$2,Inputs!$D$2:$AG$2,0)),Inputs!$B$4:$B$200,$B5)/1000)</f>
        <v>-2857</v>
      </c>
      <c r="J5" s="11">
        <f>IF(J$3=0,"",SUMIFS(INDEX(Inputs!$D$4:$AG$200,0,MATCH(J$2,Inputs!$D$2:$AG$2,0)),Inputs!$B$4:$B$200,$B5)/1000)</f>
        <v>-3789</v>
      </c>
      <c r="K5" s="11">
        <f>IF(K$3=0,"",SUMIFS(INDEX(Inputs!$D$4:$AG$200,0,MATCH(K$2,Inputs!$D$2:$AG$2,0)),Inputs!$B$4:$B$200,$B5)/1000)</f>
        <v>-2754</v>
      </c>
      <c r="L5" s="11">
        <f>IF(L$3=0,"",SUMIFS(INDEX(Inputs!$D$4:$AG$200,0,MATCH(L$2,Inputs!$D$2:$AG$2,0)),Inputs!$B$4:$B$200,$B5)/1000)</f>
        <v>-2218</v>
      </c>
      <c r="M5" s="12">
        <f>IF(COUNT(I5:L5)=4,SUM(I5:L5),"")</f>
        <v>-11618</v>
      </c>
      <c r="N5" s="11">
        <f>IF(N$3=0,"",SUMIFS(INDEX(Inputs!$D$4:$AG$200,0,MATCH(N$2,Inputs!$D$2:$AG$2,0)),Inputs!$B$4:$B$200,$B5)/1000)</f>
        <v>-2544</v>
      </c>
      <c r="O5" s="11">
        <f>IF(O$3=0,"",SUMIFS(INDEX(Inputs!$D$4:$AG$200,0,MATCH(O$2,Inputs!$D$2:$AG$2,0)),Inputs!$B$4:$B$200,$B5)/1000)</f>
        <v>-4045</v>
      </c>
      <c r="P5" s="11">
        <f>IF(P$3=0,"",SUMIFS(INDEX(Inputs!$D$4:$AG$200,0,MATCH(P$2,Inputs!$D$2:$AG$2,0)),Inputs!$B$4:$B$200,$B5)/1000)</f>
        <v>-4720</v>
      </c>
      <c r="Q5" s="11">
        <f>IF(Q$3=0,"",SUMIFS(INDEX(Inputs!$D$4:$AG$200,0,MATCH(Q$2,Inputs!$D$2:$AG$2,0)),Inputs!$B$4:$B$200,$B5)/1000)</f>
        <v>-5312</v>
      </c>
      <c r="R5" s="12">
        <f>IF(COUNT(N5:Q5)=4,SUM(N5:Q5),"")</f>
        <v>-16621</v>
      </c>
      <c r="S5" s="11">
        <f>IF(S$3=0,"",SUMIFS(INDEX(Inputs!$D$4:$AG$200,0,MATCH(S$2,Inputs!$D$2:$AG$2,0)),Inputs!$B$4:$B$200,$B5)/1000)</f>
        <v>-5638</v>
      </c>
      <c r="T5" s="11">
        <f>IF(T$3=0,"",SUMIFS(INDEX(Inputs!$D$4:$AG$200,0,MATCH(T$2,Inputs!$D$2:$AG$2,0)),Inputs!$B$4:$B$200,$B5)/1000)</f>
        <v>-7466</v>
      </c>
      <c r="U5" s="11">
        <f>IF(U$3=0,"",SUMIFS(INDEX(Inputs!$D$4:$AG$200,0,MATCH(U$2,Inputs!$D$2:$AG$2,0)),Inputs!$B$4:$B$200,$B5)/1000)</f>
        <v>-8926</v>
      </c>
      <c r="V5" s="11">
        <f>IF(V$3=0,"",SUMIFS(INDEX(Inputs!$D$4:$AG$200,0,MATCH(V$2,Inputs!$D$2:$AG$2,0)),Inputs!$B$4:$B$200,$B5)/1000)</f>
        <v>-10608</v>
      </c>
      <c r="W5" s="12">
        <f>IF(COUNT(S5:V5)=4,SUM(S5:V5),"")</f>
        <v>-32638</v>
      </c>
      <c r="X5" s="11">
        <f>IF(X$3=0,"",SUMIFS(INDEX(Inputs!$D$4:$AG$200,0,MATCH(X$2,Inputs!$D$2:$AG$2,0)),Inputs!$B$4:$B$200,$B5)/1000)</f>
        <v>-17394</v>
      </c>
      <c r="Y5" s="11">
        <f>IF(Y$3=0,"",SUMIFS(INDEX(Inputs!$D$4:$AG$200,0,MATCH(Y$2,Inputs!$D$2:$AG$2,0)),Inputs!$B$4:$B$200,$B5)/1000)</f>
        <v>-12890</v>
      </c>
      <c r="Z5" s="11">
        <f>IF(Z$3=0,"",SUMIFS(INDEX(Inputs!$D$4:$AG$200,0,MATCH(Z$2,Inputs!$D$2:$AG$2,0)),Inputs!$B$4:$B$200,$B5)/1000)</f>
        <v>-15157</v>
      </c>
      <c r="AA5" s="11">
        <f>IF(AA$3=0,"",SUMIFS(INDEX(Inputs!$D$4:$AG$200,0,MATCH(AA$2,Inputs!$D$2:$AG$2,0)),Inputs!$B$4:$B$200,$B5)/1000)</f>
        <v>-17034</v>
      </c>
      <c r="AB5" s="12">
        <f>IF(COUNT(X5:AA5)=4,SUM(X5:AA5),"")</f>
        <v>-62475</v>
      </c>
      <c r="AC5" s="11">
        <f>IF(AC$3=0,"",SUMIFS(INDEX(Inputs!$D$4:$AG$200,0,MATCH(AC$2,Inputs!$D$2:$AG$2,0)),Inputs!$B$4:$B$200,$B5)/1000)</f>
        <v>-20458</v>
      </c>
      <c r="AD5" s="11">
        <f>IF(AD$3=0,"",SUMIFS(INDEX(Inputs!$D$4:$AG$200,0,MATCH(AD$2,Inputs!$D$2:$AG$2,0)),Inputs!$B$4:$B$200,$B5)/1000)</f>
        <v>-24079</v>
      </c>
      <c r="AE5" s="11" t="str">
        <f>IF(AE$3=0,"",SUMIFS(INDEX(Inputs!$D$4:$AG$200,0,MATCH(AE$2,Inputs!$D$2:$AG$2,0)),Inputs!$B$4:$B$200,$B5)/1000)</f>
        <v/>
      </c>
      <c r="AF5" s="11" t="str">
        <f>IF(AF$3=0,"",SUMIFS(INDEX(Inputs!$D$4:$AG$200,0,MATCH(AF$2,Inputs!$D$2:$AG$2,0)),Inputs!$B$4:$B$200,$B5)/1000)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IF(D$3=0,"",SUMIFS(INDEX(Inputs!$D$4:$AG$200,0,MATCH(D$2,Inputs!$D$2:$AG$2,0)),Inputs!$B$4:$B$200,$B6)/1000)</f>
        <v>-1392</v>
      </c>
      <c r="E6" s="11">
        <f>IF(E$3=0,"",SUMIFS(INDEX(Inputs!$D$4:$AG$200,0,MATCH(E$2,Inputs!$D$2:$AG$2,0)),Inputs!$B$4:$B$200,$B6)/1000)</f>
        <v>-1485</v>
      </c>
      <c r="F6" s="11">
        <f>IF(F$3=0,"",SUMIFS(INDEX(Inputs!$D$4:$AG$200,0,MATCH(F$2,Inputs!$D$2:$AG$2,0)),Inputs!$B$4:$B$200,$B6)/1000)</f>
        <v>-1662</v>
      </c>
      <c r="G6" s="11">
        <f>IF(G$3=0,"",SUMIFS(INDEX(Inputs!$D$4:$AG$200,0,MATCH(G$2,Inputs!$D$2:$AG$2,0)),Inputs!$B$4:$B$200,$B6)/1000)</f>
        <v>-1720</v>
      </c>
      <c r="H6" s="12">
        <f>IF(COUNT(D6:G6)=4,SUM(D6:G6),"")</f>
        <v>-6259</v>
      </c>
      <c r="I6" s="11">
        <f>IF(I$3=0,"",SUMIFS(INDEX(Inputs!$D$4:$AG$200,0,MATCH(I$2,Inputs!$D$2:$AG$2,0)),Inputs!$B$4:$B$200,$B6)/1000)</f>
        <v>-3229</v>
      </c>
      <c r="J6" s="11">
        <f>IF(J$3=0,"",SUMIFS(INDEX(Inputs!$D$4:$AG$200,0,MATCH(J$2,Inputs!$D$2:$AG$2,0)),Inputs!$B$4:$B$200,$B6)/1000)</f>
        <v>-2038</v>
      </c>
      <c r="K6" s="11">
        <f>IF(K$3=0,"",SUMIFS(INDEX(Inputs!$D$4:$AG$200,0,MATCH(K$2,Inputs!$D$2:$AG$2,0)),Inputs!$B$4:$B$200,$B6)/1000)</f>
        <v>-2170</v>
      </c>
      <c r="L6" s="11">
        <f>IF(L$3=0,"",SUMIFS(INDEX(Inputs!$D$4:$AG$200,0,MATCH(L$2,Inputs!$D$2:$AG$2,0)),Inputs!$B$4:$B$200,$B6)/1000)</f>
        <v>-2151</v>
      </c>
      <c r="M6" s="12">
        <f>IF(COUNT(I6:L6)=4,SUM(I6:L6),"")</f>
        <v>-9588</v>
      </c>
      <c r="N6" s="11">
        <f>IF(N$3=0,"",SUMIFS(INDEX(Inputs!$D$4:$AG$200,0,MATCH(N$2,Inputs!$D$2:$AG$2,0)),Inputs!$B$4:$B$200,$B6)/1000)</f>
        <v>-2124</v>
      </c>
      <c r="O6" s="11">
        <f>IF(O$3=0,"",SUMIFS(INDEX(Inputs!$D$4:$AG$200,0,MATCH(O$2,Inputs!$D$2:$AG$2,0)),Inputs!$B$4:$B$200,$B6)/1000)</f>
        <v>-2297</v>
      </c>
      <c r="P6" s="11">
        <f>IF(P$3=0,"",SUMIFS(INDEX(Inputs!$D$4:$AG$200,0,MATCH(P$2,Inputs!$D$2:$AG$2,0)),Inputs!$B$4:$B$200,$B6)/1000)</f>
        <v>-2611</v>
      </c>
      <c r="Q6" s="11">
        <f>IF(Q$3=0,"",SUMIFS(INDEX(Inputs!$D$4:$AG$200,0,MATCH(Q$2,Inputs!$D$2:$AG$2,0)),Inputs!$B$4:$B$200,$B6)/1000)</f>
        <v>-2790</v>
      </c>
      <c r="R6" s="12">
        <f>IF(COUNT(N6:Q6)=4,SUM(N6:Q6),"")</f>
        <v>-9822</v>
      </c>
      <c r="S6" s="11">
        <f>IF(S$3=0,"",SUMIFS(INDEX(Inputs!$D$4:$AG$200,0,MATCH(S$2,Inputs!$D$2:$AG$2,0)),Inputs!$B$4:$B$200,$B6)/1000)</f>
        <v>-3087</v>
      </c>
      <c r="T6" s="11">
        <f>IF(T$3=0,"",SUMIFS(INDEX(Inputs!$D$4:$AG$200,0,MATCH(T$2,Inputs!$D$2:$AG$2,0)),Inputs!$B$4:$B$200,$B6)/1000)</f>
        <v>-3499</v>
      </c>
      <c r="U6" s="11">
        <f>IF(U$3=0,"",SUMIFS(INDEX(Inputs!$D$4:$AG$200,0,MATCH(U$2,Inputs!$D$2:$AG$2,0)),Inputs!$B$4:$B$200,$B6)/1000)</f>
        <v>-3809</v>
      </c>
      <c r="V6" s="11">
        <f>IF(V$3=0,"",SUMIFS(INDEX(Inputs!$D$4:$AG$200,0,MATCH(V$2,Inputs!$D$2:$AG$2,0)),Inputs!$B$4:$B$200,$B6)/1000)</f>
        <v>-4146</v>
      </c>
      <c r="W6" s="12">
        <f>IF(COUNT(S6:V6)=4,SUM(S6:V6),"")</f>
        <v>-14541</v>
      </c>
      <c r="X6" s="11">
        <f>IF(X$3=0,"",SUMIFS(INDEX(Inputs!$D$4:$AG$200,0,MATCH(X$2,Inputs!$D$2:$AG$2,0)),Inputs!$B$4:$B$200,$B6)/1000)</f>
        <v>-4419</v>
      </c>
      <c r="Y6" s="11">
        <f>IF(Y$3=0,"",SUMIFS(INDEX(Inputs!$D$4:$AG$200,0,MATCH(Y$2,Inputs!$D$2:$AG$2,0)),Inputs!$B$4:$B$200,$B6)/1000)</f>
        <v>-4744</v>
      </c>
      <c r="Z6" s="11">
        <f>IF(Z$3=0,"",SUMIFS(INDEX(Inputs!$D$4:$AG$200,0,MATCH(Z$2,Inputs!$D$2:$AG$2,0)),Inputs!$B$4:$B$200,$B6)/1000)</f>
        <v>-5088</v>
      </c>
      <c r="AA6" s="11">
        <f>IF(AA$3=0,"",SUMIFS(INDEX(Inputs!$D$4:$AG$200,0,MATCH(AA$2,Inputs!$D$2:$AG$2,0)),Inputs!$B$4:$B$200,$B6)/1000)</f>
        <v>-5982</v>
      </c>
      <c r="AB6" s="12">
        <f>IF(COUNT(X6:AA6)=4,SUM(X6:AA6),"")</f>
        <v>-20233</v>
      </c>
      <c r="AC6" s="11">
        <f>IF(AC$3=0,"",SUMIFS(INDEX(Inputs!$D$4:$AG$200,0,MATCH(AC$2,Inputs!$D$2:$AG$2,0)),Inputs!$B$4:$B$200,$B6)/1000)</f>
        <v>-6624</v>
      </c>
      <c r="AD6" s="11">
        <f>IF(AD$3=0,"",SUMIFS(INDEX(Inputs!$D$4:$AG$200,0,MATCH(AD$2,Inputs!$D$2:$AG$2,0)),Inputs!$B$4:$B$200,$B6)/1000)</f>
        <v>-7281</v>
      </c>
      <c r="AE6" s="11" t="str">
        <f>IF(AE$3=0,"",SUMIFS(INDEX(Inputs!$D$4:$AG$200,0,MATCH(AE$2,Inputs!$D$2:$AG$2,0)),Inputs!$B$4:$B$200,$B6)/1000)</f>
        <v/>
      </c>
      <c r="AF6" s="11" t="str">
        <f>IF(AF$3=0,"",SUMIFS(INDEX(Inputs!$D$4:$AG$200,0,MATCH(AF$2,Inputs!$D$2:$AG$2,0)),Inputs!$B$4:$B$200,$B6)/1000)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IF(D$3=0,"",SUMIFS(INDEX(Inputs!$D$4:$AG$200,0,MATCH(D$2,Inputs!$D$2:$AG$2,0)),Inputs!$B$4:$B$200,$B7)/1000)</f>
        <v>-281</v>
      </c>
      <c r="E7" s="11">
        <f>IF(E$3=0,"",SUMIFS(INDEX(Inputs!$D$4:$AG$200,0,MATCH(E$2,Inputs!$D$2:$AG$2,0)),Inputs!$B$4:$B$200,$B7)/1000)</f>
        <v>-286</v>
      </c>
      <c r="F7" s="11">
        <f>IF(F$3=0,"",SUMIFS(INDEX(Inputs!$D$4:$AG$200,0,MATCH(F$2,Inputs!$D$2:$AG$2,0)),Inputs!$B$4:$B$200,$B7)/1000)</f>
        <v>-298</v>
      </c>
      <c r="G7" s="11">
        <f>IF(G$3=0,"",SUMIFS(INDEX(Inputs!$D$4:$AG$200,0,MATCH(G$2,Inputs!$D$2:$AG$2,0)),Inputs!$B$4:$B$200,$B7)/1000)</f>
        <v>-309</v>
      </c>
      <c r="H7" s="12">
        <f>IF(COUNT(D7:G7)=4,SUM(D7:G7),"")</f>
        <v>-1174</v>
      </c>
      <c r="I7" s="11">
        <f>IF(I$3=0,"",SUMIFS(INDEX(Inputs!$D$4:$AG$200,0,MATCH(I$2,Inputs!$D$2:$AG$2,0)),Inputs!$B$4:$B$200,$B7)/1000)</f>
        <v>-334</v>
      </c>
      <c r="J7" s="11">
        <f>IF(J$3=0,"",SUMIFS(INDEX(Inputs!$D$4:$AG$200,0,MATCH(J$2,Inputs!$D$2:$AG$2,0)),Inputs!$B$4:$B$200,$B7)/1000)</f>
        <v>-378</v>
      </c>
      <c r="K7" s="11">
        <f>IF(K$3=0,"",SUMIFS(INDEX(Inputs!$D$4:$AG$200,0,MATCH(K$2,Inputs!$D$2:$AG$2,0)),Inputs!$B$4:$B$200,$B7)/1000)</f>
        <v>-406</v>
      </c>
      <c r="L7" s="11">
        <f>IF(L$3=0,"",SUMIFS(INDEX(Inputs!$D$4:$AG$200,0,MATCH(L$2,Inputs!$D$2:$AG$2,0)),Inputs!$B$4:$B$200,$B7)/1000)</f>
        <v>-426</v>
      </c>
      <c r="M7" s="12">
        <f>IF(COUNT(I7:L7)=4,SUM(I7:L7),"")</f>
        <v>-1544</v>
      </c>
      <c r="N7" s="11">
        <f>IF(N$3=0,"",SUMIFS(INDEX(Inputs!$D$4:$AG$200,0,MATCH(N$2,Inputs!$D$2:$AG$2,0)),Inputs!$B$4:$B$200,$B7)/1000)</f>
        <v>-384</v>
      </c>
      <c r="O7" s="11">
        <f>IF(O$3=0,"",SUMIFS(INDEX(Inputs!$D$4:$AG$200,0,MATCH(O$2,Inputs!$D$2:$AG$2,0)),Inputs!$B$4:$B$200,$B7)/1000)</f>
        <v>-365</v>
      </c>
      <c r="P7" s="11">
        <f>IF(P$3=0,"",SUMIFS(INDEX(Inputs!$D$4:$AG$200,0,MATCH(P$2,Inputs!$D$2:$AG$2,0)),Inputs!$B$4:$B$200,$B7)/1000)</f>
        <v>-372</v>
      </c>
      <c r="Q7" s="11">
        <f>IF(Q$3=0,"",SUMIFS(INDEX(Inputs!$D$4:$AG$200,0,MATCH(Q$2,Inputs!$D$2:$AG$2,0)),Inputs!$B$4:$B$200,$B7)/1000)</f>
        <v>-387</v>
      </c>
      <c r="R7" s="12">
        <f>IF(COUNT(N7:Q7)=4,SUM(N7:Q7),"")</f>
        <v>-1508</v>
      </c>
      <c r="S7" s="11">
        <f>IF(S$3=0,"",SUMIFS(INDEX(Inputs!$D$4:$AG$200,0,MATCH(S$2,Inputs!$D$2:$AG$2,0)),Inputs!$B$4:$B$200,$B7)/1000)</f>
        <v>-410</v>
      </c>
      <c r="T7" s="11">
        <f>IF(T$3=0,"",SUMIFS(INDEX(Inputs!$D$4:$AG$200,0,MATCH(T$2,Inputs!$D$2:$AG$2,0)),Inputs!$B$4:$B$200,$B7)/1000)</f>
        <v>-433</v>
      </c>
      <c r="U7" s="11">
        <f>IF(U$3=0,"",SUMIFS(INDEX(Inputs!$D$4:$AG$200,0,MATCH(U$2,Inputs!$D$2:$AG$2,0)),Inputs!$B$4:$B$200,$B7)/1000)</f>
        <v>-478</v>
      </c>
      <c r="V7" s="11">
        <f>IF(V$3=0,"",SUMIFS(INDEX(Inputs!$D$4:$AG$200,0,MATCH(V$2,Inputs!$D$2:$AG$2,0)),Inputs!$B$4:$B$200,$B7)/1000)</f>
        <v>-543</v>
      </c>
      <c r="W7" s="12">
        <f>IF(COUNT(S7:V7)=4,SUM(S7:V7),"")</f>
        <v>-1864</v>
      </c>
      <c r="X7" s="11">
        <f>IF(X$3=0,"",SUMIFS(INDEX(Inputs!$D$4:$AG$200,0,MATCH(X$2,Inputs!$D$2:$AG$2,0)),Inputs!$B$4:$B$200,$B7)/1000)</f>
        <v>-611</v>
      </c>
      <c r="Y7" s="11">
        <f>IF(Y$3=0,"",SUMIFS(INDEX(Inputs!$D$4:$AG$200,0,MATCH(Y$2,Inputs!$D$2:$AG$2,0)),Inputs!$B$4:$B$200,$B7)/1000)</f>
        <v>-669</v>
      </c>
      <c r="Z7" s="11">
        <f>IF(Z$3=0,"",SUMIFS(INDEX(Inputs!$D$4:$AG$200,0,MATCH(Z$2,Inputs!$D$2:$AG$2,0)),Inputs!$B$4:$B$200,$B7)/1000)</f>
        <v>-751</v>
      </c>
      <c r="AA7" s="11">
        <f>IF(AA$3=0,"",SUMIFS(INDEX(Inputs!$D$4:$AG$200,0,MATCH(AA$2,Inputs!$D$2:$AG$2,0)),Inputs!$B$4:$B$200,$B7)/1000)</f>
        <v>-812</v>
      </c>
      <c r="AB7" s="12">
        <f>IF(COUNT(X7:AA7)=4,SUM(X7:AA7),"")</f>
        <v>-2843</v>
      </c>
      <c r="AC7" s="11">
        <f>IF(AC$3=0,"",SUMIFS(INDEX(Inputs!$D$4:$AG$200,0,MATCH(AC$2,Inputs!$D$2:$AG$2,0)),Inputs!$B$4:$B$200,$B7)/1000)</f>
        <v>-997</v>
      </c>
      <c r="AD7" s="11">
        <f>IF(AD$3=0,"",SUMIFS(INDEX(Inputs!$D$4:$AG$200,0,MATCH(AD$2,Inputs!$D$2:$AG$2,0)),Inputs!$B$4:$B$200,$B7)/1000)</f>
        <v>-1127</v>
      </c>
      <c r="AE7" s="11" t="str">
        <f>IF(AE$3=0,"",SUMIFS(INDEX(Inputs!$D$4:$AG$200,0,MATCH(AE$2,Inputs!$D$2:$AG$2,0)),Inputs!$B$4:$B$200,$B7)/1000)</f>
        <v/>
      </c>
      <c r="AF7" s="11" t="str">
        <f>IF(AF$3=0,"",SUMIFS(INDEX(Inputs!$D$4:$AG$200,0,MATCH(AF$2,Inputs!$D$2:$AG$2,0)),Inputs!$B$4:$B$200,$B7)/1000)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IF(D$3=0,"",SUMIFS(INDEX(Inputs!$D$4:$AG$200,0,MATCH(D$2,Inputs!$D$2:$AG$2,0)),Inputs!$B$4:$B$200,$B8)/1000)</f>
        <v>-53</v>
      </c>
      <c r="E8" s="11">
        <f>IF(E$3=0,"",SUMIFS(INDEX(Inputs!$D$4:$AG$200,0,MATCH(E$2,Inputs!$D$2:$AG$2,0)),Inputs!$B$4:$B$200,$B8)/1000)</f>
        <v>-60</v>
      </c>
      <c r="F8" s="11">
        <f>IF(F$3=0,"",SUMIFS(INDEX(Inputs!$D$4:$AG$200,0,MATCH(F$2,Inputs!$D$2:$AG$2,0)),Inputs!$B$4:$B$200,$B8)/1000)</f>
        <v>-62</v>
      </c>
      <c r="G8" s="11">
        <f>IF(G$3=0,"",SUMIFS(INDEX(Inputs!$D$4:$AG$200,0,MATCH(G$2,Inputs!$D$2:$AG$2,0)),Inputs!$B$4:$B$200,$B8)/1000)</f>
        <v>-61</v>
      </c>
      <c r="H8" s="12">
        <f>IF(COUNT(D8:G8)=4,SUM(D8:G8),"")</f>
        <v>-236</v>
      </c>
      <c r="I8" s="11">
        <f>IF(I$3=0,"",SUMIFS(INDEX(Inputs!$D$4:$AG$200,0,MATCH(I$2,Inputs!$D$2:$AG$2,0)),Inputs!$B$4:$B$200,$B8)/1000)</f>
        <v>-68</v>
      </c>
      <c r="J8" s="11">
        <f>IF(J$3=0,"",SUMIFS(INDEX(Inputs!$D$4:$AG$200,0,MATCH(J$2,Inputs!$D$2:$AG$2,0)),Inputs!$B$4:$B$200,$B8)/1000)</f>
        <v>-65</v>
      </c>
      <c r="K8" s="11">
        <f>IF(K$3=0,"",SUMIFS(INDEX(Inputs!$D$4:$AG$200,0,MATCH(K$2,Inputs!$D$2:$AG$2,0)),Inputs!$B$4:$B$200,$B8)/1000)</f>
        <v>-65</v>
      </c>
      <c r="L8" s="11">
        <f>IF(L$3=0,"",SUMIFS(INDEX(Inputs!$D$4:$AG$200,0,MATCH(L$2,Inputs!$D$2:$AG$2,0)),Inputs!$B$4:$B$200,$B8)/1000)</f>
        <v>-64</v>
      </c>
      <c r="M8" s="12">
        <f>IF(COUNT(I8:L8)=4,SUM(I8:L8),"")</f>
        <v>-262</v>
      </c>
      <c r="N8" s="11">
        <f>IF(N$3=0,"",SUMIFS(INDEX(Inputs!$D$4:$AG$200,0,MATCH(N$2,Inputs!$D$2:$AG$2,0)),Inputs!$B$4:$B$200,$B8)/1000)</f>
        <v>-66</v>
      </c>
      <c r="O8" s="11">
        <f>IF(O$3=0,"",SUMIFS(INDEX(Inputs!$D$4:$AG$200,0,MATCH(O$2,Inputs!$D$2:$AG$2,0)),Inputs!$B$4:$B$200,$B8)/1000)</f>
        <v>-65</v>
      </c>
      <c r="P8" s="11">
        <f>IF(P$3=0,"",SUMIFS(INDEX(Inputs!$D$4:$AG$200,0,MATCH(P$2,Inputs!$D$2:$AG$2,0)),Inputs!$B$4:$B$200,$B8)/1000)</f>
        <v>-63</v>
      </c>
      <c r="Q8" s="11">
        <f>IF(Q$3=0,"",SUMIFS(INDEX(Inputs!$D$4:$AG$200,0,MATCH(Q$2,Inputs!$D$2:$AG$2,0)),Inputs!$B$4:$B$200,$B8)/1000)</f>
        <v>-63</v>
      </c>
      <c r="R8" s="12">
        <f>IF(COUNT(N8:Q8)=4,SUM(N8:Q8),"")</f>
        <v>-257</v>
      </c>
      <c r="S8" s="11">
        <f>IF(S$3=0,"",SUMIFS(INDEX(Inputs!$D$4:$AG$200,0,MATCH(S$2,Inputs!$D$2:$AG$2,0)),Inputs!$B$4:$B$200,$B8)/1000)</f>
        <v>-64</v>
      </c>
      <c r="T8" s="11">
        <f>IF(T$3=0,"",SUMIFS(INDEX(Inputs!$D$4:$AG$200,0,MATCH(T$2,Inputs!$D$2:$AG$2,0)),Inputs!$B$4:$B$200,$B8)/1000)</f>
        <v>-61</v>
      </c>
      <c r="U8" s="11">
        <f>IF(U$3=0,"",SUMIFS(INDEX(Inputs!$D$4:$AG$200,0,MATCH(U$2,Inputs!$D$2:$AG$2,0)),Inputs!$B$4:$B$200,$B8)/1000)</f>
        <v>-61</v>
      </c>
      <c r="V8" s="11">
        <f>IF(V$3=0,"",SUMIFS(INDEX(Inputs!$D$4:$AG$200,0,MATCH(V$2,Inputs!$D$2:$AG$2,0)),Inputs!$B$4:$B$200,$B8)/1000)</f>
        <v>-61</v>
      </c>
      <c r="W8" s="12">
        <f>IF(COUNT(S8:V8)=4,SUM(S8:V8),"")</f>
        <v>-247</v>
      </c>
      <c r="X8" s="11">
        <f>IF(X$3=0,"",SUMIFS(INDEX(Inputs!$D$4:$AG$200,0,MATCH(X$2,Inputs!$D$2:$AG$2,0)),Inputs!$B$4:$B$200,$B8)/1000)</f>
        <v>-63</v>
      </c>
      <c r="Y8" s="11">
        <f>IF(Y$3=0,"",SUMIFS(INDEX(Inputs!$D$4:$AG$200,0,MATCH(Y$2,Inputs!$D$2:$AG$2,0)),Inputs!$B$4:$B$200,$B8)/1000)</f>
        <v>-62</v>
      </c>
      <c r="Z8" s="11">
        <f>IF(Z$3=0,"",SUMIFS(INDEX(Inputs!$D$4:$AG$200,0,MATCH(Z$2,Inputs!$D$2:$AG$2,0)),Inputs!$B$4:$B$200,$B8)/1000)</f>
        <v>-61</v>
      </c>
      <c r="AA8" s="11">
        <f>IF(AA$3=0,"",SUMIFS(INDEX(Inputs!$D$4:$AG$200,0,MATCH(AA$2,Inputs!$D$2:$AG$2,0)),Inputs!$B$4:$B$200,$B8)/1000)</f>
        <v>-73</v>
      </c>
      <c r="AB8" s="12">
        <f>IF(COUNT(X8:AA8)=4,SUM(X8:AA8),"")</f>
        <v>-259</v>
      </c>
      <c r="AC8" s="11">
        <f>IF(AC$3=0,"",SUMIFS(INDEX(Inputs!$D$4:$AG$200,0,MATCH(AC$2,Inputs!$D$2:$AG$2,0)),Inputs!$B$4:$B$200,$B8)/1000)</f>
        <v>-102</v>
      </c>
      <c r="AD8" s="11">
        <f>IF(AD$3=0,"",SUMIFS(INDEX(Inputs!$D$4:$AG$200,0,MATCH(AD$2,Inputs!$D$2:$AG$2,0)),Inputs!$B$4:$B$200,$B8)/1000)</f>
        <v>-227</v>
      </c>
      <c r="AE8" s="11" t="str">
        <f>IF(AE$3=0,"",SUMIFS(INDEX(Inputs!$D$4:$AG$200,0,MATCH(AE$2,Inputs!$D$2:$AG$2,0)),Inputs!$B$4:$B$200,$B8)/1000)</f>
        <v/>
      </c>
      <c r="AF8" s="11" t="str">
        <f>IF(AF$3=0,"",SUMIFS(INDEX(Inputs!$D$4:$AG$200,0,MATCH(AF$2,Inputs!$D$2:$AG$2,0)),Inputs!$B$4:$B$200,$B8)/1000)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IF(D$3=0,"",SUMIFS(INDEX(Inputs!$D$4:$AG$200,0,MATCH(D$2,Inputs!$D$2:$AG$2,0)),Inputs!$B$4:$B$200,$B9)/1000)</f>
        <v>141</v>
      </c>
      <c r="E9" s="11">
        <f>IF(E$3=0,"",SUMIFS(INDEX(Inputs!$D$4:$AG$200,0,MATCH(E$2,Inputs!$D$2:$AG$2,0)),Inputs!$B$4:$B$200,$B9)/1000)</f>
        <v>10</v>
      </c>
      <c r="F9" s="11">
        <f>IF(F$3=0,"",SUMIFS(INDEX(Inputs!$D$4:$AG$200,0,MATCH(F$2,Inputs!$D$2:$AG$2,0)),Inputs!$B$4:$B$200,$B9)/1000)</f>
        <v>29</v>
      </c>
      <c r="G9" s="11">
        <f>IF(G$3=0,"",SUMIFS(INDEX(Inputs!$D$4:$AG$200,0,MATCH(G$2,Inputs!$D$2:$AG$2,0)),Inputs!$B$4:$B$200,$B9)/1000)</f>
        <v>-44</v>
      </c>
      <c r="H9" s="12">
        <f>IF(COUNT(D9:G9)=4,SUM(D9:G9),"")</f>
        <v>136</v>
      </c>
      <c r="I9" s="11">
        <f>IF(I$3=0,"",SUMIFS(INDEX(Inputs!$D$4:$AG$200,0,MATCH(I$2,Inputs!$D$2:$AG$2,0)),Inputs!$B$4:$B$200,$B9)/1000)</f>
        <v>5</v>
      </c>
      <c r="J9" s="11">
        <f>IF(J$3=0,"",SUMIFS(INDEX(Inputs!$D$4:$AG$200,0,MATCH(J$2,Inputs!$D$2:$AG$2,0)),Inputs!$B$4:$B$200,$B9)/1000)</f>
        <v>41</v>
      </c>
      <c r="K9" s="11">
        <f>IF(K$3=0,"",SUMIFS(INDEX(Inputs!$D$4:$AG$200,0,MATCH(K$2,Inputs!$D$2:$AG$2,0)),Inputs!$B$4:$B$200,$B9)/1000)</f>
        <v>77</v>
      </c>
      <c r="L9" s="11">
        <f>IF(L$3=0,"",SUMIFS(INDEX(Inputs!$D$4:$AG$200,0,MATCH(L$2,Inputs!$D$2:$AG$2,0)),Inputs!$B$4:$B$200,$B9)/1000)</f>
        <v>96</v>
      </c>
      <c r="M9" s="12">
        <f>IF(COUNT(I9:L9)=4,SUM(I9:L9),"")</f>
        <v>219</v>
      </c>
      <c r="N9" s="11">
        <f>IF(N$3=0,"",SUMIFS(INDEX(Inputs!$D$4:$AG$200,0,MATCH(N$2,Inputs!$D$2:$AG$2,0)),Inputs!$B$4:$B$200,$B9)/1000)</f>
        <v>135</v>
      </c>
      <c r="O9" s="11">
        <f>IF(O$3=0,"",SUMIFS(INDEX(Inputs!$D$4:$AG$200,0,MATCH(O$2,Inputs!$D$2:$AG$2,0)),Inputs!$B$4:$B$200,$B9)/1000)</f>
        <v>246</v>
      </c>
      <c r="P9" s="11">
        <f>IF(P$3=0,"",SUMIFS(INDEX(Inputs!$D$4:$AG$200,0,MATCH(P$2,Inputs!$D$2:$AG$2,0)),Inputs!$B$4:$B$200,$B9)/1000)</f>
        <v>168</v>
      </c>
      <c r="Q9" s="11">
        <f>IF(Q$3=0,"",SUMIFS(INDEX(Inputs!$D$4:$AG$200,0,MATCH(Q$2,Inputs!$D$2:$AG$2,0)),Inputs!$B$4:$B$200,$B9)/1000)</f>
        <v>555</v>
      </c>
      <c r="R9" s="12">
        <f>IF(COUNT(N9:Q9)=4,SUM(N9:Q9),"")</f>
        <v>1104</v>
      </c>
      <c r="S9" s="11">
        <f>IF(S$3=0,"",SUMIFS(INDEX(Inputs!$D$4:$AG$200,0,MATCH(S$2,Inputs!$D$2:$AG$2,0)),Inputs!$B$4:$B$200,$B9)/1000)</f>
        <v>434</v>
      </c>
      <c r="T9" s="11">
        <f>IF(T$3=0,"",SUMIFS(INDEX(Inputs!$D$4:$AG$200,0,MATCH(T$2,Inputs!$D$2:$AG$2,0)),Inputs!$B$4:$B$200,$B9)/1000)</f>
        <v>633</v>
      </c>
      <c r="U9" s="11">
        <f>IF(U$3=0,"",SUMIFS(INDEX(Inputs!$D$4:$AG$200,0,MATCH(U$2,Inputs!$D$2:$AG$2,0)),Inputs!$B$4:$B$200,$B9)/1000)</f>
        <v>508</v>
      </c>
      <c r="V9" s="11">
        <f>IF(V$3=0,"",SUMIFS(INDEX(Inputs!$D$4:$AG$200,0,MATCH(V$2,Inputs!$D$2:$AG$2,0)),Inputs!$B$4:$B$200,$B9)/1000)</f>
        <v>1244</v>
      </c>
      <c r="W9" s="12">
        <f>IF(COUNT(S9:V9)=4,SUM(S9:V9),"")</f>
        <v>2819</v>
      </c>
      <c r="X9" s="11">
        <f>IF(X$3=0,"",SUMIFS(INDEX(Inputs!$D$4:$AG$200,0,MATCH(X$2,Inputs!$D$2:$AG$2,0)),Inputs!$B$4:$B$200,$B9)/1000)</f>
        <v>335</v>
      </c>
      <c r="Y9" s="11">
        <f>IF(Y$3=0,"",SUMIFS(INDEX(Inputs!$D$4:$AG$200,0,MATCH(Y$2,Inputs!$D$2:$AG$2,0)),Inputs!$B$4:$B$200,$B9)/1000)</f>
        <v>2828</v>
      </c>
      <c r="Z9" s="11">
        <f>IF(Z$3=0,"",SUMIFS(INDEX(Inputs!$D$4:$AG$200,0,MATCH(Z$2,Inputs!$D$2:$AG$2,0)),Inputs!$B$4:$B$200,$B9)/1000)</f>
        <v>1987</v>
      </c>
      <c r="AA9" s="11">
        <f>IF(AA$3=0,"",SUMIFS(INDEX(Inputs!$D$4:$AG$200,0,MATCH(AA$2,Inputs!$D$2:$AG$2,0)),Inputs!$B$4:$B$200,$B9)/1000)</f>
        <v>6172</v>
      </c>
      <c r="AB9" s="12">
        <f>IF(COUNT(X9:AA9)=4,SUM(X9:AA9),"")</f>
        <v>11322</v>
      </c>
      <c r="AC9" s="11">
        <f>IF(AC$3=0,"",SUMIFS(INDEX(Inputs!$D$4:$AG$200,0,MATCH(AC$2,Inputs!$D$2:$AG$2,0)),Inputs!$B$4:$B$200,$B9)/1000)</f>
        <v>16469</v>
      </c>
      <c r="AD9" s="11">
        <f>IF(AD$3=0,"",SUMIFS(INDEX(Inputs!$D$4:$AG$200,0,MATCH(AD$2,Inputs!$D$2:$AG$2,0)),Inputs!$B$4:$B$200,$B9)/1000)</f>
        <v>8000</v>
      </c>
      <c r="AE9" s="11" t="str">
        <f>IF(AE$3=0,"",SUMIFS(INDEX(Inputs!$D$4:$AG$200,0,MATCH(AE$2,Inputs!$D$2:$AG$2,0)),Inputs!$B$4:$B$200,$B9)/1000)</f>
        <v/>
      </c>
      <c r="AF9" s="11" t="str">
        <f>IF(AF$3=0,"",SUMIFS(INDEX(Inputs!$D$4:$AG$200,0,MATCH(AF$2,Inputs!$D$2:$AG$2,0)),Inputs!$B$4:$B$200,$B9)/1000)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IF(D$3=0,"",SUMIFS(INDEX(Inputs!$D$4:$AG$200,0,MATCH(D$2,Inputs!$D$2:$AG$2,0)),Inputs!$B$4:$B$200,$B10)/1000)</f>
        <v>-132</v>
      </c>
      <c r="E10" s="11">
        <f>IF(E$3=0,"",SUMIFS(INDEX(Inputs!$D$4:$AG$200,0,MATCH(E$2,Inputs!$D$2:$AG$2,0)),Inputs!$B$4:$B$200,$B10)/1000)</f>
        <v>-20</v>
      </c>
      <c r="F10" s="11">
        <f>IF(F$3=0,"",SUMIFS(INDEX(Inputs!$D$4:$AG$200,0,MATCH(F$2,Inputs!$D$2:$AG$2,0)),Inputs!$B$4:$B$200,$B10)/1000)</f>
        <v>-174</v>
      </c>
      <c r="G10" s="11">
        <f>IF(G$3=0,"",SUMIFS(INDEX(Inputs!$D$4:$AG$200,0,MATCH(G$2,Inputs!$D$2:$AG$2,0)),Inputs!$B$4:$B$200,$B10)/1000)</f>
        <v>138</v>
      </c>
      <c r="H10" s="12">
        <f>IF(COUNT(D10:G10)=4,SUM(D10:G10),"")</f>
        <v>-188</v>
      </c>
      <c r="I10" s="11">
        <f>IF(I$3=0,"",SUMIFS(INDEX(Inputs!$D$4:$AG$200,0,MATCH(I$2,Inputs!$D$2:$AG$2,0)),Inputs!$B$4:$B$200,$B10)/1000)</f>
        <v>-187</v>
      </c>
      <c r="J10" s="11">
        <f>IF(J$3=0,"",SUMIFS(INDEX(Inputs!$D$4:$AG$200,0,MATCH(J$2,Inputs!$D$2:$AG$2,0)),Inputs!$B$4:$B$200,$B10)/1000)</f>
        <v>181</v>
      </c>
      <c r="K10" s="11">
        <f>IF(K$3=0,"",SUMIFS(INDEX(Inputs!$D$4:$AG$200,0,MATCH(K$2,Inputs!$D$2:$AG$2,0)),Inputs!$B$4:$B$200,$B10)/1000)</f>
        <v>67</v>
      </c>
      <c r="L10" s="11">
        <f>IF(L$3=0,"",SUMIFS(INDEX(Inputs!$D$4:$AG$200,0,MATCH(L$2,Inputs!$D$2:$AG$2,0)),Inputs!$B$4:$B$200,$B10)/1000)</f>
        <v>126</v>
      </c>
      <c r="M10" s="12">
        <f>IF(COUNT(I10:L10)=4,SUM(I10:L10),"")</f>
        <v>187</v>
      </c>
      <c r="N10" s="11">
        <f>IF(N$3=0,"",SUMIFS(INDEX(Inputs!$D$4:$AG$200,0,MATCH(N$2,Inputs!$D$2:$AG$2,0)),Inputs!$B$4:$B$200,$B10)/1000)</f>
        <v>-166</v>
      </c>
      <c r="O10" s="11">
        <f>IF(O$3=0,"",SUMIFS(INDEX(Inputs!$D$4:$AG$200,0,MATCH(O$2,Inputs!$D$2:$AG$2,0)),Inputs!$B$4:$B$200,$B10)/1000)</f>
        <v>-793</v>
      </c>
      <c r="P10" s="11">
        <f>IF(P$3=0,"",SUMIFS(INDEX(Inputs!$D$4:$AG$200,0,MATCH(P$2,Inputs!$D$2:$AG$2,0)),Inputs!$B$4:$B$200,$B10)/1000)</f>
        <v>-1279</v>
      </c>
      <c r="Q10" s="11">
        <f>IF(Q$3=0,"",SUMIFS(INDEX(Inputs!$D$4:$AG$200,0,MATCH(Q$2,Inputs!$D$2:$AG$2,0)),Inputs!$B$4:$B$200,$B10)/1000)</f>
        <v>-1821</v>
      </c>
      <c r="R10" s="12">
        <f>IF(COUNT(N10:Q10)=4,SUM(N10:Q10),"")</f>
        <v>-4059</v>
      </c>
      <c r="S10" s="11">
        <f>IF(S$3=0,"",SUMIFS(INDEX(Inputs!$D$4:$AG$200,0,MATCH(S$2,Inputs!$D$2:$AG$2,0)),Inputs!$B$4:$B$200,$B10)/1000)</f>
        <v>-2398</v>
      </c>
      <c r="T10" s="11">
        <f>IF(T$3=0,"",SUMIFS(INDEX(Inputs!$D$4:$AG$200,0,MATCH(T$2,Inputs!$D$2:$AG$2,0)),Inputs!$B$4:$B$200,$B10)/1000)</f>
        <v>-2615</v>
      </c>
      <c r="U10" s="11">
        <f>IF(U$3=0,"",SUMIFS(INDEX(Inputs!$D$4:$AG$200,0,MATCH(U$2,Inputs!$D$2:$AG$2,0)),Inputs!$B$4:$B$200,$B10)/1000)</f>
        <v>-3007</v>
      </c>
      <c r="V10" s="11">
        <f>IF(V$3=0,"",SUMIFS(INDEX(Inputs!$D$4:$AG$200,0,MATCH(V$2,Inputs!$D$2:$AG$2,0)),Inputs!$B$4:$B$200,$B10)/1000)</f>
        <v>-3126</v>
      </c>
      <c r="W10" s="12">
        <f>IF(COUNT(S10:V10)=4,SUM(S10:V10),"")</f>
        <v>-11146</v>
      </c>
      <c r="X10" s="11">
        <f>IF(X$3=0,"",SUMIFS(INDEX(Inputs!$D$4:$AG$200,0,MATCH(X$2,Inputs!$D$2:$AG$2,0)),Inputs!$B$4:$B$200,$B10)/1000)</f>
        <v>-3135</v>
      </c>
      <c r="Y10" s="11">
        <f>IF(Y$3=0,"",SUMIFS(INDEX(Inputs!$D$4:$AG$200,0,MATCH(Y$2,Inputs!$D$2:$AG$2,0)),Inputs!$B$4:$B$200,$B10)/1000)</f>
        <v>-4784</v>
      </c>
      <c r="Z10" s="11">
        <f>IF(Z$3=0,"",SUMIFS(INDEX(Inputs!$D$4:$AG$200,0,MATCH(Z$2,Inputs!$D$2:$AG$2,0)),Inputs!$B$4:$B$200,$B10)/1000)</f>
        <v>-6026</v>
      </c>
      <c r="AA10" s="11">
        <f>IF(AA$3=0,"",SUMIFS(INDEX(Inputs!$D$4:$AG$200,0,MATCH(AA$2,Inputs!$D$2:$AG$2,0)),Inputs!$B$4:$B$200,$B10)/1000)</f>
        <v>-7438</v>
      </c>
      <c r="AB10" s="12">
        <f>IF(COUNT(X10:AA10)=4,SUM(X10:AA10),"")</f>
        <v>-21383</v>
      </c>
      <c r="AC10" s="11">
        <f>IF(AC$3=0,"",SUMIFS(INDEX(Inputs!$D$4:$AG$200,0,MATCH(AC$2,Inputs!$D$2:$AG$2,0)),Inputs!$B$4:$B$200,$B10)/1000)</f>
        <v>-11582</v>
      </c>
      <c r="AD10" s="11">
        <f>IF(AD$3=0,"",SUMIFS(INDEX(Inputs!$D$4:$AG$200,0,MATCH(AD$2,Inputs!$D$2:$AG$2,0)),Inputs!$B$4:$B$200,$B10)/1000)</f>
        <v>-11819</v>
      </c>
      <c r="AE10" s="11" t="str">
        <f>IF(AE$3=0,"",SUMIFS(INDEX(Inputs!$D$4:$AG$200,0,MATCH(AE$2,Inputs!$D$2:$AG$2,0)),Inputs!$B$4:$B$200,$B10)/1000)</f>
        <v/>
      </c>
      <c r="AF10" s="11" t="str">
        <f>IF(AF$3=0,"",SUMIFS(INDEX(Inputs!$D$4:$AG$200,0,MATCH(AF$2,Inputs!$D$2:$AG$2,0)),Inputs!$B$4:$B$200,$B10)/1000)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IF(D$3=0,"",SUMIFS(INDEX(Inputs!$D$4:$AG$200,0,MATCH(D$2,Inputs!$D$2:$AG$2,0)),Inputs!$B$4:$B$200,$B11)/1000)</f>
        <v>0</v>
      </c>
      <c r="E11" s="11">
        <f>IF(E$3=0,"",SUMIFS(INDEX(Inputs!$D$4:$AG$200,0,MATCH(E$2,Inputs!$D$2:$AG$2,0)),Inputs!$B$4:$B$200,$B11)/1000)</f>
        <v>0</v>
      </c>
      <c r="F11" s="11">
        <f>IF(F$3=0,"",SUMIFS(INDEX(Inputs!$D$4:$AG$200,0,MATCH(F$2,Inputs!$D$2:$AG$2,0)),Inputs!$B$4:$B$200,$B11)/1000)</f>
        <v>0</v>
      </c>
      <c r="G11" s="11">
        <f>IF(G$3=0,"",SUMIFS(INDEX(Inputs!$D$4:$AG$200,0,MATCH(G$2,Inputs!$D$2:$AG$2,0)),Inputs!$B$4:$B$200,$B11)/1000)</f>
        <v>0</v>
      </c>
      <c r="H11" s="12">
        <f>IF(COUNT(D11:G11)=4,SUM(D11:G11),"")</f>
        <v>0</v>
      </c>
      <c r="I11" s="11">
        <f>IF(I$3=0,"",SUMIFS(INDEX(Inputs!$D$4:$AG$200,0,MATCH(I$2,Inputs!$D$2:$AG$2,0)),Inputs!$B$4:$B$200,$B11)/1000)</f>
        <v>0</v>
      </c>
      <c r="J11" s="11">
        <f>IF(J$3=0,"",SUMIFS(INDEX(Inputs!$D$4:$AG$200,0,MATCH(J$2,Inputs!$D$2:$AG$2,0)),Inputs!$B$4:$B$200,$B11)/1000)</f>
        <v>0</v>
      </c>
      <c r="K11" s="11">
        <f>IF(K$3=0,"",SUMIFS(INDEX(Inputs!$D$4:$AG$200,0,MATCH(K$2,Inputs!$D$2:$AG$2,0)),Inputs!$B$4:$B$200,$B11)/1000)</f>
        <v>0</v>
      </c>
      <c r="L11" s="11">
        <f>IF(L$3=0,"",SUMIFS(INDEX(Inputs!$D$4:$AG$200,0,MATCH(L$2,Inputs!$D$2:$AG$2,0)),Inputs!$B$4:$B$200,$B11)/1000)</f>
        <v>0</v>
      </c>
      <c r="M11" s="12">
        <f>IF(COUNT(I11:L11)=4,SUM(I11:L11),"")</f>
        <v>0</v>
      </c>
      <c r="N11" s="11">
        <f>IF(N$3=0,"",SUMIFS(INDEX(Inputs!$D$4:$AG$200,0,MATCH(N$2,Inputs!$D$2:$AG$2,0)),Inputs!$B$4:$B$200,$B11)/1000)</f>
        <v>0</v>
      </c>
      <c r="O11" s="11">
        <f>IF(O$3=0,"",SUMIFS(INDEX(Inputs!$D$4:$AG$200,0,MATCH(O$2,Inputs!$D$2:$AG$2,0)),Inputs!$B$4:$B$200,$B11)/1000)</f>
        <v>0</v>
      </c>
      <c r="P11" s="11">
        <f>IF(P$3=0,"",SUMIFS(INDEX(Inputs!$D$4:$AG$200,0,MATCH(P$2,Inputs!$D$2:$AG$2,0)),Inputs!$B$4:$B$200,$B11)/1000)</f>
        <v>0</v>
      </c>
      <c r="Q11" s="11">
        <f>IF(Q$3=0,"",SUMIFS(INDEX(Inputs!$D$4:$AG$200,0,MATCH(Q$2,Inputs!$D$2:$AG$2,0)),Inputs!$B$4:$B$200,$B11)/1000)</f>
        <v>0</v>
      </c>
      <c r="R11" s="12">
        <f>IF(COUNT(N11:Q11)=4,SUM(N11:Q11),"")</f>
        <v>0</v>
      </c>
      <c r="S11" s="11">
        <f>IF(S$3=0,"",SUMIFS(INDEX(Inputs!$D$4:$AG$200,0,MATCH(S$2,Inputs!$D$2:$AG$2,0)),Inputs!$B$4:$B$200,$B11)/1000)</f>
        <v>0</v>
      </c>
      <c r="T11" s="11">
        <f>IF(T$3=0,"",SUMIFS(INDEX(Inputs!$D$4:$AG$200,0,MATCH(T$2,Inputs!$D$2:$AG$2,0)),Inputs!$B$4:$B$200,$B11)/1000)</f>
        <v>0</v>
      </c>
      <c r="U11" s="11">
        <f>IF(U$3=0,"",SUMIFS(INDEX(Inputs!$D$4:$AG$200,0,MATCH(U$2,Inputs!$D$2:$AG$2,0)),Inputs!$B$4:$B$200,$B11)/1000)</f>
        <v>0</v>
      </c>
      <c r="V11" s="11">
        <f>IF(V$3=0,"",SUMIFS(INDEX(Inputs!$D$4:$AG$200,0,MATCH(V$2,Inputs!$D$2:$AG$2,0)),Inputs!$B$4:$B$200,$B11)/1000)</f>
        <v>0</v>
      </c>
      <c r="W11" s="12">
        <f>IF(COUNT(S11:V11)=4,SUM(S11:V11),"")</f>
        <v>0</v>
      </c>
      <c r="X11" s="11">
        <f>IF(X$3=0,"",SUMIFS(INDEX(Inputs!$D$4:$AG$200,0,MATCH(X$2,Inputs!$D$2:$AG$2,0)),Inputs!$B$4:$B$200,$B11)/1000)</f>
        <v>0</v>
      </c>
      <c r="Y11" s="11">
        <f>IF(Y$3=0,"",SUMIFS(INDEX(Inputs!$D$4:$AG$200,0,MATCH(Y$2,Inputs!$D$2:$AG$2,0)),Inputs!$B$4:$B$200,$B11)/1000)</f>
        <v>0</v>
      </c>
      <c r="Z11" s="11">
        <f>IF(Z$3=0,"",SUMIFS(INDEX(Inputs!$D$4:$AG$200,0,MATCH(Z$2,Inputs!$D$2:$AG$2,0)),Inputs!$B$4:$B$200,$B11)/1000)</f>
        <v>0</v>
      </c>
      <c r="AA11" s="11">
        <f>IF(AA$3=0,"",SUMIFS(INDEX(Inputs!$D$4:$AG$200,0,MATCH(AA$2,Inputs!$D$2:$AG$2,0)),Inputs!$B$4:$B$200,$B11)/1000)</f>
        <v>0</v>
      </c>
      <c r="AB11" s="12">
        <f>IF(COUNT(X11:AA11)=4,SUM(X11:AA11),"")</f>
        <v>0</v>
      </c>
      <c r="AC11" s="11">
        <f>IF(AC$3=0,"",SUMIFS(INDEX(Inputs!$D$4:$AG$200,0,MATCH(AC$2,Inputs!$D$2:$AG$2,0)),Inputs!$B$4:$B$200,$B11)/1000)</f>
        <v>0</v>
      </c>
      <c r="AD11" s="11">
        <f>IF(AD$3=0,"",SUMIFS(INDEX(Inputs!$D$4:$AG$200,0,MATCH(AD$2,Inputs!$D$2:$AG$2,0)),Inputs!$B$4:$B$200,$B11)/1000)</f>
        <v>0</v>
      </c>
      <c r="AE11" s="11" t="str">
        <f>IF(AE$3=0,"",SUMIFS(INDEX(Inputs!$D$4:$AG$200,0,MATCH(AE$2,Inputs!$D$2:$AG$2,0)),Inputs!$B$4:$B$200,$B11)/1000)</f>
        <v/>
      </c>
      <c r="AF11" s="11" t="str">
        <f>IF(AF$3=0,"",SUMIFS(INDEX(Inputs!$D$4:$AG$200,0,MATCH(AF$2,Inputs!$D$2:$AG$2,0)),Inputs!$B$4:$B$200,$B11)/1000)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IF(D$3=0,"",SUMIFS(INDEX(Inputs!$D$4:$AG$200,0,MATCH(D$2,Inputs!$D$2:$AG$2,0)),Inputs!$B$4:$B$200,$B12)/1000)</f>
        <v>0</v>
      </c>
      <c r="E12" s="11">
        <f>IF(E$3=0,"",SUMIFS(INDEX(Inputs!$D$4:$AG$200,0,MATCH(E$2,Inputs!$D$2:$AG$2,0)),Inputs!$B$4:$B$200,$B12)/1000)</f>
        <v>0</v>
      </c>
      <c r="F12" s="11">
        <f>IF(F$3=0,"",SUMIFS(INDEX(Inputs!$D$4:$AG$200,0,MATCH(F$2,Inputs!$D$2:$AG$2,0)),Inputs!$B$4:$B$200,$B12)/1000)</f>
        <v>0</v>
      </c>
      <c r="G12" s="11">
        <f>IF(G$3=0,"",SUMIFS(INDEX(Inputs!$D$4:$AG$200,0,MATCH(G$2,Inputs!$D$2:$AG$2,0)),Inputs!$B$4:$B$200,$B12)/1000)</f>
        <v>0</v>
      </c>
      <c r="H12" s="12">
        <f>IF(COUNT(D12:G12)=4,SUM(D12:G12),"")</f>
        <v>0</v>
      </c>
      <c r="I12" s="11">
        <f>IF(I$3=0,"",SUMIFS(INDEX(Inputs!$D$4:$AG$200,0,MATCH(I$2,Inputs!$D$2:$AG$2,0)),Inputs!$B$4:$B$200,$B12)/1000)</f>
        <v>0</v>
      </c>
      <c r="J12" s="11">
        <f>IF(J$3=0,"",SUMIFS(INDEX(Inputs!$D$4:$AG$200,0,MATCH(J$2,Inputs!$D$2:$AG$2,0)),Inputs!$B$4:$B$200,$B12)/1000)</f>
        <v>0</v>
      </c>
      <c r="K12" s="11">
        <f>IF(K$3=0,"",SUMIFS(INDEX(Inputs!$D$4:$AG$200,0,MATCH(K$2,Inputs!$D$2:$AG$2,0)),Inputs!$B$4:$B$200,$B12)/1000)</f>
        <v>0</v>
      </c>
      <c r="L12" s="11">
        <f>IF(L$3=0,"",SUMIFS(INDEX(Inputs!$D$4:$AG$200,0,MATCH(L$2,Inputs!$D$2:$AG$2,0)),Inputs!$B$4:$B$200,$B12)/1000)</f>
        <v>0</v>
      </c>
      <c r="M12" s="12">
        <f>IF(COUNT(I12:L12)=4,SUM(I12:L12),"")</f>
        <v>0</v>
      </c>
      <c r="N12" s="11">
        <f>IF(N$3=0,"",SUMIFS(INDEX(Inputs!$D$4:$AG$200,0,MATCH(N$2,Inputs!$D$2:$AG$2,0)),Inputs!$B$4:$B$200,$B12)/1000)</f>
        <v>0</v>
      </c>
      <c r="O12" s="11">
        <f>IF(O$3=0,"",SUMIFS(INDEX(Inputs!$D$4:$AG$200,0,MATCH(O$2,Inputs!$D$2:$AG$2,0)),Inputs!$B$4:$B$200,$B12)/1000)</f>
        <v>0</v>
      </c>
      <c r="P12" s="11">
        <f>IF(P$3=0,"",SUMIFS(INDEX(Inputs!$D$4:$AG$200,0,MATCH(P$2,Inputs!$D$2:$AG$2,0)),Inputs!$B$4:$B$200,$B12)/1000)</f>
        <v>0</v>
      </c>
      <c r="Q12" s="11">
        <f>IF(Q$3=0,"",SUMIFS(INDEX(Inputs!$D$4:$AG$200,0,MATCH(Q$2,Inputs!$D$2:$AG$2,0)),Inputs!$B$4:$B$200,$B12)/1000)</f>
        <v>0</v>
      </c>
      <c r="R12" s="12">
        <f>IF(COUNT(N12:Q12)=4,SUM(N12:Q12),"")</f>
        <v>0</v>
      </c>
      <c r="S12" s="11">
        <f>IF(S$3=0,"",SUMIFS(INDEX(Inputs!$D$4:$AG$200,0,MATCH(S$2,Inputs!$D$2:$AG$2,0)),Inputs!$B$4:$B$200,$B12)/1000)</f>
        <v>0</v>
      </c>
      <c r="T12" s="11">
        <f>IF(T$3=0,"",SUMIFS(INDEX(Inputs!$D$4:$AG$200,0,MATCH(T$2,Inputs!$D$2:$AG$2,0)),Inputs!$B$4:$B$200,$B12)/1000)</f>
        <v>0</v>
      </c>
      <c r="U12" s="11">
        <f>IF(U$3=0,"",SUMIFS(INDEX(Inputs!$D$4:$AG$200,0,MATCH(U$2,Inputs!$D$2:$AG$2,0)),Inputs!$B$4:$B$200,$B12)/1000)</f>
        <v>0</v>
      </c>
      <c r="V12" s="11">
        <f>IF(V$3=0,"",SUMIFS(INDEX(Inputs!$D$4:$AG$200,0,MATCH(V$2,Inputs!$D$2:$AG$2,0)),Inputs!$B$4:$B$200,$B12)/1000)</f>
        <v>0</v>
      </c>
      <c r="W12" s="12">
        <f>IF(COUNT(S12:V12)=4,SUM(S12:V12),"")</f>
        <v>0</v>
      </c>
      <c r="X12" s="11">
        <f>IF(X$3=0,"",SUMIFS(INDEX(Inputs!$D$4:$AG$200,0,MATCH(X$2,Inputs!$D$2:$AG$2,0)),Inputs!$B$4:$B$200,$B12)/1000)</f>
        <v>0</v>
      </c>
      <c r="Y12" s="11">
        <f>IF(Y$3=0,"",SUMIFS(INDEX(Inputs!$D$4:$AG$200,0,MATCH(Y$2,Inputs!$D$2:$AG$2,0)),Inputs!$B$4:$B$200,$B12)/1000)</f>
        <v>0</v>
      </c>
      <c r="Z12" s="11">
        <f>IF(Z$3=0,"",SUMIFS(INDEX(Inputs!$D$4:$AG$200,0,MATCH(Z$2,Inputs!$D$2:$AG$2,0)),Inputs!$B$4:$B$200,$B12)/1000)</f>
        <v>0</v>
      </c>
      <c r="AA12" s="11">
        <f>IF(AA$3=0,"",SUMIFS(INDEX(Inputs!$D$4:$AG$200,0,MATCH(AA$2,Inputs!$D$2:$AG$2,0)),Inputs!$B$4:$B$200,$B12)/1000)</f>
        <v>0</v>
      </c>
      <c r="AB12" s="12">
        <f>IF(COUNT(X12:AA12)=4,SUM(X12:AA12),"")</f>
        <v>0</v>
      </c>
      <c r="AC12" s="11">
        <f>IF(AC$3=0,"",SUMIFS(INDEX(Inputs!$D$4:$AG$200,0,MATCH(AC$2,Inputs!$D$2:$AG$2,0)),Inputs!$B$4:$B$200,$B12)/1000)</f>
        <v>0</v>
      </c>
      <c r="AD12" s="11">
        <f>IF(AD$3=0,"",SUMIFS(INDEX(Inputs!$D$4:$AG$200,0,MATCH(AD$2,Inputs!$D$2:$AG$2,0)),Inputs!$B$4:$B$200,$B12)/1000)</f>
        <v>0</v>
      </c>
      <c r="AE12" s="11" t="str">
        <f>IF(AE$3=0,"",SUMIFS(INDEX(Inputs!$D$4:$AG$200,0,MATCH(AE$2,Inputs!$D$2:$AG$2,0)),Inputs!$B$4:$B$200,$B12)/1000)</f>
        <v/>
      </c>
      <c r="AF12" s="11" t="str">
        <f>IF(AF$3=0,"",SUMIFS(INDEX(Inputs!$D$4:$AG$200,0,MATCH(AF$2,Inputs!$D$2:$AG$2,0)),Inputs!$B$4:$B$200,$B12)/1000)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IF(D$3=0,"",SUMIFS(INDEX(Inputs!$D$4:$AG$200,0,MATCH(D$2,Inputs!$D$2:$AG$2,0)),Inputs!$B$4:$B$200,$B13)/1000)</f>
        <v>-99</v>
      </c>
      <c r="E13" s="11">
        <f>IF(E$3=0,"",SUMIFS(INDEX(Inputs!$D$4:$AG$200,0,MATCH(E$2,Inputs!$D$2:$AG$2,0)),Inputs!$B$4:$B$200,$B13)/1000)</f>
        <v>-99</v>
      </c>
      <c r="F13" s="11">
        <f>IF(F$3=0,"",SUMIFS(INDEX(Inputs!$D$4:$AG$200,0,MATCH(F$2,Inputs!$D$2:$AG$2,0)),Inputs!$B$4:$B$200,$B13)/1000)</f>
        <v>-100</v>
      </c>
      <c r="G13" s="11">
        <f>IF(G$3=0,"",SUMIFS(INDEX(Inputs!$D$4:$AG$200,0,MATCH(G$2,Inputs!$D$2:$AG$2,0)),Inputs!$B$4:$B$200,$B13)/1000)</f>
        <v>-101</v>
      </c>
      <c r="H13" s="12">
        <f>IF(COUNT(D13:G13)=4,SUM(D13:G13),"")</f>
        <v>-399</v>
      </c>
      <c r="I13" s="11">
        <f>IF(I$3=0,"",SUMIFS(INDEX(Inputs!$D$4:$AG$200,0,MATCH(I$2,Inputs!$D$2:$AG$2,0)),Inputs!$B$4:$B$200,$B13)/1000)</f>
        <v>-100</v>
      </c>
      <c r="J13" s="11">
        <f>IF(J$3=0,"",SUMIFS(INDEX(Inputs!$D$4:$AG$200,0,MATCH(J$2,Inputs!$D$2:$AG$2,0)),Inputs!$B$4:$B$200,$B13)/1000)</f>
        <v>-100</v>
      </c>
      <c r="K13" s="11">
        <f>IF(K$3=0,"",SUMIFS(INDEX(Inputs!$D$4:$AG$200,0,MATCH(K$2,Inputs!$D$2:$AG$2,0)),Inputs!$B$4:$B$200,$B13)/1000)</f>
        <v>-100</v>
      </c>
      <c r="L13" s="11">
        <f>IF(L$3=0,"",SUMIFS(INDEX(Inputs!$D$4:$AG$200,0,MATCH(L$2,Inputs!$D$2:$AG$2,0)),Inputs!$B$4:$B$200,$B13)/1000)</f>
        <v>-98</v>
      </c>
      <c r="M13" s="12">
        <f>IF(COUNT(I13:L13)=4,SUM(I13:L13),"")</f>
        <v>-398</v>
      </c>
      <c r="N13" s="11">
        <f>IF(N$3=0,"",SUMIFS(INDEX(Inputs!$D$4:$AG$200,0,MATCH(N$2,Inputs!$D$2:$AG$2,0)),Inputs!$B$4:$B$200,$B13)/1000)</f>
        <v>-99</v>
      </c>
      <c r="O13" s="11">
        <f>IF(O$3=0,"",SUMIFS(INDEX(Inputs!$D$4:$AG$200,0,MATCH(O$2,Inputs!$D$2:$AG$2,0)),Inputs!$B$4:$B$200,$B13)/1000)</f>
        <v>-100</v>
      </c>
      <c r="P13" s="11">
        <f>IF(P$3=0,"",SUMIFS(INDEX(Inputs!$D$4:$AG$200,0,MATCH(P$2,Inputs!$D$2:$AG$2,0)),Inputs!$B$4:$B$200,$B13)/1000)</f>
        <v>-97</v>
      </c>
      <c r="Q13" s="11">
        <f>IF(Q$3=0,"",SUMIFS(INDEX(Inputs!$D$4:$AG$200,0,MATCH(Q$2,Inputs!$D$2:$AG$2,0)),Inputs!$B$4:$B$200,$B13)/1000)</f>
        <v>-99</v>
      </c>
      <c r="R13" s="12">
        <f>IF(COUNT(N13:Q13)=4,SUM(N13:Q13),"")</f>
        <v>-395</v>
      </c>
      <c r="S13" s="11">
        <f>IF(S$3=0,"",SUMIFS(INDEX(Inputs!$D$4:$AG$200,0,MATCH(S$2,Inputs!$D$2:$AG$2,0)),Inputs!$B$4:$B$200,$B13)/1000)</f>
        <v>-98</v>
      </c>
      <c r="T13" s="11">
        <f>IF(T$3=0,"",SUMIFS(INDEX(Inputs!$D$4:$AG$200,0,MATCH(T$2,Inputs!$D$2:$AG$2,0)),Inputs!$B$4:$B$200,$B13)/1000)</f>
        <v>-246</v>
      </c>
      <c r="U13" s="11">
        <f>IF(U$3=0,"",SUMIFS(INDEX(Inputs!$D$4:$AG$200,0,MATCH(U$2,Inputs!$D$2:$AG$2,0)),Inputs!$B$4:$B$200,$B13)/1000)</f>
        <v>-245</v>
      </c>
      <c r="V13" s="11">
        <f>IF(V$3=0,"",SUMIFS(INDEX(Inputs!$D$4:$AG$200,0,MATCH(V$2,Inputs!$D$2:$AG$2,0)),Inputs!$B$4:$B$200,$B13)/1000)</f>
        <v>-245</v>
      </c>
      <c r="W13" s="12">
        <f>IF(COUNT(S13:V13)=4,SUM(S13:V13),"")</f>
        <v>-834</v>
      </c>
      <c r="X13" s="11">
        <f>IF(X$3=0,"",SUMIFS(INDEX(Inputs!$D$4:$AG$200,0,MATCH(X$2,Inputs!$D$2:$AG$2,0)),Inputs!$B$4:$B$200,$B13)/1000)</f>
        <v>-244</v>
      </c>
      <c r="Y13" s="11">
        <f>IF(Y$3=0,"",SUMIFS(INDEX(Inputs!$D$4:$AG$200,0,MATCH(Y$2,Inputs!$D$2:$AG$2,0)),Inputs!$B$4:$B$200,$B13)/1000)</f>
        <v>-244</v>
      </c>
      <c r="Z13" s="11">
        <f>IF(Z$3=0,"",SUMIFS(INDEX(Inputs!$D$4:$AG$200,0,MATCH(Z$2,Inputs!$D$2:$AG$2,0)),Inputs!$B$4:$B$200,$B13)/1000)</f>
        <v>-244</v>
      </c>
      <c r="AA13" s="11">
        <f>IF(AA$3=0,"",SUMIFS(INDEX(Inputs!$D$4:$AG$200,0,MATCH(AA$2,Inputs!$D$2:$AG$2,0)),Inputs!$B$4:$B$200,$B13)/1000)</f>
        <v>-242</v>
      </c>
      <c r="AB13" s="12">
        <f>IF(COUNT(X13:AA13)=4,SUM(X13:AA13),"")</f>
        <v>-974</v>
      </c>
      <c r="AC13" s="11">
        <f>IF(AC$3=0,"",SUMIFS(INDEX(Inputs!$D$4:$AG$200,0,MATCH(AC$2,Inputs!$D$2:$AG$2,0)),Inputs!$B$4:$B$200,$B13)/1000)</f>
        <v>-243</v>
      </c>
      <c r="AD13" s="11">
        <f>IF(AD$3=0,"",SUMIFS(INDEX(Inputs!$D$4:$AG$200,0,MATCH(AD$2,Inputs!$D$2:$AG$2,0)),Inputs!$B$4:$B$200,$B13)/1000)</f>
        <v>-6047</v>
      </c>
      <c r="AE13" s="11" t="str">
        <f>IF(AE$3=0,"",SUMIFS(INDEX(Inputs!$D$4:$AG$200,0,MATCH(AE$2,Inputs!$D$2:$AG$2,0)),Inputs!$B$4:$B$200,$B13)/1000)</f>
        <v/>
      </c>
      <c r="AF13" s="11" t="str">
        <f>IF(AF$3=0,"",SUMIFS(INDEX(Inputs!$D$4:$AG$200,0,MATCH(AF$2,Inputs!$D$2:$AG$2,0)),Inputs!$B$4:$B$200,$B13)/1000)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IF(D$3=0,"",SUMIFS(INDEX(Inputs!$D$4:$AG$200,0,MATCH(D$2,Inputs!$D$2:$AG$2,0)),Inputs!$B$4:$B$200,$B15)/1000)</f>
        <v>12667</v>
      </c>
      <c r="E15" s="11">
        <f>IF(E$3=0,"",SUMIFS(INDEX(Inputs!$D$4:$AG$200,0,MATCH(E$2,Inputs!$D$2:$AG$2,0)),Inputs!$B$4:$B$200,$B15)/1000)</f>
        <v>19654</v>
      </c>
      <c r="F15" s="11">
        <f>IF(F$3=0,"",SUMIFS(INDEX(Inputs!$D$4:$AG$200,0,MATCH(F$2,Inputs!$D$2:$AG$2,0)),Inputs!$B$4:$B$200,$B15)/1000)</f>
        <v>19298</v>
      </c>
      <c r="G15" s="11">
        <f>IF(G$3=0,"",SUMIFS(INDEX(Inputs!$D$4:$AG$200,0,MATCH(G$2,Inputs!$D$2:$AG$2,0)),Inputs!$B$4:$B$200,$B15)/1000)</f>
        <v>21208</v>
      </c>
      <c r="H15" s="12">
        <f>IF(G15="","",G15)</f>
        <v>21208</v>
      </c>
      <c r="I15" s="11">
        <f>IF(I$3=0,"",SUMIFS(INDEX(Inputs!$D$4:$AG$200,0,MATCH(I$2,Inputs!$D$2:$AG$2,0)),Inputs!$B$4:$B$200,$B15)/1000)</f>
        <v>20338</v>
      </c>
      <c r="J15" s="11">
        <f>IF(J$3=0,"",SUMIFS(INDEX(Inputs!$D$4:$AG$200,0,MATCH(J$2,Inputs!$D$2:$AG$2,0)),Inputs!$B$4:$B$200,$B15)/1000)</f>
        <v>17037</v>
      </c>
      <c r="K15" s="11">
        <f>IF(K$3=0,"",SUMIFS(INDEX(Inputs!$D$4:$AG$200,0,MATCH(K$2,Inputs!$D$2:$AG$2,0)),Inputs!$B$4:$B$200,$B15)/1000)</f>
        <v>13143</v>
      </c>
      <c r="L15" s="11">
        <f>IF(L$3=0,"",SUMIFS(INDEX(Inputs!$D$4:$AG$200,0,MATCH(L$2,Inputs!$D$2:$AG$2,0)),Inputs!$B$4:$B$200,$B15)/1000)</f>
        <v>13296</v>
      </c>
      <c r="M15" s="12">
        <f>IF(L15="","",L15)</f>
        <v>13296</v>
      </c>
      <c r="N15" s="11">
        <f>IF(N$3=0,"",SUMIFS(INDEX(Inputs!$D$4:$AG$200,0,MATCH(N$2,Inputs!$D$2:$AG$2,0)),Inputs!$B$4:$B$200,$B15)/1000)</f>
        <v>15320</v>
      </c>
      <c r="O15" s="11">
        <f>IF(O$3=0,"",SUMIFS(INDEX(Inputs!$D$4:$AG$200,0,MATCH(O$2,Inputs!$D$2:$AG$2,0)),Inputs!$B$4:$B$200,$B15)/1000)</f>
        <v>16023</v>
      </c>
      <c r="P15" s="11">
        <f>IF(P$3=0,"",SUMIFS(INDEX(Inputs!$D$4:$AG$200,0,MATCH(P$2,Inputs!$D$2:$AG$2,0)),Inputs!$B$4:$B$200,$B15)/1000)</f>
        <v>18281</v>
      </c>
      <c r="Q15" s="11">
        <f>IF(Q$3=0,"",SUMIFS(INDEX(Inputs!$D$4:$AG$200,0,MATCH(Q$2,Inputs!$D$2:$AG$2,0)),Inputs!$B$4:$B$200,$B15)/1000)</f>
        <v>25984</v>
      </c>
      <c r="R15" s="12">
        <f>IF(Q15="","",Q15)</f>
        <v>25984</v>
      </c>
      <c r="S15" s="11">
        <f>IF(S$3=0,"",SUMIFS(INDEX(Inputs!$D$4:$AG$200,0,MATCH(S$2,Inputs!$D$2:$AG$2,0)),Inputs!$B$4:$B$200,$B15)/1000)</f>
        <v>31438</v>
      </c>
      <c r="T15" s="11">
        <f>IF(T$3=0,"",SUMIFS(INDEX(Inputs!$D$4:$AG$200,0,MATCH(T$2,Inputs!$D$2:$AG$2,0)),Inputs!$B$4:$B$200,$B15)/1000)</f>
        <v>34800</v>
      </c>
      <c r="U15" s="11">
        <f>IF(U$3=0,"",SUMIFS(INDEX(Inputs!$D$4:$AG$200,0,MATCH(U$2,Inputs!$D$2:$AG$2,0)),Inputs!$B$4:$B$200,$B15)/1000)</f>
        <v>38487</v>
      </c>
      <c r="V15" s="11">
        <f>IF(V$3=0,"",SUMIFS(INDEX(Inputs!$D$4:$AG$200,0,MATCH(V$2,Inputs!$D$2:$AG$2,0)),Inputs!$B$4:$B$200,$B15)/1000)</f>
        <v>43210</v>
      </c>
      <c r="W15" s="12">
        <f>IF(V15="","",V15)</f>
        <v>43210</v>
      </c>
      <c r="X15" s="11">
        <f>IF(X$3=0,"",SUMIFS(INDEX(Inputs!$D$4:$AG$200,0,MATCH(X$2,Inputs!$D$2:$AG$2,0)),Inputs!$B$4:$B$200,$B15)/1000)</f>
        <v>53691</v>
      </c>
      <c r="Y15" s="11">
        <f>IF(Y$3=0,"",SUMIFS(INDEX(Inputs!$D$4:$AG$200,0,MATCH(Y$2,Inputs!$D$2:$AG$2,0)),Inputs!$B$4:$B$200,$B15)/1000)</f>
        <v>56791</v>
      </c>
      <c r="Z15" s="11">
        <f>IF(Z$3=0,"",SUMIFS(INDEX(Inputs!$D$4:$AG$200,0,MATCH(Z$2,Inputs!$D$2:$AG$2,0)),Inputs!$B$4:$B$200,$B15)/1000)</f>
        <v>60608</v>
      </c>
      <c r="AA15" s="11">
        <f>IF(AA$3=0,"",SUMIFS(INDEX(Inputs!$D$4:$AG$200,0,MATCH(AA$2,Inputs!$D$2:$AG$2,0)),Inputs!$B$4:$B$200,$B15)/1000)</f>
        <v>49670</v>
      </c>
      <c r="AB15" s="12">
        <f>IF(AA15="","",AA15)</f>
        <v>49670</v>
      </c>
      <c r="AC15" s="11">
        <f>IF(AC$3=0,"",SUMIFS(INDEX(Inputs!$D$4:$AG$200,0,MATCH(AC$2,Inputs!$D$2:$AG$2,0)),Inputs!$B$4:$B$200,$B15)/1000)</f>
        <v>50335</v>
      </c>
      <c r="AD15" s="11">
        <f>IF(AD$3=0,"",SUMIFS(INDEX(Inputs!$D$4:$AG$200,0,MATCH(AD$2,Inputs!$D$2:$AG$2,0)),Inputs!$B$4:$B$200,$B15)/1000)</f>
        <v>56586</v>
      </c>
      <c r="AE15" s="11" t="str">
        <f>IF(AE$3=0,"",SUMIFS(INDEX(Inputs!$D$4:$AG$200,0,MATCH(AE$2,Inputs!$D$2:$AG$2,0)),Inputs!$B$4:$B$200,$B15)/1000)</f>
        <v/>
      </c>
      <c r="AF15" s="11" t="str">
        <f>IF(AF$3=0,"",SUMIFS(INDEX(Inputs!$D$4:$AG$200,0,MATCH(AF$2,Inputs!$D$2:$AG$2,0)),Inputs!$B$4:$B$200,$B15)/1000)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IF(D$3=0,"",SUMIFS(INDEX(Inputs!$D$4:$AG$200,0,MATCH(D$2,Inputs!$D$2:$AG$2,0)),Inputs!$B$4:$B$200,$B16)/1000)</f>
        <v>3024</v>
      </c>
      <c r="E16" s="11">
        <f>IF(E$3=0,"",SUMIFS(INDEX(Inputs!$D$4:$AG$200,0,MATCH(E$2,Inputs!$D$2:$AG$2,0)),Inputs!$B$4:$B$200,$B16)/1000)</f>
        <v>3586</v>
      </c>
      <c r="F16" s="11">
        <f>IF(F$3=0,"",SUMIFS(INDEX(Inputs!$D$4:$AG$200,0,MATCH(F$2,Inputs!$D$2:$AG$2,0)),Inputs!$B$4:$B$200,$B16)/1000)</f>
        <v>3954</v>
      </c>
      <c r="G16" s="11">
        <f>IF(G$3=0,"",SUMIFS(INDEX(Inputs!$D$4:$AG$200,0,MATCH(G$2,Inputs!$D$2:$AG$2,0)),Inputs!$B$4:$B$200,$B16)/1000)</f>
        <v>4650</v>
      </c>
      <c r="H16" s="12">
        <f>IF(G16="","",G16)</f>
        <v>4650</v>
      </c>
      <c r="I16" s="11">
        <f>IF(I$3=0,"",SUMIFS(INDEX(Inputs!$D$4:$AG$200,0,MATCH(I$2,Inputs!$D$2:$AG$2,0)),Inputs!$B$4:$B$200,$B16)/1000)</f>
        <v>5438</v>
      </c>
      <c r="J16" s="11">
        <f>IF(J$3=0,"",SUMIFS(INDEX(Inputs!$D$4:$AG$200,0,MATCH(J$2,Inputs!$D$2:$AG$2,0)),Inputs!$B$4:$B$200,$B16)/1000)</f>
        <v>5317</v>
      </c>
      <c r="K16" s="11">
        <f>IF(K$3=0,"",SUMIFS(INDEX(Inputs!$D$4:$AG$200,0,MATCH(K$2,Inputs!$D$2:$AG$2,0)),Inputs!$B$4:$B$200,$B16)/1000)</f>
        <v>4908</v>
      </c>
      <c r="L16" s="11">
        <f>IF(L$3=0,"",SUMIFS(INDEX(Inputs!$D$4:$AG$200,0,MATCH(L$2,Inputs!$D$2:$AG$2,0)),Inputs!$B$4:$B$200,$B16)/1000)</f>
        <v>3827</v>
      </c>
      <c r="M16" s="12">
        <f>IF(L16="","",L16)</f>
        <v>3827</v>
      </c>
      <c r="N16" s="11">
        <f>IF(N$3=0,"",SUMIFS(INDEX(Inputs!$D$4:$AG$200,0,MATCH(N$2,Inputs!$D$2:$AG$2,0)),Inputs!$B$4:$B$200,$B16)/1000)</f>
        <v>4080</v>
      </c>
      <c r="O16" s="11">
        <f>IF(O$3=0,"",SUMIFS(INDEX(Inputs!$D$4:$AG$200,0,MATCH(O$2,Inputs!$D$2:$AG$2,0)),Inputs!$B$4:$B$200,$B16)/1000)</f>
        <v>7066</v>
      </c>
      <c r="P16" s="11">
        <f>IF(P$3=0,"",SUMIFS(INDEX(Inputs!$D$4:$AG$200,0,MATCH(P$2,Inputs!$D$2:$AG$2,0)),Inputs!$B$4:$B$200,$B16)/1000)</f>
        <v>8309</v>
      </c>
      <c r="Q16" s="11">
        <f>IF(Q$3=0,"",SUMIFS(INDEX(Inputs!$D$4:$AG$200,0,MATCH(Q$2,Inputs!$D$2:$AG$2,0)),Inputs!$B$4:$B$200,$B16)/1000)</f>
        <v>9999</v>
      </c>
      <c r="R16" s="12">
        <f>IF(Q16="","",Q16)</f>
        <v>9999</v>
      </c>
      <c r="S16" s="11">
        <f>IF(S$3=0,"",SUMIFS(INDEX(Inputs!$D$4:$AG$200,0,MATCH(S$2,Inputs!$D$2:$AG$2,0)),Inputs!$B$4:$B$200,$B16)/1000)</f>
        <v>12365</v>
      </c>
      <c r="T16" s="11">
        <f>IF(T$3=0,"",SUMIFS(INDEX(Inputs!$D$4:$AG$200,0,MATCH(T$2,Inputs!$D$2:$AG$2,0)),Inputs!$B$4:$B$200,$B16)/1000)</f>
        <v>14132</v>
      </c>
      <c r="U16" s="11">
        <f>IF(U$3=0,"",SUMIFS(INDEX(Inputs!$D$4:$AG$200,0,MATCH(U$2,Inputs!$D$2:$AG$2,0)),Inputs!$B$4:$B$200,$B16)/1000)</f>
        <v>17693</v>
      </c>
      <c r="V16" s="11">
        <f>IF(V$3=0,"",SUMIFS(INDEX(Inputs!$D$4:$AG$200,0,MATCH(V$2,Inputs!$D$2:$AG$2,0)),Inputs!$B$4:$B$200,$B16)/1000)</f>
        <v>23065</v>
      </c>
      <c r="W16" s="12">
        <f>IF(V16="","",V16)</f>
        <v>23065</v>
      </c>
      <c r="X16" s="11">
        <f>IF(X$3=0,"",SUMIFS(INDEX(Inputs!$D$4:$AG$200,0,MATCH(X$2,Inputs!$D$2:$AG$2,0)),Inputs!$B$4:$B$200,$B16)/1000)</f>
        <v>22132</v>
      </c>
      <c r="Y16" s="11">
        <f>IF(Y$3=0,"",SUMIFS(INDEX(Inputs!$D$4:$AG$200,0,MATCH(Y$2,Inputs!$D$2:$AG$2,0)),Inputs!$B$4:$B$200,$B16)/1000)</f>
        <v>27808</v>
      </c>
      <c r="Z16" s="11">
        <f>IF(Z$3=0,"",SUMIFS(INDEX(Inputs!$D$4:$AG$200,0,MATCH(Z$2,Inputs!$D$2:$AG$2,0)),Inputs!$B$4:$B$200,$B16)/1000)</f>
        <v>33391</v>
      </c>
      <c r="AA16" s="11">
        <f>IF(AA$3=0,"",SUMIFS(INDEX(Inputs!$D$4:$AG$200,0,MATCH(AA$2,Inputs!$D$2:$AG$2,0)),Inputs!$B$4:$B$200,$B16)/1000)</f>
        <v>38466</v>
      </c>
      <c r="AB16" s="12">
        <f>IF(AA16="","",AA16)</f>
        <v>38466</v>
      </c>
      <c r="AC16" s="11">
        <f>IF(AC$3=0,"",SUMIFS(INDEX(Inputs!$D$4:$AG$200,0,MATCH(AC$2,Inputs!$D$2:$AG$2,0)),Inputs!$B$4:$B$200,$B16)/1000)</f>
        <v>40710</v>
      </c>
      <c r="AD16" s="11">
        <f>IF(AD$3=0,"",SUMIFS(INDEX(Inputs!$D$4:$AG$200,0,MATCH(AD$2,Inputs!$D$2:$AG$2,0)),Inputs!$B$4:$B$200,$B16)/1000)</f>
        <v>63059</v>
      </c>
      <c r="AE16" s="11" t="str">
        <f>IF(AE$3=0,"",SUMIFS(INDEX(Inputs!$D$4:$AG$200,0,MATCH(AE$2,Inputs!$D$2:$AG$2,0)),Inputs!$B$4:$B$200,$B16)/1000)</f>
        <v/>
      </c>
      <c r="AF16" s="11" t="str">
        <f>IF(AF$3=0,"",SUMIFS(INDEX(Inputs!$D$4:$AG$200,0,MATCH(AF$2,Inputs!$D$2:$AG$2,0)),Inputs!$B$4:$B$200,$B16)/1000)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IF(D$3=0,"",SUMIFS(INDEX(Inputs!$D$4:$AG$200,0,MATCH(D$2,Inputs!$D$2:$AG$2,0)),Inputs!$B$4:$B$200,$B17)/1000)</f>
        <v>1992</v>
      </c>
      <c r="E17" s="11">
        <f>IF(E$3=0,"",SUMIFS(INDEX(Inputs!$D$4:$AG$200,0,MATCH(E$2,Inputs!$D$2:$AG$2,0)),Inputs!$B$4:$B$200,$B17)/1000)</f>
        <v>2114</v>
      </c>
      <c r="F17" s="11">
        <f>IF(F$3=0,"",SUMIFS(INDEX(Inputs!$D$4:$AG$200,0,MATCH(F$2,Inputs!$D$2:$AG$2,0)),Inputs!$B$4:$B$200,$B17)/1000)</f>
        <v>2233</v>
      </c>
      <c r="G17" s="11">
        <f>IF(G$3=0,"",SUMIFS(INDEX(Inputs!$D$4:$AG$200,0,MATCH(G$2,Inputs!$D$2:$AG$2,0)),Inputs!$B$4:$B$200,$B17)/1000)</f>
        <v>2605</v>
      </c>
      <c r="H17" s="12">
        <f>IF(G17="","",G17)</f>
        <v>2605</v>
      </c>
      <c r="I17" s="11">
        <f>IF(I$3=0,"",SUMIFS(INDEX(Inputs!$D$4:$AG$200,0,MATCH(I$2,Inputs!$D$2:$AG$2,0)),Inputs!$B$4:$B$200,$B17)/1000)</f>
        <v>3163</v>
      </c>
      <c r="J17" s="11">
        <f>IF(J$3=0,"",SUMIFS(INDEX(Inputs!$D$4:$AG$200,0,MATCH(J$2,Inputs!$D$2:$AG$2,0)),Inputs!$B$4:$B$200,$B17)/1000)</f>
        <v>3889</v>
      </c>
      <c r="K17" s="11">
        <f>IF(K$3=0,"",SUMIFS(INDEX(Inputs!$D$4:$AG$200,0,MATCH(K$2,Inputs!$D$2:$AG$2,0)),Inputs!$B$4:$B$200,$B17)/1000)</f>
        <v>4454</v>
      </c>
      <c r="L17" s="11">
        <f>IF(L$3=0,"",SUMIFS(INDEX(Inputs!$D$4:$AG$200,0,MATCH(L$2,Inputs!$D$2:$AG$2,0)),Inputs!$B$4:$B$200,$B17)/1000)</f>
        <v>5159</v>
      </c>
      <c r="M17" s="12">
        <f>IF(L17="","",L17)</f>
        <v>5159</v>
      </c>
      <c r="N17" s="11">
        <f>IF(N$3=0,"",SUMIFS(INDEX(Inputs!$D$4:$AG$200,0,MATCH(N$2,Inputs!$D$2:$AG$2,0)),Inputs!$B$4:$B$200,$B17)/1000)</f>
        <v>4611</v>
      </c>
      <c r="O17" s="11">
        <f>IF(O$3=0,"",SUMIFS(INDEX(Inputs!$D$4:$AG$200,0,MATCH(O$2,Inputs!$D$2:$AG$2,0)),Inputs!$B$4:$B$200,$B17)/1000)</f>
        <v>4319</v>
      </c>
      <c r="P17" s="11">
        <f>IF(P$3=0,"",SUMIFS(INDEX(Inputs!$D$4:$AG$200,0,MATCH(P$2,Inputs!$D$2:$AG$2,0)),Inputs!$B$4:$B$200,$B17)/1000)</f>
        <v>4779</v>
      </c>
      <c r="Q17" s="11">
        <f>IF(Q$3=0,"",SUMIFS(INDEX(Inputs!$D$4:$AG$200,0,MATCH(Q$2,Inputs!$D$2:$AG$2,0)),Inputs!$B$4:$B$200,$B17)/1000)</f>
        <v>5282</v>
      </c>
      <c r="R17" s="12">
        <f>IF(Q17="","",Q17)</f>
        <v>5282</v>
      </c>
      <c r="S17" s="11">
        <f>IF(S$3=0,"",SUMIFS(INDEX(Inputs!$D$4:$AG$200,0,MATCH(S$2,Inputs!$D$2:$AG$2,0)),Inputs!$B$4:$B$200,$B17)/1000)</f>
        <v>5864</v>
      </c>
      <c r="T17" s="11">
        <f>IF(T$3=0,"",SUMIFS(INDEX(Inputs!$D$4:$AG$200,0,MATCH(T$2,Inputs!$D$2:$AG$2,0)),Inputs!$B$4:$B$200,$B17)/1000)</f>
        <v>6675</v>
      </c>
      <c r="U17" s="11">
        <f>IF(U$3=0,"",SUMIFS(INDEX(Inputs!$D$4:$AG$200,0,MATCH(U$2,Inputs!$D$2:$AG$2,0)),Inputs!$B$4:$B$200,$B17)/1000)</f>
        <v>7654</v>
      </c>
      <c r="V17" s="11">
        <f>IF(V$3=0,"",SUMIFS(INDEX(Inputs!$D$4:$AG$200,0,MATCH(V$2,Inputs!$D$2:$AG$2,0)),Inputs!$B$4:$B$200,$B17)/1000)</f>
        <v>10080</v>
      </c>
      <c r="W17" s="12">
        <f>IF(V17="","",V17)</f>
        <v>10080</v>
      </c>
      <c r="X17" s="11">
        <f>IF(X$3=0,"",SUMIFS(INDEX(Inputs!$D$4:$AG$200,0,MATCH(X$2,Inputs!$D$2:$AG$2,0)),Inputs!$B$4:$B$200,$B17)/1000)</f>
        <v>11333</v>
      </c>
      <c r="Y17" s="11">
        <f>IF(Y$3=0,"",SUMIFS(INDEX(Inputs!$D$4:$AG$200,0,MATCH(Y$2,Inputs!$D$2:$AG$2,0)),Inputs!$B$4:$B$200,$B17)/1000)</f>
        <v>14962</v>
      </c>
      <c r="Z17" s="11">
        <f>IF(Z$3=0,"",SUMIFS(INDEX(Inputs!$D$4:$AG$200,0,MATCH(Z$2,Inputs!$D$2:$AG$2,0)),Inputs!$B$4:$B$200,$B17)/1000)</f>
        <v>19784</v>
      </c>
      <c r="AA17" s="11">
        <f>IF(AA$3=0,"",SUMIFS(INDEX(Inputs!$D$4:$AG$200,0,MATCH(AA$2,Inputs!$D$2:$AG$2,0)),Inputs!$B$4:$B$200,$B17)/1000)</f>
        <v>21403</v>
      </c>
      <c r="AB17" s="12">
        <f>IF(AA17="","",AA17)</f>
        <v>21403</v>
      </c>
      <c r="AC17" s="11">
        <f>IF(AC$3=0,"",SUMIFS(INDEX(Inputs!$D$4:$AG$200,0,MATCH(AC$2,Inputs!$D$2:$AG$2,0)),Inputs!$B$4:$B$200,$B17)/1000)</f>
        <v>25797</v>
      </c>
      <c r="AD17" s="11">
        <f>IF(AD$3=0,"",SUMIFS(INDEX(Inputs!$D$4:$AG$200,0,MATCH(AD$2,Inputs!$D$2:$AG$2,0)),Inputs!$B$4:$B$200,$B17)/1000)</f>
        <v>31575</v>
      </c>
      <c r="AE17" s="11" t="str">
        <f>IF(AE$3=0,"",SUMIFS(INDEX(Inputs!$D$4:$AG$200,0,MATCH(AE$2,Inputs!$D$2:$AG$2,0)),Inputs!$B$4:$B$200,$B17)/1000)</f>
        <v/>
      </c>
      <c r="AF17" s="11" t="str">
        <f>IF(AF$3=0,"",SUMIFS(INDEX(Inputs!$D$4:$AG$200,0,MATCH(AF$2,Inputs!$D$2:$AG$2,0)),Inputs!$B$4:$B$200,$B17)/1000)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IF(D$3=0,"",SUMIFS(INDEX(Inputs!$D$4:$AG$200,0,MATCH(D$2,Inputs!$D$2:$AG$2,0)),Inputs!$B$4:$B$200,$B18)/1000)</f>
        <v>778</v>
      </c>
      <c r="E18" s="11">
        <f>IF(E$3=0,"",SUMIFS(INDEX(Inputs!$D$4:$AG$200,0,MATCH(E$2,Inputs!$D$2:$AG$2,0)),Inputs!$B$4:$B$200,$B18)/1000)</f>
        <v>958</v>
      </c>
      <c r="F18" s="11">
        <f>IF(F$3=0,"",SUMIFS(INDEX(Inputs!$D$4:$AG$200,0,MATCH(F$2,Inputs!$D$2:$AG$2,0)),Inputs!$B$4:$B$200,$B18)/1000)</f>
        <v>970</v>
      </c>
      <c r="G18" s="11">
        <f>IF(G$3=0,"",SUMIFS(INDEX(Inputs!$D$4:$AG$200,0,MATCH(G$2,Inputs!$D$2:$AG$2,0)),Inputs!$B$4:$B$200,$B18)/1000)</f>
        <v>1222</v>
      </c>
      <c r="H18" s="12">
        <f>IF(G18="","",G18)</f>
        <v>1222</v>
      </c>
      <c r="I18" s="11">
        <f>IF(I$3=0,"",SUMIFS(INDEX(Inputs!$D$4:$AG$200,0,MATCH(I$2,Inputs!$D$2:$AG$2,0)),Inputs!$B$4:$B$200,$B18)/1000)</f>
        <v>1784</v>
      </c>
      <c r="J18" s="11">
        <f>IF(J$3=0,"",SUMIFS(INDEX(Inputs!$D$4:$AG$200,0,MATCH(J$2,Inputs!$D$2:$AG$2,0)),Inputs!$B$4:$B$200,$B18)/1000)</f>
        <v>2225</v>
      </c>
      <c r="K18" s="11">
        <f>IF(K$3=0,"",SUMIFS(INDEX(Inputs!$D$4:$AG$200,0,MATCH(K$2,Inputs!$D$2:$AG$2,0)),Inputs!$B$4:$B$200,$B18)/1000)</f>
        <v>2762</v>
      </c>
      <c r="L18" s="11">
        <f>IF(L$3=0,"",SUMIFS(INDEX(Inputs!$D$4:$AG$200,0,MATCH(L$2,Inputs!$D$2:$AG$2,0)),Inputs!$B$4:$B$200,$B18)/1000)</f>
        <v>3396</v>
      </c>
      <c r="M18" s="12">
        <f>IF(L18="","",L18)</f>
        <v>3396</v>
      </c>
      <c r="N18" s="11">
        <f>IF(N$3=0,"",SUMIFS(INDEX(Inputs!$D$4:$AG$200,0,MATCH(N$2,Inputs!$D$2:$AG$2,0)),Inputs!$B$4:$B$200,$B18)/1000)</f>
        <v>4568</v>
      </c>
      <c r="O18" s="11">
        <f>IF(O$3=0,"",SUMIFS(INDEX(Inputs!$D$4:$AG$200,0,MATCH(O$2,Inputs!$D$2:$AG$2,0)),Inputs!$B$4:$B$200,$B18)/1000)</f>
        <v>5398</v>
      </c>
      <c r="P18" s="11">
        <f>IF(P$3=0,"",SUMIFS(INDEX(Inputs!$D$4:$AG$200,0,MATCH(P$2,Inputs!$D$2:$AG$2,0)),Inputs!$B$4:$B$200,$B18)/1000)</f>
        <v>5982</v>
      </c>
      <c r="Q18" s="11">
        <f>IF(Q$3=0,"",SUMIFS(INDEX(Inputs!$D$4:$AG$200,0,MATCH(Q$2,Inputs!$D$2:$AG$2,0)),Inputs!$B$4:$B$200,$B18)/1000)</f>
        <v>6081</v>
      </c>
      <c r="R18" s="12">
        <f>IF(Q18="","",Q18)</f>
        <v>6081</v>
      </c>
      <c r="S18" s="11">
        <f>IF(S$3=0,"",SUMIFS(INDEX(Inputs!$D$4:$AG$200,0,MATCH(S$2,Inputs!$D$2:$AG$2,0)),Inputs!$B$4:$B$200,$B18)/1000)</f>
        <v>7798</v>
      </c>
      <c r="T18" s="11">
        <f>IF(T$3=0,"",SUMIFS(INDEX(Inputs!$D$4:$AG$200,0,MATCH(T$2,Inputs!$D$2:$AG$2,0)),Inputs!$B$4:$B$200,$B18)/1000)</f>
        <v>9578</v>
      </c>
      <c r="U18" s="11">
        <f>IF(U$3=0,"",SUMIFS(INDEX(Inputs!$D$4:$AG$200,0,MATCH(U$2,Inputs!$D$2:$AG$2,0)),Inputs!$B$4:$B$200,$B18)/1000)</f>
        <v>10276</v>
      </c>
      <c r="V18" s="11">
        <f>IF(V$3=0,"",SUMIFS(INDEX(Inputs!$D$4:$AG$200,0,MATCH(V$2,Inputs!$D$2:$AG$2,0)),Inputs!$B$4:$B$200,$B18)/1000)</f>
        <v>10979</v>
      </c>
      <c r="W18" s="12">
        <f>IF(V18="","",V18)</f>
        <v>10979</v>
      </c>
      <c r="X18" s="11">
        <f>IF(X$3=0,"",SUMIFS(INDEX(Inputs!$D$4:$AG$200,0,MATCH(X$2,Inputs!$D$2:$AG$2,0)),Inputs!$B$4:$B$200,$B18)/1000)</f>
        <v>13318</v>
      </c>
      <c r="Y18" s="11">
        <f>IF(Y$3=0,"",SUMIFS(INDEX(Inputs!$D$4:$AG$200,0,MATCH(Y$2,Inputs!$D$2:$AG$2,0)),Inputs!$B$4:$B$200,$B18)/1000)</f>
        <v>13570</v>
      </c>
      <c r="Z18" s="11">
        <f>IF(Z$3=0,"",SUMIFS(INDEX(Inputs!$D$4:$AG$200,0,MATCH(Z$2,Inputs!$D$2:$AG$2,0)),Inputs!$B$4:$B$200,$B18)/1000)</f>
        <v>13674</v>
      </c>
      <c r="AA18" s="11">
        <f>IF(AA$3=0,"",SUMIFS(INDEX(Inputs!$D$4:$AG$200,0,MATCH(AA$2,Inputs!$D$2:$AG$2,0)),Inputs!$B$4:$B$200,$B18)/1000)</f>
        <v>13258</v>
      </c>
      <c r="AB18" s="12">
        <f>IF(AA18="","",AA18)</f>
        <v>13258</v>
      </c>
      <c r="AC18" s="11">
        <f>IF(AC$3=0,"",SUMIFS(INDEX(Inputs!$D$4:$AG$200,0,MATCH(AC$2,Inputs!$D$2:$AG$2,0)),Inputs!$B$4:$B$200,$B18)/1000)</f>
        <v>11707</v>
      </c>
      <c r="AD18" s="11">
        <f>IF(AD$3=0,"",SUMIFS(INDEX(Inputs!$D$4:$AG$200,0,MATCH(AD$2,Inputs!$D$2:$AG$2,0)),Inputs!$B$4:$B$200,$B18)/1000)</f>
        <v>12159</v>
      </c>
      <c r="AE18" s="11" t="str">
        <f>IF(AE$3=0,"",SUMIFS(INDEX(Inputs!$D$4:$AG$200,0,MATCH(AE$2,Inputs!$D$2:$AG$2,0)),Inputs!$B$4:$B$200,$B18)/1000)</f>
        <v/>
      </c>
      <c r="AF18" s="11" t="str">
        <f>IF(AF$3=0,"",SUMIFS(INDEX(Inputs!$D$4:$AG$200,0,MATCH(AF$2,Inputs!$D$2:$AG$2,0)),Inputs!$B$4:$B$200,$B18)/1000)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IF(D$3=0,"",SUMIFS(INDEX(Inputs!$D$4:$AG$200,0,MATCH(D$2,Inputs!$D$2:$AG$2,0)),Inputs!$B$4:$B$200,$B19)/1000)</f>
        <v>0</v>
      </c>
      <c r="E19" s="11">
        <f>IF(E$3=0,"",SUMIFS(INDEX(Inputs!$D$4:$AG$200,0,MATCH(E$2,Inputs!$D$2:$AG$2,0)),Inputs!$B$4:$B$200,$B19)/1000)</f>
        <v>0</v>
      </c>
      <c r="F19" s="11">
        <f>IF(F$3=0,"",SUMIFS(INDEX(Inputs!$D$4:$AG$200,0,MATCH(F$2,Inputs!$D$2:$AG$2,0)),Inputs!$B$4:$B$200,$B19)/1000)</f>
        <v>0</v>
      </c>
      <c r="G19" s="11">
        <f>IF(G$3=0,"",SUMIFS(INDEX(Inputs!$D$4:$AG$200,0,MATCH(G$2,Inputs!$D$2:$AG$2,0)),Inputs!$B$4:$B$200,$B19)/1000)</f>
        <v>0</v>
      </c>
      <c r="H19" s="12">
        <f>IF(G19="","",G19)</f>
        <v>0</v>
      </c>
      <c r="I19" s="11">
        <f>IF(I$3=0,"",SUMIFS(INDEX(Inputs!$D$4:$AG$200,0,MATCH(I$2,Inputs!$D$2:$AG$2,0)),Inputs!$B$4:$B$200,$B19)/1000)</f>
        <v>0</v>
      </c>
      <c r="J19" s="11">
        <f>IF(J$3=0,"",SUMIFS(INDEX(Inputs!$D$4:$AG$200,0,MATCH(J$2,Inputs!$D$2:$AG$2,0)),Inputs!$B$4:$B$200,$B19)/1000)</f>
        <v>0</v>
      </c>
      <c r="K19" s="11">
        <f>IF(K$3=0,"",SUMIFS(INDEX(Inputs!$D$4:$AG$200,0,MATCH(K$2,Inputs!$D$2:$AG$2,0)),Inputs!$B$4:$B$200,$B19)/1000)</f>
        <v>0</v>
      </c>
      <c r="L19" s="11">
        <f>IF(L$3=0,"",SUMIFS(INDEX(Inputs!$D$4:$AG$200,0,MATCH(L$2,Inputs!$D$2:$AG$2,0)),Inputs!$B$4:$B$200,$B19)/1000)</f>
        <v>0</v>
      </c>
      <c r="M19" s="12">
        <f>IF(L19="","",L19)</f>
        <v>0</v>
      </c>
      <c r="N19" s="11">
        <f>IF(N$3=0,"",SUMIFS(INDEX(Inputs!$D$4:$AG$200,0,MATCH(N$2,Inputs!$D$2:$AG$2,0)),Inputs!$B$4:$B$200,$B19)/1000)</f>
        <v>0</v>
      </c>
      <c r="O19" s="11">
        <f>IF(O$3=0,"",SUMIFS(INDEX(Inputs!$D$4:$AG$200,0,MATCH(O$2,Inputs!$D$2:$AG$2,0)),Inputs!$B$4:$B$200,$B19)/1000)</f>
        <v>0</v>
      </c>
      <c r="P19" s="11">
        <f>IF(P$3=0,"",SUMIFS(INDEX(Inputs!$D$4:$AG$200,0,MATCH(P$2,Inputs!$D$2:$AG$2,0)),Inputs!$B$4:$B$200,$B19)/1000)</f>
        <v>0</v>
      </c>
      <c r="Q19" s="11">
        <f>IF(Q$3=0,"",SUMIFS(INDEX(Inputs!$D$4:$AG$200,0,MATCH(Q$2,Inputs!$D$2:$AG$2,0)),Inputs!$B$4:$B$200,$B19)/1000)</f>
        <v>0</v>
      </c>
      <c r="R19" s="12">
        <f>IF(Q19="","",Q19)</f>
        <v>0</v>
      </c>
      <c r="S19" s="11">
        <f>IF(S$3=0,"",SUMIFS(INDEX(Inputs!$D$4:$AG$200,0,MATCH(S$2,Inputs!$D$2:$AG$2,0)),Inputs!$B$4:$B$200,$B19)/1000)</f>
        <v>0</v>
      </c>
      <c r="T19" s="11">
        <f>IF(T$3=0,"",SUMIFS(INDEX(Inputs!$D$4:$AG$200,0,MATCH(T$2,Inputs!$D$2:$AG$2,0)),Inputs!$B$4:$B$200,$B19)/1000)</f>
        <v>0</v>
      </c>
      <c r="U19" s="11">
        <f>IF(U$3=0,"",SUMIFS(INDEX(Inputs!$D$4:$AG$200,0,MATCH(U$2,Inputs!$D$2:$AG$2,0)),Inputs!$B$4:$B$200,$B19)/1000)</f>
        <v>0</v>
      </c>
      <c r="V19" s="11">
        <f>IF(V$3=0,"",SUMIFS(INDEX(Inputs!$D$4:$AG$200,0,MATCH(V$2,Inputs!$D$2:$AG$2,0)),Inputs!$B$4:$B$200,$B19)/1000)</f>
        <v>0</v>
      </c>
      <c r="W19" s="12">
        <f>IF(V19="","",V19)</f>
        <v>0</v>
      </c>
      <c r="X19" s="11">
        <f>IF(X$3=0,"",SUMIFS(INDEX(Inputs!$D$4:$AG$200,0,MATCH(X$2,Inputs!$D$2:$AG$2,0)),Inputs!$B$4:$B$200,$B19)/1000)</f>
        <v>0</v>
      </c>
      <c r="Y19" s="11">
        <f>IF(Y$3=0,"",SUMIFS(INDEX(Inputs!$D$4:$AG$200,0,MATCH(Y$2,Inputs!$D$2:$AG$2,0)),Inputs!$B$4:$B$200,$B19)/1000)</f>
        <v>0</v>
      </c>
      <c r="Z19" s="11">
        <f>IF(Z$3=0,"",SUMIFS(INDEX(Inputs!$D$4:$AG$200,0,MATCH(Z$2,Inputs!$D$2:$AG$2,0)),Inputs!$B$4:$B$200,$B19)/1000)</f>
        <v>0</v>
      </c>
      <c r="AA19" s="11">
        <f>IF(AA$3=0,"",SUMIFS(INDEX(Inputs!$D$4:$AG$200,0,MATCH(AA$2,Inputs!$D$2:$AG$2,0)),Inputs!$B$4:$B$200,$B19)/1000)</f>
        <v>0</v>
      </c>
      <c r="AB19" s="12">
        <f>IF(AA19="","",AA19)</f>
        <v>0</v>
      </c>
      <c r="AC19" s="11">
        <f>IF(AC$3=0,"",SUMIFS(INDEX(Inputs!$D$4:$AG$200,0,MATCH(AC$2,Inputs!$D$2:$AG$2,0)),Inputs!$B$4:$B$200,$B19)/1000)</f>
        <v>0</v>
      </c>
      <c r="AD19" s="11">
        <f>IF(AD$3=0,"",SUMIFS(INDEX(Inputs!$D$4:$AG$200,0,MATCH(AD$2,Inputs!$D$2:$AG$2,0)),Inputs!$B$4:$B$200,$B19)/1000)</f>
        <v>0</v>
      </c>
      <c r="AE19" s="11" t="str">
        <f>IF(AE$3=0,"",SUMIFS(INDEX(Inputs!$D$4:$AG$200,0,MATCH(AE$2,Inputs!$D$2:$AG$2,0)),Inputs!$B$4:$B$200,$B19)/1000)</f>
        <v/>
      </c>
      <c r="AF19" s="11" t="str">
        <f>IF(AF$3=0,"",SUMIFS(INDEX(Inputs!$D$4:$AG$200,0,MATCH(AF$2,Inputs!$D$2:$AG$2,0)),Inputs!$B$4:$B$200,$B19)/1000)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IF(D$3=0,"",SUMIFS(INDEX(Inputs!$D$4:$AG$200,0,MATCH(D$2,Inputs!$D$2:$AG$2,0)),Inputs!$B$4:$B$200,$B20)/1000)</f>
        <v>444</v>
      </c>
      <c r="E20" s="11">
        <f>IF(E$3=0,"",SUMIFS(INDEX(Inputs!$D$4:$AG$200,0,MATCH(E$2,Inputs!$D$2:$AG$2,0)),Inputs!$B$4:$B$200,$B20)/1000)</f>
        <v>452</v>
      </c>
      <c r="F20" s="11">
        <f>IF(F$3=0,"",SUMIFS(INDEX(Inputs!$D$4:$AG$200,0,MATCH(F$2,Inputs!$D$2:$AG$2,0)),Inputs!$B$4:$B$200,$B20)/1000)</f>
        <v>321</v>
      </c>
      <c r="G20" s="11">
        <f>IF(G$3=0,"",SUMIFS(INDEX(Inputs!$D$4:$AG$200,0,MATCH(G$2,Inputs!$D$2:$AG$2,0)),Inputs!$B$4:$B$200,$B20)/1000)</f>
        <v>366</v>
      </c>
      <c r="H20" s="12">
        <f>IF(G20="","",G20)</f>
        <v>366</v>
      </c>
      <c r="I20" s="11">
        <f>IF(I$3=0,"",SUMIFS(INDEX(Inputs!$D$4:$AG$200,0,MATCH(I$2,Inputs!$D$2:$AG$2,0)),Inputs!$B$4:$B$200,$B20)/1000)</f>
        <v>636</v>
      </c>
      <c r="J20" s="11">
        <f>IF(J$3=0,"",SUMIFS(INDEX(Inputs!$D$4:$AG$200,0,MATCH(J$2,Inputs!$D$2:$AG$2,0)),Inputs!$B$4:$B$200,$B20)/1000)</f>
        <v>1175</v>
      </c>
      <c r="K20" s="11">
        <f>IF(K$3=0,"",SUMIFS(INDEX(Inputs!$D$4:$AG$200,0,MATCH(K$2,Inputs!$D$2:$AG$2,0)),Inputs!$B$4:$B$200,$B20)/1000)</f>
        <v>718</v>
      </c>
      <c r="L20" s="11">
        <f>IF(L$3=0,"",SUMIFS(INDEX(Inputs!$D$4:$AG$200,0,MATCH(L$2,Inputs!$D$2:$AG$2,0)),Inputs!$B$4:$B$200,$B20)/1000)</f>
        <v>791</v>
      </c>
      <c r="M20" s="12">
        <f>IF(L20="","",L20)</f>
        <v>791</v>
      </c>
      <c r="N20" s="11">
        <f>IF(N$3=0,"",SUMIFS(INDEX(Inputs!$D$4:$AG$200,0,MATCH(N$2,Inputs!$D$2:$AG$2,0)),Inputs!$B$4:$B$200,$B20)/1000)</f>
        <v>872</v>
      </c>
      <c r="O20" s="11">
        <f>IF(O$3=0,"",SUMIFS(INDEX(Inputs!$D$4:$AG$200,0,MATCH(O$2,Inputs!$D$2:$AG$2,0)),Inputs!$B$4:$B$200,$B20)/1000)</f>
        <v>1389</v>
      </c>
      <c r="P20" s="11">
        <f>IF(P$3=0,"",SUMIFS(INDEX(Inputs!$D$4:$AG$200,0,MATCH(P$2,Inputs!$D$2:$AG$2,0)),Inputs!$B$4:$B$200,$B20)/1000)</f>
        <v>1289</v>
      </c>
      <c r="Q20" s="11">
        <f>IF(Q$3=0,"",SUMIFS(INDEX(Inputs!$D$4:$AG$200,0,MATCH(Q$2,Inputs!$D$2:$AG$2,0)),Inputs!$B$4:$B$200,$B20)/1000)</f>
        <v>3080</v>
      </c>
      <c r="R20" s="12">
        <f>IF(Q20="","",Q20)</f>
        <v>3080</v>
      </c>
      <c r="S20" s="11">
        <f>IF(S$3=0,"",SUMIFS(INDEX(Inputs!$D$4:$AG$200,0,MATCH(S$2,Inputs!$D$2:$AG$2,0)),Inputs!$B$4:$B$200,$B20)/1000)</f>
        <v>4062</v>
      </c>
      <c r="T20" s="11">
        <f>IF(T$3=0,"",SUMIFS(INDEX(Inputs!$D$4:$AG$200,0,MATCH(T$2,Inputs!$D$2:$AG$2,0)),Inputs!$B$4:$B$200,$B20)/1000)</f>
        <v>4026</v>
      </c>
      <c r="U20" s="11">
        <f>IF(U$3=0,"",SUMIFS(INDEX(Inputs!$D$4:$AG$200,0,MATCH(U$2,Inputs!$D$2:$AG$2,0)),Inputs!$B$4:$B$200,$B20)/1000)</f>
        <v>3806</v>
      </c>
      <c r="V20" s="11">
        <f>IF(V$3=0,"",SUMIFS(INDEX(Inputs!$D$4:$AG$200,0,MATCH(V$2,Inputs!$D$2:$AG$2,0)),Inputs!$B$4:$B$200,$B20)/1000)</f>
        <v>3771</v>
      </c>
      <c r="W20" s="12">
        <f>IF(V20="","",V20)</f>
        <v>3771</v>
      </c>
      <c r="X20" s="11">
        <f>IF(X$3=0,"",SUMIFS(INDEX(Inputs!$D$4:$AG$200,0,MATCH(X$2,Inputs!$D$2:$AG$2,0)),Inputs!$B$4:$B$200,$B20)/1000)</f>
        <v>2779</v>
      </c>
      <c r="Y20" s="11">
        <f>IF(Y$3=0,"",SUMIFS(INDEX(Inputs!$D$4:$AG$200,0,MATCH(Y$2,Inputs!$D$2:$AG$2,0)),Inputs!$B$4:$B$200,$B20)/1000)</f>
        <v>2658</v>
      </c>
      <c r="Z20" s="11">
        <f>IF(Z$3=0,"",SUMIFS(INDEX(Inputs!$D$4:$AG$200,0,MATCH(Z$2,Inputs!$D$2:$AG$2,0)),Inputs!$B$4:$B$200,$B20)/1000)</f>
        <v>2709</v>
      </c>
      <c r="AA20" s="11">
        <f>IF(AA$3=0,"",SUMIFS(INDEX(Inputs!$D$4:$AG$200,0,MATCH(AA$2,Inputs!$D$2:$AG$2,0)),Inputs!$B$4:$B$200,$B20)/1000)</f>
        <v>16066</v>
      </c>
      <c r="AB20" s="12">
        <f>IF(AA20="","",AA20)</f>
        <v>16066</v>
      </c>
      <c r="AC20" s="11">
        <f>IF(AC$3=0,"",SUMIFS(INDEX(Inputs!$D$4:$AG$200,0,MATCH(AC$2,Inputs!$D$2:$AG$2,0)),Inputs!$B$4:$B$200,$B20)/1000)</f>
        <v>34153</v>
      </c>
      <c r="AD20" s="11">
        <f>IF(AD$3=0,"",SUMIFS(INDEX(Inputs!$D$4:$AG$200,0,MATCH(AD$2,Inputs!$D$2:$AG$2,0)),Inputs!$B$4:$B$200,$B20)/1000)</f>
        <v>46192</v>
      </c>
      <c r="AE20" s="11" t="str">
        <f>IF(AE$3=0,"",SUMIFS(INDEX(Inputs!$D$4:$AG$200,0,MATCH(AE$2,Inputs!$D$2:$AG$2,0)),Inputs!$B$4:$B$200,$B20)/1000)</f>
        <v/>
      </c>
      <c r="AF20" s="11" t="str">
        <f>IF(AF$3=0,"",SUMIFS(INDEX(Inputs!$D$4:$AG$200,0,MATCH(AF$2,Inputs!$D$2:$AG$2,0)),Inputs!$B$4:$B$200,$B20)/1000)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IF(D$3=0,"",SUMIFS(INDEX(Inputs!$D$4:$AG$200,0,MATCH(D$2,Inputs!$D$2:$AG$2,0)),Inputs!$B$4:$B$200,$B21)/1000)</f>
        <v>0</v>
      </c>
      <c r="E21" s="11">
        <f>IF(E$3=0,"",SUMIFS(INDEX(Inputs!$D$4:$AG$200,0,MATCH(E$2,Inputs!$D$2:$AG$2,0)),Inputs!$B$4:$B$200,$B21)/1000)</f>
        <v>0</v>
      </c>
      <c r="F21" s="11">
        <f>IF(F$3=0,"",SUMIFS(INDEX(Inputs!$D$4:$AG$200,0,MATCH(F$2,Inputs!$D$2:$AG$2,0)),Inputs!$B$4:$B$200,$B21)/1000)</f>
        <v>0</v>
      </c>
      <c r="G21" s="11">
        <f>IF(G$3=0,"",SUMIFS(INDEX(Inputs!$D$4:$AG$200,0,MATCH(G$2,Inputs!$D$2:$AG$2,0)),Inputs!$B$4:$B$200,$B21)/1000)</f>
        <v>0</v>
      </c>
      <c r="H21" s="12">
        <f>IF(G21="","",G21)</f>
        <v>0</v>
      </c>
      <c r="I21" s="11">
        <f>IF(I$3=0,"",SUMIFS(INDEX(Inputs!$D$4:$AG$200,0,MATCH(I$2,Inputs!$D$2:$AG$2,0)),Inputs!$B$4:$B$200,$B21)/1000)</f>
        <v>0</v>
      </c>
      <c r="J21" s="11">
        <f>IF(J$3=0,"",SUMIFS(INDEX(Inputs!$D$4:$AG$200,0,MATCH(J$2,Inputs!$D$2:$AG$2,0)),Inputs!$B$4:$B$200,$B21)/1000)</f>
        <v>0</v>
      </c>
      <c r="K21" s="11">
        <f>IF(K$3=0,"",SUMIFS(INDEX(Inputs!$D$4:$AG$200,0,MATCH(K$2,Inputs!$D$2:$AG$2,0)),Inputs!$B$4:$B$200,$B21)/1000)</f>
        <v>0</v>
      </c>
      <c r="L21" s="11">
        <f>IF(L$3=0,"",SUMIFS(INDEX(Inputs!$D$4:$AG$200,0,MATCH(L$2,Inputs!$D$2:$AG$2,0)),Inputs!$B$4:$B$200,$B21)/1000)</f>
        <v>0</v>
      </c>
      <c r="M21" s="12">
        <f>IF(L21="","",L21)</f>
        <v>0</v>
      </c>
      <c r="N21" s="11">
        <f>IF(N$3=0,"",SUMIFS(INDEX(Inputs!$D$4:$AG$200,0,MATCH(N$2,Inputs!$D$2:$AG$2,0)),Inputs!$B$4:$B$200,$B21)/1000)</f>
        <v>0</v>
      </c>
      <c r="O21" s="11">
        <f>IF(O$3=0,"",SUMIFS(INDEX(Inputs!$D$4:$AG$200,0,MATCH(O$2,Inputs!$D$2:$AG$2,0)),Inputs!$B$4:$B$200,$B21)/1000)</f>
        <v>0</v>
      </c>
      <c r="P21" s="11">
        <f>IF(P$3=0,"",SUMIFS(INDEX(Inputs!$D$4:$AG$200,0,MATCH(P$2,Inputs!$D$2:$AG$2,0)),Inputs!$B$4:$B$200,$B21)/1000)</f>
        <v>0</v>
      </c>
      <c r="Q21" s="11">
        <f>IF(Q$3=0,"",SUMIFS(INDEX(Inputs!$D$4:$AG$200,0,MATCH(Q$2,Inputs!$D$2:$AG$2,0)),Inputs!$B$4:$B$200,$B21)/1000)</f>
        <v>0</v>
      </c>
      <c r="R21" s="12">
        <f>IF(Q21="","",Q21)</f>
        <v>0</v>
      </c>
      <c r="S21" s="11">
        <f>IF(S$3=0,"",SUMIFS(INDEX(Inputs!$D$4:$AG$200,0,MATCH(S$2,Inputs!$D$2:$AG$2,0)),Inputs!$B$4:$B$200,$B21)/1000)</f>
        <v>0</v>
      </c>
      <c r="T21" s="11">
        <f>IF(T$3=0,"",SUMIFS(INDEX(Inputs!$D$4:$AG$200,0,MATCH(T$2,Inputs!$D$2:$AG$2,0)),Inputs!$B$4:$B$200,$B21)/1000)</f>
        <v>0</v>
      </c>
      <c r="U21" s="11">
        <f>IF(U$3=0,"",SUMIFS(INDEX(Inputs!$D$4:$AG$200,0,MATCH(U$2,Inputs!$D$2:$AG$2,0)),Inputs!$B$4:$B$200,$B21)/1000)</f>
        <v>0</v>
      </c>
      <c r="V21" s="11">
        <f>IF(V$3=0,"",SUMIFS(INDEX(Inputs!$D$4:$AG$200,0,MATCH(V$2,Inputs!$D$2:$AG$2,0)),Inputs!$B$4:$B$200,$B21)/1000)</f>
        <v>0</v>
      </c>
      <c r="W21" s="12">
        <f>IF(V21="","",V21)</f>
        <v>0</v>
      </c>
      <c r="X21" s="11">
        <f>IF(X$3=0,"",SUMIFS(INDEX(Inputs!$D$4:$AG$200,0,MATCH(X$2,Inputs!$D$2:$AG$2,0)),Inputs!$B$4:$B$200,$B21)/1000)</f>
        <v>0</v>
      </c>
      <c r="Y21" s="11">
        <f>IF(Y$3=0,"",SUMIFS(INDEX(Inputs!$D$4:$AG$200,0,MATCH(Y$2,Inputs!$D$2:$AG$2,0)),Inputs!$B$4:$B$200,$B21)/1000)</f>
        <v>0</v>
      </c>
      <c r="Z21" s="11">
        <f>IF(Z$3=0,"",SUMIFS(INDEX(Inputs!$D$4:$AG$200,0,MATCH(Z$2,Inputs!$D$2:$AG$2,0)),Inputs!$B$4:$B$200,$B21)/1000)</f>
        <v>0</v>
      </c>
      <c r="AA21" s="11">
        <f>IF(AA$3=0,"",SUMIFS(INDEX(Inputs!$D$4:$AG$200,0,MATCH(AA$2,Inputs!$D$2:$AG$2,0)),Inputs!$B$4:$B$200,$B21)/1000)</f>
        <v>0</v>
      </c>
      <c r="AB21" s="12">
        <f>IF(AA21="","",AA21)</f>
        <v>0</v>
      </c>
      <c r="AC21" s="11">
        <f>IF(AC$3=0,"",SUMIFS(INDEX(Inputs!$D$4:$AG$200,0,MATCH(AC$2,Inputs!$D$2:$AG$2,0)),Inputs!$B$4:$B$200,$B21)/1000)</f>
        <v>0</v>
      </c>
      <c r="AD21" s="11">
        <f>IF(AD$3=0,"",SUMIFS(INDEX(Inputs!$D$4:$AG$200,0,MATCH(AD$2,Inputs!$D$2:$AG$2,0)),Inputs!$B$4:$B$200,$B21)/1000)</f>
        <v>0</v>
      </c>
      <c r="AE21" s="11" t="str">
        <f>IF(AE$3=0,"",SUMIFS(INDEX(Inputs!$D$4:$AG$200,0,MATCH(AE$2,Inputs!$D$2:$AG$2,0)),Inputs!$B$4:$B$200,$B21)/1000)</f>
        <v/>
      </c>
      <c r="AF21" s="11" t="str">
        <f>IF(AF$3=0,"",SUMIFS(INDEX(Inputs!$D$4:$AG$200,0,MATCH(AF$2,Inputs!$D$2:$AG$2,0)),Inputs!$B$4:$B$200,$B21)/1000)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IF(D$3=0,"",SUMIFS(INDEX(Inputs!$D$4:$AG$200,0,MATCH(D$2,Inputs!$D$2:$AG$2,0)),Inputs!$B$4:$B$200,$B22)/1000)</f>
        <v>2268</v>
      </c>
      <c r="E22" s="11">
        <f>IF(E$3=0,"",SUMIFS(INDEX(Inputs!$D$4:$AG$200,0,MATCH(E$2,Inputs!$D$2:$AG$2,0)),Inputs!$B$4:$B$200,$B22)/1000)</f>
        <v>2364</v>
      </c>
      <c r="F22" s="11">
        <f>IF(F$3=0,"",SUMIFS(INDEX(Inputs!$D$4:$AG$200,0,MATCH(F$2,Inputs!$D$2:$AG$2,0)),Inputs!$B$4:$B$200,$B22)/1000)</f>
        <v>2509</v>
      </c>
      <c r="G22" s="11">
        <f>IF(G$3=0,"",SUMIFS(INDEX(Inputs!$D$4:$AG$200,0,MATCH(G$2,Inputs!$D$2:$AG$2,0)),Inputs!$B$4:$B$200,$B22)/1000)</f>
        <v>2778</v>
      </c>
      <c r="H22" s="12">
        <f>IF(G22="","",G22)</f>
        <v>2778</v>
      </c>
      <c r="I22" s="11">
        <f>IF(I$3=0,"",SUMIFS(INDEX(Inputs!$D$4:$AG$200,0,MATCH(I$2,Inputs!$D$2:$AG$2,0)),Inputs!$B$4:$B$200,$B22)/1000)</f>
        <v>2916</v>
      </c>
      <c r="J22" s="11">
        <f>IF(J$3=0,"",SUMIFS(INDEX(Inputs!$D$4:$AG$200,0,MATCH(J$2,Inputs!$D$2:$AG$2,0)),Inputs!$B$4:$B$200,$B22)/1000)</f>
        <v>3233</v>
      </c>
      <c r="K22" s="11">
        <f>IF(K$3=0,"",SUMIFS(INDEX(Inputs!$D$4:$AG$200,0,MATCH(K$2,Inputs!$D$2:$AG$2,0)),Inputs!$B$4:$B$200,$B22)/1000)</f>
        <v>3774</v>
      </c>
      <c r="L22" s="11">
        <f>IF(L$3=0,"",SUMIFS(INDEX(Inputs!$D$4:$AG$200,0,MATCH(L$2,Inputs!$D$2:$AG$2,0)),Inputs!$B$4:$B$200,$B22)/1000)</f>
        <v>3807</v>
      </c>
      <c r="M22" s="12">
        <f>IF(L22="","",L22)</f>
        <v>3807</v>
      </c>
      <c r="N22" s="11">
        <f>IF(N$3=0,"",SUMIFS(INDEX(Inputs!$D$4:$AG$200,0,MATCH(N$2,Inputs!$D$2:$AG$2,0)),Inputs!$B$4:$B$200,$B22)/1000)</f>
        <v>3740</v>
      </c>
      <c r="O22" s="11">
        <f>IF(O$3=0,"",SUMIFS(INDEX(Inputs!$D$4:$AG$200,0,MATCH(O$2,Inputs!$D$2:$AG$2,0)),Inputs!$B$4:$B$200,$B22)/1000)</f>
        <v>3799</v>
      </c>
      <c r="P22" s="11">
        <f>IF(P$3=0,"",SUMIFS(INDEX(Inputs!$D$4:$AG$200,0,MATCH(P$2,Inputs!$D$2:$AG$2,0)),Inputs!$B$4:$B$200,$B22)/1000)</f>
        <v>3844</v>
      </c>
      <c r="Q22" s="11">
        <f>IF(Q$3=0,"",SUMIFS(INDEX(Inputs!$D$4:$AG$200,0,MATCH(Q$2,Inputs!$D$2:$AG$2,0)),Inputs!$B$4:$B$200,$B22)/1000)</f>
        <v>3914</v>
      </c>
      <c r="R22" s="12">
        <f>IF(Q22="","",Q22)</f>
        <v>3914</v>
      </c>
      <c r="S22" s="11">
        <f>IF(S$3=0,"",SUMIFS(INDEX(Inputs!$D$4:$AG$200,0,MATCH(S$2,Inputs!$D$2:$AG$2,0)),Inputs!$B$4:$B$200,$B22)/1000)</f>
        <v>4006</v>
      </c>
      <c r="T22" s="11">
        <f>IF(T$3=0,"",SUMIFS(INDEX(Inputs!$D$4:$AG$200,0,MATCH(T$2,Inputs!$D$2:$AG$2,0)),Inputs!$B$4:$B$200,$B22)/1000)</f>
        <v>4885</v>
      </c>
      <c r="U22" s="11">
        <f>IF(U$3=0,"",SUMIFS(INDEX(Inputs!$D$4:$AG$200,0,MATCH(U$2,Inputs!$D$2:$AG$2,0)),Inputs!$B$4:$B$200,$B22)/1000)</f>
        <v>5343</v>
      </c>
      <c r="V22" s="11">
        <f>IF(V$3=0,"",SUMIFS(INDEX(Inputs!$D$4:$AG$200,0,MATCH(V$2,Inputs!$D$2:$AG$2,0)),Inputs!$B$4:$B$200,$B22)/1000)</f>
        <v>6283</v>
      </c>
      <c r="W22" s="12">
        <f>IF(V22="","",V22)</f>
        <v>6283</v>
      </c>
      <c r="X22" s="11">
        <f>IF(X$3=0,"",SUMIFS(INDEX(Inputs!$D$4:$AG$200,0,MATCH(X$2,Inputs!$D$2:$AG$2,0)),Inputs!$B$4:$B$200,$B22)/1000)</f>
        <v>7136</v>
      </c>
      <c r="Y22" s="11">
        <f>IF(Y$3=0,"",SUMIFS(INDEX(Inputs!$D$4:$AG$200,0,MATCH(Y$2,Inputs!$D$2:$AG$2,0)),Inputs!$B$4:$B$200,$B22)/1000)</f>
        <v>9141</v>
      </c>
      <c r="Z22" s="11">
        <f>IF(Z$3=0,"",SUMIFS(INDEX(Inputs!$D$4:$AG$200,0,MATCH(Z$2,Inputs!$D$2:$AG$2,0)),Inputs!$B$4:$B$200,$B22)/1000)</f>
        <v>9780</v>
      </c>
      <c r="AA22" s="11">
        <f>IF(AA$3=0,"",SUMIFS(INDEX(Inputs!$D$4:$AG$200,0,MATCH(AA$2,Inputs!$D$2:$AG$2,0)),Inputs!$B$4:$B$200,$B22)/1000)</f>
        <v>10383</v>
      </c>
      <c r="AB22" s="12">
        <f>IF(AA22="","",AA22)</f>
        <v>10383</v>
      </c>
      <c r="AC22" s="11">
        <f>IF(AC$3=0,"",SUMIFS(INDEX(Inputs!$D$4:$AG$200,0,MATCH(AC$2,Inputs!$D$2:$AG$2,0)),Inputs!$B$4:$B$200,$B22)/1000)</f>
        <v>12403</v>
      </c>
      <c r="AD22" s="11">
        <f>IF(AD$3=0,"",SUMIFS(INDEX(Inputs!$D$4:$AG$200,0,MATCH(AD$2,Inputs!$D$2:$AG$2,0)),Inputs!$B$4:$B$200,$B22)/1000)</f>
        <v>14285</v>
      </c>
      <c r="AE22" s="11" t="str">
        <f>IF(AE$3=0,"",SUMIFS(INDEX(Inputs!$D$4:$AG$200,0,MATCH(AE$2,Inputs!$D$2:$AG$2,0)),Inputs!$B$4:$B$200,$B22)/1000)</f>
        <v/>
      </c>
      <c r="AF22" s="11" t="str">
        <f>IF(AF$3=0,"",SUMIFS(INDEX(Inputs!$D$4:$AG$200,0,MATCH(AF$2,Inputs!$D$2:$AG$2,0)),Inputs!$B$4:$B$200,$B22)/1000)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IF(D$3=0,"",SUMIFS(INDEX(Inputs!$D$4:$AG$200,0,MATCH(D$2,Inputs!$D$2:$AG$2,0)),Inputs!$B$4:$B$200,$B23)/1000)</f>
        <v>727</v>
      </c>
      <c r="E23" s="11">
        <f>IF(E$3=0,"",SUMIFS(INDEX(Inputs!$D$4:$AG$200,0,MATCH(E$2,Inputs!$D$2:$AG$2,0)),Inputs!$B$4:$B$200,$B23)/1000)</f>
        <v>801</v>
      </c>
      <c r="F23" s="11">
        <f>IF(F$3=0,"",SUMIFS(INDEX(Inputs!$D$4:$AG$200,0,MATCH(F$2,Inputs!$D$2:$AG$2,0)),Inputs!$B$4:$B$200,$B23)/1000)</f>
        <v>830</v>
      </c>
      <c r="G23" s="11">
        <f>IF(G$3=0,"",SUMIFS(INDEX(Inputs!$D$4:$AG$200,0,MATCH(G$2,Inputs!$D$2:$AG$2,0)),Inputs!$B$4:$B$200,$B23)/1000)</f>
        <v>829</v>
      </c>
      <c r="H23" s="12">
        <f>IF(G23="","",G23)</f>
        <v>829</v>
      </c>
      <c r="I23" s="11">
        <f>IF(I$3=0,"",SUMIFS(INDEX(Inputs!$D$4:$AG$200,0,MATCH(I$2,Inputs!$D$2:$AG$2,0)),Inputs!$B$4:$B$200,$B23)/1000)</f>
        <v>856</v>
      </c>
      <c r="J23" s="11">
        <f>IF(J$3=0,"",SUMIFS(INDEX(Inputs!$D$4:$AG$200,0,MATCH(J$2,Inputs!$D$2:$AG$2,0)),Inputs!$B$4:$B$200,$B23)/1000)</f>
        <v>852</v>
      </c>
      <c r="K23" s="11">
        <f>IF(K$3=0,"",SUMIFS(INDEX(Inputs!$D$4:$AG$200,0,MATCH(K$2,Inputs!$D$2:$AG$2,0)),Inputs!$B$4:$B$200,$B23)/1000)</f>
        <v>927</v>
      </c>
      <c r="L23" s="11">
        <f>IF(L$3=0,"",SUMIFS(INDEX(Inputs!$D$4:$AG$200,0,MATCH(L$2,Inputs!$D$2:$AG$2,0)),Inputs!$B$4:$B$200,$B23)/1000)</f>
        <v>1038</v>
      </c>
      <c r="M23" s="12">
        <f>IF(L23="","",L23)</f>
        <v>1038</v>
      </c>
      <c r="N23" s="11">
        <f>IF(N$3=0,"",SUMIFS(INDEX(Inputs!$D$4:$AG$200,0,MATCH(N$2,Inputs!$D$2:$AG$2,0)),Inputs!$B$4:$B$200,$B23)/1000)</f>
        <v>1094</v>
      </c>
      <c r="O23" s="11">
        <f>IF(O$3=0,"",SUMIFS(INDEX(Inputs!$D$4:$AG$200,0,MATCH(O$2,Inputs!$D$2:$AG$2,0)),Inputs!$B$4:$B$200,$B23)/1000)</f>
        <v>1235</v>
      </c>
      <c r="P23" s="11">
        <f>IF(P$3=0,"",SUMIFS(INDEX(Inputs!$D$4:$AG$200,0,MATCH(P$2,Inputs!$D$2:$AG$2,0)),Inputs!$B$4:$B$200,$B23)/1000)</f>
        <v>1316</v>
      </c>
      <c r="Q23" s="11">
        <f>IF(Q$3=0,"",SUMIFS(INDEX(Inputs!$D$4:$AG$200,0,MATCH(Q$2,Inputs!$D$2:$AG$2,0)),Inputs!$B$4:$B$200,$B23)/1000)</f>
        <v>1346</v>
      </c>
      <c r="R23" s="12">
        <f>IF(Q23="","",Q23)</f>
        <v>1346</v>
      </c>
      <c r="S23" s="11">
        <f>IF(S$3=0,"",SUMIFS(INDEX(Inputs!$D$4:$AG$200,0,MATCH(S$2,Inputs!$D$2:$AG$2,0)),Inputs!$B$4:$B$200,$B23)/1000)</f>
        <v>1532</v>
      </c>
      <c r="T23" s="11">
        <f>IF(T$3=0,"",SUMIFS(INDEX(Inputs!$D$4:$AG$200,0,MATCH(T$2,Inputs!$D$2:$AG$2,0)),Inputs!$B$4:$B$200,$B23)/1000)</f>
        <v>1556</v>
      </c>
      <c r="U23" s="11">
        <f>IF(U$3=0,"",SUMIFS(INDEX(Inputs!$D$4:$AG$200,0,MATCH(U$2,Inputs!$D$2:$AG$2,0)),Inputs!$B$4:$B$200,$B23)/1000)</f>
        <v>1755</v>
      </c>
      <c r="V23" s="11">
        <f>IF(V$3=0,"",SUMIFS(INDEX(Inputs!$D$4:$AG$200,0,MATCH(V$2,Inputs!$D$2:$AG$2,0)),Inputs!$B$4:$B$200,$B23)/1000)</f>
        <v>1793</v>
      </c>
      <c r="W23" s="12">
        <f>IF(V23="","",V23)</f>
        <v>1793</v>
      </c>
      <c r="X23" s="11">
        <f>IF(X$3=0,"",SUMIFS(INDEX(Inputs!$D$4:$AG$200,0,MATCH(X$2,Inputs!$D$2:$AG$2,0)),Inputs!$B$4:$B$200,$B23)/1000)</f>
        <v>1810</v>
      </c>
      <c r="Y23" s="11">
        <f>IF(Y$3=0,"",SUMIFS(INDEX(Inputs!$D$4:$AG$200,0,MATCH(Y$2,Inputs!$D$2:$AG$2,0)),Inputs!$B$4:$B$200,$B23)/1000)</f>
        <v>2084</v>
      </c>
      <c r="Z23" s="11">
        <f>IF(Z$3=0,"",SUMIFS(INDEX(Inputs!$D$4:$AG$200,0,MATCH(Z$2,Inputs!$D$2:$AG$2,0)),Inputs!$B$4:$B$200,$B23)/1000)</f>
        <v>2281</v>
      </c>
      <c r="AA23" s="11">
        <f>IF(AA$3=0,"",SUMIFS(INDEX(Inputs!$D$4:$AG$200,0,MATCH(AA$2,Inputs!$D$2:$AG$2,0)),Inputs!$B$4:$B$200,$B23)/1000)</f>
        <v>2867</v>
      </c>
      <c r="AB23" s="12">
        <f>IF(AA23="","",AA23)</f>
        <v>2867</v>
      </c>
      <c r="AC23" s="11">
        <f>IF(AC$3=0,"",SUMIFS(INDEX(Inputs!$D$4:$AG$200,0,MATCH(AC$2,Inputs!$D$2:$AG$2,0)),Inputs!$B$4:$B$200,$B23)/1000)</f>
        <v>4258</v>
      </c>
      <c r="AD23" s="11">
        <f>IF(AD$3=0,"",SUMIFS(INDEX(Inputs!$D$4:$AG$200,0,MATCH(AD$2,Inputs!$D$2:$AG$2,0)),Inputs!$B$4:$B$200,$B23)/1000)</f>
        <v>5390</v>
      </c>
      <c r="AE23" s="11" t="str">
        <f>IF(AE$3=0,"",SUMIFS(INDEX(Inputs!$D$4:$AG$200,0,MATCH(AE$2,Inputs!$D$2:$AG$2,0)),Inputs!$B$4:$B$200,$B23)/1000)</f>
        <v/>
      </c>
      <c r="AF23" s="11" t="str">
        <f>IF(AF$3=0,"",SUMIFS(INDEX(Inputs!$D$4:$AG$200,0,MATCH(AF$2,Inputs!$D$2:$AG$2,0)),Inputs!$B$4:$B$200,$B23)/1000)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IF(D$3=0,"",SUMIFS(INDEX(Inputs!$D$4:$AG$200,0,MATCH(D$2,Inputs!$D$2:$AG$2,0)),Inputs!$B$4:$B$200,$B24)/1000)</f>
        <v>4193</v>
      </c>
      <c r="E24" s="11">
        <f>IF(E$3=0,"",SUMIFS(INDEX(Inputs!$D$4:$AG$200,0,MATCH(E$2,Inputs!$D$2:$AG$2,0)),Inputs!$B$4:$B$200,$B24)/1000)</f>
        <v>4193</v>
      </c>
      <c r="F24" s="11">
        <f>IF(F$3=0,"",SUMIFS(INDEX(Inputs!$D$4:$AG$200,0,MATCH(F$2,Inputs!$D$2:$AG$2,0)),Inputs!$B$4:$B$200,$B24)/1000)</f>
        <v>4302</v>
      </c>
      <c r="G24" s="11">
        <f>IF(G$3=0,"",SUMIFS(INDEX(Inputs!$D$4:$AG$200,0,MATCH(G$2,Inputs!$D$2:$AG$2,0)),Inputs!$B$4:$B$200,$B24)/1000)</f>
        <v>4349</v>
      </c>
      <c r="H24" s="12">
        <f>IF(G24="","",G24)</f>
        <v>4349</v>
      </c>
      <c r="I24" s="11">
        <f>IF(I$3=0,"",SUMIFS(INDEX(Inputs!$D$4:$AG$200,0,MATCH(I$2,Inputs!$D$2:$AG$2,0)),Inputs!$B$4:$B$200,$B24)/1000)</f>
        <v>4365</v>
      </c>
      <c r="J24" s="11">
        <f>IF(J$3=0,"",SUMIFS(INDEX(Inputs!$D$4:$AG$200,0,MATCH(J$2,Inputs!$D$2:$AG$2,0)),Inputs!$B$4:$B$200,$B24)/1000)</f>
        <v>4372</v>
      </c>
      <c r="K24" s="11">
        <f>IF(K$3=0,"",SUMIFS(INDEX(Inputs!$D$4:$AG$200,0,MATCH(K$2,Inputs!$D$2:$AG$2,0)),Inputs!$B$4:$B$200,$B24)/1000)</f>
        <v>4372</v>
      </c>
      <c r="L24" s="11">
        <f>IF(L$3=0,"",SUMIFS(INDEX(Inputs!$D$4:$AG$200,0,MATCH(L$2,Inputs!$D$2:$AG$2,0)),Inputs!$B$4:$B$200,$B24)/1000)</f>
        <v>4372</v>
      </c>
      <c r="M24" s="12">
        <f>IF(L24="","",L24)</f>
        <v>4372</v>
      </c>
      <c r="N24" s="11">
        <f>IF(N$3=0,"",SUMIFS(INDEX(Inputs!$D$4:$AG$200,0,MATCH(N$2,Inputs!$D$2:$AG$2,0)),Inputs!$B$4:$B$200,$B24)/1000)</f>
        <v>4430</v>
      </c>
      <c r="O24" s="11">
        <f>IF(O$3=0,"",SUMIFS(INDEX(Inputs!$D$4:$AG$200,0,MATCH(O$2,Inputs!$D$2:$AG$2,0)),Inputs!$B$4:$B$200,$B24)/1000)</f>
        <v>4430</v>
      </c>
      <c r="P24" s="11">
        <f>IF(P$3=0,"",SUMIFS(INDEX(Inputs!$D$4:$AG$200,0,MATCH(P$2,Inputs!$D$2:$AG$2,0)),Inputs!$B$4:$B$200,$B24)/1000)</f>
        <v>4430</v>
      </c>
      <c r="Q24" s="11">
        <f>IF(Q$3=0,"",SUMIFS(INDEX(Inputs!$D$4:$AG$200,0,MATCH(Q$2,Inputs!$D$2:$AG$2,0)),Inputs!$B$4:$B$200,$B24)/1000)</f>
        <v>4430</v>
      </c>
      <c r="R24" s="12">
        <f>IF(Q24="","",Q24)</f>
        <v>4430</v>
      </c>
      <c r="S24" s="11">
        <f>IF(S$3=0,"",SUMIFS(INDEX(Inputs!$D$4:$AG$200,0,MATCH(S$2,Inputs!$D$2:$AG$2,0)),Inputs!$B$4:$B$200,$B24)/1000)</f>
        <v>4453</v>
      </c>
      <c r="T24" s="11">
        <f>IF(T$3=0,"",SUMIFS(INDEX(Inputs!$D$4:$AG$200,0,MATCH(T$2,Inputs!$D$2:$AG$2,0)),Inputs!$B$4:$B$200,$B24)/1000)</f>
        <v>4622</v>
      </c>
      <c r="U24" s="11">
        <f>IF(U$3=0,"",SUMIFS(INDEX(Inputs!$D$4:$AG$200,0,MATCH(U$2,Inputs!$D$2:$AG$2,0)),Inputs!$B$4:$B$200,$B24)/1000)</f>
        <v>4724</v>
      </c>
      <c r="V24" s="11">
        <f>IF(V$3=0,"",SUMIFS(INDEX(Inputs!$D$4:$AG$200,0,MATCH(V$2,Inputs!$D$2:$AG$2,0)),Inputs!$B$4:$B$200,$B24)/1000)</f>
        <v>5188</v>
      </c>
      <c r="W24" s="12">
        <f>IF(V24="","",V24)</f>
        <v>5188</v>
      </c>
      <c r="X24" s="11">
        <f>IF(X$3=0,"",SUMIFS(INDEX(Inputs!$D$4:$AG$200,0,MATCH(X$2,Inputs!$D$2:$AG$2,0)),Inputs!$B$4:$B$200,$B24)/1000)</f>
        <v>5498</v>
      </c>
      <c r="Y24" s="11">
        <f>IF(Y$3=0,"",SUMIFS(INDEX(Inputs!$D$4:$AG$200,0,MATCH(Y$2,Inputs!$D$2:$AG$2,0)),Inputs!$B$4:$B$200,$B24)/1000)</f>
        <v>5755</v>
      </c>
      <c r="Z24" s="11">
        <f>IF(Z$3=0,"",SUMIFS(INDEX(Inputs!$D$4:$AG$200,0,MATCH(Z$2,Inputs!$D$2:$AG$2,0)),Inputs!$B$4:$B$200,$B24)/1000)</f>
        <v>6261</v>
      </c>
      <c r="AA24" s="11">
        <f>IF(AA$3=0,"",SUMIFS(INDEX(Inputs!$D$4:$AG$200,0,MATCH(AA$2,Inputs!$D$2:$AG$2,0)),Inputs!$B$4:$B$200,$B24)/1000)</f>
        <v>20832</v>
      </c>
      <c r="AB24" s="12">
        <f>IF(AA24="","",AA24)</f>
        <v>20832</v>
      </c>
      <c r="AC24" s="11">
        <f>IF(AC$3=0,"",SUMIFS(INDEX(Inputs!$D$4:$AG$200,0,MATCH(AC$2,Inputs!$D$2:$AG$2,0)),Inputs!$B$4:$B$200,$B24)/1000)</f>
        <v>20894</v>
      </c>
      <c r="AD24" s="11">
        <f>IF(AD$3=0,"",SUMIFS(INDEX(Inputs!$D$4:$AG$200,0,MATCH(AD$2,Inputs!$D$2:$AG$2,0)),Inputs!$B$4:$B$200,$B24)/1000)</f>
        <v>21125</v>
      </c>
      <c r="AE24" s="11" t="str">
        <f>IF(AE$3=0,"",SUMIFS(INDEX(Inputs!$D$4:$AG$200,0,MATCH(AE$2,Inputs!$D$2:$AG$2,0)),Inputs!$B$4:$B$200,$B24)/1000)</f>
        <v/>
      </c>
      <c r="AF24" s="11" t="str">
        <f>IF(AF$3=0,"",SUMIFS(INDEX(Inputs!$D$4:$AG$200,0,MATCH(AF$2,Inputs!$D$2:$AG$2,0)),Inputs!$B$4:$B$200,$B24)/1000)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IF(D$3=0,"",SUMIFS(INDEX(Inputs!$D$4:$AG$200,0,MATCH(D$2,Inputs!$D$2:$AG$2,0)),Inputs!$B$4:$B$200,$B25)/1000)</f>
        <v>2613</v>
      </c>
      <c r="E25" s="11">
        <f>IF(E$3=0,"",SUMIFS(INDEX(Inputs!$D$4:$AG$200,0,MATCH(E$2,Inputs!$D$2:$AG$2,0)),Inputs!$B$4:$B$200,$B25)/1000)</f>
        <v>2478</v>
      </c>
      <c r="F25" s="11">
        <f>IF(F$3=0,"",SUMIFS(INDEX(Inputs!$D$4:$AG$200,0,MATCH(F$2,Inputs!$D$2:$AG$2,0)),Inputs!$B$4:$B$200,$B25)/1000)</f>
        <v>2454</v>
      </c>
      <c r="G25" s="11">
        <f>IF(G$3=0,"",SUMIFS(INDEX(Inputs!$D$4:$AG$200,0,MATCH(G$2,Inputs!$D$2:$AG$2,0)),Inputs!$B$4:$B$200,$B25)/1000)</f>
        <v>2339</v>
      </c>
      <c r="H25" s="12">
        <f>IF(G25="","",G25)</f>
        <v>2339</v>
      </c>
      <c r="I25" s="11">
        <f>IF(I$3=0,"",SUMIFS(INDEX(Inputs!$D$4:$AG$200,0,MATCH(I$2,Inputs!$D$2:$AG$2,0)),Inputs!$B$4:$B$200,$B25)/1000)</f>
        <v>2211</v>
      </c>
      <c r="J25" s="11">
        <f>IF(J$3=0,"",SUMIFS(INDEX(Inputs!$D$4:$AG$200,0,MATCH(J$2,Inputs!$D$2:$AG$2,0)),Inputs!$B$4:$B$200,$B25)/1000)</f>
        <v>2036</v>
      </c>
      <c r="K25" s="11">
        <f>IF(K$3=0,"",SUMIFS(INDEX(Inputs!$D$4:$AG$200,0,MATCH(K$2,Inputs!$D$2:$AG$2,0)),Inputs!$B$4:$B$200,$B25)/1000)</f>
        <v>1850</v>
      </c>
      <c r="L25" s="11">
        <f>IF(L$3=0,"",SUMIFS(INDEX(Inputs!$D$4:$AG$200,0,MATCH(L$2,Inputs!$D$2:$AG$2,0)),Inputs!$B$4:$B$200,$B25)/1000)</f>
        <v>1676</v>
      </c>
      <c r="M25" s="12">
        <f>IF(L25="","",L25)</f>
        <v>1676</v>
      </c>
      <c r="N25" s="11">
        <f>IF(N$3=0,"",SUMIFS(INDEX(Inputs!$D$4:$AG$200,0,MATCH(N$2,Inputs!$D$2:$AG$2,0)),Inputs!$B$4:$B$200,$B25)/1000)</f>
        <v>1541</v>
      </c>
      <c r="O25" s="11">
        <f>IF(O$3=0,"",SUMIFS(INDEX(Inputs!$D$4:$AG$200,0,MATCH(O$2,Inputs!$D$2:$AG$2,0)),Inputs!$B$4:$B$200,$B25)/1000)</f>
        <v>1395</v>
      </c>
      <c r="P25" s="11">
        <f>IF(P$3=0,"",SUMIFS(INDEX(Inputs!$D$4:$AG$200,0,MATCH(P$2,Inputs!$D$2:$AG$2,0)),Inputs!$B$4:$B$200,$B25)/1000)</f>
        <v>1251</v>
      </c>
      <c r="Q25" s="11">
        <f>IF(Q$3=0,"",SUMIFS(INDEX(Inputs!$D$4:$AG$200,0,MATCH(Q$2,Inputs!$D$2:$AG$2,0)),Inputs!$B$4:$B$200,$B25)/1000)</f>
        <v>1112</v>
      </c>
      <c r="R25" s="12">
        <f>IF(Q25="","",Q25)</f>
        <v>1112</v>
      </c>
      <c r="S25" s="11">
        <f>IF(S$3=0,"",SUMIFS(INDEX(Inputs!$D$4:$AG$200,0,MATCH(S$2,Inputs!$D$2:$AG$2,0)),Inputs!$B$4:$B$200,$B25)/1000)</f>
        <v>986</v>
      </c>
      <c r="T25" s="11">
        <f>IF(T$3=0,"",SUMIFS(INDEX(Inputs!$D$4:$AG$200,0,MATCH(T$2,Inputs!$D$2:$AG$2,0)),Inputs!$B$4:$B$200,$B25)/1000)</f>
        <v>952</v>
      </c>
      <c r="U25" s="11">
        <f>IF(U$3=0,"",SUMIFS(INDEX(Inputs!$D$4:$AG$200,0,MATCH(U$2,Inputs!$D$2:$AG$2,0)),Inputs!$B$4:$B$200,$B25)/1000)</f>
        <v>838</v>
      </c>
      <c r="V25" s="11">
        <f>IF(V$3=0,"",SUMIFS(INDEX(Inputs!$D$4:$AG$200,0,MATCH(V$2,Inputs!$D$2:$AG$2,0)),Inputs!$B$4:$B$200,$B25)/1000)</f>
        <v>807</v>
      </c>
      <c r="W25" s="12">
        <f>IF(V25="","",V25)</f>
        <v>807</v>
      </c>
      <c r="X25" s="11">
        <f>IF(X$3=0,"",SUMIFS(INDEX(Inputs!$D$4:$AG$200,0,MATCH(X$2,Inputs!$D$2:$AG$2,0)),Inputs!$B$4:$B$200,$B25)/1000)</f>
        <v>769</v>
      </c>
      <c r="Y25" s="11">
        <f>IF(Y$3=0,"",SUMIFS(INDEX(Inputs!$D$4:$AG$200,0,MATCH(Y$2,Inputs!$D$2:$AG$2,0)),Inputs!$B$4:$B$200,$B25)/1000)</f>
        <v>755</v>
      </c>
      <c r="Z25" s="11">
        <f>IF(Z$3=0,"",SUMIFS(INDEX(Inputs!$D$4:$AG$200,0,MATCH(Z$2,Inputs!$D$2:$AG$2,0)),Inputs!$B$4:$B$200,$B25)/1000)</f>
        <v>936</v>
      </c>
      <c r="AA25" s="11">
        <f>IF(AA$3=0,"",SUMIFS(INDEX(Inputs!$D$4:$AG$200,0,MATCH(AA$2,Inputs!$D$2:$AG$2,0)),Inputs!$B$4:$B$200,$B25)/1000)</f>
        <v>3306</v>
      </c>
      <c r="AB25" s="12">
        <f>IF(AA25="","",AA25)</f>
        <v>3306</v>
      </c>
      <c r="AC25" s="11">
        <f>IF(AC$3=0,"",SUMIFS(INDEX(Inputs!$D$4:$AG$200,0,MATCH(AC$2,Inputs!$D$2:$AG$2,0)),Inputs!$B$4:$B$200,$B25)/1000)</f>
        <v>3120</v>
      </c>
      <c r="AD25" s="11">
        <f>IF(AD$3=0,"",SUMIFS(INDEX(Inputs!$D$4:$AG$200,0,MATCH(AD$2,Inputs!$D$2:$AG$2,0)),Inputs!$B$4:$B$200,$B25)/1000)</f>
        <v>2998</v>
      </c>
      <c r="AE25" s="11" t="str">
        <f>IF(AE$3=0,"",SUMIFS(INDEX(Inputs!$D$4:$AG$200,0,MATCH(AE$2,Inputs!$D$2:$AG$2,0)),Inputs!$B$4:$B$200,$B25)/1000)</f>
        <v/>
      </c>
      <c r="AF25" s="11" t="str">
        <f>IF(AF$3=0,"",SUMIFS(INDEX(Inputs!$D$4:$AG$200,0,MATCH(AF$2,Inputs!$D$2:$AG$2,0)),Inputs!$B$4:$B$200,$B25)/1000)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IF(D$3=0,"",SUMIFS(INDEX(Inputs!$D$4:$AG$200,0,MATCH(D$2,Inputs!$D$2:$AG$2,0)),Inputs!$B$4:$B$200,$B26)/1000)</f>
        <v>2090</v>
      </c>
      <c r="E26" s="11">
        <f>IF(E$3=0,"",SUMIFS(INDEX(Inputs!$D$4:$AG$200,0,MATCH(E$2,Inputs!$D$2:$AG$2,0)),Inputs!$B$4:$B$200,$B26)/1000)</f>
        <v>2050</v>
      </c>
      <c r="F26" s="11">
        <f>IF(F$3=0,"",SUMIFS(INDEX(Inputs!$D$4:$AG$200,0,MATCH(F$2,Inputs!$D$2:$AG$2,0)),Inputs!$B$4:$B$200,$B26)/1000)</f>
        <v>3761</v>
      </c>
      <c r="G26" s="11">
        <f>IF(G$3=0,"",SUMIFS(INDEX(Inputs!$D$4:$AG$200,0,MATCH(G$2,Inputs!$D$2:$AG$2,0)),Inputs!$B$4:$B$200,$B26)/1000)</f>
        <v>3841</v>
      </c>
      <c r="H26" s="12">
        <f>IF(G26="","",G26)</f>
        <v>3841</v>
      </c>
      <c r="I26" s="11">
        <f>IF(I$3=0,"",SUMIFS(INDEX(Inputs!$D$4:$AG$200,0,MATCH(I$2,Inputs!$D$2:$AG$2,0)),Inputs!$B$4:$B$200,$B26)/1000)</f>
        <v>3505</v>
      </c>
      <c r="J26" s="11">
        <f>IF(J$3=0,"",SUMIFS(INDEX(Inputs!$D$4:$AG$200,0,MATCH(J$2,Inputs!$D$2:$AG$2,0)),Inputs!$B$4:$B$200,$B26)/1000)</f>
        <v>3340</v>
      </c>
      <c r="K26" s="11">
        <f>IF(K$3=0,"",SUMIFS(INDEX(Inputs!$D$4:$AG$200,0,MATCH(K$2,Inputs!$D$2:$AG$2,0)),Inputs!$B$4:$B$200,$B26)/1000)</f>
        <v>3580</v>
      </c>
      <c r="L26" s="11">
        <f>IF(L$3=0,"",SUMIFS(INDEX(Inputs!$D$4:$AG$200,0,MATCH(L$2,Inputs!$D$2:$AG$2,0)),Inputs!$B$4:$B$200,$B26)/1000)</f>
        <v>3820</v>
      </c>
      <c r="M26" s="12">
        <f>IF(L26="","",L26)</f>
        <v>3820</v>
      </c>
      <c r="N26" s="11">
        <f>IF(N$3=0,"",SUMIFS(INDEX(Inputs!$D$4:$AG$200,0,MATCH(N$2,Inputs!$D$2:$AG$2,0)),Inputs!$B$4:$B$200,$B26)/1000)</f>
        <v>4204</v>
      </c>
      <c r="O26" s="11">
        <f>IF(O$3=0,"",SUMIFS(INDEX(Inputs!$D$4:$AG$200,0,MATCH(O$2,Inputs!$D$2:$AG$2,0)),Inputs!$B$4:$B$200,$B26)/1000)</f>
        <v>4501</v>
      </c>
      <c r="P26" s="11">
        <f>IF(P$3=0,"",SUMIFS(INDEX(Inputs!$D$4:$AG$200,0,MATCH(P$2,Inputs!$D$2:$AG$2,0)),Inputs!$B$4:$B$200,$B26)/1000)</f>
        <v>4667</v>
      </c>
      <c r="Q26" s="11">
        <f>IF(Q$3=0,"",SUMIFS(INDEX(Inputs!$D$4:$AG$200,0,MATCH(Q$2,Inputs!$D$2:$AG$2,0)),Inputs!$B$4:$B$200,$B26)/1000)</f>
        <v>4500</v>
      </c>
      <c r="R26" s="12">
        <f>IF(Q26="","",Q26)</f>
        <v>4500</v>
      </c>
      <c r="S26" s="11">
        <f>IF(S$3=0,"",SUMIFS(INDEX(Inputs!$D$4:$AG$200,0,MATCH(S$2,Inputs!$D$2:$AG$2,0)),Inputs!$B$4:$B$200,$B26)/1000)</f>
        <v>4568</v>
      </c>
      <c r="T26" s="11">
        <f>IF(T$3=0,"",SUMIFS(INDEX(Inputs!$D$4:$AG$200,0,MATCH(T$2,Inputs!$D$2:$AG$2,0)),Inputs!$B$4:$B$200,$B26)/1000)</f>
        <v>4001</v>
      </c>
      <c r="U26" s="11">
        <f>IF(U$3=0,"",SUMIFS(INDEX(Inputs!$D$4:$AG$200,0,MATCH(U$2,Inputs!$D$2:$AG$2,0)),Inputs!$B$4:$B$200,$B26)/1000)</f>
        <v>5437</v>
      </c>
      <c r="V26" s="11">
        <f>IF(V$3=0,"",SUMIFS(INDEX(Inputs!$D$4:$AG$200,0,MATCH(V$2,Inputs!$D$2:$AG$2,0)),Inputs!$B$4:$B$200,$B26)/1000)</f>
        <v>6425</v>
      </c>
      <c r="W26" s="12">
        <f>IF(V26="","",V26)</f>
        <v>6425</v>
      </c>
      <c r="X26" s="11">
        <f>IF(X$3=0,"",SUMIFS(INDEX(Inputs!$D$4:$AG$200,0,MATCH(X$2,Inputs!$D$2:$AG$2,0)),Inputs!$B$4:$B$200,$B26)/1000)</f>
        <v>6788</v>
      </c>
      <c r="Y26" s="11">
        <f>IF(Y$3=0,"",SUMIFS(INDEX(Inputs!$D$4:$AG$200,0,MATCH(Y$2,Inputs!$D$2:$AG$2,0)),Inputs!$B$4:$B$200,$B26)/1000)</f>
        <v>7216</v>
      </c>
      <c r="Z26" s="11">
        <f>IF(Z$3=0,"",SUMIFS(INDEX(Inputs!$D$4:$AG$200,0,MATCH(Z$2,Inputs!$D$2:$AG$2,0)),Inputs!$B$4:$B$200,$B26)/1000)</f>
        <v>11724</v>
      </c>
      <c r="AA26" s="11">
        <f>IF(AA$3=0,"",SUMIFS(INDEX(Inputs!$D$4:$AG$200,0,MATCH(AA$2,Inputs!$D$2:$AG$2,0)),Inputs!$B$4:$B$200,$B26)/1000)</f>
        <v>30552</v>
      </c>
      <c r="AB26" s="12">
        <f>IF(AA26="","",AA26)</f>
        <v>30552</v>
      </c>
      <c r="AC26" s="11">
        <f>IF(AC$3=0,"",SUMIFS(INDEX(Inputs!$D$4:$AG$200,0,MATCH(AC$2,Inputs!$D$2:$AG$2,0)),Inputs!$B$4:$B$200,$B26)/1000)</f>
        <v>56097</v>
      </c>
      <c r="AD26" s="11">
        <f>IF(AD$3=0,"",SUMIFS(INDEX(Inputs!$D$4:$AG$200,0,MATCH(AD$2,Inputs!$D$2:$AG$2,0)),Inputs!$B$4:$B$200,$B26)/1000)</f>
        <v>66903</v>
      </c>
      <c r="AE26" s="11" t="str">
        <f>IF(AE$3=0,"",SUMIFS(INDEX(Inputs!$D$4:$AG$200,0,MATCH(AE$2,Inputs!$D$2:$AG$2,0)),Inputs!$B$4:$B$200,$B26)/1000)</f>
        <v/>
      </c>
      <c r="AF26" s="11" t="str">
        <f>IF(AF$3=0,"",SUMIFS(INDEX(Inputs!$D$4:$AG$200,0,MATCH(AF$2,Inputs!$D$2:$AG$2,0)),Inputs!$B$4:$B$200,$B26)/1000)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IF(D$3=0,"",SUMIFS(INDEX(Inputs!$D$4:$AG$200,0,MATCH(D$2,Inputs!$D$2:$AG$2,0)),Inputs!$B$4:$B$200,$B28)/1000)</f>
        <v>1218</v>
      </c>
      <c r="E28" s="11">
        <f>IF(E$3=0,"",SUMIFS(INDEX(Inputs!$D$4:$AG$200,0,MATCH(E$2,Inputs!$D$2:$AG$2,0)),Inputs!$B$4:$B$200,$B28)/1000)</f>
        <v>1474</v>
      </c>
      <c r="F28" s="11">
        <f>IF(F$3=0,"",SUMIFS(INDEX(Inputs!$D$4:$AG$200,0,MATCH(F$2,Inputs!$D$2:$AG$2,0)),Inputs!$B$4:$B$200,$B28)/1000)</f>
        <v>1664</v>
      </c>
      <c r="G28" s="11">
        <f>IF(G$3=0,"",SUMIFS(INDEX(Inputs!$D$4:$AG$200,0,MATCH(G$2,Inputs!$D$2:$AG$2,0)),Inputs!$B$4:$B$200,$B28)/1000)</f>
        <v>1783</v>
      </c>
      <c r="H28" s="12">
        <f>IF(G28="","",G28)</f>
        <v>1783</v>
      </c>
      <c r="I28" s="11">
        <f>IF(I$3=0,"",SUMIFS(INDEX(Inputs!$D$4:$AG$200,0,MATCH(I$2,Inputs!$D$2:$AG$2,0)),Inputs!$B$4:$B$200,$B28)/1000)</f>
        <v>1999</v>
      </c>
      <c r="J28" s="11">
        <f>IF(J$3=0,"",SUMIFS(INDEX(Inputs!$D$4:$AG$200,0,MATCH(J$2,Inputs!$D$2:$AG$2,0)),Inputs!$B$4:$B$200,$B28)/1000)</f>
        <v>2421</v>
      </c>
      <c r="K28" s="11">
        <f>IF(K$3=0,"",SUMIFS(INDEX(Inputs!$D$4:$AG$200,0,MATCH(K$2,Inputs!$D$2:$AG$2,0)),Inputs!$B$4:$B$200,$B28)/1000)</f>
        <v>1491</v>
      </c>
      <c r="L28" s="11">
        <f>IF(L$3=0,"",SUMIFS(INDEX(Inputs!$D$4:$AG$200,0,MATCH(L$2,Inputs!$D$2:$AG$2,0)),Inputs!$B$4:$B$200,$B28)/1000)</f>
        <v>1193</v>
      </c>
      <c r="M28" s="12">
        <f>IF(L28="","",L28)</f>
        <v>1193</v>
      </c>
      <c r="N28" s="11">
        <f>IF(N$3=0,"",SUMIFS(INDEX(Inputs!$D$4:$AG$200,0,MATCH(N$2,Inputs!$D$2:$AG$2,0)),Inputs!$B$4:$B$200,$B28)/1000)</f>
        <v>1141</v>
      </c>
      <c r="O28" s="11">
        <f>IF(O$3=0,"",SUMIFS(INDEX(Inputs!$D$4:$AG$200,0,MATCH(O$2,Inputs!$D$2:$AG$2,0)),Inputs!$B$4:$B$200,$B28)/1000)</f>
        <v>1929</v>
      </c>
      <c r="P28" s="11">
        <f>IF(P$3=0,"",SUMIFS(INDEX(Inputs!$D$4:$AG$200,0,MATCH(P$2,Inputs!$D$2:$AG$2,0)),Inputs!$B$4:$B$200,$B28)/1000)</f>
        <v>2380</v>
      </c>
      <c r="Q28" s="11">
        <f>IF(Q$3=0,"",SUMIFS(INDEX(Inputs!$D$4:$AG$200,0,MATCH(Q$2,Inputs!$D$2:$AG$2,0)),Inputs!$B$4:$B$200,$B28)/1000)</f>
        <v>2699</v>
      </c>
      <c r="R28" s="12">
        <f>IF(Q28="","",Q28)</f>
        <v>2699</v>
      </c>
      <c r="S28" s="11">
        <f>IF(S$3=0,"",SUMIFS(INDEX(Inputs!$D$4:$AG$200,0,MATCH(S$2,Inputs!$D$2:$AG$2,0)),Inputs!$B$4:$B$200,$B28)/1000)</f>
        <v>2715</v>
      </c>
      <c r="T28" s="11">
        <f>IF(T$3=0,"",SUMIFS(INDEX(Inputs!$D$4:$AG$200,0,MATCH(T$2,Inputs!$D$2:$AG$2,0)),Inputs!$B$4:$B$200,$B28)/1000)</f>
        <v>3680</v>
      </c>
      <c r="U28" s="11">
        <f>IF(U$3=0,"",SUMIFS(INDEX(Inputs!$D$4:$AG$200,0,MATCH(U$2,Inputs!$D$2:$AG$2,0)),Inputs!$B$4:$B$200,$B28)/1000)</f>
        <v>5353</v>
      </c>
      <c r="V28" s="11">
        <f>IF(V$3=0,"",SUMIFS(INDEX(Inputs!$D$4:$AG$200,0,MATCH(V$2,Inputs!$D$2:$AG$2,0)),Inputs!$B$4:$B$200,$B28)/1000)</f>
        <v>6310</v>
      </c>
      <c r="W28" s="12">
        <f>IF(V28="","",V28)</f>
        <v>6310</v>
      </c>
      <c r="X28" s="11">
        <f>IF(X$3=0,"",SUMIFS(INDEX(Inputs!$D$4:$AG$200,0,MATCH(X$2,Inputs!$D$2:$AG$2,0)),Inputs!$B$4:$B$200,$B28)/1000)</f>
        <v>7331</v>
      </c>
      <c r="Y28" s="11">
        <f>IF(Y$3=0,"",SUMIFS(INDEX(Inputs!$D$4:$AG$200,0,MATCH(Y$2,Inputs!$D$2:$AG$2,0)),Inputs!$B$4:$B$200,$B28)/1000)</f>
        <v>9064</v>
      </c>
      <c r="Z28" s="11">
        <f>IF(Z$3=0,"",SUMIFS(INDEX(Inputs!$D$4:$AG$200,0,MATCH(Z$2,Inputs!$D$2:$AG$2,0)),Inputs!$B$4:$B$200,$B28)/1000)</f>
        <v>8624</v>
      </c>
      <c r="AA28" s="11">
        <f>IF(AA$3=0,"",SUMIFS(INDEX(Inputs!$D$4:$AG$200,0,MATCH(AA$2,Inputs!$D$2:$AG$2,0)),Inputs!$B$4:$B$200,$B28)/1000)</f>
        <v>9812</v>
      </c>
      <c r="AB28" s="12">
        <f>IF(AA28="","",AA28)</f>
        <v>9812</v>
      </c>
      <c r="AC28" s="11">
        <f>IF(AC$3=0,"",SUMIFS(INDEX(Inputs!$D$4:$AG$200,0,MATCH(AC$2,Inputs!$D$2:$AG$2,0)),Inputs!$B$4:$B$200,$B28)/1000)</f>
        <v>13097</v>
      </c>
      <c r="AD28" s="11">
        <f>IF(AD$3=0,"",SUMIFS(INDEX(Inputs!$D$4:$AG$200,0,MATCH(AD$2,Inputs!$D$2:$AG$2,0)),Inputs!$B$4:$B$200,$B28)/1000)</f>
        <v>15059</v>
      </c>
      <c r="AE28" s="11" t="str">
        <f>IF(AE$3=0,"",SUMIFS(INDEX(Inputs!$D$4:$AG$200,0,MATCH(AE$2,Inputs!$D$2:$AG$2,0)),Inputs!$B$4:$B$200,$B28)/1000)</f>
        <v/>
      </c>
      <c r="AF28" s="11" t="str">
        <f>IF(AF$3=0,"",SUMIFS(INDEX(Inputs!$D$4:$AG$200,0,MATCH(AF$2,Inputs!$D$2:$AG$2,0)),Inputs!$B$4:$B$200,$B28)/1000)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IF(D$3=0,"",SUMIFS(INDEX(Inputs!$D$4:$AG$200,0,MATCH(D$2,Inputs!$D$2:$AG$2,0)),Inputs!$B$4:$B$200,$B29)/1000)</f>
        <v>1787</v>
      </c>
      <c r="E29" s="11">
        <f>IF(E$3=0,"",SUMIFS(INDEX(Inputs!$D$4:$AG$200,0,MATCH(E$2,Inputs!$D$2:$AG$2,0)),Inputs!$B$4:$B$200,$B29)/1000)</f>
        <v>1974</v>
      </c>
      <c r="F29" s="11">
        <f>IF(F$3=0,"",SUMIFS(INDEX(Inputs!$D$4:$AG$200,0,MATCH(F$2,Inputs!$D$2:$AG$2,0)),Inputs!$B$4:$B$200,$B29)/1000)</f>
        <v>1948</v>
      </c>
      <c r="G29" s="11">
        <f>IF(G$3=0,"",SUMIFS(INDEX(Inputs!$D$4:$AG$200,0,MATCH(G$2,Inputs!$D$2:$AG$2,0)),Inputs!$B$4:$B$200,$B29)/1000)</f>
        <v>2552</v>
      </c>
      <c r="H29" s="12">
        <f>IF(G29="","",G29)</f>
        <v>2552</v>
      </c>
      <c r="I29" s="11">
        <f>IF(I$3=0,"",SUMIFS(INDEX(Inputs!$D$4:$AG$200,0,MATCH(I$2,Inputs!$D$2:$AG$2,0)),Inputs!$B$4:$B$200,$B29)/1000)</f>
        <v>3563</v>
      </c>
      <c r="J29" s="11">
        <f>IF(J$3=0,"",SUMIFS(INDEX(Inputs!$D$4:$AG$200,0,MATCH(J$2,Inputs!$D$2:$AG$2,0)),Inputs!$B$4:$B$200,$B29)/1000)</f>
        <v>3903</v>
      </c>
      <c r="K29" s="11">
        <f>IF(K$3=0,"",SUMIFS(INDEX(Inputs!$D$4:$AG$200,0,MATCH(K$2,Inputs!$D$2:$AG$2,0)),Inputs!$B$4:$B$200,$B29)/1000)</f>
        <v>4115</v>
      </c>
      <c r="L29" s="11">
        <f>IF(L$3=0,"",SUMIFS(INDEX(Inputs!$D$4:$AG$200,0,MATCH(L$2,Inputs!$D$2:$AG$2,0)),Inputs!$B$4:$B$200,$B29)/1000)</f>
        <v>4120</v>
      </c>
      <c r="M29" s="12">
        <f>IF(L29="","",L29)</f>
        <v>4120</v>
      </c>
      <c r="N29" s="11">
        <f>IF(N$3=0,"",SUMIFS(INDEX(Inputs!$D$4:$AG$200,0,MATCH(N$2,Inputs!$D$2:$AG$2,0)),Inputs!$B$4:$B$200,$B29)/1000)</f>
        <v>4869</v>
      </c>
      <c r="O29" s="11">
        <f>IF(O$3=0,"",SUMIFS(INDEX(Inputs!$D$4:$AG$200,0,MATCH(O$2,Inputs!$D$2:$AG$2,0)),Inputs!$B$4:$B$200,$B29)/1000)</f>
        <v>7156</v>
      </c>
      <c r="P29" s="11">
        <f>IF(P$3=0,"",SUMIFS(INDEX(Inputs!$D$4:$AG$200,0,MATCH(P$2,Inputs!$D$2:$AG$2,0)),Inputs!$B$4:$B$200,$B29)/1000)</f>
        <v>5472</v>
      </c>
      <c r="Q29" s="11">
        <f>IF(Q$3=0,"",SUMIFS(INDEX(Inputs!$D$4:$AG$200,0,MATCH(Q$2,Inputs!$D$2:$AG$2,0)),Inputs!$B$4:$B$200,$B29)/1000)</f>
        <v>6682</v>
      </c>
      <c r="R29" s="12">
        <f>IF(Q29="","",Q29)</f>
        <v>6682</v>
      </c>
      <c r="S29" s="11">
        <f>IF(S$3=0,"",SUMIFS(INDEX(Inputs!$D$4:$AG$200,0,MATCH(S$2,Inputs!$D$2:$AG$2,0)),Inputs!$B$4:$B$200,$B29)/1000)</f>
        <v>11258</v>
      </c>
      <c r="T29" s="11">
        <f>IF(T$3=0,"",SUMIFS(INDEX(Inputs!$D$4:$AG$200,0,MATCH(T$2,Inputs!$D$2:$AG$2,0)),Inputs!$B$4:$B$200,$B29)/1000)</f>
        <v>10289</v>
      </c>
      <c r="U29" s="11">
        <f>IF(U$3=0,"",SUMIFS(INDEX(Inputs!$D$4:$AG$200,0,MATCH(U$2,Inputs!$D$2:$AG$2,0)),Inputs!$B$4:$B$200,$B29)/1000)</f>
        <v>11126</v>
      </c>
      <c r="V29" s="11">
        <f>IF(V$3=0,"",SUMIFS(INDEX(Inputs!$D$4:$AG$200,0,MATCH(V$2,Inputs!$D$2:$AG$2,0)),Inputs!$B$4:$B$200,$B29)/1000)</f>
        <v>11737</v>
      </c>
      <c r="W29" s="12">
        <f>IF(V29="","",V29)</f>
        <v>11737</v>
      </c>
      <c r="X29" s="11">
        <f>IF(X$3=0,"",SUMIFS(INDEX(Inputs!$D$4:$AG$200,0,MATCH(X$2,Inputs!$D$2:$AG$2,0)),Inputs!$B$4:$B$200,$B29)/1000)</f>
        <v>19211</v>
      </c>
      <c r="Y29" s="11">
        <f>IF(Y$3=0,"",SUMIFS(INDEX(Inputs!$D$4:$AG$200,0,MATCH(Y$2,Inputs!$D$2:$AG$2,0)),Inputs!$B$4:$B$200,$B29)/1000)</f>
        <v>15193</v>
      </c>
      <c r="Z29" s="11">
        <f>IF(Z$3=0,"",SUMIFS(INDEX(Inputs!$D$4:$AG$200,0,MATCH(Z$2,Inputs!$D$2:$AG$2,0)),Inputs!$B$4:$B$200,$B29)/1000)</f>
        <v>16452</v>
      </c>
      <c r="AA29" s="11">
        <f>IF(AA$3=0,"",SUMIFS(INDEX(Inputs!$D$4:$AG$200,0,MATCH(AA$2,Inputs!$D$2:$AG$2,0)),Inputs!$B$4:$B$200,$B29)/1000)</f>
        <v>21352</v>
      </c>
      <c r="AB29" s="12">
        <f>IF(AA29="","",AA29)</f>
        <v>21352</v>
      </c>
      <c r="AC29" s="11">
        <f>IF(AC$3=0,"",SUMIFS(INDEX(Inputs!$D$4:$AG$200,0,MATCH(AC$2,Inputs!$D$2:$AG$2,0)),Inputs!$B$4:$B$200,$B29)/1000)</f>
        <v>29787</v>
      </c>
      <c r="AD29" s="11">
        <f>IF(AD$3=0,"",SUMIFS(INDEX(Inputs!$D$4:$AG$200,0,MATCH(AD$2,Inputs!$D$2:$AG$2,0)),Inputs!$B$4:$B$200,$B29)/1000)</f>
        <v>26960</v>
      </c>
      <c r="AE29" s="11" t="str">
        <f>IF(AE$3=0,"",SUMIFS(INDEX(Inputs!$D$4:$AG$200,0,MATCH(AE$2,Inputs!$D$2:$AG$2,0)),Inputs!$B$4:$B$200,$B29)/1000)</f>
        <v/>
      </c>
      <c r="AF29" s="11" t="str">
        <f>IF(AF$3=0,"",SUMIFS(INDEX(Inputs!$D$4:$AG$200,0,MATCH(AF$2,Inputs!$D$2:$AG$2,0)),Inputs!$B$4:$B$200,$B29)/1000)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IF(D$3=0,"",SUMIFS(INDEX(Inputs!$D$4:$AG$200,0,MATCH(D$2,Inputs!$D$2:$AG$2,0)),Inputs!$B$4:$B$200,$B30)/1000)</f>
        <v>0</v>
      </c>
      <c r="E30" s="11">
        <f>IF(E$3=0,"",SUMIFS(INDEX(Inputs!$D$4:$AG$200,0,MATCH(E$2,Inputs!$D$2:$AG$2,0)),Inputs!$B$4:$B$200,$B30)/1000)</f>
        <v>0</v>
      </c>
      <c r="F30" s="11">
        <f>IF(F$3=0,"",SUMIFS(INDEX(Inputs!$D$4:$AG$200,0,MATCH(F$2,Inputs!$D$2:$AG$2,0)),Inputs!$B$4:$B$200,$B30)/1000)</f>
        <v>0</v>
      </c>
      <c r="G30" s="11">
        <f>IF(G$3=0,"",SUMIFS(INDEX(Inputs!$D$4:$AG$200,0,MATCH(G$2,Inputs!$D$2:$AG$2,0)),Inputs!$B$4:$B$200,$B30)/1000)</f>
        <v>0</v>
      </c>
      <c r="H30" s="12">
        <f>IF(G30="","",G30)</f>
        <v>0</v>
      </c>
      <c r="I30" s="11">
        <f>IF(I$3=0,"",SUMIFS(INDEX(Inputs!$D$4:$AG$200,0,MATCH(I$2,Inputs!$D$2:$AG$2,0)),Inputs!$B$4:$B$200,$B30)/1000)</f>
        <v>0</v>
      </c>
      <c r="J30" s="11">
        <f>IF(J$3=0,"",SUMIFS(INDEX(Inputs!$D$4:$AG$200,0,MATCH(J$2,Inputs!$D$2:$AG$2,0)),Inputs!$B$4:$B$200,$B30)/1000)</f>
        <v>0</v>
      </c>
      <c r="K30" s="11">
        <f>IF(K$3=0,"",SUMIFS(INDEX(Inputs!$D$4:$AG$200,0,MATCH(K$2,Inputs!$D$2:$AG$2,0)),Inputs!$B$4:$B$200,$B30)/1000)</f>
        <v>0</v>
      </c>
      <c r="L30" s="11">
        <f>IF(L$3=0,"",SUMIFS(INDEX(Inputs!$D$4:$AG$200,0,MATCH(L$2,Inputs!$D$2:$AG$2,0)),Inputs!$B$4:$B$200,$B30)/1000)</f>
        <v>0</v>
      </c>
      <c r="M30" s="12">
        <f>IF(L30="","",L30)</f>
        <v>0</v>
      </c>
      <c r="N30" s="11">
        <f>IF(N$3=0,"",SUMIFS(INDEX(Inputs!$D$4:$AG$200,0,MATCH(N$2,Inputs!$D$2:$AG$2,0)),Inputs!$B$4:$B$200,$B30)/1000)</f>
        <v>0</v>
      </c>
      <c r="O30" s="11">
        <f>IF(O$3=0,"",SUMIFS(INDEX(Inputs!$D$4:$AG$200,0,MATCH(O$2,Inputs!$D$2:$AG$2,0)),Inputs!$B$4:$B$200,$B30)/1000)</f>
        <v>0</v>
      </c>
      <c r="P30" s="11">
        <f>IF(P$3=0,"",SUMIFS(INDEX(Inputs!$D$4:$AG$200,0,MATCH(P$2,Inputs!$D$2:$AG$2,0)),Inputs!$B$4:$B$200,$B30)/1000)</f>
        <v>0</v>
      </c>
      <c r="Q30" s="11">
        <f>IF(Q$3=0,"",SUMIFS(INDEX(Inputs!$D$4:$AG$200,0,MATCH(Q$2,Inputs!$D$2:$AG$2,0)),Inputs!$B$4:$B$200,$B30)/1000)</f>
        <v>0</v>
      </c>
      <c r="R30" s="12">
        <f>IF(Q30="","",Q30)</f>
        <v>0</v>
      </c>
      <c r="S30" s="11">
        <f>IF(S$3=0,"",SUMIFS(INDEX(Inputs!$D$4:$AG$200,0,MATCH(S$2,Inputs!$D$2:$AG$2,0)),Inputs!$B$4:$B$200,$B30)/1000)</f>
        <v>0</v>
      </c>
      <c r="T30" s="11">
        <f>IF(T$3=0,"",SUMIFS(INDEX(Inputs!$D$4:$AG$200,0,MATCH(T$2,Inputs!$D$2:$AG$2,0)),Inputs!$B$4:$B$200,$B30)/1000)</f>
        <v>0</v>
      </c>
      <c r="U30" s="11">
        <f>IF(U$3=0,"",SUMIFS(INDEX(Inputs!$D$4:$AG$200,0,MATCH(U$2,Inputs!$D$2:$AG$2,0)),Inputs!$B$4:$B$200,$B30)/1000)</f>
        <v>0</v>
      </c>
      <c r="V30" s="11">
        <f>IF(V$3=0,"",SUMIFS(INDEX(Inputs!$D$4:$AG$200,0,MATCH(V$2,Inputs!$D$2:$AG$2,0)),Inputs!$B$4:$B$200,$B30)/1000)</f>
        <v>0</v>
      </c>
      <c r="W30" s="12">
        <f>IF(V30="","",V30)</f>
        <v>0</v>
      </c>
      <c r="X30" s="11">
        <f>IF(X$3=0,"",SUMIFS(INDEX(Inputs!$D$4:$AG$200,0,MATCH(X$2,Inputs!$D$2:$AG$2,0)),Inputs!$B$4:$B$200,$B30)/1000)</f>
        <v>0</v>
      </c>
      <c r="Y30" s="11">
        <f>IF(Y$3=0,"",SUMIFS(INDEX(Inputs!$D$4:$AG$200,0,MATCH(Y$2,Inputs!$D$2:$AG$2,0)),Inputs!$B$4:$B$200,$B30)/1000)</f>
        <v>0</v>
      </c>
      <c r="Z30" s="11">
        <f>IF(Z$3=0,"",SUMIFS(INDEX(Inputs!$D$4:$AG$200,0,MATCH(Z$2,Inputs!$D$2:$AG$2,0)),Inputs!$B$4:$B$200,$B30)/1000)</f>
        <v>0</v>
      </c>
      <c r="AA30" s="11">
        <f>IF(AA$3=0,"",SUMIFS(INDEX(Inputs!$D$4:$AG$200,0,MATCH(AA$2,Inputs!$D$2:$AG$2,0)),Inputs!$B$4:$B$200,$B30)/1000)</f>
        <v>0</v>
      </c>
      <c r="AB30" s="12">
        <f>IF(AA30="","",AA30)</f>
        <v>0</v>
      </c>
      <c r="AC30" s="11">
        <f>IF(AC$3=0,"",SUMIFS(INDEX(Inputs!$D$4:$AG$200,0,MATCH(AC$2,Inputs!$D$2:$AG$2,0)),Inputs!$B$4:$B$200,$B30)/1000)</f>
        <v>0</v>
      </c>
      <c r="AD30" s="11">
        <f>IF(AD$3=0,"",SUMIFS(INDEX(Inputs!$D$4:$AG$200,0,MATCH(AD$2,Inputs!$D$2:$AG$2,0)),Inputs!$B$4:$B$200,$B30)/1000)</f>
        <v>0</v>
      </c>
      <c r="AE30" s="11" t="str">
        <f>IF(AE$3=0,"",SUMIFS(INDEX(Inputs!$D$4:$AG$200,0,MATCH(AE$2,Inputs!$D$2:$AG$2,0)),Inputs!$B$4:$B$200,$B30)/1000)</f>
        <v/>
      </c>
      <c r="AF30" s="11" t="str">
        <f>IF(AF$3=0,"",SUMIFS(INDEX(Inputs!$D$4:$AG$200,0,MATCH(AF$2,Inputs!$D$2:$AG$2,0)),Inputs!$B$4:$B$200,$B30)/1000)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IF(D$3=0,"",SUMIFS(INDEX(Inputs!$D$4:$AG$200,0,MATCH(D$2,Inputs!$D$2:$AG$2,0)),Inputs!$B$4:$B$200,$B31)/1000)</f>
        <v>0</v>
      </c>
      <c r="E31" s="11">
        <f>IF(E$3=0,"",SUMIFS(INDEX(Inputs!$D$4:$AG$200,0,MATCH(E$2,Inputs!$D$2:$AG$2,0)),Inputs!$B$4:$B$200,$B31)/1000)</f>
        <v>0</v>
      </c>
      <c r="F31" s="11">
        <f>IF(F$3=0,"",SUMIFS(INDEX(Inputs!$D$4:$AG$200,0,MATCH(F$2,Inputs!$D$2:$AG$2,0)),Inputs!$B$4:$B$200,$B31)/1000)</f>
        <v>0</v>
      </c>
      <c r="G31" s="11">
        <f>IF(G$3=0,"",SUMIFS(INDEX(Inputs!$D$4:$AG$200,0,MATCH(G$2,Inputs!$D$2:$AG$2,0)),Inputs!$B$4:$B$200,$B31)/1000)</f>
        <v>0</v>
      </c>
      <c r="H31" s="12">
        <f>IF(G31="","",G31)</f>
        <v>0</v>
      </c>
      <c r="I31" s="11">
        <f>IF(I$3=0,"",SUMIFS(INDEX(Inputs!$D$4:$AG$200,0,MATCH(I$2,Inputs!$D$2:$AG$2,0)),Inputs!$B$4:$B$200,$B31)/1000)</f>
        <v>0</v>
      </c>
      <c r="J31" s="11">
        <f>IF(J$3=0,"",SUMIFS(INDEX(Inputs!$D$4:$AG$200,0,MATCH(J$2,Inputs!$D$2:$AG$2,0)),Inputs!$B$4:$B$200,$B31)/1000)</f>
        <v>0</v>
      </c>
      <c r="K31" s="11">
        <f>IF(K$3=0,"",SUMIFS(INDEX(Inputs!$D$4:$AG$200,0,MATCH(K$2,Inputs!$D$2:$AG$2,0)),Inputs!$B$4:$B$200,$B31)/1000)</f>
        <v>0</v>
      </c>
      <c r="L31" s="11">
        <f>IF(L$3=0,"",SUMIFS(INDEX(Inputs!$D$4:$AG$200,0,MATCH(L$2,Inputs!$D$2:$AG$2,0)),Inputs!$B$4:$B$200,$B31)/1000)</f>
        <v>0</v>
      </c>
      <c r="M31" s="12">
        <f>IF(L31="","",L31)</f>
        <v>0</v>
      </c>
      <c r="N31" s="11">
        <f>IF(N$3=0,"",SUMIFS(INDEX(Inputs!$D$4:$AG$200,0,MATCH(N$2,Inputs!$D$2:$AG$2,0)),Inputs!$B$4:$B$200,$B31)/1000)</f>
        <v>0</v>
      </c>
      <c r="O31" s="11">
        <f>IF(O$3=0,"",SUMIFS(INDEX(Inputs!$D$4:$AG$200,0,MATCH(O$2,Inputs!$D$2:$AG$2,0)),Inputs!$B$4:$B$200,$B31)/1000)</f>
        <v>0</v>
      </c>
      <c r="P31" s="11">
        <f>IF(P$3=0,"",SUMIFS(INDEX(Inputs!$D$4:$AG$200,0,MATCH(P$2,Inputs!$D$2:$AG$2,0)),Inputs!$B$4:$B$200,$B31)/1000)</f>
        <v>0</v>
      </c>
      <c r="Q31" s="11">
        <f>IF(Q$3=0,"",SUMIFS(INDEX(Inputs!$D$4:$AG$200,0,MATCH(Q$2,Inputs!$D$2:$AG$2,0)),Inputs!$B$4:$B$200,$B31)/1000)</f>
        <v>0</v>
      </c>
      <c r="R31" s="12">
        <f>IF(Q31="","",Q31)</f>
        <v>0</v>
      </c>
      <c r="S31" s="11">
        <f>IF(S$3=0,"",SUMIFS(INDEX(Inputs!$D$4:$AG$200,0,MATCH(S$2,Inputs!$D$2:$AG$2,0)),Inputs!$B$4:$B$200,$B31)/1000)</f>
        <v>0</v>
      </c>
      <c r="T31" s="11">
        <f>IF(T$3=0,"",SUMIFS(INDEX(Inputs!$D$4:$AG$200,0,MATCH(T$2,Inputs!$D$2:$AG$2,0)),Inputs!$B$4:$B$200,$B31)/1000)</f>
        <v>0</v>
      </c>
      <c r="U31" s="11">
        <f>IF(U$3=0,"",SUMIFS(INDEX(Inputs!$D$4:$AG$200,0,MATCH(U$2,Inputs!$D$2:$AG$2,0)),Inputs!$B$4:$B$200,$B31)/1000)</f>
        <v>0</v>
      </c>
      <c r="V31" s="11">
        <f>IF(V$3=0,"",SUMIFS(INDEX(Inputs!$D$4:$AG$200,0,MATCH(V$2,Inputs!$D$2:$AG$2,0)),Inputs!$B$4:$B$200,$B31)/1000)</f>
        <v>0</v>
      </c>
      <c r="W31" s="12">
        <f>IF(V31="","",V31)</f>
        <v>0</v>
      </c>
      <c r="X31" s="11">
        <f>IF(X$3=0,"",SUMIFS(INDEX(Inputs!$D$4:$AG$200,0,MATCH(X$2,Inputs!$D$2:$AG$2,0)),Inputs!$B$4:$B$200,$B31)/1000)</f>
        <v>0</v>
      </c>
      <c r="Y31" s="11">
        <f>IF(Y$3=0,"",SUMIFS(INDEX(Inputs!$D$4:$AG$200,0,MATCH(Y$2,Inputs!$D$2:$AG$2,0)),Inputs!$B$4:$B$200,$B31)/1000)</f>
        <v>0</v>
      </c>
      <c r="Z31" s="11">
        <f>IF(Z$3=0,"",SUMIFS(INDEX(Inputs!$D$4:$AG$200,0,MATCH(Z$2,Inputs!$D$2:$AG$2,0)),Inputs!$B$4:$B$200,$B31)/1000)</f>
        <v>0</v>
      </c>
      <c r="AA31" s="11">
        <f>IF(AA$3=0,"",SUMIFS(INDEX(Inputs!$D$4:$AG$200,0,MATCH(AA$2,Inputs!$D$2:$AG$2,0)),Inputs!$B$4:$B$200,$B31)/1000)</f>
        <v>0</v>
      </c>
      <c r="AB31" s="12">
        <f>IF(AA31="","",AA31)</f>
        <v>0</v>
      </c>
      <c r="AC31" s="11">
        <f>IF(AC$3=0,"",SUMIFS(INDEX(Inputs!$D$4:$AG$200,0,MATCH(AC$2,Inputs!$D$2:$AG$2,0)),Inputs!$B$4:$B$200,$B31)/1000)</f>
        <v>0</v>
      </c>
      <c r="AD31" s="11">
        <f>IF(AD$3=0,"",SUMIFS(INDEX(Inputs!$D$4:$AG$200,0,MATCH(AD$2,Inputs!$D$2:$AG$2,0)),Inputs!$B$4:$B$200,$B31)/1000)</f>
        <v>0</v>
      </c>
      <c r="AE31" s="11" t="str">
        <f>IF(AE$3=0,"",SUMIFS(INDEX(Inputs!$D$4:$AG$200,0,MATCH(AE$2,Inputs!$D$2:$AG$2,0)),Inputs!$B$4:$B$200,$B31)/1000)</f>
        <v/>
      </c>
      <c r="AF31" s="11" t="str">
        <f>IF(AF$3=0,"",SUMIFS(INDEX(Inputs!$D$4:$AG$200,0,MATCH(AF$2,Inputs!$D$2:$AG$2,0)),Inputs!$B$4:$B$200,$B31)/1000)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IF(D$3=0,"",SUMIFS(INDEX(Inputs!$D$4:$AG$200,0,MATCH(D$2,Inputs!$D$2:$AG$2,0)),Inputs!$B$4:$B$200,$B32)/1000)</f>
        <v>999</v>
      </c>
      <c r="E32" s="11">
        <f>IF(E$3=0,"",SUMIFS(INDEX(Inputs!$D$4:$AG$200,0,MATCH(E$2,Inputs!$D$2:$AG$2,0)),Inputs!$B$4:$B$200,$B32)/1000)</f>
        <v>1000</v>
      </c>
      <c r="F32" s="11">
        <f>IF(F$3=0,"",SUMIFS(INDEX(Inputs!$D$4:$AG$200,0,MATCH(F$2,Inputs!$D$2:$AG$2,0)),Inputs!$B$4:$B$200,$B32)/1000)</f>
        <v>0</v>
      </c>
      <c r="G32" s="11">
        <f>IF(G$3=0,"",SUMIFS(INDEX(Inputs!$D$4:$AG$200,0,MATCH(G$2,Inputs!$D$2:$AG$2,0)),Inputs!$B$4:$B$200,$B32)/1000)</f>
        <v>0</v>
      </c>
      <c r="H32" s="12">
        <f>IF(G32="","",G32)</f>
        <v>0</v>
      </c>
      <c r="I32" s="11">
        <f>IF(I$3=0,"",SUMIFS(INDEX(Inputs!$D$4:$AG$200,0,MATCH(I$2,Inputs!$D$2:$AG$2,0)),Inputs!$B$4:$B$200,$B32)/1000)</f>
        <v>0</v>
      </c>
      <c r="J32" s="11">
        <f>IF(J$3=0,"",SUMIFS(INDEX(Inputs!$D$4:$AG$200,0,MATCH(J$2,Inputs!$D$2:$AG$2,0)),Inputs!$B$4:$B$200,$B32)/1000)</f>
        <v>1249</v>
      </c>
      <c r="K32" s="11">
        <f>IF(K$3=0,"",SUMIFS(INDEX(Inputs!$D$4:$AG$200,0,MATCH(K$2,Inputs!$D$2:$AG$2,0)),Inputs!$B$4:$B$200,$B32)/1000)</f>
        <v>1249</v>
      </c>
      <c r="L32" s="11">
        <f>IF(L$3=0,"",SUMIFS(INDEX(Inputs!$D$4:$AG$200,0,MATCH(L$2,Inputs!$D$2:$AG$2,0)),Inputs!$B$4:$B$200,$B32)/1000)</f>
        <v>1250</v>
      </c>
      <c r="M32" s="12">
        <f>IF(L32="","",L32)</f>
        <v>1250</v>
      </c>
      <c r="N32" s="11">
        <f>IF(N$3=0,"",SUMIFS(INDEX(Inputs!$D$4:$AG$200,0,MATCH(N$2,Inputs!$D$2:$AG$2,0)),Inputs!$B$4:$B$200,$B32)/1000)</f>
        <v>1250</v>
      </c>
      <c r="O32" s="11">
        <f>IF(O$3=0,"",SUMIFS(INDEX(Inputs!$D$4:$AG$200,0,MATCH(O$2,Inputs!$D$2:$AG$2,0)),Inputs!$B$4:$B$200,$B32)/1000)</f>
        <v>1249</v>
      </c>
      <c r="P32" s="11">
        <f>IF(P$3=0,"",SUMIFS(INDEX(Inputs!$D$4:$AG$200,0,MATCH(P$2,Inputs!$D$2:$AG$2,0)),Inputs!$B$4:$B$200,$B32)/1000)</f>
        <v>1249</v>
      </c>
      <c r="Q32" s="11">
        <f>IF(Q$3=0,"",SUMIFS(INDEX(Inputs!$D$4:$AG$200,0,MATCH(Q$2,Inputs!$D$2:$AG$2,0)),Inputs!$B$4:$B$200,$B32)/1000)</f>
        <v>1250</v>
      </c>
      <c r="R32" s="12">
        <f>IF(Q32="","",Q32)</f>
        <v>1250</v>
      </c>
      <c r="S32" s="11">
        <f>IF(S$3=0,"",SUMIFS(INDEX(Inputs!$D$4:$AG$200,0,MATCH(S$2,Inputs!$D$2:$AG$2,0)),Inputs!$B$4:$B$200,$B32)/1000)</f>
        <v>1250</v>
      </c>
      <c r="T32" s="11">
        <f>IF(T$3=0,"",SUMIFS(INDEX(Inputs!$D$4:$AG$200,0,MATCH(T$2,Inputs!$D$2:$AG$2,0)),Inputs!$B$4:$B$200,$B32)/1000)</f>
        <v>0</v>
      </c>
      <c r="U32" s="11">
        <f>IF(U$3=0,"",SUMIFS(INDEX(Inputs!$D$4:$AG$200,0,MATCH(U$2,Inputs!$D$2:$AG$2,0)),Inputs!$B$4:$B$200,$B32)/1000)</f>
        <v>0</v>
      </c>
      <c r="V32" s="11">
        <f>IF(V$3=0,"",SUMIFS(INDEX(Inputs!$D$4:$AG$200,0,MATCH(V$2,Inputs!$D$2:$AG$2,0)),Inputs!$B$4:$B$200,$B32)/1000)</f>
        <v>0</v>
      </c>
      <c r="W32" s="12">
        <f>IF(V32="","",V32)</f>
        <v>0</v>
      </c>
      <c r="X32" s="11">
        <f>IF(X$3=0,"",SUMIFS(INDEX(Inputs!$D$4:$AG$200,0,MATCH(X$2,Inputs!$D$2:$AG$2,0)),Inputs!$B$4:$B$200,$B32)/1000)</f>
        <v>0</v>
      </c>
      <c r="Y32" s="11">
        <f>IF(Y$3=0,"",SUMIFS(INDEX(Inputs!$D$4:$AG$200,0,MATCH(Y$2,Inputs!$D$2:$AG$2,0)),Inputs!$B$4:$B$200,$B32)/1000)</f>
        <v>0</v>
      </c>
      <c r="Z32" s="11">
        <f>IF(Z$3=0,"",SUMIFS(INDEX(Inputs!$D$4:$AG$200,0,MATCH(Z$2,Inputs!$D$2:$AG$2,0)),Inputs!$B$4:$B$200,$B32)/1000)</f>
        <v>999</v>
      </c>
      <c r="AA32" s="11">
        <f>IF(AA$3=0,"",SUMIFS(INDEX(Inputs!$D$4:$AG$200,0,MATCH(AA$2,Inputs!$D$2:$AG$2,0)),Inputs!$B$4:$B$200,$B32)/1000)</f>
        <v>999</v>
      </c>
      <c r="AB32" s="12">
        <f>IF(AA32="","",AA32)</f>
        <v>999</v>
      </c>
      <c r="AC32" s="11">
        <f>IF(AC$3=0,"",SUMIFS(INDEX(Inputs!$D$4:$AG$200,0,MATCH(AC$2,Inputs!$D$2:$AG$2,0)),Inputs!$B$4:$B$200,$B32)/1000)</f>
        <v>1000</v>
      </c>
      <c r="AD32" s="11">
        <f>IF(AD$3=0,"",SUMIFS(INDEX(Inputs!$D$4:$AG$200,0,MATCH(AD$2,Inputs!$D$2:$AG$2,0)),Inputs!$B$4:$B$200,$B32)/1000)</f>
        <v>1000</v>
      </c>
      <c r="AE32" s="11" t="str">
        <f>IF(AE$3=0,"",SUMIFS(INDEX(Inputs!$D$4:$AG$200,0,MATCH(AE$2,Inputs!$D$2:$AG$2,0)),Inputs!$B$4:$B$200,$B32)/1000)</f>
        <v/>
      </c>
      <c r="AF32" s="11" t="str">
        <f>IF(AF$3=0,"",SUMIFS(INDEX(Inputs!$D$4:$AG$200,0,MATCH(AF$2,Inputs!$D$2:$AG$2,0)),Inputs!$B$4:$B$200,$B32)/1000)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IF(D$3=0,"",SUMIFS(INDEX(Inputs!$D$4:$AG$200,0,MATCH(D$2,Inputs!$D$2:$AG$2,0)),Inputs!$B$4:$B$200,$B33)/1000)</f>
        <v>0</v>
      </c>
      <c r="E33" s="11">
        <f>IF(E$3=0,"",SUMIFS(INDEX(Inputs!$D$4:$AG$200,0,MATCH(E$2,Inputs!$D$2:$AG$2,0)),Inputs!$B$4:$B$200,$B33)/1000)</f>
        <v>0</v>
      </c>
      <c r="F33" s="11">
        <f>IF(F$3=0,"",SUMIFS(INDEX(Inputs!$D$4:$AG$200,0,MATCH(F$2,Inputs!$D$2:$AG$2,0)),Inputs!$B$4:$B$200,$B33)/1000)</f>
        <v>0</v>
      </c>
      <c r="G33" s="11">
        <f>IF(G$3=0,"",SUMIFS(INDEX(Inputs!$D$4:$AG$200,0,MATCH(G$2,Inputs!$D$2:$AG$2,0)),Inputs!$B$4:$B$200,$B33)/1000)</f>
        <v>0</v>
      </c>
      <c r="H33" s="12">
        <f>IF(G33="","",G33)</f>
        <v>0</v>
      </c>
      <c r="I33" s="11">
        <f>IF(I$3=0,"",SUMIFS(INDEX(Inputs!$D$4:$AG$200,0,MATCH(I$2,Inputs!$D$2:$AG$2,0)),Inputs!$B$4:$B$200,$B33)/1000)</f>
        <v>0</v>
      </c>
      <c r="J33" s="11">
        <f>IF(J$3=0,"",SUMIFS(INDEX(Inputs!$D$4:$AG$200,0,MATCH(J$2,Inputs!$D$2:$AG$2,0)),Inputs!$B$4:$B$200,$B33)/1000)</f>
        <v>0</v>
      </c>
      <c r="K33" s="11">
        <f>IF(K$3=0,"",SUMIFS(INDEX(Inputs!$D$4:$AG$200,0,MATCH(K$2,Inputs!$D$2:$AG$2,0)),Inputs!$B$4:$B$200,$B33)/1000)</f>
        <v>0</v>
      </c>
      <c r="L33" s="11">
        <f>IF(L$3=0,"",SUMIFS(INDEX(Inputs!$D$4:$AG$200,0,MATCH(L$2,Inputs!$D$2:$AG$2,0)),Inputs!$B$4:$B$200,$B33)/1000)</f>
        <v>0</v>
      </c>
      <c r="M33" s="12">
        <f>IF(L33="","",L33)</f>
        <v>0</v>
      </c>
      <c r="N33" s="11">
        <f>IF(N$3=0,"",SUMIFS(INDEX(Inputs!$D$4:$AG$200,0,MATCH(N$2,Inputs!$D$2:$AG$2,0)),Inputs!$B$4:$B$200,$B33)/1000)</f>
        <v>0</v>
      </c>
      <c r="O33" s="11">
        <f>IF(O$3=0,"",SUMIFS(INDEX(Inputs!$D$4:$AG$200,0,MATCH(O$2,Inputs!$D$2:$AG$2,0)),Inputs!$B$4:$B$200,$B33)/1000)</f>
        <v>0</v>
      </c>
      <c r="P33" s="11">
        <f>IF(P$3=0,"",SUMIFS(INDEX(Inputs!$D$4:$AG$200,0,MATCH(P$2,Inputs!$D$2:$AG$2,0)),Inputs!$B$4:$B$200,$B33)/1000)</f>
        <v>0</v>
      </c>
      <c r="Q33" s="11">
        <f>IF(Q$3=0,"",SUMIFS(INDEX(Inputs!$D$4:$AG$200,0,MATCH(Q$2,Inputs!$D$2:$AG$2,0)),Inputs!$B$4:$B$200,$B33)/1000)</f>
        <v>0</v>
      </c>
      <c r="R33" s="12">
        <f>IF(Q33="","",Q33)</f>
        <v>0</v>
      </c>
      <c r="S33" s="11">
        <f>IF(S$3=0,"",SUMIFS(INDEX(Inputs!$D$4:$AG$200,0,MATCH(S$2,Inputs!$D$2:$AG$2,0)),Inputs!$B$4:$B$200,$B33)/1000)</f>
        <v>0</v>
      </c>
      <c r="T33" s="11">
        <f>IF(T$3=0,"",SUMIFS(INDEX(Inputs!$D$4:$AG$200,0,MATCH(T$2,Inputs!$D$2:$AG$2,0)),Inputs!$B$4:$B$200,$B33)/1000)</f>
        <v>0</v>
      </c>
      <c r="U33" s="11">
        <f>IF(U$3=0,"",SUMIFS(INDEX(Inputs!$D$4:$AG$200,0,MATCH(U$2,Inputs!$D$2:$AG$2,0)),Inputs!$B$4:$B$200,$B33)/1000)</f>
        <v>0</v>
      </c>
      <c r="V33" s="11">
        <f>IF(V$3=0,"",SUMIFS(INDEX(Inputs!$D$4:$AG$200,0,MATCH(V$2,Inputs!$D$2:$AG$2,0)),Inputs!$B$4:$B$200,$B33)/1000)</f>
        <v>0</v>
      </c>
      <c r="W33" s="12">
        <f>IF(V33="","",V33)</f>
        <v>0</v>
      </c>
      <c r="X33" s="11">
        <f>IF(X$3=0,"",SUMIFS(INDEX(Inputs!$D$4:$AG$200,0,MATCH(X$2,Inputs!$D$2:$AG$2,0)),Inputs!$B$4:$B$200,$B33)/1000)</f>
        <v>0</v>
      </c>
      <c r="Y33" s="11">
        <f>IF(Y$3=0,"",SUMIFS(INDEX(Inputs!$D$4:$AG$200,0,MATCH(Y$2,Inputs!$D$2:$AG$2,0)),Inputs!$B$4:$B$200,$B33)/1000)</f>
        <v>0</v>
      </c>
      <c r="Z33" s="11">
        <f>IF(Z$3=0,"",SUMIFS(INDEX(Inputs!$D$4:$AG$200,0,MATCH(Z$2,Inputs!$D$2:$AG$2,0)),Inputs!$B$4:$B$200,$B33)/1000)</f>
        <v>0</v>
      </c>
      <c r="AA33" s="11">
        <f>IF(AA$3=0,"",SUMIFS(INDEX(Inputs!$D$4:$AG$200,0,MATCH(AA$2,Inputs!$D$2:$AG$2,0)),Inputs!$B$4:$B$200,$B33)/1000)</f>
        <v>0</v>
      </c>
      <c r="AB33" s="12">
        <f>IF(AA33="","",AA33)</f>
        <v>0</v>
      </c>
      <c r="AC33" s="11">
        <f>IF(AC$3=0,"",SUMIFS(INDEX(Inputs!$D$4:$AG$200,0,MATCH(AC$2,Inputs!$D$2:$AG$2,0)),Inputs!$B$4:$B$200,$B33)/1000)</f>
        <v>0</v>
      </c>
      <c r="AD33" s="11">
        <f>IF(AD$3=0,"",SUMIFS(INDEX(Inputs!$D$4:$AG$200,0,MATCH(AD$2,Inputs!$D$2:$AG$2,0)),Inputs!$B$4:$B$200,$B33)/1000)</f>
        <v>0</v>
      </c>
      <c r="AE33" s="11" t="str">
        <f>IF(AE$3=0,"",SUMIFS(INDEX(Inputs!$D$4:$AG$200,0,MATCH(AE$2,Inputs!$D$2:$AG$2,0)),Inputs!$B$4:$B$200,$B33)/1000)</f>
        <v/>
      </c>
      <c r="AF33" s="11" t="str">
        <f>IF(AF$3=0,"",SUMIFS(INDEX(Inputs!$D$4:$AG$200,0,MATCH(AF$2,Inputs!$D$2:$AG$2,0)),Inputs!$B$4:$B$200,$B33)/1000)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IF(D$3=0,"",SUMIFS(INDEX(Inputs!$D$4:$AG$200,0,MATCH(D$2,Inputs!$D$2:$AG$2,0)),Inputs!$B$4:$B$200,$B34)/1000)</f>
        <v>0</v>
      </c>
      <c r="E34" s="11">
        <f>IF(E$3=0,"",SUMIFS(INDEX(Inputs!$D$4:$AG$200,0,MATCH(E$2,Inputs!$D$2:$AG$2,0)),Inputs!$B$4:$B$200,$B34)/1000)</f>
        <v>0</v>
      </c>
      <c r="F34" s="11">
        <f>IF(F$3=0,"",SUMIFS(INDEX(Inputs!$D$4:$AG$200,0,MATCH(F$2,Inputs!$D$2:$AG$2,0)),Inputs!$B$4:$B$200,$B34)/1000)</f>
        <v>0</v>
      </c>
      <c r="G34" s="11">
        <f>IF(G$3=0,"",SUMIFS(INDEX(Inputs!$D$4:$AG$200,0,MATCH(G$2,Inputs!$D$2:$AG$2,0)),Inputs!$B$4:$B$200,$B34)/1000)</f>
        <v>0</v>
      </c>
      <c r="H34" s="12">
        <f>IF(G34="","",G34)</f>
        <v>0</v>
      </c>
      <c r="I34" s="11">
        <f>IF(I$3=0,"",SUMIFS(INDEX(Inputs!$D$4:$AG$200,0,MATCH(I$2,Inputs!$D$2:$AG$2,0)),Inputs!$B$4:$B$200,$B34)/1000)</f>
        <v>0</v>
      </c>
      <c r="J34" s="11">
        <f>IF(J$3=0,"",SUMIFS(INDEX(Inputs!$D$4:$AG$200,0,MATCH(J$2,Inputs!$D$2:$AG$2,0)),Inputs!$B$4:$B$200,$B34)/1000)</f>
        <v>0</v>
      </c>
      <c r="K34" s="11">
        <f>IF(K$3=0,"",SUMIFS(INDEX(Inputs!$D$4:$AG$200,0,MATCH(K$2,Inputs!$D$2:$AG$2,0)),Inputs!$B$4:$B$200,$B34)/1000)</f>
        <v>0</v>
      </c>
      <c r="L34" s="11">
        <f>IF(L$3=0,"",SUMIFS(INDEX(Inputs!$D$4:$AG$200,0,MATCH(L$2,Inputs!$D$2:$AG$2,0)),Inputs!$B$4:$B$200,$B34)/1000)</f>
        <v>0</v>
      </c>
      <c r="M34" s="12">
        <f>IF(L34="","",L34)</f>
        <v>0</v>
      </c>
      <c r="N34" s="11">
        <f>IF(N$3=0,"",SUMIFS(INDEX(Inputs!$D$4:$AG$200,0,MATCH(N$2,Inputs!$D$2:$AG$2,0)),Inputs!$B$4:$B$200,$B34)/1000)</f>
        <v>0</v>
      </c>
      <c r="O34" s="11">
        <f>IF(O$3=0,"",SUMIFS(INDEX(Inputs!$D$4:$AG$200,0,MATCH(O$2,Inputs!$D$2:$AG$2,0)),Inputs!$B$4:$B$200,$B34)/1000)</f>
        <v>0</v>
      </c>
      <c r="P34" s="11">
        <f>IF(P$3=0,"",SUMIFS(INDEX(Inputs!$D$4:$AG$200,0,MATCH(P$2,Inputs!$D$2:$AG$2,0)),Inputs!$B$4:$B$200,$B34)/1000)</f>
        <v>0</v>
      </c>
      <c r="Q34" s="11">
        <f>IF(Q$3=0,"",SUMIFS(INDEX(Inputs!$D$4:$AG$200,0,MATCH(Q$2,Inputs!$D$2:$AG$2,0)),Inputs!$B$4:$B$200,$B34)/1000)</f>
        <v>0</v>
      </c>
      <c r="R34" s="12">
        <f>IF(Q34="","",Q34)</f>
        <v>0</v>
      </c>
      <c r="S34" s="11">
        <f>IF(S$3=0,"",SUMIFS(INDEX(Inputs!$D$4:$AG$200,0,MATCH(S$2,Inputs!$D$2:$AG$2,0)),Inputs!$B$4:$B$200,$B34)/1000)</f>
        <v>0</v>
      </c>
      <c r="T34" s="11">
        <f>IF(T$3=0,"",SUMIFS(INDEX(Inputs!$D$4:$AG$200,0,MATCH(T$2,Inputs!$D$2:$AG$2,0)),Inputs!$B$4:$B$200,$B34)/1000)</f>
        <v>0</v>
      </c>
      <c r="U34" s="11">
        <f>IF(U$3=0,"",SUMIFS(INDEX(Inputs!$D$4:$AG$200,0,MATCH(U$2,Inputs!$D$2:$AG$2,0)),Inputs!$B$4:$B$200,$B34)/1000)</f>
        <v>0</v>
      </c>
      <c r="V34" s="11">
        <f>IF(V$3=0,"",SUMIFS(INDEX(Inputs!$D$4:$AG$200,0,MATCH(V$2,Inputs!$D$2:$AG$2,0)),Inputs!$B$4:$B$200,$B34)/1000)</f>
        <v>0</v>
      </c>
      <c r="W34" s="12">
        <f>IF(V34="","",V34)</f>
        <v>0</v>
      </c>
      <c r="X34" s="11">
        <f>IF(X$3=0,"",SUMIFS(INDEX(Inputs!$D$4:$AG$200,0,MATCH(X$2,Inputs!$D$2:$AG$2,0)),Inputs!$B$4:$B$200,$B34)/1000)</f>
        <v>0</v>
      </c>
      <c r="Y34" s="11">
        <f>IF(Y$3=0,"",SUMIFS(INDEX(Inputs!$D$4:$AG$200,0,MATCH(Y$2,Inputs!$D$2:$AG$2,0)),Inputs!$B$4:$B$200,$B34)/1000)</f>
        <v>0</v>
      </c>
      <c r="Z34" s="11">
        <f>IF(Z$3=0,"",SUMIFS(INDEX(Inputs!$D$4:$AG$200,0,MATCH(Z$2,Inputs!$D$2:$AG$2,0)),Inputs!$B$4:$B$200,$B34)/1000)</f>
        <v>0</v>
      </c>
      <c r="AA34" s="11">
        <f>IF(AA$3=0,"",SUMIFS(INDEX(Inputs!$D$4:$AG$200,0,MATCH(AA$2,Inputs!$D$2:$AG$2,0)),Inputs!$B$4:$B$200,$B34)/1000)</f>
        <v>0</v>
      </c>
      <c r="AB34" s="12">
        <f>IF(AA34="","",AA34)</f>
        <v>0</v>
      </c>
      <c r="AC34" s="11">
        <f>IF(AC$3=0,"",SUMIFS(INDEX(Inputs!$D$4:$AG$200,0,MATCH(AC$2,Inputs!$D$2:$AG$2,0)),Inputs!$B$4:$B$200,$B34)/1000)</f>
        <v>0</v>
      </c>
      <c r="AD34" s="11">
        <f>IF(AD$3=0,"",SUMIFS(INDEX(Inputs!$D$4:$AG$200,0,MATCH(AD$2,Inputs!$D$2:$AG$2,0)),Inputs!$B$4:$B$200,$B34)/1000)</f>
        <v>0</v>
      </c>
      <c r="AE34" s="11" t="str">
        <f>IF(AE$3=0,"",SUMIFS(INDEX(Inputs!$D$4:$AG$200,0,MATCH(AE$2,Inputs!$D$2:$AG$2,0)),Inputs!$B$4:$B$200,$B34)/1000)</f>
        <v/>
      </c>
      <c r="AF34" s="11" t="str">
        <f>IF(AF$3=0,"",SUMIFS(INDEX(Inputs!$D$4:$AG$200,0,MATCH(AF$2,Inputs!$D$2:$AG$2,0)),Inputs!$B$4:$B$200,$B34)/1000)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IF(D$3=0,"",SUMIFS(INDEX(Inputs!$D$4:$AG$200,0,MATCH(D$2,Inputs!$D$2:$AG$2,0)),Inputs!$B$4:$B$200,$B35)/1000)</f>
        <v>5964</v>
      </c>
      <c r="E35" s="11">
        <f>IF(E$3=0,"",SUMIFS(INDEX(Inputs!$D$4:$AG$200,0,MATCH(E$2,Inputs!$D$2:$AG$2,0)),Inputs!$B$4:$B$200,$B35)/1000)</f>
        <v>10943</v>
      </c>
      <c r="F35" s="11">
        <f>IF(F$3=0,"",SUMIFS(INDEX(Inputs!$D$4:$AG$200,0,MATCH(F$2,Inputs!$D$2:$AG$2,0)),Inputs!$B$4:$B$200,$B35)/1000)</f>
        <v>10944</v>
      </c>
      <c r="G35" s="11">
        <f>IF(G$3=0,"",SUMIFS(INDEX(Inputs!$D$4:$AG$200,0,MATCH(G$2,Inputs!$D$2:$AG$2,0)),Inputs!$B$4:$B$200,$B35)/1000)</f>
        <v>10946</v>
      </c>
      <c r="H35" s="12">
        <f>IF(G35="","",G35)</f>
        <v>10946</v>
      </c>
      <c r="I35" s="11">
        <f>IF(I$3=0,"",SUMIFS(INDEX(Inputs!$D$4:$AG$200,0,MATCH(I$2,Inputs!$D$2:$AG$2,0)),Inputs!$B$4:$B$200,$B35)/1000)</f>
        <v>10947</v>
      </c>
      <c r="J35" s="11">
        <f>IF(J$3=0,"",SUMIFS(INDEX(Inputs!$D$4:$AG$200,0,MATCH(J$2,Inputs!$D$2:$AG$2,0)),Inputs!$B$4:$B$200,$B35)/1000)</f>
        <v>9700</v>
      </c>
      <c r="K35" s="11">
        <f>IF(K$3=0,"",SUMIFS(INDEX(Inputs!$D$4:$AG$200,0,MATCH(K$2,Inputs!$D$2:$AG$2,0)),Inputs!$B$4:$B$200,$B35)/1000)</f>
        <v>9701</v>
      </c>
      <c r="L35" s="11">
        <f>IF(L$3=0,"",SUMIFS(INDEX(Inputs!$D$4:$AG$200,0,MATCH(L$2,Inputs!$D$2:$AG$2,0)),Inputs!$B$4:$B$200,$B35)/1000)</f>
        <v>9703</v>
      </c>
      <c r="M35" s="12">
        <f>IF(L35="","",L35)</f>
        <v>9703</v>
      </c>
      <c r="N35" s="11">
        <f>IF(N$3=0,"",SUMIFS(INDEX(Inputs!$D$4:$AG$200,0,MATCH(N$2,Inputs!$D$2:$AG$2,0)),Inputs!$B$4:$B$200,$B35)/1000)</f>
        <v>9704</v>
      </c>
      <c r="O35" s="11">
        <f>IF(O$3=0,"",SUMIFS(INDEX(Inputs!$D$4:$AG$200,0,MATCH(O$2,Inputs!$D$2:$AG$2,0)),Inputs!$B$4:$B$200,$B35)/1000)</f>
        <v>8456</v>
      </c>
      <c r="P35" s="11">
        <f>IF(P$3=0,"",SUMIFS(INDEX(Inputs!$D$4:$AG$200,0,MATCH(P$2,Inputs!$D$2:$AG$2,0)),Inputs!$B$4:$B$200,$B35)/1000)</f>
        <v>8457</v>
      </c>
      <c r="Q35" s="11">
        <f>IF(Q$3=0,"",SUMIFS(INDEX(Inputs!$D$4:$AG$200,0,MATCH(Q$2,Inputs!$D$2:$AG$2,0)),Inputs!$B$4:$B$200,$B35)/1000)</f>
        <v>8459</v>
      </c>
      <c r="R35" s="12">
        <f>IF(Q35="","",Q35)</f>
        <v>8459</v>
      </c>
      <c r="S35" s="11">
        <f>IF(S$3=0,"",SUMIFS(INDEX(Inputs!$D$4:$AG$200,0,MATCH(S$2,Inputs!$D$2:$AG$2,0)),Inputs!$B$4:$B$200,$B35)/1000)</f>
        <v>8460</v>
      </c>
      <c r="T35" s="11">
        <f>IF(T$3=0,"",SUMIFS(INDEX(Inputs!$D$4:$AG$200,0,MATCH(T$2,Inputs!$D$2:$AG$2,0)),Inputs!$B$4:$B$200,$B35)/1000)</f>
        <v>8461</v>
      </c>
      <c r="U35" s="11">
        <f>IF(U$3=0,"",SUMIFS(INDEX(Inputs!$D$4:$AG$200,0,MATCH(U$2,Inputs!$D$2:$AG$2,0)),Inputs!$B$4:$B$200,$B35)/1000)</f>
        <v>8462</v>
      </c>
      <c r="V35" s="11">
        <f>IF(V$3=0,"",SUMIFS(INDEX(Inputs!$D$4:$AG$200,0,MATCH(V$2,Inputs!$D$2:$AG$2,0)),Inputs!$B$4:$B$200,$B35)/1000)</f>
        <v>8463</v>
      </c>
      <c r="W35" s="12">
        <f>IF(V35="","",V35)</f>
        <v>8463</v>
      </c>
      <c r="X35" s="11">
        <f>IF(X$3=0,"",SUMIFS(INDEX(Inputs!$D$4:$AG$200,0,MATCH(X$2,Inputs!$D$2:$AG$2,0)),Inputs!$B$4:$B$200,$B35)/1000)</f>
        <v>8464</v>
      </c>
      <c r="Y35" s="11">
        <f>IF(Y$3=0,"",SUMIFS(INDEX(Inputs!$D$4:$AG$200,0,MATCH(Y$2,Inputs!$D$2:$AG$2,0)),Inputs!$B$4:$B$200,$B35)/1000)</f>
        <v>8466</v>
      </c>
      <c r="Z35" s="11">
        <f>IF(Z$3=0,"",SUMIFS(INDEX(Inputs!$D$4:$AG$200,0,MATCH(Z$2,Inputs!$D$2:$AG$2,0)),Inputs!$B$4:$B$200,$B35)/1000)</f>
        <v>7468</v>
      </c>
      <c r="AA35" s="11">
        <f>IF(AA$3=0,"",SUMIFS(INDEX(Inputs!$D$4:$AG$200,0,MATCH(AA$2,Inputs!$D$2:$AG$2,0)),Inputs!$B$4:$B$200,$B35)/1000)</f>
        <v>7469</v>
      </c>
      <c r="AB35" s="12">
        <f>IF(AA35="","",AA35)</f>
        <v>7469</v>
      </c>
      <c r="AC35" s="11">
        <f>IF(AC$3=0,"",SUMIFS(INDEX(Inputs!$D$4:$AG$200,0,MATCH(AC$2,Inputs!$D$2:$AG$2,0)),Inputs!$B$4:$B$200,$B35)/1000)</f>
        <v>7470</v>
      </c>
      <c r="AD35" s="11">
        <f>IF(AD$3=0,"",SUMIFS(INDEX(Inputs!$D$4:$AG$200,0,MATCH(AD$2,Inputs!$D$2:$AG$2,0)),Inputs!$B$4:$B$200,$B35)/1000)</f>
        <v>32366</v>
      </c>
      <c r="AE35" s="11" t="str">
        <f>IF(AE$3=0,"",SUMIFS(INDEX(Inputs!$D$4:$AG$200,0,MATCH(AE$2,Inputs!$D$2:$AG$2,0)),Inputs!$B$4:$B$200,$B35)/1000)</f>
        <v/>
      </c>
      <c r="AF35" s="11" t="str">
        <f>IF(AF$3=0,"",SUMIFS(INDEX(Inputs!$D$4:$AG$200,0,MATCH(AF$2,Inputs!$D$2:$AG$2,0)),Inputs!$B$4:$B$200,$B35)/1000)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IF(D$3=0,"",SUMIFS(INDEX(Inputs!$D$4:$AG$200,0,MATCH(D$2,Inputs!$D$2:$AG$2,0)),Inputs!$B$4:$B$200,$B36)/1000)</f>
        <v>640</v>
      </c>
      <c r="E36" s="11">
        <f>IF(E$3=0,"",SUMIFS(INDEX(Inputs!$D$4:$AG$200,0,MATCH(E$2,Inputs!$D$2:$AG$2,0)),Inputs!$B$4:$B$200,$B36)/1000)</f>
        <v>716</v>
      </c>
      <c r="F36" s="11">
        <f>IF(F$3=0,"",SUMIFS(INDEX(Inputs!$D$4:$AG$200,0,MATCH(F$2,Inputs!$D$2:$AG$2,0)),Inputs!$B$4:$B$200,$B36)/1000)</f>
        <v>743</v>
      </c>
      <c r="G36" s="11">
        <f>IF(G$3=0,"",SUMIFS(INDEX(Inputs!$D$4:$AG$200,0,MATCH(G$2,Inputs!$D$2:$AG$2,0)),Inputs!$B$4:$B$200,$B36)/1000)</f>
        <v>741</v>
      </c>
      <c r="H36" s="12">
        <f>IF(G36="","",G36)</f>
        <v>741</v>
      </c>
      <c r="I36" s="11">
        <f>IF(I$3=0,"",SUMIFS(INDEX(Inputs!$D$4:$AG$200,0,MATCH(I$2,Inputs!$D$2:$AG$2,0)),Inputs!$B$4:$B$200,$B36)/1000)</f>
        <v>752</v>
      </c>
      <c r="J36" s="11">
        <f>IF(J$3=0,"",SUMIFS(INDEX(Inputs!$D$4:$AG$200,0,MATCH(J$2,Inputs!$D$2:$AG$2,0)),Inputs!$B$4:$B$200,$B36)/1000)</f>
        <v>743</v>
      </c>
      <c r="K36" s="11">
        <f>IF(K$3=0,"",SUMIFS(INDEX(Inputs!$D$4:$AG$200,0,MATCH(K$2,Inputs!$D$2:$AG$2,0)),Inputs!$B$4:$B$200,$B36)/1000)</f>
        <v>798</v>
      </c>
      <c r="L36" s="11">
        <f>IF(L$3=0,"",SUMIFS(INDEX(Inputs!$D$4:$AG$200,0,MATCH(L$2,Inputs!$D$2:$AG$2,0)),Inputs!$B$4:$B$200,$B36)/1000)</f>
        <v>902</v>
      </c>
      <c r="M36" s="12">
        <f>IF(L36="","",L36)</f>
        <v>902</v>
      </c>
      <c r="N36" s="11">
        <f>IF(N$3=0,"",SUMIFS(INDEX(Inputs!$D$4:$AG$200,0,MATCH(N$2,Inputs!$D$2:$AG$2,0)),Inputs!$B$4:$B$200,$B36)/1000)</f>
        <v>939</v>
      </c>
      <c r="O36" s="11">
        <f>IF(O$3=0,"",SUMIFS(INDEX(Inputs!$D$4:$AG$200,0,MATCH(O$2,Inputs!$D$2:$AG$2,0)),Inputs!$B$4:$B$200,$B36)/1000)</f>
        <v>1041</v>
      </c>
      <c r="P36" s="11">
        <f>IF(P$3=0,"",SUMIFS(INDEX(Inputs!$D$4:$AG$200,0,MATCH(P$2,Inputs!$D$2:$AG$2,0)),Inputs!$B$4:$B$200,$B36)/1000)</f>
        <v>1091</v>
      </c>
      <c r="Q36" s="11">
        <f>IF(Q$3=0,"",SUMIFS(INDEX(Inputs!$D$4:$AG$200,0,MATCH(Q$2,Inputs!$D$2:$AG$2,0)),Inputs!$B$4:$B$200,$B36)/1000)</f>
        <v>1119</v>
      </c>
      <c r="R36" s="12">
        <f>IF(Q36="","",Q36)</f>
        <v>1119</v>
      </c>
      <c r="S36" s="11">
        <f>IF(S$3=0,"",SUMIFS(INDEX(Inputs!$D$4:$AG$200,0,MATCH(S$2,Inputs!$D$2:$AG$2,0)),Inputs!$B$4:$B$200,$B36)/1000)</f>
        <v>1281</v>
      </c>
      <c r="T36" s="11">
        <f>IF(T$3=0,"",SUMIFS(INDEX(Inputs!$D$4:$AG$200,0,MATCH(T$2,Inputs!$D$2:$AG$2,0)),Inputs!$B$4:$B$200,$B36)/1000)</f>
        <v>1304</v>
      </c>
      <c r="U36" s="11">
        <f>IF(U$3=0,"",SUMIFS(INDEX(Inputs!$D$4:$AG$200,0,MATCH(U$2,Inputs!$D$2:$AG$2,0)),Inputs!$B$4:$B$200,$B36)/1000)</f>
        <v>1490</v>
      </c>
      <c r="V36" s="11">
        <f>IF(V$3=0,"",SUMIFS(INDEX(Inputs!$D$4:$AG$200,0,MATCH(V$2,Inputs!$D$2:$AG$2,0)),Inputs!$B$4:$B$200,$B36)/1000)</f>
        <v>1519</v>
      </c>
      <c r="W36" s="12">
        <f>IF(V36="","",V36)</f>
        <v>1519</v>
      </c>
      <c r="X36" s="11">
        <f>IF(X$3=0,"",SUMIFS(INDEX(Inputs!$D$4:$AG$200,0,MATCH(X$2,Inputs!$D$2:$AG$2,0)),Inputs!$B$4:$B$200,$B36)/1000)</f>
        <v>1521</v>
      </c>
      <c r="Y36" s="11">
        <f>IF(Y$3=0,"",SUMIFS(INDEX(Inputs!$D$4:$AG$200,0,MATCH(Y$2,Inputs!$D$2:$AG$2,0)),Inputs!$B$4:$B$200,$B36)/1000)</f>
        <v>1831</v>
      </c>
      <c r="Z36" s="11">
        <f>IF(Z$3=0,"",SUMIFS(INDEX(Inputs!$D$4:$AG$200,0,MATCH(Z$2,Inputs!$D$2:$AG$2,0)),Inputs!$B$4:$B$200,$B36)/1000)</f>
        <v>2014</v>
      </c>
      <c r="AA36" s="11">
        <f>IF(AA$3=0,"",SUMIFS(INDEX(Inputs!$D$4:$AG$200,0,MATCH(AA$2,Inputs!$D$2:$AG$2,0)),Inputs!$B$4:$B$200,$B36)/1000)</f>
        <v>2572</v>
      </c>
      <c r="AB36" s="12">
        <f>IF(AA36="","",AA36)</f>
        <v>2572</v>
      </c>
      <c r="AC36" s="11">
        <f>IF(AC$3=0,"",SUMIFS(INDEX(Inputs!$D$4:$AG$200,0,MATCH(AC$2,Inputs!$D$2:$AG$2,0)),Inputs!$B$4:$B$200,$B36)/1000)</f>
        <v>3878</v>
      </c>
      <c r="AD36" s="11">
        <f>IF(AD$3=0,"",SUMIFS(INDEX(Inputs!$D$4:$AG$200,0,MATCH(AD$2,Inputs!$D$2:$AG$2,0)),Inputs!$B$4:$B$200,$B36)/1000)</f>
        <v>4985</v>
      </c>
      <c r="AE36" s="11" t="str">
        <f>IF(AE$3=0,"",SUMIFS(INDEX(Inputs!$D$4:$AG$200,0,MATCH(AE$2,Inputs!$D$2:$AG$2,0)),Inputs!$B$4:$B$200,$B36)/1000)</f>
        <v/>
      </c>
      <c r="AF36" s="11" t="str">
        <f>IF(AF$3=0,"",SUMIFS(INDEX(Inputs!$D$4:$AG$200,0,MATCH(AF$2,Inputs!$D$2:$AG$2,0)),Inputs!$B$4:$B$200,$B36)/1000)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IF(D$3=0,"",SUMIFS(INDEX(Inputs!$D$4:$AG$200,0,MATCH(D$2,Inputs!$D$2:$AG$2,0)),Inputs!$B$4:$B$200,$B37)/1000)</f>
        <v>0</v>
      </c>
      <c r="E37" s="11">
        <f>IF(E$3=0,"",SUMIFS(INDEX(Inputs!$D$4:$AG$200,0,MATCH(E$2,Inputs!$D$2:$AG$2,0)),Inputs!$B$4:$B$200,$B37)/1000)</f>
        <v>0</v>
      </c>
      <c r="F37" s="11">
        <f>IF(F$3=0,"",SUMIFS(INDEX(Inputs!$D$4:$AG$200,0,MATCH(F$2,Inputs!$D$2:$AG$2,0)),Inputs!$B$4:$B$200,$B37)/1000)</f>
        <v>0</v>
      </c>
      <c r="G37" s="11">
        <f>IF(G$3=0,"",SUMIFS(INDEX(Inputs!$D$4:$AG$200,0,MATCH(G$2,Inputs!$D$2:$AG$2,0)),Inputs!$B$4:$B$200,$B37)/1000)</f>
        <v>0</v>
      </c>
      <c r="H37" s="12">
        <f>IF(G37="","",G37)</f>
        <v>0</v>
      </c>
      <c r="I37" s="11">
        <f>IF(I$3=0,"",SUMIFS(INDEX(Inputs!$D$4:$AG$200,0,MATCH(I$2,Inputs!$D$2:$AG$2,0)),Inputs!$B$4:$B$200,$B37)/1000)</f>
        <v>0</v>
      </c>
      <c r="J37" s="11">
        <f>IF(J$3=0,"",SUMIFS(INDEX(Inputs!$D$4:$AG$200,0,MATCH(J$2,Inputs!$D$2:$AG$2,0)),Inputs!$B$4:$B$200,$B37)/1000)</f>
        <v>0</v>
      </c>
      <c r="K37" s="11">
        <f>IF(K$3=0,"",SUMIFS(INDEX(Inputs!$D$4:$AG$200,0,MATCH(K$2,Inputs!$D$2:$AG$2,0)),Inputs!$B$4:$B$200,$B37)/1000)</f>
        <v>0</v>
      </c>
      <c r="L37" s="11">
        <f>IF(L$3=0,"",SUMIFS(INDEX(Inputs!$D$4:$AG$200,0,MATCH(L$2,Inputs!$D$2:$AG$2,0)),Inputs!$B$4:$B$200,$B37)/1000)</f>
        <v>0</v>
      </c>
      <c r="M37" s="12">
        <f>IF(L37="","",L37)</f>
        <v>0</v>
      </c>
      <c r="N37" s="11">
        <f>IF(N$3=0,"",SUMIFS(INDEX(Inputs!$D$4:$AG$200,0,MATCH(N$2,Inputs!$D$2:$AG$2,0)),Inputs!$B$4:$B$200,$B37)/1000)</f>
        <v>0</v>
      </c>
      <c r="O37" s="11">
        <f>IF(O$3=0,"",SUMIFS(INDEX(Inputs!$D$4:$AG$200,0,MATCH(O$2,Inputs!$D$2:$AG$2,0)),Inputs!$B$4:$B$200,$B37)/1000)</f>
        <v>0</v>
      </c>
      <c r="P37" s="11">
        <f>IF(P$3=0,"",SUMIFS(INDEX(Inputs!$D$4:$AG$200,0,MATCH(P$2,Inputs!$D$2:$AG$2,0)),Inputs!$B$4:$B$200,$B37)/1000)</f>
        <v>0</v>
      </c>
      <c r="Q37" s="11">
        <f>IF(Q$3=0,"",SUMIFS(INDEX(Inputs!$D$4:$AG$200,0,MATCH(Q$2,Inputs!$D$2:$AG$2,0)),Inputs!$B$4:$B$200,$B37)/1000)</f>
        <v>0</v>
      </c>
      <c r="R37" s="12">
        <f>IF(Q37="","",Q37)</f>
        <v>0</v>
      </c>
      <c r="S37" s="11">
        <f>IF(S$3=0,"",SUMIFS(INDEX(Inputs!$D$4:$AG$200,0,MATCH(S$2,Inputs!$D$2:$AG$2,0)),Inputs!$B$4:$B$200,$B37)/1000)</f>
        <v>0</v>
      </c>
      <c r="T37" s="11">
        <f>IF(T$3=0,"",SUMIFS(INDEX(Inputs!$D$4:$AG$200,0,MATCH(T$2,Inputs!$D$2:$AG$2,0)),Inputs!$B$4:$B$200,$B37)/1000)</f>
        <v>0</v>
      </c>
      <c r="U37" s="11">
        <f>IF(U$3=0,"",SUMIFS(INDEX(Inputs!$D$4:$AG$200,0,MATCH(U$2,Inputs!$D$2:$AG$2,0)),Inputs!$B$4:$B$200,$B37)/1000)</f>
        <v>0</v>
      </c>
      <c r="V37" s="11">
        <f>IF(V$3=0,"",SUMIFS(INDEX(Inputs!$D$4:$AG$200,0,MATCH(V$2,Inputs!$D$2:$AG$2,0)),Inputs!$B$4:$B$200,$B37)/1000)</f>
        <v>0</v>
      </c>
      <c r="W37" s="12">
        <f>IF(V37="","",V37)</f>
        <v>0</v>
      </c>
      <c r="X37" s="11">
        <f>IF(X$3=0,"",SUMIFS(INDEX(Inputs!$D$4:$AG$200,0,MATCH(X$2,Inputs!$D$2:$AG$2,0)),Inputs!$B$4:$B$200,$B37)/1000)</f>
        <v>0</v>
      </c>
      <c r="Y37" s="11">
        <f>IF(Y$3=0,"",SUMIFS(INDEX(Inputs!$D$4:$AG$200,0,MATCH(Y$2,Inputs!$D$2:$AG$2,0)),Inputs!$B$4:$B$200,$B37)/1000)</f>
        <v>0</v>
      </c>
      <c r="Z37" s="11">
        <f>IF(Z$3=0,"",SUMIFS(INDEX(Inputs!$D$4:$AG$200,0,MATCH(Z$2,Inputs!$D$2:$AG$2,0)),Inputs!$B$4:$B$200,$B37)/1000)</f>
        <v>0</v>
      </c>
      <c r="AA37" s="11">
        <f>IF(AA$3=0,"",SUMIFS(INDEX(Inputs!$D$4:$AG$200,0,MATCH(AA$2,Inputs!$D$2:$AG$2,0)),Inputs!$B$4:$B$200,$B37)/1000)</f>
        <v>0</v>
      </c>
      <c r="AB37" s="12">
        <f>IF(AA37="","",AA37)</f>
        <v>0</v>
      </c>
      <c r="AC37" s="11">
        <f>IF(AC$3=0,"",SUMIFS(INDEX(Inputs!$D$4:$AG$200,0,MATCH(AC$2,Inputs!$D$2:$AG$2,0)),Inputs!$B$4:$B$200,$B37)/1000)</f>
        <v>0</v>
      </c>
      <c r="AD37" s="11">
        <f>IF(AD$3=0,"",SUMIFS(INDEX(Inputs!$D$4:$AG$200,0,MATCH(AD$2,Inputs!$D$2:$AG$2,0)),Inputs!$B$4:$B$200,$B37)/1000)</f>
        <v>0</v>
      </c>
      <c r="AE37" s="11" t="str">
        <f>IF(AE$3=0,"",SUMIFS(INDEX(Inputs!$D$4:$AG$200,0,MATCH(AE$2,Inputs!$D$2:$AG$2,0)),Inputs!$B$4:$B$200,$B37)/1000)</f>
        <v/>
      </c>
      <c r="AF37" s="11" t="str">
        <f>IF(AF$3=0,"",SUMIFS(INDEX(Inputs!$D$4:$AG$200,0,MATCH(AF$2,Inputs!$D$2:$AG$2,0)),Inputs!$B$4:$B$200,$B37)/1000)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IF(D$3=0,"",SUMIFS(INDEX(Inputs!$D$4:$AG$200,0,MATCH(D$2,Inputs!$D$2:$AG$2,0)),Inputs!$B$4:$B$200,$B38)/1000)</f>
        <v>0</v>
      </c>
      <c r="E38" s="11">
        <f>IF(E$3=0,"",SUMIFS(INDEX(Inputs!$D$4:$AG$200,0,MATCH(E$2,Inputs!$D$2:$AG$2,0)),Inputs!$B$4:$B$200,$B38)/1000)</f>
        <v>0</v>
      </c>
      <c r="F38" s="11">
        <f>IF(F$3=0,"",SUMIFS(INDEX(Inputs!$D$4:$AG$200,0,MATCH(F$2,Inputs!$D$2:$AG$2,0)),Inputs!$B$4:$B$200,$B38)/1000)</f>
        <v>0</v>
      </c>
      <c r="G38" s="11">
        <f>IF(G$3=0,"",SUMIFS(INDEX(Inputs!$D$4:$AG$200,0,MATCH(G$2,Inputs!$D$2:$AG$2,0)),Inputs!$B$4:$B$200,$B38)/1000)</f>
        <v>0</v>
      </c>
      <c r="H38" s="12">
        <f>IF(G38="","",G38)</f>
        <v>0</v>
      </c>
      <c r="I38" s="11">
        <f>IF(I$3=0,"",SUMIFS(INDEX(Inputs!$D$4:$AG$200,0,MATCH(I$2,Inputs!$D$2:$AG$2,0)),Inputs!$B$4:$B$200,$B38)/1000)</f>
        <v>0</v>
      </c>
      <c r="J38" s="11">
        <f>IF(J$3=0,"",SUMIFS(INDEX(Inputs!$D$4:$AG$200,0,MATCH(J$2,Inputs!$D$2:$AG$2,0)),Inputs!$B$4:$B$200,$B38)/1000)</f>
        <v>0</v>
      </c>
      <c r="K38" s="11">
        <f>IF(K$3=0,"",SUMIFS(INDEX(Inputs!$D$4:$AG$200,0,MATCH(K$2,Inputs!$D$2:$AG$2,0)),Inputs!$B$4:$B$200,$B38)/1000)</f>
        <v>0</v>
      </c>
      <c r="L38" s="11">
        <f>IF(L$3=0,"",SUMIFS(INDEX(Inputs!$D$4:$AG$200,0,MATCH(L$2,Inputs!$D$2:$AG$2,0)),Inputs!$B$4:$B$200,$B38)/1000)</f>
        <v>0</v>
      </c>
      <c r="M38" s="12">
        <f>IF(L38="","",L38)</f>
        <v>0</v>
      </c>
      <c r="N38" s="11">
        <f>IF(N$3=0,"",SUMIFS(INDEX(Inputs!$D$4:$AG$200,0,MATCH(N$2,Inputs!$D$2:$AG$2,0)),Inputs!$B$4:$B$200,$B38)/1000)</f>
        <v>0</v>
      </c>
      <c r="O38" s="11">
        <f>IF(O$3=0,"",SUMIFS(INDEX(Inputs!$D$4:$AG$200,0,MATCH(O$2,Inputs!$D$2:$AG$2,0)),Inputs!$B$4:$B$200,$B38)/1000)</f>
        <v>0</v>
      </c>
      <c r="P38" s="11">
        <f>IF(P$3=0,"",SUMIFS(INDEX(Inputs!$D$4:$AG$200,0,MATCH(P$2,Inputs!$D$2:$AG$2,0)),Inputs!$B$4:$B$200,$B38)/1000)</f>
        <v>0</v>
      </c>
      <c r="Q38" s="11">
        <f>IF(Q$3=0,"",SUMIFS(INDEX(Inputs!$D$4:$AG$200,0,MATCH(Q$2,Inputs!$D$2:$AG$2,0)),Inputs!$B$4:$B$200,$B38)/1000)</f>
        <v>0</v>
      </c>
      <c r="R38" s="12">
        <f>IF(Q38="","",Q38)</f>
        <v>0</v>
      </c>
      <c r="S38" s="11">
        <f>IF(S$3=0,"",SUMIFS(INDEX(Inputs!$D$4:$AG$200,0,MATCH(S$2,Inputs!$D$2:$AG$2,0)),Inputs!$B$4:$B$200,$B38)/1000)</f>
        <v>0</v>
      </c>
      <c r="T38" s="11">
        <f>IF(T$3=0,"",SUMIFS(INDEX(Inputs!$D$4:$AG$200,0,MATCH(T$2,Inputs!$D$2:$AG$2,0)),Inputs!$B$4:$B$200,$B38)/1000)</f>
        <v>0</v>
      </c>
      <c r="U38" s="11">
        <f>IF(U$3=0,"",SUMIFS(INDEX(Inputs!$D$4:$AG$200,0,MATCH(U$2,Inputs!$D$2:$AG$2,0)),Inputs!$B$4:$B$200,$B38)/1000)</f>
        <v>0</v>
      </c>
      <c r="V38" s="11">
        <f>IF(V$3=0,"",SUMIFS(INDEX(Inputs!$D$4:$AG$200,0,MATCH(V$2,Inputs!$D$2:$AG$2,0)),Inputs!$B$4:$B$200,$B38)/1000)</f>
        <v>0</v>
      </c>
      <c r="W38" s="12">
        <f>IF(V38="","",V38)</f>
        <v>0</v>
      </c>
      <c r="X38" s="11">
        <f>IF(X$3=0,"",SUMIFS(INDEX(Inputs!$D$4:$AG$200,0,MATCH(X$2,Inputs!$D$2:$AG$2,0)),Inputs!$B$4:$B$200,$B38)/1000)</f>
        <v>0</v>
      </c>
      <c r="Y38" s="11">
        <f>IF(Y$3=0,"",SUMIFS(INDEX(Inputs!$D$4:$AG$200,0,MATCH(Y$2,Inputs!$D$2:$AG$2,0)),Inputs!$B$4:$B$200,$B38)/1000)</f>
        <v>0</v>
      </c>
      <c r="Z38" s="11">
        <f>IF(Z$3=0,"",SUMIFS(INDEX(Inputs!$D$4:$AG$200,0,MATCH(Z$2,Inputs!$D$2:$AG$2,0)),Inputs!$B$4:$B$200,$B38)/1000)</f>
        <v>0</v>
      </c>
      <c r="AA38" s="11">
        <f>IF(AA$3=0,"",SUMIFS(INDEX(Inputs!$D$4:$AG$200,0,MATCH(AA$2,Inputs!$D$2:$AG$2,0)),Inputs!$B$4:$B$200,$B38)/1000)</f>
        <v>0</v>
      </c>
      <c r="AB38" s="12">
        <f>IF(AA38="","",AA38)</f>
        <v>0</v>
      </c>
      <c r="AC38" s="11">
        <f>IF(AC$3=0,"",SUMIFS(INDEX(Inputs!$D$4:$AG$200,0,MATCH(AC$2,Inputs!$D$2:$AG$2,0)),Inputs!$B$4:$B$200,$B38)/1000)</f>
        <v>0</v>
      </c>
      <c r="AD38" s="11">
        <f>IF(AD$3=0,"",SUMIFS(INDEX(Inputs!$D$4:$AG$200,0,MATCH(AD$2,Inputs!$D$2:$AG$2,0)),Inputs!$B$4:$B$200,$B38)/1000)</f>
        <v>0</v>
      </c>
      <c r="AE38" s="11" t="str">
        <f>IF(AE$3=0,"",SUMIFS(INDEX(Inputs!$D$4:$AG$200,0,MATCH(AE$2,Inputs!$D$2:$AG$2,0)),Inputs!$B$4:$B$200,$B38)/1000)</f>
        <v/>
      </c>
      <c r="AF38" s="11" t="str">
        <f>IF(AF$3=0,"",SUMIFS(INDEX(Inputs!$D$4:$AG$200,0,MATCH(AF$2,Inputs!$D$2:$AG$2,0)),Inputs!$B$4:$B$200,$B38)/1000)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IF(D$3=0,"",SUMIFS(INDEX(Inputs!$D$4:$AG$200,0,MATCH(D$2,Inputs!$D$2:$AG$2,0)),Inputs!$B$4:$B$200,$B39)/1000)</f>
        <v>1414</v>
      </c>
      <c r="E39" s="11">
        <f>IF(E$3=0,"",SUMIFS(INDEX(Inputs!$D$4:$AG$200,0,MATCH(E$2,Inputs!$D$2:$AG$2,0)),Inputs!$B$4:$B$200,$B39)/1000)</f>
        <v>1396</v>
      </c>
      <c r="F39" s="11">
        <f>IF(F$3=0,"",SUMIFS(INDEX(Inputs!$D$4:$AG$200,0,MATCH(F$2,Inputs!$D$2:$AG$2,0)),Inputs!$B$4:$B$200,$B39)/1000)</f>
        <v>1535</v>
      </c>
      <c r="G39" s="11">
        <f>IF(G$3=0,"",SUMIFS(INDEX(Inputs!$D$4:$AG$200,0,MATCH(G$2,Inputs!$D$2:$AG$2,0)),Inputs!$B$4:$B$200,$B39)/1000)</f>
        <v>1553</v>
      </c>
      <c r="H39" s="12">
        <f>IF(G39="","",G39)</f>
        <v>1553</v>
      </c>
      <c r="I39" s="11">
        <f>IF(I$3=0,"",SUMIFS(INDEX(Inputs!$D$4:$AG$200,0,MATCH(I$2,Inputs!$D$2:$AG$2,0)),Inputs!$B$4:$B$200,$B39)/1000)</f>
        <v>1631</v>
      </c>
      <c r="J39" s="11">
        <f>IF(J$3=0,"",SUMIFS(INDEX(Inputs!$D$4:$AG$200,0,MATCH(J$2,Inputs!$D$2:$AG$2,0)),Inputs!$B$4:$B$200,$B39)/1000)</f>
        <v>1609</v>
      </c>
      <c r="K39" s="11">
        <f>IF(K$3=0,"",SUMIFS(INDEX(Inputs!$D$4:$AG$200,0,MATCH(K$2,Inputs!$D$2:$AG$2,0)),Inputs!$B$4:$B$200,$B39)/1000)</f>
        <v>1785</v>
      </c>
      <c r="L39" s="11">
        <f>IF(L$3=0,"",SUMIFS(INDEX(Inputs!$D$4:$AG$200,0,MATCH(L$2,Inputs!$D$2:$AG$2,0)),Inputs!$B$4:$B$200,$B39)/1000)</f>
        <v>1913</v>
      </c>
      <c r="M39" s="12">
        <f>IF(L39="","",L39)</f>
        <v>1913</v>
      </c>
      <c r="N39" s="11">
        <f>IF(N$3=0,"",SUMIFS(INDEX(Inputs!$D$4:$AG$200,0,MATCH(N$2,Inputs!$D$2:$AG$2,0)),Inputs!$B$4:$B$200,$B39)/1000)</f>
        <v>2037</v>
      </c>
      <c r="O39" s="11">
        <f>IF(O$3=0,"",SUMIFS(INDEX(Inputs!$D$4:$AG$200,0,MATCH(O$2,Inputs!$D$2:$AG$2,0)),Inputs!$B$4:$B$200,$B39)/1000)</f>
        <v>2223</v>
      </c>
      <c r="P39" s="11">
        <f>IF(P$3=0,"",SUMIFS(INDEX(Inputs!$D$4:$AG$200,0,MATCH(P$2,Inputs!$D$2:$AG$2,0)),Inputs!$B$4:$B$200,$B39)/1000)</f>
        <v>2234</v>
      </c>
      <c r="Q39" s="11">
        <f>IF(Q$3=0,"",SUMIFS(INDEX(Inputs!$D$4:$AG$200,0,MATCH(Q$2,Inputs!$D$2:$AG$2,0)),Inputs!$B$4:$B$200,$B39)/1000)</f>
        <v>2541</v>
      </c>
      <c r="R39" s="12">
        <f>IF(Q39="","",Q39)</f>
        <v>2541</v>
      </c>
      <c r="S39" s="11">
        <f>IF(S$3=0,"",SUMIFS(INDEX(Inputs!$D$4:$AG$200,0,MATCH(S$2,Inputs!$D$2:$AG$2,0)),Inputs!$B$4:$B$200,$B39)/1000)</f>
        <v>2966</v>
      </c>
      <c r="T39" s="11">
        <f>IF(T$3=0,"",SUMIFS(INDEX(Inputs!$D$4:$AG$200,0,MATCH(T$2,Inputs!$D$2:$AG$2,0)),Inputs!$B$4:$B$200,$B39)/1000)</f>
        <v>3336</v>
      </c>
      <c r="U39" s="11">
        <f>IF(U$3=0,"",SUMIFS(INDEX(Inputs!$D$4:$AG$200,0,MATCH(U$2,Inputs!$D$2:$AG$2,0)),Inputs!$B$4:$B$200,$B39)/1000)</f>
        <v>3683</v>
      </c>
      <c r="V39" s="11">
        <f>IF(V$3=0,"",SUMIFS(INDEX(Inputs!$D$4:$AG$200,0,MATCH(V$2,Inputs!$D$2:$AG$2,0)),Inputs!$B$4:$B$200,$B39)/1000)</f>
        <v>4245</v>
      </c>
      <c r="W39" s="12">
        <f>IF(V39="","",V39)</f>
        <v>4245</v>
      </c>
      <c r="X39" s="11">
        <f>IF(X$3=0,"",SUMIFS(INDEX(Inputs!$D$4:$AG$200,0,MATCH(X$2,Inputs!$D$2:$AG$2,0)),Inputs!$B$4:$B$200,$B39)/1000)</f>
        <v>4884</v>
      </c>
      <c r="Y39" s="11">
        <f>IF(Y$3=0,"",SUMIFS(INDEX(Inputs!$D$4:$AG$200,0,MATCH(Y$2,Inputs!$D$2:$AG$2,0)),Inputs!$B$4:$B$200,$B39)/1000)</f>
        <v>6055</v>
      </c>
      <c r="Z39" s="11">
        <f>IF(Z$3=0,"",SUMIFS(INDEX(Inputs!$D$4:$AG$200,0,MATCH(Z$2,Inputs!$D$2:$AG$2,0)),Inputs!$B$4:$B$200,$B39)/1000)</f>
        <v>6694</v>
      </c>
      <c r="AA39" s="11">
        <f>IF(AA$3=0,"",SUMIFS(INDEX(Inputs!$D$4:$AG$200,0,MATCH(AA$2,Inputs!$D$2:$AG$2,0)),Inputs!$B$4:$B$200,$B39)/1000)</f>
        <v>7306</v>
      </c>
      <c r="AB39" s="12">
        <f>IF(AA39="","",AA39)</f>
        <v>7306</v>
      </c>
      <c r="AC39" s="11">
        <f>IF(AC$3=0,"",SUMIFS(INDEX(Inputs!$D$4:$AG$200,0,MATCH(AC$2,Inputs!$D$2:$AG$2,0)),Inputs!$B$4:$B$200,$B39)/1000)</f>
        <v>8768</v>
      </c>
      <c r="AD39" s="11">
        <f>IF(AD$3=0,"",SUMIFS(INDEX(Inputs!$D$4:$AG$200,0,MATCH(AD$2,Inputs!$D$2:$AG$2,0)),Inputs!$B$4:$B$200,$B39)/1000)</f>
        <v>10918</v>
      </c>
      <c r="AE39" s="11" t="str">
        <f>IF(AE$3=0,"",SUMIFS(INDEX(Inputs!$D$4:$AG$200,0,MATCH(AE$2,Inputs!$D$2:$AG$2,0)),Inputs!$B$4:$B$200,$B39)/1000)</f>
        <v/>
      </c>
      <c r="AF39" s="11" t="str">
        <f>IF(AF$3=0,"",SUMIFS(INDEX(Inputs!$D$4:$AG$200,0,MATCH(AF$2,Inputs!$D$2:$AG$2,0)),Inputs!$B$4:$B$200,$B39)/1000)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IF(D$3=0,"",SUMIFS(INDEX(Inputs!$D$4:$AG$200,0,MATCH(D$2,Inputs!$D$2:$AG$2,0)),Inputs!$B$4:$B$200,$B41)/1000)</f>
        <v>0</v>
      </c>
      <c r="E41" s="11">
        <f>IF(E$3=0,"",SUMIFS(INDEX(Inputs!$D$4:$AG$200,0,MATCH(E$2,Inputs!$D$2:$AG$2,0)),Inputs!$B$4:$B$200,$B41)/1000)</f>
        <v>0</v>
      </c>
      <c r="F41" s="11">
        <f>IF(F$3=0,"",SUMIFS(INDEX(Inputs!$D$4:$AG$200,0,MATCH(F$2,Inputs!$D$2:$AG$2,0)),Inputs!$B$4:$B$200,$B41)/1000)</f>
        <v>0</v>
      </c>
      <c r="G41" s="11">
        <f>IF(G$3=0,"",SUMIFS(INDEX(Inputs!$D$4:$AG$200,0,MATCH(G$2,Inputs!$D$2:$AG$2,0)),Inputs!$B$4:$B$200,$B41)/1000)</f>
        <v>0</v>
      </c>
      <c r="H41" s="12">
        <f>IF(G41="","",G41)</f>
        <v>0</v>
      </c>
      <c r="I41" s="11">
        <f>IF(I$3=0,"",SUMIFS(INDEX(Inputs!$D$4:$AG$200,0,MATCH(I$2,Inputs!$D$2:$AG$2,0)),Inputs!$B$4:$B$200,$B41)/1000)</f>
        <v>0</v>
      </c>
      <c r="J41" s="11">
        <f>IF(J$3=0,"",SUMIFS(INDEX(Inputs!$D$4:$AG$200,0,MATCH(J$2,Inputs!$D$2:$AG$2,0)),Inputs!$B$4:$B$200,$B41)/1000)</f>
        <v>0</v>
      </c>
      <c r="K41" s="11">
        <f>IF(K$3=0,"",SUMIFS(INDEX(Inputs!$D$4:$AG$200,0,MATCH(K$2,Inputs!$D$2:$AG$2,0)),Inputs!$B$4:$B$200,$B41)/1000)</f>
        <v>0</v>
      </c>
      <c r="L41" s="11">
        <f>IF(L$3=0,"",SUMIFS(INDEX(Inputs!$D$4:$AG$200,0,MATCH(L$2,Inputs!$D$2:$AG$2,0)),Inputs!$B$4:$B$200,$B41)/1000)</f>
        <v>0</v>
      </c>
      <c r="M41" s="12">
        <f>IF(L41="","",L41)</f>
        <v>0</v>
      </c>
      <c r="N41" s="11">
        <f>IF(N$3=0,"",SUMIFS(INDEX(Inputs!$D$4:$AG$200,0,MATCH(N$2,Inputs!$D$2:$AG$2,0)),Inputs!$B$4:$B$200,$B41)/1000)</f>
        <v>0</v>
      </c>
      <c r="O41" s="11">
        <f>IF(O$3=0,"",SUMIFS(INDEX(Inputs!$D$4:$AG$200,0,MATCH(O$2,Inputs!$D$2:$AG$2,0)),Inputs!$B$4:$B$200,$B41)/1000)</f>
        <v>0</v>
      </c>
      <c r="P41" s="11">
        <f>IF(P$3=0,"",SUMIFS(INDEX(Inputs!$D$4:$AG$200,0,MATCH(P$2,Inputs!$D$2:$AG$2,0)),Inputs!$B$4:$B$200,$B41)/1000)</f>
        <v>0</v>
      </c>
      <c r="Q41" s="11">
        <f>IF(Q$3=0,"",SUMIFS(INDEX(Inputs!$D$4:$AG$200,0,MATCH(Q$2,Inputs!$D$2:$AG$2,0)),Inputs!$B$4:$B$200,$B41)/1000)</f>
        <v>0</v>
      </c>
      <c r="R41" s="12">
        <f>IF(Q41="","",Q41)</f>
        <v>0</v>
      </c>
      <c r="S41" s="11">
        <f>IF(S$3=0,"",SUMIFS(INDEX(Inputs!$D$4:$AG$200,0,MATCH(S$2,Inputs!$D$2:$AG$2,0)),Inputs!$B$4:$B$200,$B41)/1000)</f>
        <v>0</v>
      </c>
      <c r="T41" s="11">
        <f>IF(T$3=0,"",SUMIFS(INDEX(Inputs!$D$4:$AG$200,0,MATCH(T$2,Inputs!$D$2:$AG$2,0)),Inputs!$B$4:$B$200,$B41)/1000)</f>
        <v>0</v>
      </c>
      <c r="U41" s="11">
        <f>IF(U$3=0,"",SUMIFS(INDEX(Inputs!$D$4:$AG$200,0,MATCH(U$2,Inputs!$D$2:$AG$2,0)),Inputs!$B$4:$B$200,$B41)/1000)</f>
        <v>0</v>
      </c>
      <c r="V41" s="11">
        <f>IF(V$3=0,"",SUMIFS(INDEX(Inputs!$D$4:$AG$200,0,MATCH(V$2,Inputs!$D$2:$AG$2,0)),Inputs!$B$4:$B$200,$B41)/1000)</f>
        <v>0</v>
      </c>
      <c r="W41" s="12">
        <f>IF(V41="","",V41)</f>
        <v>0</v>
      </c>
      <c r="X41" s="11">
        <f>IF(X$3=0,"",SUMIFS(INDEX(Inputs!$D$4:$AG$200,0,MATCH(X$2,Inputs!$D$2:$AG$2,0)),Inputs!$B$4:$B$200,$B41)/1000)</f>
        <v>0</v>
      </c>
      <c r="Y41" s="11">
        <f>IF(Y$3=0,"",SUMIFS(INDEX(Inputs!$D$4:$AG$200,0,MATCH(Y$2,Inputs!$D$2:$AG$2,0)),Inputs!$B$4:$B$200,$B41)/1000)</f>
        <v>0</v>
      </c>
      <c r="Z41" s="11">
        <f>IF(Z$3=0,"",SUMIFS(INDEX(Inputs!$D$4:$AG$200,0,MATCH(Z$2,Inputs!$D$2:$AG$2,0)),Inputs!$B$4:$B$200,$B41)/1000)</f>
        <v>0</v>
      </c>
      <c r="AA41" s="11">
        <f>IF(AA$3=0,"",SUMIFS(INDEX(Inputs!$D$4:$AG$200,0,MATCH(AA$2,Inputs!$D$2:$AG$2,0)),Inputs!$B$4:$B$200,$B41)/1000)</f>
        <v>0</v>
      </c>
      <c r="AB41" s="12">
        <f>IF(AA41="","",AA41)</f>
        <v>0</v>
      </c>
      <c r="AC41" s="11">
        <f>IF(AC$3=0,"",SUMIFS(INDEX(Inputs!$D$4:$AG$200,0,MATCH(AC$2,Inputs!$D$2:$AG$2,0)),Inputs!$B$4:$B$200,$B41)/1000)</f>
        <v>0</v>
      </c>
      <c r="AD41" s="11">
        <f>IF(AD$3=0,"",SUMIFS(INDEX(Inputs!$D$4:$AG$200,0,MATCH(AD$2,Inputs!$D$2:$AG$2,0)),Inputs!$B$4:$B$200,$B41)/1000)</f>
        <v>0</v>
      </c>
      <c r="AE41" s="11" t="str">
        <f>IF(AE$3=0,"",SUMIFS(INDEX(Inputs!$D$4:$AG$200,0,MATCH(AE$2,Inputs!$D$2:$AG$2,0)),Inputs!$B$4:$B$200,$B41)/1000)</f>
        <v/>
      </c>
      <c r="AF41" s="11" t="str">
        <f>IF(AF$3=0,"",SUMIFS(INDEX(Inputs!$D$4:$AG$200,0,MATCH(AF$2,Inputs!$D$2:$AG$2,0)),Inputs!$B$4:$B$200,$B41)/1000)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IF(D$3=0,"",SUMIFS(INDEX(Inputs!$D$4:$AG$200,0,MATCH(D$2,Inputs!$D$2:$AG$2,0)),Inputs!$B$4:$B$200,$B42)/1000)</f>
        <v>0</v>
      </c>
      <c r="E42" s="11">
        <f>IF(E$3=0,"",SUMIFS(INDEX(Inputs!$D$4:$AG$200,0,MATCH(E$2,Inputs!$D$2:$AG$2,0)),Inputs!$B$4:$B$200,$B42)/1000)</f>
        <v>0</v>
      </c>
      <c r="F42" s="11">
        <f>IF(F$3=0,"",SUMIFS(INDEX(Inputs!$D$4:$AG$200,0,MATCH(F$2,Inputs!$D$2:$AG$2,0)),Inputs!$B$4:$B$200,$B42)/1000)</f>
        <v>0</v>
      </c>
      <c r="G42" s="11">
        <f>IF(G$3=0,"",SUMIFS(INDEX(Inputs!$D$4:$AG$200,0,MATCH(G$2,Inputs!$D$2:$AG$2,0)),Inputs!$B$4:$B$200,$B42)/1000)</f>
        <v>0</v>
      </c>
      <c r="H42" s="12">
        <f>IF(G42="","",G42)</f>
        <v>0</v>
      </c>
      <c r="I42" s="11">
        <f>IF(I$3=0,"",SUMIFS(INDEX(Inputs!$D$4:$AG$200,0,MATCH(I$2,Inputs!$D$2:$AG$2,0)),Inputs!$B$4:$B$200,$B42)/1000)</f>
        <v>0</v>
      </c>
      <c r="J42" s="11">
        <f>IF(J$3=0,"",SUMIFS(INDEX(Inputs!$D$4:$AG$200,0,MATCH(J$2,Inputs!$D$2:$AG$2,0)),Inputs!$B$4:$B$200,$B42)/1000)</f>
        <v>0</v>
      </c>
      <c r="K42" s="11">
        <f>IF(K$3=0,"",SUMIFS(INDEX(Inputs!$D$4:$AG$200,0,MATCH(K$2,Inputs!$D$2:$AG$2,0)),Inputs!$B$4:$B$200,$B42)/1000)</f>
        <v>0</v>
      </c>
      <c r="L42" s="11">
        <f>IF(L$3=0,"",SUMIFS(INDEX(Inputs!$D$4:$AG$200,0,MATCH(L$2,Inputs!$D$2:$AG$2,0)),Inputs!$B$4:$B$200,$B42)/1000)</f>
        <v>0</v>
      </c>
      <c r="M42" s="12">
        <f>IF(L42="","",L42)</f>
        <v>0</v>
      </c>
      <c r="N42" s="11">
        <f>IF(N$3=0,"",SUMIFS(INDEX(Inputs!$D$4:$AG$200,0,MATCH(N$2,Inputs!$D$2:$AG$2,0)),Inputs!$B$4:$B$200,$B42)/1000)</f>
        <v>0</v>
      </c>
      <c r="O42" s="11">
        <f>IF(O$3=0,"",SUMIFS(INDEX(Inputs!$D$4:$AG$200,0,MATCH(O$2,Inputs!$D$2:$AG$2,0)),Inputs!$B$4:$B$200,$B42)/1000)</f>
        <v>0</v>
      </c>
      <c r="P42" s="11">
        <f>IF(P$3=0,"",SUMIFS(INDEX(Inputs!$D$4:$AG$200,0,MATCH(P$2,Inputs!$D$2:$AG$2,0)),Inputs!$B$4:$B$200,$B42)/1000)</f>
        <v>0</v>
      </c>
      <c r="Q42" s="11">
        <f>IF(Q$3=0,"",SUMIFS(INDEX(Inputs!$D$4:$AG$200,0,MATCH(Q$2,Inputs!$D$2:$AG$2,0)),Inputs!$B$4:$B$200,$B42)/1000)</f>
        <v>0</v>
      </c>
      <c r="R42" s="12">
        <f>IF(Q42="","",Q42)</f>
        <v>0</v>
      </c>
      <c r="S42" s="11">
        <f>IF(S$3=0,"",SUMIFS(INDEX(Inputs!$D$4:$AG$200,0,MATCH(S$2,Inputs!$D$2:$AG$2,0)),Inputs!$B$4:$B$200,$B42)/1000)</f>
        <v>0</v>
      </c>
      <c r="T42" s="11">
        <f>IF(T$3=0,"",SUMIFS(INDEX(Inputs!$D$4:$AG$200,0,MATCH(T$2,Inputs!$D$2:$AG$2,0)),Inputs!$B$4:$B$200,$B42)/1000)</f>
        <v>0</v>
      </c>
      <c r="U42" s="11">
        <f>IF(U$3=0,"",SUMIFS(INDEX(Inputs!$D$4:$AG$200,0,MATCH(U$2,Inputs!$D$2:$AG$2,0)),Inputs!$B$4:$B$200,$B42)/1000)</f>
        <v>0</v>
      </c>
      <c r="V42" s="11">
        <f>IF(V$3=0,"",SUMIFS(INDEX(Inputs!$D$4:$AG$200,0,MATCH(V$2,Inputs!$D$2:$AG$2,0)),Inputs!$B$4:$B$200,$B42)/1000)</f>
        <v>0</v>
      </c>
      <c r="W42" s="12">
        <f>IF(V42="","",V42)</f>
        <v>0</v>
      </c>
      <c r="X42" s="11">
        <f>IF(X$3=0,"",SUMIFS(INDEX(Inputs!$D$4:$AG$200,0,MATCH(X$2,Inputs!$D$2:$AG$2,0)),Inputs!$B$4:$B$200,$B42)/1000)</f>
        <v>0</v>
      </c>
      <c r="Y42" s="11">
        <f>IF(Y$3=0,"",SUMIFS(INDEX(Inputs!$D$4:$AG$200,0,MATCH(Y$2,Inputs!$D$2:$AG$2,0)),Inputs!$B$4:$B$200,$B42)/1000)</f>
        <v>0</v>
      </c>
      <c r="Z42" s="11">
        <f>IF(Z$3=0,"",SUMIFS(INDEX(Inputs!$D$4:$AG$200,0,MATCH(Z$2,Inputs!$D$2:$AG$2,0)),Inputs!$B$4:$B$200,$B42)/1000)</f>
        <v>0</v>
      </c>
      <c r="AA42" s="11">
        <f>IF(AA$3=0,"",SUMIFS(INDEX(Inputs!$D$4:$AG$200,0,MATCH(AA$2,Inputs!$D$2:$AG$2,0)),Inputs!$B$4:$B$200,$B42)/1000)</f>
        <v>0</v>
      </c>
      <c r="AB42" s="12">
        <f>IF(AA42="","",AA42)</f>
        <v>0</v>
      </c>
      <c r="AC42" s="11">
        <f>IF(AC$3=0,"",SUMIFS(INDEX(Inputs!$D$4:$AG$200,0,MATCH(AC$2,Inputs!$D$2:$AG$2,0)),Inputs!$B$4:$B$200,$B42)/1000)</f>
        <v>0</v>
      </c>
      <c r="AD42" s="11">
        <f>IF(AD$3=0,"",SUMIFS(INDEX(Inputs!$D$4:$AG$200,0,MATCH(AD$2,Inputs!$D$2:$AG$2,0)),Inputs!$B$4:$B$200,$B42)/1000)</f>
        <v>0</v>
      </c>
      <c r="AE42" s="11" t="str">
        <f>IF(AE$3=0,"",SUMIFS(INDEX(Inputs!$D$4:$AG$200,0,MATCH(AE$2,Inputs!$D$2:$AG$2,0)),Inputs!$B$4:$B$200,$B42)/1000)</f>
        <v/>
      </c>
      <c r="AF42" s="11" t="str">
        <f>IF(AF$3=0,"",SUMIFS(INDEX(Inputs!$D$4:$AG$200,0,MATCH(AF$2,Inputs!$D$2:$AG$2,0)),Inputs!$B$4:$B$200,$B42)/1000)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IF(D$3=0,"",SUMIFS(INDEX(Inputs!$D$4:$AG$200,0,MATCH(D$2,Inputs!$D$2:$AG$2,0)),Inputs!$B$4:$B$200,$B43)/1000)</f>
        <v>9281</v>
      </c>
      <c r="E43" s="11">
        <f>IF(E$3=0,"",SUMIFS(INDEX(Inputs!$D$4:$AG$200,0,MATCH(E$2,Inputs!$D$2:$AG$2,0)),Inputs!$B$4:$B$200,$B43)/1000)</f>
        <v>9748</v>
      </c>
      <c r="F43" s="11">
        <f>IF(F$3=0,"",SUMIFS(INDEX(Inputs!$D$4:$AG$200,0,MATCH(F$2,Inputs!$D$2:$AG$2,0)),Inputs!$B$4:$B$200,$B43)/1000)</f>
        <v>10468</v>
      </c>
      <c r="G43" s="11">
        <f>IF(G$3=0,"",SUMIFS(INDEX(Inputs!$D$4:$AG$200,0,MATCH(G$2,Inputs!$D$2:$AG$2,0)),Inputs!$B$4:$B$200,$B43)/1000)</f>
        <v>10388</v>
      </c>
      <c r="H43" s="12">
        <f>IF(G43="","",G43)</f>
        <v>10388</v>
      </c>
      <c r="I43" s="11">
        <f>IF(I$3=0,"",SUMIFS(INDEX(Inputs!$D$4:$AG$200,0,MATCH(I$2,Inputs!$D$2:$AG$2,0)),Inputs!$B$4:$B$200,$B43)/1000)</f>
        <v>10626</v>
      </c>
      <c r="J43" s="11">
        <f>IF(J$3=0,"",SUMIFS(INDEX(Inputs!$D$4:$AG$200,0,MATCH(J$2,Inputs!$D$2:$AG$2,0)),Inputs!$B$4:$B$200,$B43)/1000)</f>
        <v>10970</v>
      </c>
      <c r="K43" s="11">
        <f>IF(K$3=0,"",SUMIFS(INDEX(Inputs!$D$4:$AG$200,0,MATCH(K$2,Inputs!$D$2:$AG$2,0)),Inputs!$B$4:$B$200,$B43)/1000)</f>
        <v>11567</v>
      </c>
      <c r="L43" s="11">
        <f>IF(L$3=0,"",SUMIFS(INDEX(Inputs!$D$4:$AG$200,0,MATCH(L$2,Inputs!$D$2:$AG$2,0)),Inputs!$B$4:$B$200,$B43)/1000)</f>
        <v>11973</v>
      </c>
      <c r="M43" s="12">
        <f>IF(L43="","",L43)</f>
        <v>11973</v>
      </c>
      <c r="N43" s="11">
        <f>IF(N$3=0,"",SUMIFS(INDEX(Inputs!$D$4:$AG$200,0,MATCH(N$2,Inputs!$D$2:$AG$2,0)),Inputs!$B$4:$B$200,$B43)/1000)</f>
        <v>12455</v>
      </c>
      <c r="O43" s="11">
        <f>IF(O$3=0,"",SUMIFS(INDEX(Inputs!$D$4:$AG$200,0,MATCH(O$2,Inputs!$D$2:$AG$2,0)),Inputs!$B$4:$B$200,$B43)/1000)</f>
        <v>12631</v>
      </c>
      <c r="P43" s="11">
        <f>IF(P$3=0,"",SUMIFS(INDEX(Inputs!$D$4:$AG$200,0,MATCH(P$2,Inputs!$D$2:$AG$2,0)),Inputs!$B$4:$B$200,$B43)/1000)</f>
        <v>12993</v>
      </c>
      <c r="Q43" s="11">
        <f>IF(Q$3=0,"",SUMIFS(INDEX(Inputs!$D$4:$AG$200,0,MATCH(Q$2,Inputs!$D$2:$AG$2,0)),Inputs!$B$4:$B$200,$B43)/1000)</f>
        <v>13134</v>
      </c>
      <c r="R43" s="12">
        <f>IF(Q43="","",Q43)</f>
        <v>13134</v>
      </c>
      <c r="S43" s="11">
        <f>IF(S$3=0,"",SUMIFS(INDEX(Inputs!$D$4:$AG$200,0,MATCH(S$2,Inputs!$D$2:$AG$2,0)),Inputs!$B$4:$B$200,$B43)/1000)</f>
        <v>12653</v>
      </c>
      <c r="T43" s="11">
        <f>IF(T$3=0,"",SUMIFS(INDEX(Inputs!$D$4:$AG$200,0,MATCH(T$2,Inputs!$D$2:$AG$2,0)),Inputs!$B$4:$B$200,$B43)/1000)</f>
        <v>12140</v>
      </c>
      <c r="U43" s="11">
        <f>IF(U$3=0,"",SUMIFS(INDEX(Inputs!$D$4:$AG$200,0,MATCH(U$2,Inputs!$D$2:$AG$2,0)),Inputs!$B$4:$B$200,$B43)/1000)</f>
        <v>11846</v>
      </c>
      <c r="V43" s="11">
        <f>IF(V$3=0,"",SUMIFS(INDEX(Inputs!$D$4:$AG$200,0,MATCH(V$2,Inputs!$D$2:$AG$2,0)),Inputs!$B$4:$B$200,$B43)/1000)</f>
        <v>11261</v>
      </c>
      <c r="W43" s="12">
        <f>IF(V43="","",V43)</f>
        <v>11261</v>
      </c>
      <c r="X43" s="11">
        <f>IF(X$3=0,"",SUMIFS(INDEX(Inputs!$D$4:$AG$200,0,MATCH(X$2,Inputs!$D$2:$AG$2,0)),Inputs!$B$4:$B$200,$B43)/1000)</f>
        <v>11499</v>
      </c>
      <c r="Y43" s="11">
        <f>IF(Y$3=0,"",SUMIFS(INDEX(Inputs!$D$4:$AG$200,0,MATCH(Y$2,Inputs!$D$2:$AG$2,0)),Inputs!$B$4:$B$200,$B43)/1000)</f>
        <v>11224</v>
      </c>
      <c r="Z43" s="11">
        <f>IF(Z$3=0,"",SUMIFS(INDEX(Inputs!$D$4:$AG$200,0,MATCH(Z$2,Inputs!$D$2:$AG$2,0)),Inputs!$B$4:$B$200,$B43)/1000)</f>
        <v>10650</v>
      </c>
      <c r="AA43" s="11">
        <f>IF(AA$3=0,"",SUMIFS(INDEX(Inputs!$D$4:$AG$200,0,MATCH(AA$2,Inputs!$D$2:$AG$2,0)),Inputs!$B$4:$B$200,$B43)/1000)</f>
        <v>10142</v>
      </c>
      <c r="AB43" s="12">
        <f>IF(AA43="","",AA43)</f>
        <v>10142</v>
      </c>
      <c r="AC43" s="11">
        <f>IF(AC$3=0,"",SUMIFS(INDEX(Inputs!$D$4:$AG$200,0,MATCH(AC$2,Inputs!$D$2:$AG$2,0)),Inputs!$B$4:$B$200,$B43)/1000)</f>
        <v>10299</v>
      </c>
      <c r="AD43" s="11">
        <f>IF(AD$3=0,"",SUMIFS(INDEX(Inputs!$D$4:$AG$200,0,MATCH(AD$2,Inputs!$D$2:$AG$2,0)),Inputs!$B$4:$B$200,$B43)/1000)</f>
        <v>9852</v>
      </c>
      <c r="AE43" s="11" t="str">
        <f>IF(AE$3=0,"",SUMIFS(INDEX(Inputs!$D$4:$AG$200,0,MATCH(AE$2,Inputs!$D$2:$AG$2,0)),Inputs!$B$4:$B$200,$B43)/1000)</f>
        <v/>
      </c>
      <c r="AF43" s="11" t="str">
        <f>IF(AF$3=0,"",SUMIFS(INDEX(Inputs!$D$4:$AG$200,0,MATCH(AF$2,Inputs!$D$2:$AG$2,0)),Inputs!$B$4:$B$200,$B43)/1000)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IF(D$3=0,"",SUMIFS(INDEX(Inputs!$D$4:$AG$200,0,MATCH(D$2,Inputs!$D$2:$AG$2,0)),Inputs!$B$4:$B$200,$B44)/1000)</f>
        <v>-11242</v>
      </c>
      <c r="E44" s="11">
        <f>IF(E$3=0,"",SUMIFS(INDEX(Inputs!$D$4:$AG$200,0,MATCH(E$2,Inputs!$D$2:$AG$2,0)),Inputs!$B$4:$B$200,$B44)/1000)</f>
        <v>-11604</v>
      </c>
      <c r="F44" s="11">
        <f>IF(F$3=0,"",SUMIFS(INDEX(Inputs!$D$4:$AG$200,0,MATCH(F$2,Inputs!$D$2:$AG$2,0)),Inputs!$B$4:$B$200,$B44)/1000)</f>
        <v>-12038</v>
      </c>
      <c r="G44" s="11">
        <f>IF(G$3=0,"",SUMIFS(INDEX(Inputs!$D$4:$AG$200,0,MATCH(G$2,Inputs!$D$2:$AG$2,0)),Inputs!$B$4:$B$200,$B44)/1000)</f>
        <v>0</v>
      </c>
      <c r="H44" s="12">
        <f>IF(G44="","",G44)</f>
        <v>0</v>
      </c>
      <c r="I44" s="11">
        <f>IF(I$3=0,"",SUMIFS(INDEX(Inputs!$D$4:$AG$200,0,MATCH(I$2,Inputs!$D$2:$AG$2,0)),Inputs!$B$4:$B$200,$B44)/1000)</f>
        <v>0</v>
      </c>
      <c r="J44" s="11">
        <f>IF(J$3=0,"",SUMIFS(INDEX(Inputs!$D$4:$AG$200,0,MATCH(J$2,Inputs!$D$2:$AG$2,0)),Inputs!$B$4:$B$200,$B44)/1000)</f>
        <v>0</v>
      </c>
      <c r="K44" s="11">
        <f>IF(K$3=0,"",SUMIFS(INDEX(Inputs!$D$4:$AG$200,0,MATCH(K$2,Inputs!$D$2:$AG$2,0)),Inputs!$B$4:$B$200,$B44)/1000)</f>
        <v>0</v>
      </c>
      <c r="L44" s="11">
        <f>IF(L$3=0,"",SUMIFS(INDEX(Inputs!$D$4:$AG$200,0,MATCH(L$2,Inputs!$D$2:$AG$2,0)),Inputs!$B$4:$B$200,$B44)/1000)</f>
        <v>0</v>
      </c>
      <c r="M44" s="12">
        <f>IF(L44="","",L44)</f>
        <v>0</v>
      </c>
      <c r="N44" s="11">
        <f>IF(N$3=0,"",SUMIFS(INDEX(Inputs!$D$4:$AG$200,0,MATCH(N$2,Inputs!$D$2:$AG$2,0)),Inputs!$B$4:$B$200,$B44)/1000)</f>
        <v>0</v>
      </c>
      <c r="O44" s="11">
        <f>IF(O$3=0,"",SUMIFS(INDEX(Inputs!$D$4:$AG$200,0,MATCH(O$2,Inputs!$D$2:$AG$2,0)),Inputs!$B$4:$B$200,$B44)/1000)</f>
        <v>0</v>
      </c>
      <c r="P44" s="11">
        <f>IF(P$3=0,"",SUMIFS(INDEX(Inputs!$D$4:$AG$200,0,MATCH(P$2,Inputs!$D$2:$AG$2,0)),Inputs!$B$4:$B$200,$B44)/1000)</f>
        <v>0</v>
      </c>
      <c r="Q44" s="11">
        <f>IF(Q$3=0,"",SUMIFS(INDEX(Inputs!$D$4:$AG$200,0,MATCH(Q$2,Inputs!$D$2:$AG$2,0)),Inputs!$B$4:$B$200,$B44)/1000)</f>
        <v>0</v>
      </c>
      <c r="R44" s="12">
        <f>IF(Q44="","",Q44)</f>
        <v>0</v>
      </c>
      <c r="S44" s="11">
        <f>IF(S$3=0,"",SUMIFS(INDEX(Inputs!$D$4:$AG$200,0,MATCH(S$2,Inputs!$D$2:$AG$2,0)),Inputs!$B$4:$B$200,$B44)/1000)</f>
        <v>0</v>
      </c>
      <c r="T44" s="11">
        <f>IF(T$3=0,"",SUMIFS(INDEX(Inputs!$D$4:$AG$200,0,MATCH(T$2,Inputs!$D$2:$AG$2,0)),Inputs!$B$4:$B$200,$B44)/1000)</f>
        <v>0</v>
      </c>
      <c r="U44" s="11">
        <f>IF(U$3=0,"",SUMIFS(INDEX(Inputs!$D$4:$AG$200,0,MATCH(U$2,Inputs!$D$2:$AG$2,0)),Inputs!$B$4:$B$200,$B44)/1000)</f>
        <v>0</v>
      </c>
      <c r="V44" s="11">
        <f>IF(V$3=0,"",SUMIFS(INDEX(Inputs!$D$4:$AG$200,0,MATCH(V$2,Inputs!$D$2:$AG$2,0)),Inputs!$B$4:$B$200,$B44)/1000)</f>
        <v>0</v>
      </c>
      <c r="W44" s="12">
        <f>IF(V44="","",V44)</f>
        <v>0</v>
      </c>
      <c r="X44" s="11">
        <f>IF(X$3=0,"",SUMIFS(INDEX(Inputs!$D$4:$AG$200,0,MATCH(X$2,Inputs!$D$2:$AG$2,0)),Inputs!$B$4:$B$200,$B44)/1000)</f>
        <v>0</v>
      </c>
      <c r="Y44" s="11">
        <f>IF(Y$3=0,"",SUMIFS(INDEX(Inputs!$D$4:$AG$200,0,MATCH(Y$2,Inputs!$D$2:$AG$2,0)),Inputs!$B$4:$B$200,$B44)/1000)</f>
        <v>0</v>
      </c>
      <c r="Z44" s="11">
        <f>IF(Z$3=0,"",SUMIFS(INDEX(Inputs!$D$4:$AG$200,0,MATCH(Z$2,Inputs!$D$2:$AG$2,0)),Inputs!$B$4:$B$200,$B44)/1000)</f>
        <v>0</v>
      </c>
      <c r="AA44" s="11">
        <f>IF(AA$3=0,"",SUMIFS(INDEX(Inputs!$D$4:$AG$200,0,MATCH(AA$2,Inputs!$D$2:$AG$2,0)),Inputs!$B$4:$B$200,$B44)/1000)</f>
        <v>0</v>
      </c>
      <c r="AB44" s="12">
        <f>IF(AA44="","",AA44)</f>
        <v>0</v>
      </c>
      <c r="AC44" s="11">
        <f>IF(AC$3=0,"",SUMIFS(INDEX(Inputs!$D$4:$AG$200,0,MATCH(AC$2,Inputs!$D$2:$AG$2,0)),Inputs!$B$4:$B$200,$B44)/1000)</f>
        <v>0</v>
      </c>
      <c r="AD44" s="11">
        <f>IF(AD$3=0,"",SUMIFS(INDEX(Inputs!$D$4:$AG$200,0,MATCH(AD$2,Inputs!$D$2:$AG$2,0)),Inputs!$B$4:$B$200,$B44)/1000)</f>
        <v>0</v>
      </c>
      <c r="AE44" s="11" t="str">
        <f>IF(AE$3=0,"",SUMIFS(INDEX(Inputs!$D$4:$AG$200,0,MATCH(AE$2,Inputs!$D$2:$AG$2,0)),Inputs!$B$4:$B$200,$B44)/1000)</f>
        <v/>
      </c>
      <c r="AF44" s="11" t="str">
        <f>IF(AF$3=0,"",SUMIFS(INDEX(Inputs!$D$4:$AG$200,0,MATCH(AF$2,Inputs!$D$2:$AG$2,0)),Inputs!$B$4:$B$200,$B44)/1000)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IF(D$3=0,"",SUMIFS(INDEX(Inputs!$D$4:$AG$200,0,MATCH(D$2,Inputs!$D$2:$AG$2,0)),Inputs!$B$4:$B$200,$B45)/1000)</f>
        <v>14</v>
      </c>
      <c r="E45" s="11">
        <f>IF(E$3=0,"",SUMIFS(INDEX(Inputs!$D$4:$AG$200,0,MATCH(E$2,Inputs!$D$2:$AG$2,0)),Inputs!$B$4:$B$200,$B45)/1000)</f>
        <v>8</v>
      </c>
      <c r="F45" s="11">
        <f>IF(F$3=0,"",SUMIFS(INDEX(Inputs!$D$4:$AG$200,0,MATCH(F$2,Inputs!$D$2:$AG$2,0)),Inputs!$B$4:$B$200,$B45)/1000)</f>
        <v>9</v>
      </c>
      <c r="G45" s="11">
        <f>IF(G$3=0,"",SUMIFS(INDEX(Inputs!$D$4:$AG$200,0,MATCH(G$2,Inputs!$D$2:$AG$2,0)),Inputs!$B$4:$B$200,$B45)/1000)</f>
        <v>-11</v>
      </c>
      <c r="H45" s="12">
        <f>IF(G45="","",G45)</f>
        <v>-11</v>
      </c>
      <c r="I45" s="11">
        <f>IF(I$3=0,"",SUMIFS(INDEX(Inputs!$D$4:$AG$200,0,MATCH(I$2,Inputs!$D$2:$AG$2,0)),Inputs!$B$4:$B$200,$B45)/1000)</f>
        <v>-64</v>
      </c>
      <c r="J45" s="11">
        <f>IF(J$3=0,"",SUMIFS(INDEX(Inputs!$D$4:$AG$200,0,MATCH(J$2,Inputs!$D$2:$AG$2,0)),Inputs!$B$4:$B$200,$B45)/1000)</f>
        <v>-90</v>
      </c>
      <c r="K45" s="11">
        <f>IF(K$3=0,"",SUMIFS(INDEX(Inputs!$D$4:$AG$200,0,MATCH(K$2,Inputs!$D$2:$AG$2,0)),Inputs!$B$4:$B$200,$B45)/1000)</f>
        <v>-123</v>
      </c>
      <c r="L45" s="11">
        <f>IF(L$3=0,"",SUMIFS(INDEX(Inputs!$D$4:$AG$200,0,MATCH(L$2,Inputs!$D$2:$AG$2,0)),Inputs!$B$4:$B$200,$B45)/1000)</f>
        <v>-43</v>
      </c>
      <c r="M45" s="12">
        <f>IF(L45="","",L45)</f>
        <v>-43</v>
      </c>
      <c r="N45" s="11">
        <f>IF(N$3=0,"",SUMIFS(INDEX(Inputs!$D$4:$AG$200,0,MATCH(N$2,Inputs!$D$2:$AG$2,0)),Inputs!$B$4:$B$200,$B45)/1000)</f>
        <v>-50</v>
      </c>
      <c r="O45" s="11">
        <f>IF(O$3=0,"",SUMIFS(INDEX(Inputs!$D$4:$AG$200,0,MATCH(O$2,Inputs!$D$2:$AG$2,0)),Inputs!$B$4:$B$200,$B45)/1000)</f>
        <v>-51</v>
      </c>
      <c r="P45" s="11">
        <f>IF(P$3=0,"",SUMIFS(INDEX(Inputs!$D$4:$AG$200,0,MATCH(P$2,Inputs!$D$2:$AG$2,0)),Inputs!$B$4:$B$200,$B45)/1000)</f>
        <v>-88</v>
      </c>
      <c r="Q45" s="11">
        <f>IF(Q$3=0,"",SUMIFS(INDEX(Inputs!$D$4:$AG$200,0,MATCH(Q$2,Inputs!$D$2:$AG$2,0)),Inputs!$B$4:$B$200,$B45)/1000)</f>
        <v>27</v>
      </c>
      <c r="R45" s="12">
        <f>IF(Q45="","",Q45)</f>
        <v>27</v>
      </c>
      <c r="S45" s="11">
        <f>IF(S$3=0,"",SUMIFS(INDEX(Inputs!$D$4:$AG$200,0,MATCH(S$2,Inputs!$D$2:$AG$2,0)),Inputs!$B$4:$B$200,$B45)/1000)</f>
        <v>-109</v>
      </c>
      <c r="T45" s="11">
        <f>IF(T$3=0,"",SUMIFS(INDEX(Inputs!$D$4:$AG$200,0,MATCH(T$2,Inputs!$D$2:$AG$2,0)),Inputs!$B$4:$B$200,$B45)/1000)</f>
        <v>56</v>
      </c>
      <c r="U45" s="11">
        <f>IF(U$3=0,"",SUMIFS(INDEX(Inputs!$D$4:$AG$200,0,MATCH(U$2,Inputs!$D$2:$AG$2,0)),Inputs!$B$4:$B$200,$B45)/1000)</f>
        <v>103</v>
      </c>
      <c r="V45" s="11">
        <f>IF(V$3=0,"",SUMIFS(INDEX(Inputs!$D$4:$AG$200,0,MATCH(V$2,Inputs!$D$2:$AG$2,0)),Inputs!$B$4:$B$200,$B45)/1000)</f>
        <v>28</v>
      </c>
      <c r="W45" s="12">
        <f>IF(V45="","",V45)</f>
        <v>28</v>
      </c>
      <c r="X45" s="11">
        <f>IF(X$3=0,"",SUMIFS(INDEX(Inputs!$D$4:$AG$200,0,MATCH(X$2,Inputs!$D$2:$AG$2,0)),Inputs!$B$4:$B$200,$B45)/1000)</f>
        <v>186</v>
      </c>
      <c r="Y45" s="11">
        <f>IF(Y$3=0,"",SUMIFS(INDEX(Inputs!$D$4:$AG$200,0,MATCH(Y$2,Inputs!$D$2:$AG$2,0)),Inputs!$B$4:$B$200,$B45)/1000)</f>
        <v>170</v>
      </c>
      <c r="Z45" s="11">
        <f>IF(Z$3=0,"",SUMIFS(INDEX(Inputs!$D$4:$AG$200,0,MATCH(Z$2,Inputs!$D$2:$AG$2,0)),Inputs!$B$4:$B$200,$B45)/1000)</f>
        <v>339</v>
      </c>
      <c r="AA45" s="11">
        <f>IF(AA$3=0,"",SUMIFS(INDEX(Inputs!$D$4:$AG$200,0,MATCH(AA$2,Inputs!$D$2:$AG$2,0)),Inputs!$B$4:$B$200,$B45)/1000)</f>
        <v>178</v>
      </c>
      <c r="AB45" s="12">
        <f>IF(AA45="","",AA45)</f>
        <v>178</v>
      </c>
      <c r="AC45" s="11">
        <f>IF(AC$3=0,"",SUMIFS(INDEX(Inputs!$D$4:$AG$200,0,MATCH(AC$2,Inputs!$D$2:$AG$2,0)),Inputs!$B$4:$B$200,$B45)/1000)</f>
        <v>137</v>
      </c>
      <c r="AD45" s="11">
        <f>IF(AD$3=0,"",SUMIFS(INDEX(Inputs!$D$4:$AG$200,0,MATCH(AD$2,Inputs!$D$2:$AG$2,0)),Inputs!$B$4:$B$200,$B45)/1000)</f>
        <v>-25</v>
      </c>
      <c r="AE45" s="11" t="str">
        <f>IF(AE$3=0,"",SUMIFS(INDEX(Inputs!$D$4:$AG$200,0,MATCH(AE$2,Inputs!$D$2:$AG$2,0)),Inputs!$B$4:$B$200,$B45)/1000)</f>
        <v/>
      </c>
      <c r="AF45" s="11" t="str">
        <f>IF(AF$3=0,"",SUMIFS(INDEX(Inputs!$D$4:$AG$200,0,MATCH(AF$2,Inputs!$D$2:$AG$2,0)),Inputs!$B$4:$B$200,$B45)/1000)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IF(D$3=0,"",SUMIFS(INDEX(Inputs!$D$4:$AG$200,0,MATCH(D$2,Inputs!$D$2:$AG$2,0)),Inputs!$B$4:$B$200,$B46)/1000)</f>
        <v>0</v>
      </c>
      <c r="E46" s="11">
        <f>IF(E$3=0,"",SUMIFS(INDEX(Inputs!$D$4:$AG$200,0,MATCH(E$2,Inputs!$D$2:$AG$2,0)),Inputs!$B$4:$B$200,$B46)/1000)</f>
        <v>0</v>
      </c>
      <c r="F46" s="11">
        <f>IF(F$3=0,"",SUMIFS(INDEX(Inputs!$D$4:$AG$200,0,MATCH(F$2,Inputs!$D$2:$AG$2,0)),Inputs!$B$4:$B$200,$B46)/1000)</f>
        <v>0</v>
      </c>
      <c r="G46" s="11">
        <f>IF(G$3=0,"",SUMIFS(INDEX(Inputs!$D$4:$AG$200,0,MATCH(G$2,Inputs!$D$2:$AG$2,0)),Inputs!$B$4:$B$200,$B46)/1000)</f>
        <v>0</v>
      </c>
      <c r="H46" s="12">
        <f>IF(G46="","",G46)</f>
        <v>0</v>
      </c>
      <c r="I46" s="11">
        <f>IF(I$3=0,"",SUMIFS(INDEX(Inputs!$D$4:$AG$200,0,MATCH(I$2,Inputs!$D$2:$AG$2,0)),Inputs!$B$4:$B$200,$B46)/1000)</f>
        <v>0</v>
      </c>
      <c r="J46" s="11">
        <f>IF(J$3=0,"",SUMIFS(INDEX(Inputs!$D$4:$AG$200,0,MATCH(J$2,Inputs!$D$2:$AG$2,0)),Inputs!$B$4:$B$200,$B46)/1000)</f>
        <v>0</v>
      </c>
      <c r="K46" s="11">
        <f>IF(K$3=0,"",SUMIFS(INDEX(Inputs!$D$4:$AG$200,0,MATCH(K$2,Inputs!$D$2:$AG$2,0)),Inputs!$B$4:$B$200,$B46)/1000)</f>
        <v>0</v>
      </c>
      <c r="L46" s="11">
        <f>IF(L$3=0,"",SUMIFS(INDEX(Inputs!$D$4:$AG$200,0,MATCH(L$2,Inputs!$D$2:$AG$2,0)),Inputs!$B$4:$B$200,$B46)/1000)</f>
        <v>0</v>
      </c>
      <c r="M46" s="12">
        <f>IF(L46="","",L46)</f>
        <v>0</v>
      </c>
      <c r="N46" s="11">
        <f>IF(N$3=0,"",SUMIFS(INDEX(Inputs!$D$4:$AG$200,0,MATCH(N$2,Inputs!$D$2:$AG$2,0)),Inputs!$B$4:$B$200,$B46)/1000)</f>
        <v>0</v>
      </c>
      <c r="O46" s="11">
        <f>IF(O$3=0,"",SUMIFS(INDEX(Inputs!$D$4:$AG$200,0,MATCH(O$2,Inputs!$D$2:$AG$2,0)),Inputs!$B$4:$B$200,$B46)/1000)</f>
        <v>0</v>
      </c>
      <c r="P46" s="11">
        <f>IF(P$3=0,"",SUMIFS(INDEX(Inputs!$D$4:$AG$200,0,MATCH(P$2,Inputs!$D$2:$AG$2,0)),Inputs!$B$4:$B$200,$B46)/1000)</f>
        <v>0</v>
      </c>
      <c r="Q46" s="11">
        <f>IF(Q$3=0,"",SUMIFS(INDEX(Inputs!$D$4:$AG$200,0,MATCH(Q$2,Inputs!$D$2:$AG$2,0)),Inputs!$B$4:$B$200,$B46)/1000)</f>
        <v>0</v>
      </c>
      <c r="R46" s="12">
        <f>IF(Q46="","",Q46)</f>
        <v>0</v>
      </c>
      <c r="S46" s="11">
        <f>IF(S$3=0,"",SUMIFS(INDEX(Inputs!$D$4:$AG$200,0,MATCH(S$2,Inputs!$D$2:$AG$2,0)),Inputs!$B$4:$B$200,$B46)/1000)</f>
        <v>0</v>
      </c>
      <c r="T46" s="11">
        <f>IF(T$3=0,"",SUMIFS(INDEX(Inputs!$D$4:$AG$200,0,MATCH(T$2,Inputs!$D$2:$AG$2,0)),Inputs!$B$4:$B$200,$B46)/1000)</f>
        <v>0</v>
      </c>
      <c r="U46" s="11">
        <f>IF(U$3=0,"",SUMIFS(INDEX(Inputs!$D$4:$AG$200,0,MATCH(U$2,Inputs!$D$2:$AG$2,0)),Inputs!$B$4:$B$200,$B46)/1000)</f>
        <v>0</v>
      </c>
      <c r="V46" s="11">
        <f>IF(V$3=0,"",SUMIFS(INDEX(Inputs!$D$4:$AG$200,0,MATCH(V$2,Inputs!$D$2:$AG$2,0)),Inputs!$B$4:$B$200,$B46)/1000)</f>
        <v>0</v>
      </c>
      <c r="W46" s="12">
        <f>IF(V46="","",V46)</f>
        <v>0</v>
      </c>
      <c r="X46" s="11">
        <f>IF(X$3=0,"",SUMIFS(INDEX(Inputs!$D$4:$AG$200,0,MATCH(X$2,Inputs!$D$2:$AG$2,0)),Inputs!$B$4:$B$200,$B46)/1000)</f>
        <v>0</v>
      </c>
      <c r="Y46" s="11">
        <f>IF(Y$3=0,"",SUMIFS(INDEX(Inputs!$D$4:$AG$200,0,MATCH(Y$2,Inputs!$D$2:$AG$2,0)),Inputs!$B$4:$B$200,$B46)/1000)</f>
        <v>0</v>
      </c>
      <c r="Z46" s="11">
        <f>IF(Z$3=0,"",SUMIFS(INDEX(Inputs!$D$4:$AG$200,0,MATCH(Z$2,Inputs!$D$2:$AG$2,0)),Inputs!$B$4:$B$200,$B46)/1000)</f>
        <v>0</v>
      </c>
      <c r="AA46" s="11">
        <f>IF(AA$3=0,"",SUMIFS(INDEX(Inputs!$D$4:$AG$200,0,MATCH(AA$2,Inputs!$D$2:$AG$2,0)),Inputs!$B$4:$B$200,$B46)/1000)</f>
        <v>0</v>
      </c>
      <c r="AB46" s="12">
        <f>IF(AA46="","",AA46)</f>
        <v>0</v>
      </c>
      <c r="AC46" s="11">
        <f>IF(AC$3=0,"",SUMIFS(INDEX(Inputs!$D$4:$AG$200,0,MATCH(AC$2,Inputs!$D$2:$AG$2,0)),Inputs!$B$4:$B$200,$B46)/1000)</f>
        <v>0</v>
      </c>
      <c r="AD46" s="11">
        <f>IF(AD$3=0,"",SUMIFS(INDEX(Inputs!$D$4:$AG$200,0,MATCH(AD$2,Inputs!$D$2:$AG$2,0)),Inputs!$B$4:$B$200,$B46)/1000)</f>
        <v>0</v>
      </c>
      <c r="AE46" s="11" t="str">
        <f>IF(AE$3=0,"",SUMIFS(INDEX(Inputs!$D$4:$AG$200,0,MATCH(AE$2,Inputs!$D$2:$AG$2,0)),Inputs!$B$4:$B$200,$B46)/1000)</f>
        <v/>
      </c>
      <c r="AF46" s="11" t="str">
        <f>IF(AF$3=0,"",SUMIFS(INDEX(Inputs!$D$4:$AG$200,0,MATCH(AF$2,Inputs!$D$2:$AG$2,0)),Inputs!$B$4:$B$200,$B46)/1000)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IF(D$3=0,"",SUMIFS(INDEX(Inputs!$D$4:$AG$200,0,MATCH(D$2,Inputs!$D$2:$AG$2,0)),Inputs!$B$4:$B$200,$B47)/1000)</f>
        <v>20721</v>
      </c>
      <c r="E47" s="11">
        <f>IF(E$3=0,"",SUMIFS(INDEX(Inputs!$D$4:$AG$200,0,MATCH(E$2,Inputs!$D$2:$AG$2,0)),Inputs!$B$4:$B$200,$B47)/1000)</f>
        <v>22995</v>
      </c>
      <c r="F47" s="11">
        <f>IF(F$3=0,"",SUMIFS(INDEX(Inputs!$D$4:$AG$200,0,MATCH(F$2,Inputs!$D$2:$AG$2,0)),Inputs!$B$4:$B$200,$B47)/1000)</f>
        <v>25359</v>
      </c>
      <c r="G47" s="11">
        <f>IF(G$3=0,"",SUMIFS(INDEX(Inputs!$D$4:$AG$200,0,MATCH(G$2,Inputs!$D$2:$AG$2,0)),Inputs!$B$4:$B$200,$B47)/1000)</f>
        <v>16235</v>
      </c>
      <c r="H47" s="12">
        <f>IF(G47="","",G47)</f>
        <v>16235</v>
      </c>
      <c r="I47" s="11">
        <f>IF(I$3=0,"",SUMIFS(INDEX(Inputs!$D$4:$AG$200,0,MATCH(I$2,Inputs!$D$2:$AG$2,0)),Inputs!$B$4:$B$200,$B47)/1000)</f>
        <v>15758</v>
      </c>
      <c r="J47" s="11">
        <f>IF(J$3=0,"",SUMIFS(INDEX(Inputs!$D$4:$AG$200,0,MATCH(J$2,Inputs!$D$2:$AG$2,0)),Inputs!$B$4:$B$200,$B47)/1000)</f>
        <v>12971</v>
      </c>
      <c r="K47" s="11">
        <f>IF(K$3=0,"",SUMIFS(INDEX(Inputs!$D$4:$AG$200,0,MATCH(K$2,Inputs!$D$2:$AG$2,0)),Inputs!$B$4:$B$200,$B47)/1000)</f>
        <v>9905</v>
      </c>
      <c r="L47" s="11">
        <f>IF(L$3=0,"",SUMIFS(INDEX(Inputs!$D$4:$AG$200,0,MATCH(L$2,Inputs!$D$2:$AG$2,0)),Inputs!$B$4:$B$200,$B47)/1000)</f>
        <v>10171</v>
      </c>
      <c r="M47" s="12">
        <f>IF(L47="","",L47)</f>
        <v>10171</v>
      </c>
      <c r="N47" s="11">
        <f>IF(N$3=0,"",SUMIFS(INDEX(Inputs!$D$4:$AG$200,0,MATCH(N$2,Inputs!$D$2:$AG$2,0)),Inputs!$B$4:$B$200,$B47)/1000)</f>
        <v>12115</v>
      </c>
      <c r="O47" s="11">
        <f>IF(O$3=0,"",SUMIFS(INDEX(Inputs!$D$4:$AG$200,0,MATCH(O$2,Inputs!$D$2:$AG$2,0)),Inputs!$B$4:$B$200,$B47)/1000)</f>
        <v>14921</v>
      </c>
      <c r="P47" s="11">
        <f>IF(P$3=0,"",SUMIFS(INDEX(Inputs!$D$4:$AG$200,0,MATCH(P$2,Inputs!$D$2:$AG$2,0)),Inputs!$B$4:$B$200,$B47)/1000)</f>
        <v>20360</v>
      </c>
      <c r="Q47" s="11">
        <f>IF(Q$3=0,"",SUMIFS(INDEX(Inputs!$D$4:$AG$200,0,MATCH(Q$2,Inputs!$D$2:$AG$2,0)),Inputs!$B$4:$B$200,$B47)/1000)</f>
        <v>29817</v>
      </c>
      <c r="R47" s="12">
        <f>IF(Q47="","",Q47)</f>
        <v>29817</v>
      </c>
      <c r="S47" s="11">
        <f>IF(S$3=0,"",SUMIFS(INDEX(Inputs!$D$4:$AG$200,0,MATCH(S$2,Inputs!$D$2:$AG$2,0)),Inputs!$B$4:$B$200,$B47)/1000)</f>
        <v>36598</v>
      </c>
      <c r="T47" s="11">
        <f>IF(T$3=0,"",SUMIFS(INDEX(Inputs!$D$4:$AG$200,0,MATCH(T$2,Inputs!$D$2:$AG$2,0)),Inputs!$B$4:$B$200,$B47)/1000)</f>
        <v>45961</v>
      </c>
      <c r="U47" s="11">
        <f>IF(U$3=0,"",SUMIFS(INDEX(Inputs!$D$4:$AG$200,0,MATCH(U$2,Inputs!$D$2:$AG$2,0)),Inputs!$B$4:$B$200,$B47)/1000)</f>
        <v>53950</v>
      </c>
      <c r="V47" s="11">
        <f>IF(V$3=0,"",SUMIFS(INDEX(Inputs!$D$4:$AG$200,0,MATCH(V$2,Inputs!$D$2:$AG$2,0)),Inputs!$B$4:$B$200,$B47)/1000)</f>
        <v>68038</v>
      </c>
      <c r="W47" s="12">
        <f>IF(V47="","",V47)</f>
        <v>68038</v>
      </c>
      <c r="X47" s="11">
        <f>IF(X$3=0,"",SUMIFS(INDEX(Inputs!$D$4:$AG$200,0,MATCH(X$2,Inputs!$D$2:$AG$2,0)),Inputs!$B$4:$B$200,$B47)/1000)</f>
        <v>72158</v>
      </c>
      <c r="Y47" s="11">
        <f>IF(Y$3=0,"",SUMIFS(INDEX(Inputs!$D$4:$AG$200,0,MATCH(Y$2,Inputs!$D$2:$AG$2,0)),Inputs!$B$4:$B$200,$B47)/1000)</f>
        <v>88737</v>
      </c>
      <c r="Z47" s="11">
        <f>IF(Z$3=0,"",SUMIFS(INDEX(Inputs!$D$4:$AG$200,0,MATCH(Z$2,Inputs!$D$2:$AG$2,0)),Inputs!$B$4:$B$200,$B47)/1000)</f>
        <v>107908</v>
      </c>
      <c r="AA47" s="11">
        <f>IF(AA$3=0,"",SUMIFS(INDEX(Inputs!$D$4:$AG$200,0,MATCH(AA$2,Inputs!$D$2:$AG$2,0)),Inputs!$B$4:$B$200,$B47)/1000)</f>
        <v>146973</v>
      </c>
      <c r="AB47" s="12">
        <f>IF(AA47="","",AA47)</f>
        <v>146973</v>
      </c>
      <c r="AC47" s="11">
        <f>IF(AC$3=0,"",SUMIFS(INDEX(Inputs!$D$4:$AG$200,0,MATCH(AC$2,Inputs!$D$2:$AG$2,0)),Inputs!$B$4:$B$200,$B47)/1000)</f>
        <v>185038</v>
      </c>
      <c r="AD47" s="11">
        <f>IF(AD$3=0,"",SUMIFS(INDEX(Inputs!$D$4:$AG$200,0,MATCH(AD$2,Inputs!$D$2:$AG$2,0)),Inputs!$B$4:$B$200,$B47)/1000)</f>
        <v>219157</v>
      </c>
      <c r="AE47" s="11" t="str">
        <f>IF(AE$3=0,"",SUMIFS(INDEX(Inputs!$D$4:$AG$200,0,MATCH(AE$2,Inputs!$D$2:$AG$2,0)),Inputs!$B$4:$B$200,$B47)/1000)</f>
        <v/>
      </c>
      <c r="AF47" s="11" t="str">
        <f>IF(AF$3=0,"",SUMIFS(INDEX(Inputs!$D$4:$AG$200,0,MATCH(AF$2,Inputs!$D$2:$AG$2,0)),Inputs!$B$4:$B$200,$B47)/1000)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IF(SUMPRODUCT((Inputs!$B$4:$B$200=$B50)*ISNUMBER(INDEX(Inputs!$D$4:$AG$200,0,MATCH(D$2,Inputs!$D$2:$AG$2,0))))=0,"",SUMIFS(INDEX(Inputs!$D$4:$AG$200,0,MATCH(D$2,Inputs!$D$2:$AG$2,0)),Inputs!$B$4:$B$200,$B50)/1000)</f>
        <v>1912</v>
      </c>
      <c r="E50" s="11">
        <f>IF(SUMPRODUCT((Inputs!$B$4:$B$200=$B50)*ISNUMBER(INDEX(Inputs!$D$4:$AG$200,0,MATCH(E$2,Inputs!$D$2:$AG$2,0))))=0,"",SUMIFS(INDEX(Inputs!$D$4:$AG$200,0,MATCH(E$2,Inputs!$D$2:$AG$2,0)),Inputs!$B$4:$B$200,$B50)/1000)</f>
        <v>2374</v>
      </c>
      <c r="F50" s="11">
        <f>IF(SUMPRODUCT((Inputs!$B$4:$B$200=$B50)*ISNUMBER(INDEX(Inputs!$D$4:$AG$200,0,MATCH(F$2,Inputs!$D$2:$AG$2,0))))=0,"",SUMIFS(INDEX(Inputs!$D$4:$AG$200,0,MATCH(F$2,Inputs!$D$2:$AG$2,0)),Inputs!$B$4:$B$200,$B50)/1000)</f>
        <v>2464</v>
      </c>
      <c r="G50" s="11">
        <f>IF(SUMPRODUCT((Inputs!$B$4:$B$200=$B50)*ISNUMBER(INDEX(Inputs!$D$4:$AG$200,0,MATCH(G$2,Inputs!$D$2:$AG$2,0))))=0,"",SUMIFS(INDEX(Inputs!$D$4:$AG$200,0,MATCH(G$2,Inputs!$D$2:$AG$2,0)),Inputs!$B$4:$B$200,$B50)/1000)</f>
        <v>3003</v>
      </c>
      <c r="H50" s="12">
        <f>IF(COUNT(D50:G50)=4,SUM(D50:G50),"")</f>
        <v>9753</v>
      </c>
      <c r="I50" s="11">
        <f>IF(SUMPRODUCT((Inputs!$B$4:$B$200=$B50)*ISNUMBER(INDEX(Inputs!$D$4:$AG$200,0,MATCH(I$2,Inputs!$D$2:$AG$2,0))))=0,"",SUMIFS(INDEX(Inputs!$D$4:$AG$200,0,MATCH(I$2,Inputs!$D$2:$AG$2,0)),Inputs!$B$4:$B$200,$B50)/1000)</f>
        <v>1618</v>
      </c>
      <c r="J50" s="11">
        <f>IF(SUMPRODUCT((Inputs!$B$4:$B$200=$B50)*ISNUMBER(INDEX(Inputs!$D$4:$AG$200,0,MATCH(J$2,Inputs!$D$2:$AG$2,0))))=0,"",SUMIFS(INDEX(Inputs!$D$4:$AG$200,0,MATCH(J$2,Inputs!$D$2:$AG$2,0)),Inputs!$B$4:$B$200,$B50)/1000)</f>
        <v>656</v>
      </c>
      <c r="K50" s="11">
        <f>IF(SUMPRODUCT((Inputs!$B$4:$B$200=$B50)*ISNUMBER(INDEX(Inputs!$D$4:$AG$200,0,MATCH(K$2,Inputs!$D$2:$AG$2,0))))=0,"",SUMIFS(INDEX(Inputs!$D$4:$AG$200,0,MATCH(K$2,Inputs!$D$2:$AG$2,0)),Inputs!$B$4:$B$200,$B50)/1000)</f>
        <v>680</v>
      </c>
      <c r="L50" s="11">
        <f>IF(SUMPRODUCT((Inputs!$B$4:$B$200=$B50)*ISNUMBER(INDEX(Inputs!$D$4:$AG$200,0,MATCH(L$2,Inputs!$D$2:$AG$2,0))))=0,"",SUMIFS(INDEX(Inputs!$D$4:$AG$200,0,MATCH(L$2,Inputs!$D$2:$AG$2,0)),Inputs!$B$4:$B$200,$B50)/1000)</f>
        <v>1414</v>
      </c>
      <c r="M50" s="12">
        <f>IF(COUNT(I50:L50)=4,SUM(I50:L50),"")</f>
        <v>4368</v>
      </c>
      <c r="N50" s="11">
        <f>IF(SUMPRODUCT((Inputs!$B$4:$B$200=$B50)*ISNUMBER(INDEX(Inputs!$D$4:$AG$200,0,MATCH(N$2,Inputs!$D$2:$AG$2,0))))=0,"",SUMIFS(INDEX(Inputs!$D$4:$AG$200,0,MATCH(N$2,Inputs!$D$2:$AG$2,0)),Inputs!$B$4:$B$200,$B50)/1000)</f>
        <v>2043</v>
      </c>
      <c r="O50" s="11">
        <f>IF(SUMPRODUCT((Inputs!$B$4:$B$200=$B50)*ISNUMBER(INDEX(Inputs!$D$4:$AG$200,0,MATCH(O$2,Inputs!$D$2:$AG$2,0))))=0,"",SUMIFS(INDEX(Inputs!$D$4:$AG$200,0,MATCH(O$2,Inputs!$D$2:$AG$2,0)),Inputs!$B$4:$B$200,$B50)/1000)</f>
        <v>6188</v>
      </c>
      <c r="P50" s="11">
        <f>IF(SUMPRODUCT((Inputs!$B$4:$B$200=$B50)*ISNUMBER(INDEX(Inputs!$D$4:$AG$200,0,MATCH(P$2,Inputs!$D$2:$AG$2,0))))=0,"",SUMIFS(INDEX(Inputs!$D$4:$AG$200,0,MATCH(P$2,Inputs!$D$2:$AG$2,0)),Inputs!$B$4:$B$200,$B50)/1000)</f>
        <v>9243</v>
      </c>
      <c r="Q50" s="11">
        <f>IF(SUMPRODUCT((Inputs!$B$4:$B$200=$B50)*ISNUMBER(INDEX(Inputs!$D$4:$AG$200,0,MATCH(Q$2,Inputs!$D$2:$AG$2,0))))=0,"",SUMIFS(INDEX(Inputs!$D$4:$AG$200,0,MATCH(Q$2,Inputs!$D$2:$AG$2,0)),Inputs!$B$4:$B$200,$B50)/1000)</f>
        <v>12285</v>
      </c>
      <c r="R50" s="12">
        <f>IF(COUNT(N50:Q50)=4,SUM(N50:Q50),"")</f>
        <v>29759</v>
      </c>
      <c r="S50" s="11">
        <f>IF(SUMPRODUCT((Inputs!$B$4:$B$200=$B50)*ISNUMBER(INDEX(Inputs!$D$4:$AG$200,0,MATCH(S$2,Inputs!$D$2:$AG$2,0))))=0,"",SUMIFS(INDEX(Inputs!$D$4:$AG$200,0,MATCH(S$2,Inputs!$D$2:$AG$2,0)),Inputs!$B$4:$B$200,$B50)/1000)</f>
        <v>14881</v>
      </c>
      <c r="T50" s="11">
        <f>IF(SUMPRODUCT((Inputs!$B$4:$B$200=$B50)*ISNUMBER(INDEX(Inputs!$D$4:$AG$200,0,MATCH(T$2,Inputs!$D$2:$AG$2,0))))=0,"",SUMIFS(INDEX(Inputs!$D$4:$AG$200,0,MATCH(T$2,Inputs!$D$2:$AG$2,0)),Inputs!$B$4:$B$200,$B50)/1000)</f>
        <v>16599</v>
      </c>
      <c r="U50" s="11">
        <f>IF(SUMPRODUCT((Inputs!$B$4:$B$200=$B50)*ISNUMBER(INDEX(Inputs!$D$4:$AG$200,0,MATCH(U$2,Inputs!$D$2:$AG$2,0))))=0,"",SUMIFS(INDEX(Inputs!$D$4:$AG$200,0,MATCH(U$2,Inputs!$D$2:$AG$2,0)),Inputs!$B$4:$B$200,$B50)/1000)</f>
        <v>19309</v>
      </c>
      <c r="V50" s="11">
        <f>IF(SUMPRODUCT((Inputs!$B$4:$B$200=$B50)*ISNUMBER(INDEX(Inputs!$D$4:$AG$200,0,MATCH(V$2,Inputs!$D$2:$AG$2,0))))=0,"",SUMIFS(INDEX(Inputs!$D$4:$AG$200,0,MATCH(V$2,Inputs!$D$2:$AG$2,0)),Inputs!$B$4:$B$200,$B50)/1000)</f>
        <v>22091</v>
      </c>
      <c r="W50" s="12">
        <f>IF(COUNT(S50:V50)=4,SUM(S50:V50),"")</f>
        <v>72880</v>
      </c>
      <c r="X50" s="11">
        <f>IF(SUMPRODUCT((Inputs!$B$4:$B$200=$B50)*ISNUMBER(INDEX(Inputs!$D$4:$AG$200,0,MATCH(X$2,Inputs!$D$2:$AG$2,0))))=0,"",SUMIFS(INDEX(Inputs!$D$4:$AG$200,0,MATCH(X$2,Inputs!$D$2:$AG$2,0)),Inputs!$B$4:$B$200,$B50)/1000)</f>
        <v>18775</v>
      </c>
      <c r="Y50" s="11">
        <f>IF(SUMPRODUCT((Inputs!$B$4:$B$200=$B50)*ISNUMBER(INDEX(Inputs!$D$4:$AG$200,0,MATCH(Y$2,Inputs!$D$2:$AG$2,0))))=0,"",SUMIFS(INDEX(Inputs!$D$4:$AG$200,0,MATCH(Y$2,Inputs!$D$2:$AG$2,0)),Inputs!$B$4:$B$200,$B50)/1000)</f>
        <v>26422</v>
      </c>
      <c r="Z50" s="11">
        <f>IF(SUMPRODUCT((Inputs!$B$4:$B$200=$B50)*ISNUMBER(INDEX(Inputs!$D$4:$AG$200,0,MATCH(Z$2,Inputs!$D$2:$AG$2,0))))=0,"",SUMIFS(INDEX(Inputs!$D$4:$AG$200,0,MATCH(Z$2,Inputs!$D$2:$AG$2,0)),Inputs!$B$4:$B$200,$B50)/1000)</f>
        <v>31910</v>
      </c>
      <c r="AA50" s="11">
        <f>IF(SUMPRODUCT((Inputs!$B$4:$B$200=$B50)*ISNUMBER(INDEX(Inputs!$D$4:$AG$200,0,MATCH(AA$2,Inputs!$D$2:$AG$2,0))))=0,"",SUMIFS(INDEX(Inputs!$D$4:$AG$200,0,MATCH(AA$2,Inputs!$D$2:$AG$2,0)),Inputs!$B$4:$B$200,$B50)/1000)</f>
        <v>42960</v>
      </c>
      <c r="AB50" s="12">
        <f>IF(COUNT(X50:AA50)=4,SUM(X50:AA50),"")</f>
        <v>120067</v>
      </c>
      <c r="AC50" s="11">
        <f>IF(SUMPRODUCT((Inputs!$B$4:$B$200=$B50)*ISNUMBER(INDEX(Inputs!$D$4:$AG$200,0,MATCH(AC$2,Inputs!$D$2:$AG$2,0))))=0,"",SUMIFS(INDEX(Inputs!$D$4:$AG$200,0,MATCH(AC$2,Inputs!$D$2:$AG$2,0)),Inputs!$B$4:$B$200,$B50)/1000)</f>
        <v>58321</v>
      </c>
      <c r="AD50" s="11">
        <f>IF(SUMPRODUCT((Inputs!$B$4:$B$200=$B50)*ISNUMBER(INDEX(Inputs!$D$4:$AG$200,0,MATCH(AD$2,Inputs!$D$2:$AG$2,0))))=0,"",SUMIFS(INDEX(Inputs!$D$4:$AG$200,0,MATCH(AD$2,Inputs!$D$2:$AG$2,0)),Inputs!$B$4:$B$200,$B50)/1000)</f>
        <v>59688</v>
      </c>
      <c r="AE50" s="11" t="str">
        <f>IF(SUMPRODUCT((Inputs!$B$4:$B$200=$B50)*ISNUMBER(INDEX(Inputs!$D$4:$AG$200,0,MATCH(AE$2,Inputs!$D$2:$AG$2,0))))=0,"",SUMIFS(INDEX(Inputs!$D$4:$AG$200,0,MATCH(AE$2,Inputs!$D$2:$AG$2,0)),Inputs!$B$4:$B$200,$B50)/1000)</f>
        <v/>
      </c>
      <c r="AF50" s="11" t="str">
        <f>IF(SUMPRODUCT((Inputs!$B$4:$B$200=$B50)*ISNUMBER(INDEX(Inputs!$D$4:$AG$200,0,MATCH(AF$2,Inputs!$D$2:$AG$2,0))))=0,"",SUMIFS(INDEX(Inputs!$D$4:$AG$200,0,MATCH(AF$2,Inputs!$D$2:$AG$2,0)),Inputs!$B$4:$B$200,$B50)/1000)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Data Center (USD; trimestre-calendário; o 4T (nov-jan, FQ4) = ano fiscal do 10-K menos 9M do 10-Q de out)</t>
        </is>
      </c>
      <c r="D53" s="11">
        <f>IF(SUMPRODUCT((Inputs!$B$4:$B$200=$B53)*ISNUMBER(INDEX(Inputs!$D$4:$AG$200,0,MATCH(D$2,Inputs!$D$2:$AG$2,0))))=0,"",SUMIFS(INDEX(Inputs!$D$4:$AG$200,0,MATCH(D$2,Inputs!$D$2:$AG$2,0)),Inputs!$B$4:$B$200,$B53)/1000)</f>
        <v>2048</v>
      </c>
      <c r="E53" s="11">
        <f>IF(SUMPRODUCT((Inputs!$B$4:$B$200=$B53)*ISNUMBER(INDEX(Inputs!$D$4:$AG$200,0,MATCH(E$2,Inputs!$D$2:$AG$2,0))))=0,"",SUMIFS(INDEX(Inputs!$D$4:$AG$200,0,MATCH(E$2,Inputs!$D$2:$AG$2,0)),Inputs!$B$4:$B$200,$B53)/1000)</f>
        <v>2366</v>
      </c>
      <c r="F53" s="11">
        <f>IF(SUMPRODUCT((Inputs!$B$4:$B$200=$B53)*ISNUMBER(INDEX(Inputs!$D$4:$AG$200,0,MATCH(F$2,Inputs!$D$2:$AG$2,0))))=0,"",SUMIFS(INDEX(Inputs!$D$4:$AG$200,0,MATCH(F$2,Inputs!$D$2:$AG$2,0)),Inputs!$B$4:$B$200,$B53)/1000)</f>
        <v>2936</v>
      </c>
      <c r="G53" s="11">
        <f>IF(SUMPRODUCT((Inputs!$B$4:$B$200=$B53)*ISNUMBER(INDEX(Inputs!$D$4:$AG$200,0,MATCH(G$2,Inputs!$D$2:$AG$2,0))))=0,"",SUMIFS(INDEX(Inputs!$D$4:$AG$200,0,MATCH(G$2,Inputs!$D$2:$AG$2,0)),Inputs!$B$4:$B$200,$B53)/1000)</f>
        <v>3263</v>
      </c>
      <c r="H53" s="12">
        <f>IF(COUNT(D53:G53)=4,SUM(D53:G53),"")</f>
        <v>10613</v>
      </c>
      <c r="I53" s="11">
        <f>IF(SUMPRODUCT((Inputs!$B$4:$B$200=$B53)*ISNUMBER(INDEX(Inputs!$D$4:$AG$200,0,MATCH(I$2,Inputs!$D$2:$AG$2,0))))=0,"",SUMIFS(INDEX(Inputs!$D$4:$AG$200,0,MATCH(I$2,Inputs!$D$2:$AG$2,0)),Inputs!$B$4:$B$200,$B53)/1000)</f>
        <v>3750</v>
      </c>
      <c r="J53" s="11">
        <f>IF(SUMPRODUCT((Inputs!$B$4:$B$200=$B53)*ISNUMBER(INDEX(Inputs!$D$4:$AG$200,0,MATCH(J$2,Inputs!$D$2:$AG$2,0))))=0,"",SUMIFS(INDEX(Inputs!$D$4:$AG$200,0,MATCH(J$2,Inputs!$D$2:$AG$2,0)),Inputs!$B$4:$B$200,$B53)/1000)</f>
        <v>3806</v>
      </c>
      <c r="K53" s="11">
        <f>IF(SUMPRODUCT((Inputs!$B$4:$B$200=$B53)*ISNUMBER(INDEX(Inputs!$D$4:$AG$200,0,MATCH(K$2,Inputs!$D$2:$AG$2,0))))=0,"",SUMIFS(INDEX(Inputs!$D$4:$AG$200,0,MATCH(K$2,Inputs!$D$2:$AG$2,0)),Inputs!$B$4:$B$200,$B53)/1000)</f>
        <v>3833</v>
      </c>
      <c r="L53" s="11">
        <f>IF(SUMPRODUCT((Inputs!$B$4:$B$200=$B53)*ISNUMBER(INDEX(Inputs!$D$4:$AG$200,0,MATCH(L$2,Inputs!$D$2:$AG$2,0))))=0,"",SUMIFS(INDEX(Inputs!$D$4:$AG$200,0,MATCH(L$2,Inputs!$D$2:$AG$2,0)),Inputs!$B$4:$B$200,$B53)/1000)</f>
        <v>3616</v>
      </c>
      <c r="M53" s="12">
        <f>IF(COUNT(I53:L53)=4,SUM(I53:L53),"")</f>
        <v>15005</v>
      </c>
      <c r="N53" s="11">
        <f>IF(SUMPRODUCT((Inputs!$B$4:$B$200=$B53)*ISNUMBER(INDEX(Inputs!$D$4:$AG$200,0,MATCH(N$2,Inputs!$D$2:$AG$2,0))))=0,"",SUMIFS(INDEX(Inputs!$D$4:$AG$200,0,MATCH(N$2,Inputs!$D$2:$AG$2,0)),Inputs!$B$4:$B$200,$B53)/1000)</f>
        <v>4284</v>
      </c>
      <c r="O53" s="11">
        <f>IF(SUMPRODUCT((Inputs!$B$4:$B$200=$B53)*ISNUMBER(INDEX(Inputs!$D$4:$AG$200,0,MATCH(O$2,Inputs!$D$2:$AG$2,0))))=0,"",SUMIFS(INDEX(Inputs!$D$4:$AG$200,0,MATCH(O$2,Inputs!$D$2:$AG$2,0)),Inputs!$B$4:$B$200,$B53)/1000)</f>
        <v>10323</v>
      </c>
      <c r="P53" s="11">
        <f>IF(SUMPRODUCT((Inputs!$B$4:$B$200=$B53)*ISNUMBER(INDEX(Inputs!$D$4:$AG$200,0,MATCH(P$2,Inputs!$D$2:$AG$2,0))))=0,"",SUMIFS(INDEX(Inputs!$D$4:$AG$200,0,MATCH(P$2,Inputs!$D$2:$AG$2,0)),Inputs!$B$4:$B$200,$B53)/1000)</f>
        <v>14514</v>
      </c>
      <c r="Q53" s="11">
        <f>IF(SUMPRODUCT((Inputs!$B$4:$B$200=$B53)*ISNUMBER(INDEX(Inputs!$D$4:$AG$200,0,MATCH(Q$2,Inputs!$D$2:$AG$2,0))))=0,"",SUMIFS(INDEX(Inputs!$D$4:$AG$200,0,MATCH(Q$2,Inputs!$D$2:$AG$2,0)),Inputs!$B$4:$B$200,$B53)/1000)</f>
        <v>18404</v>
      </c>
      <c r="R53" s="12">
        <f>IF(COUNT(N53:Q53)=4,SUM(N53:Q53),"")</f>
        <v>47525</v>
      </c>
      <c r="S53" s="11">
        <f>IF(SUMPRODUCT((Inputs!$B$4:$B$200=$B53)*ISNUMBER(INDEX(Inputs!$D$4:$AG$200,0,MATCH(S$2,Inputs!$D$2:$AG$2,0))))=0,"",SUMIFS(INDEX(Inputs!$D$4:$AG$200,0,MATCH(S$2,Inputs!$D$2:$AG$2,0)),Inputs!$B$4:$B$200,$B53)/1000)</f>
        <v>22563</v>
      </c>
      <c r="T53" s="11">
        <f>IF(SUMPRODUCT((Inputs!$B$4:$B$200=$B53)*ISNUMBER(INDEX(Inputs!$D$4:$AG$200,0,MATCH(T$2,Inputs!$D$2:$AG$2,0))))=0,"",SUMIFS(INDEX(Inputs!$D$4:$AG$200,0,MATCH(T$2,Inputs!$D$2:$AG$2,0)),Inputs!$B$4:$B$200,$B53)/1000)</f>
        <v>26272</v>
      </c>
      <c r="U53" s="11">
        <f>IF(SUMPRODUCT((Inputs!$B$4:$B$200=$B53)*ISNUMBER(INDEX(Inputs!$D$4:$AG$200,0,MATCH(U$2,Inputs!$D$2:$AG$2,0))))=0,"",SUMIFS(INDEX(Inputs!$D$4:$AG$200,0,MATCH(U$2,Inputs!$D$2:$AG$2,0)),Inputs!$B$4:$B$200,$B53)/1000)</f>
        <v>30771</v>
      </c>
      <c r="V53" s="11">
        <f>IF(SUMPRODUCT((Inputs!$B$4:$B$200=$B53)*ISNUMBER(INDEX(Inputs!$D$4:$AG$200,0,MATCH(V$2,Inputs!$D$2:$AG$2,0))))=0,"",SUMIFS(INDEX(Inputs!$D$4:$AG$200,0,MATCH(V$2,Inputs!$D$2:$AG$2,0)),Inputs!$B$4:$B$200,$B53)/1000)</f>
        <v>35580</v>
      </c>
      <c r="W53" s="12">
        <f>IF(COUNT(S53:V53)=4,SUM(S53:V53),"")</f>
        <v>115186</v>
      </c>
      <c r="X53" s="11">
        <f>IF(SUMPRODUCT((Inputs!$B$4:$B$200=$B53)*ISNUMBER(INDEX(Inputs!$D$4:$AG$200,0,MATCH(X$2,Inputs!$D$2:$AG$2,0))))=0,"",SUMIFS(INDEX(Inputs!$D$4:$AG$200,0,MATCH(X$2,Inputs!$D$2:$AG$2,0)),Inputs!$B$4:$B$200,$B53)/1000)</f>
        <v>39112</v>
      </c>
      <c r="Y53" s="11">
        <f>IF(SUMPRODUCT((Inputs!$B$4:$B$200=$B53)*ISNUMBER(INDEX(Inputs!$D$4:$AG$200,0,MATCH(Y$2,Inputs!$D$2:$AG$2,0))))=0,"",SUMIFS(INDEX(Inputs!$D$4:$AG$200,0,MATCH(Y$2,Inputs!$D$2:$AG$2,0)),Inputs!$B$4:$B$200,$B53)/1000)</f>
        <v>41096</v>
      </c>
      <c r="Z53" s="11">
        <f>IF(SUMPRODUCT((Inputs!$B$4:$B$200=$B53)*ISNUMBER(INDEX(Inputs!$D$4:$AG$200,0,MATCH(Z$2,Inputs!$D$2:$AG$2,0))))=0,"",SUMIFS(INDEX(Inputs!$D$4:$AG$200,0,MATCH(Z$2,Inputs!$D$2:$AG$2,0)),Inputs!$B$4:$B$200,$B53)/1000)</f>
        <v>51215</v>
      </c>
      <c r="AA53" s="11">
        <f>IF(SUMPRODUCT((Inputs!$B$4:$B$200=$B53)*ISNUMBER(INDEX(Inputs!$D$4:$AG$200,0,MATCH(AA$2,Inputs!$D$2:$AG$2,0))))=0,"",SUMIFS(INDEX(Inputs!$D$4:$AG$200,0,MATCH(AA$2,Inputs!$D$2:$AG$2,0)),Inputs!$B$4:$B$200,$B53)/1000)</f>
        <v>62314</v>
      </c>
      <c r="AB53" s="12">
        <f>IF(COUNT(X53:AA53)=4,SUM(X53:AA53),"")</f>
        <v>193737</v>
      </c>
      <c r="AC53" s="11">
        <f>IF(SUMPRODUCT((Inputs!$B$4:$B$200=$B53)*ISNUMBER(INDEX(Inputs!$D$4:$AG$200,0,MATCH(AC$2,Inputs!$D$2:$AG$2,0))))=0,"",SUMIFS(INDEX(Inputs!$D$4:$AG$200,0,MATCH(AC$2,Inputs!$D$2:$AG$2,0)),Inputs!$B$4:$B$200,$B53)/1000)</f>
        <v>75246</v>
      </c>
      <c r="AD53" s="11">
        <f>IF(SUMPRODUCT((Inputs!$B$4:$B$200=$B53)*ISNUMBER(INDEX(Inputs!$D$4:$AG$200,0,MATCH(AD$2,Inputs!$D$2:$AG$2,0))))=0,"",SUMIFS(INDEX(Inputs!$D$4:$AG$200,0,MATCH(AD$2,Inputs!$D$2:$AG$2,0)),Inputs!$B$4:$B$200,$B53)/1000)</f>
        <v>89023</v>
      </c>
      <c r="AE53" s="11" t="str">
        <f>IF(SUMPRODUCT((Inputs!$B$4:$B$200=$B53)*ISNUMBER(INDEX(Inputs!$D$4:$AG$200,0,MATCH(AE$2,Inputs!$D$2:$AG$2,0))))=0,"",SUMIFS(INDEX(Inputs!$D$4:$AG$200,0,MATCH(AE$2,Inputs!$D$2:$AG$2,0)),Inputs!$B$4:$B$200,$B53)/1000)</f>
        <v/>
      </c>
      <c r="AF53" s="11" t="str">
        <f>IF(SUMPRODUCT((Inputs!$B$4:$B$200=$B53)*ISNUMBER(INDEX(Inputs!$D$4:$AG$200,0,MATCH(AF$2,Inputs!$D$2:$AG$2,0))))=0,"",SUMIFS(INDEX(Inputs!$D$4:$AG$200,0,MATCH(AF$2,Inputs!$D$2:$AG$2,0)),Inputs!$B$4:$B$200,$B53)/1000)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Data Center - Compute (USD; aberto de 1T23 a 4T25)</t>
        </is>
      </c>
      <c r="D54" s="11" t="str">
        <f>IF(SUMPRODUCT((Inputs!$B$4:$B$200=$B54)*ISNUMBER(INDEX(Inputs!$D$4:$AG$200,0,MATCH(D$2,Inputs!$D$2:$AG$2,0))))=0,"",SUMIFS(INDEX(Inputs!$D$4:$AG$200,0,MATCH(D$2,Inputs!$D$2:$AG$2,0)),Inputs!$B$4:$B$200,$B54)/1000)</f>
        <v/>
      </c>
      <c r="E54" s="11" t="str">
        <f>IF(SUMPRODUCT((Inputs!$B$4:$B$200=$B54)*ISNUMBER(INDEX(Inputs!$D$4:$AG$200,0,MATCH(E$2,Inputs!$D$2:$AG$2,0))))=0,"",SUMIFS(INDEX(Inputs!$D$4:$AG$200,0,MATCH(E$2,Inputs!$D$2:$AG$2,0)),Inputs!$B$4:$B$200,$B54)/1000)</f>
        <v/>
      </c>
      <c r="F54" s="11" t="str">
        <f>IF(SUMPRODUCT((Inputs!$B$4:$B$200=$B54)*ISNUMBER(INDEX(Inputs!$D$4:$AG$200,0,MATCH(F$2,Inputs!$D$2:$AG$2,0))))=0,"",SUMIFS(INDEX(Inputs!$D$4:$AG$200,0,MATCH(F$2,Inputs!$D$2:$AG$2,0)),Inputs!$B$4:$B$200,$B54)/1000)</f>
        <v/>
      </c>
      <c r="G54" s="11" t="str">
        <f>IF(SUMPRODUCT((Inputs!$B$4:$B$200=$B54)*ISNUMBER(INDEX(Inputs!$D$4:$AG$200,0,MATCH(G$2,Inputs!$D$2:$AG$2,0))))=0,"",SUMIFS(INDEX(Inputs!$D$4:$AG$200,0,MATCH(G$2,Inputs!$D$2:$AG$2,0)),Inputs!$B$4:$B$200,$B54)/1000)</f>
        <v/>
      </c>
      <c r="H54" s="12" t="str">
        <f>IF(COUNT(D54:G54)=4,SUM(D54:G54),"")</f>
        <v/>
      </c>
      <c r="I54" s="11" t="str">
        <f>IF(SUMPRODUCT((Inputs!$B$4:$B$200=$B54)*ISNUMBER(INDEX(Inputs!$D$4:$AG$200,0,MATCH(I$2,Inputs!$D$2:$AG$2,0))))=0,"",SUMIFS(INDEX(Inputs!$D$4:$AG$200,0,MATCH(I$2,Inputs!$D$2:$AG$2,0)),Inputs!$B$4:$B$200,$B54)/1000)</f>
        <v/>
      </c>
      <c r="J54" s="11" t="str">
        <f>IF(SUMPRODUCT((Inputs!$B$4:$B$200=$B54)*ISNUMBER(INDEX(Inputs!$D$4:$AG$200,0,MATCH(J$2,Inputs!$D$2:$AG$2,0))))=0,"",SUMIFS(INDEX(Inputs!$D$4:$AG$200,0,MATCH(J$2,Inputs!$D$2:$AG$2,0)),Inputs!$B$4:$B$200,$B54)/1000)</f>
        <v/>
      </c>
      <c r="K54" s="11" t="str">
        <f>IF(SUMPRODUCT((Inputs!$B$4:$B$200=$B54)*ISNUMBER(INDEX(Inputs!$D$4:$AG$200,0,MATCH(K$2,Inputs!$D$2:$AG$2,0))))=0,"",SUMIFS(INDEX(Inputs!$D$4:$AG$200,0,MATCH(K$2,Inputs!$D$2:$AG$2,0)),Inputs!$B$4:$B$200,$B54)/1000)</f>
        <v/>
      </c>
      <c r="L54" s="11" t="str">
        <f>IF(SUMPRODUCT((Inputs!$B$4:$B$200=$B54)*ISNUMBER(INDEX(Inputs!$D$4:$AG$200,0,MATCH(L$2,Inputs!$D$2:$AG$2,0))))=0,"",SUMIFS(INDEX(Inputs!$D$4:$AG$200,0,MATCH(L$2,Inputs!$D$2:$AG$2,0)),Inputs!$B$4:$B$200,$B54)/1000)</f>
        <v/>
      </c>
      <c r="M54" s="12" t="str">
        <f>IF(COUNT(I54:L54)=4,SUM(I54:L54),"")</f>
        <v/>
      </c>
      <c r="N54" s="11">
        <f>IF(SUMPRODUCT((Inputs!$B$4:$B$200=$B54)*ISNUMBER(INDEX(Inputs!$D$4:$AG$200,0,MATCH(N$2,Inputs!$D$2:$AG$2,0))))=0,"",SUMIFS(INDEX(Inputs!$D$4:$AG$200,0,MATCH(N$2,Inputs!$D$2:$AG$2,0)),Inputs!$B$4:$B$200,$B54)/1000)</f>
        <v>3357</v>
      </c>
      <c r="O54" s="11">
        <f>IF(SUMPRODUCT((Inputs!$B$4:$B$200=$B54)*ISNUMBER(INDEX(Inputs!$D$4:$AG$200,0,MATCH(O$2,Inputs!$D$2:$AG$2,0))))=0,"",SUMIFS(INDEX(Inputs!$D$4:$AG$200,0,MATCH(O$2,Inputs!$D$2:$AG$2,0)),Inputs!$B$4:$B$200,$B54)/1000)</f>
        <v>8612</v>
      </c>
      <c r="P54" s="11">
        <f>IF(SUMPRODUCT((Inputs!$B$4:$B$200=$B54)*ISNUMBER(INDEX(Inputs!$D$4:$AG$200,0,MATCH(P$2,Inputs!$D$2:$AG$2,0))))=0,"",SUMIFS(INDEX(Inputs!$D$4:$AG$200,0,MATCH(P$2,Inputs!$D$2:$AG$2,0)),Inputs!$B$4:$B$200,$B54)/1000)</f>
        <v>11908</v>
      </c>
      <c r="Q54" s="11">
        <f>IF(SUMPRODUCT((Inputs!$B$4:$B$200=$B54)*ISNUMBER(INDEX(Inputs!$D$4:$AG$200,0,MATCH(Q$2,Inputs!$D$2:$AG$2,0))))=0,"",SUMIFS(INDEX(Inputs!$D$4:$AG$200,0,MATCH(Q$2,Inputs!$D$2:$AG$2,0)),Inputs!$B$4:$B$200,$B54)/1000)</f>
        <v>15073</v>
      </c>
      <c r="R54" s="12">
        <f>IF(COUNT(N54:Q54)=4,SUM(N54:Q54),"")</f>
        <v>38950</v>
      </c>
      <c r="S54" s="11">
        <f>IF(SUMPRODUCT((Inputs!$B$4:$B$200=$B54)*ISNUMBER(INDEX(Inputs!$D$4:$AG$200,0,MATCH(S$2,Inputs!$D$2:$AG$2,0))))=0,"",SUMIFS(INDEX(Inputs!$D$4:$AG$200,0,MATCH(S$2,Inputs!$D$2:$AG$2,0)),Inputs!$B$4:$B$200,$B54)/1000)</f>
        <v>19392</v>
      </c>
      <c r="T54" s="11">
        <f>IF(SUMPRODUCT((Inputs!$B$4:$B$200=$B54)*ISNUMBER(INDEX(Inputs!$D$4:$AG$200,0,MATCH(T$2,Inputs!$D$2:$AG$2,0))))=0,"",SUMIFS(INDEX(Inputs!$D$4:$AG$200,0,MATCH(T$2,Inputs!$D$2:$AG$2,0)),Inputs!$B$4:$B$200,$B54)/1000)</f>
        <v>22604</v>
      </c>
      <c r="U54" s="11">
        <f>IF(SUMPRODUCT((Inputs!$B$4:$B$200=$B54)*ISNUMBER(INDEX(Inputs!$D$4:$AG$200,0,MATCH(U$2,Inputs!$D$2:$AG$2,0))))=0,"",SUMIFS(INDEX(Inputs!$D$4:$AG$200,0,MATCH(U$2,Inputs!$D$2:$AG$2,0)),Inputs!$B$4:$B$200,$B54)/1000)</f>
        <v>27644</v>
      </c>
      <c r="V54" s="11">
        <f>IF(SUMPRODUCT((Inputs!$B$4:$B$200=$B54)*ISNUMBER(INDEX(Inputs!$D$4:$AG$200,0,MATCH(V$2,Inputs!$D$2:$AG$2,0))))=0,"",SUMIFS(INDEX(Inputs!$D$4:$AG$200,0,MATCH(V$2,Inputs!$D$2:$AG$2,0)),Inputs!$B$4:$B$200,$B54)/1000)</f>
        <v>32556</v>
      </c>
      <c r="W54" s="12">
        <f>IF(COUNT(S54:V54)=4,SUM(S54:V54),"")</f>
        <v>102196</v>
      </c>
      <c r="X54" s="11">
        <f>IF(SUMPRODUCT((Inputs!$B$4:$B$200=$B54)*ISNUMBER(INDEX(Inputs!$D$4:$AG$200,0,MATCH(X$2,Inputs!$D$2:$AG$2,0))))=0,"",SUMIFS(INDEX(Inputs!$D$4:$AG$200,0,MATCH(X$2,Inputs!$D$2:$AG$2,0)),Inputs!$B$4:$B$200,$B54)/1000)</f>
        <v>34155</v>
      </c>
      <c r="Y54" s="11">
        <f>IF(SUMPRODUCT((Inputs!$B$4:$B$200=$B54)*ISNUMBER(INDEX(Inputs!$D$4:$AG$200,0,MATCH(Y$2,Inputs!$D$2:$AG$2,0))))=0,"",SUMIFS(INDEX(Inputs!$D$4:$AG$200,0,MATCH(Y$2,Inputs!$D$2:$AG$2,0)),Inputs!$B$4:$B$200,$B54)/1000)</f>
        <v>33844</v>
      </c>
      <c r="Z54" s="11">
        <f>IF(SUMPRODUCT((Inputs!$B$4:$B$200=$B54)*ISNUMBER(INDEX(Inputs!$D$4:$AG$200,0,MATCH(Z$2,Inputs!$D$2:$AG$2,0))))=0,"",SUMIFS(INDEX(Inputs!$D$4:$AG$200,0,MATCH(Z$2,Inputs!$D$2:$AG$2,0)),Inputs!$B$4:$B$200,$B54)/1000)</f>
        <v>43028</v>
      </c>
      <c r="AA54" s="11">
        <f>IF(SUMPRODUCT((Inputs!$B$4:$B$200=$B54)*ISNUMBER(INDEX(Inputs!$D$4:$AG$200,0,MATCH(AA$2,Inputs!$D$2:$AG$2,0))))=0,"",SUMIFS(INDEX(Inputs!$D$4:$AG$200,0,MATCH(AA$2,Inputs!$D$2:$AG$2,0)),Inputs!$B$4:$B$200,$B54)/1000)</f>
        <v>51334</v>
      </c>
      <c r="AB54" s="12">
        <f>IF(COUNT(X54:AA54)=4,SUM(X54:AA54),"")</f>
        <v>162361</v>
      </c>
      <c r="AC54" s="11" t="str">
        <f>IF(SUMPRODUCT((Inputs!$B$4:$B$200=$B54)*ISNUMBER(INDEX(Inputs!$D$4:$AG$200,0,MATCH(AC$2,Inputs!$D$2:$AG$2,0))))=0,"",SUMIFS(INDEX(Inputs!$D$4:$AG$200,0,MATCH(AC$2,Inputs!$D$2:$AG$2,0)),Inputs!$B$4:$B$200,$B54)/1000)</f>
        <v/>
      </c>
      <c r="AD54" s="11" t="str">
        <f>IF(SUMPRODUCT((Inputs!$B$4:$B$200=$B54)*ISNUMBER(INDEX(Inputs!$D$4:$AG$200,0,MATCH(AD$2,Inputs!$D$2:$AG$2,0))))=0,"",SUMIFS(INDEX(Inputs!$D$4:$AG$200,0,MATCH(AD$2,Inputs!$D$2:$AG$2,0)),Inputs!$B$4:$B$200,$B54)/1000)</f>
        <v/>
      </c>
      <c r="AE54" s="11" t="str">
        <f>IF(SUMPRODUCT((Inputs!$B$4:$B$200=$B54)*ISNUMBER(INDEX(Inputs!$D$4:$AG$200,0,MATCH(AE$2,Inputs!$D$2:$AG$2,0))))=0,"",SUMIFS(INDEX(Inputs!$D$4:$AG$200,0,MATCH(AE$2,Inputs!$D$2:$AG$2,0)),Inputs!$B$4:$B$200,$B54)/1000)</f>
        <v/>
      </c>
      <c r="AF54" s="11" t="str">
        <f>IF(SUMPRODUCT((Inputs!$B$4:$B$200=$B54)*ISNUMBER(INDEX(Inputs!$D$4:$AG$200,0,MATCH(AF$2,Inputs!$D$2:$AG$2,0))))=0,"",SUMIFS(INDEX(Inputs!$D$4:$AG$200,0,MATCH(AF$2,Inputs!$D$2:$AG$2,0)),Inputs!$B$4:$B$200,$B54)/1000)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Data Center - Networking (USD; aberto de 1T23 a 4T25)</t>
        </is>
      </c>
      <c r="D55" s="11" t="str">
        <f>IF(SUMPRODUCT((Inputs!$B$4:$B$200=$B55)*ISNUMBER(INDEX(Inputs!$D$4:$AG$200,0,MATCH(D$2,Inputs!$D$2:$AG$2,0))))=0,"",SUMIFS(INDEX(Inputs!$D$4:$AG$200,0,MATCH(D$2,Inputs!$D$2:$AG$2,0)),Inputs!$B$4:$B$200,$B55)/1000)</f>
        <v/>
      </c>
      <c r="E55" s="11" t="str">
        <f>IF(SUMPRODUCT((Inputs!$B$4:$B$200=$B55)*ISNUMBER(INDEX(Inputs!$D$4:$AG$200,0,MATCH(E$2,Inputs!$D$2:$AG$2,0))))=0,"",SUMIFS(INDEX(Inputs!$D$4:$AG$200,0,MATCH(E$2,Inputs!$D$2:$AG$2,0)),Inputs!$B$4:$B$200,$B55)/1000)</f>
        <v/>
      </c>
      <c r="F55" s="11" t="str">
        <f>IF(SUMPRODUCT((Inputs!$B$4:$B$200=$B55)*ISNUMBER(INDEX(Inputs!$D$4:$AG$200,0,MATCH(F$2,Inputs!$D$2:$AG$2,0))))=0,"",SUMIFS(INDEX(Inputs!$D$4:$AG$200,0,MATCH(F$2,Inputs!$D$2:$AG$2,0)),Inputs!$B$4:$B$200,$B55)/1000)</f>
        <v/>
      </c>
      <c r="G55" s="11" t="str">
        <f>IF(SUMPRODUCT((Inputs!$B$4:$B$200=$B55)*ISNUMBER(INDEX(Inputs!$D$4:$AG$200,0,MATCH(G$2,Inputs!$D$2:$AG$2,0))))=0,"",SUMIFS(INDEX(Inputs!$D$4:$AG$200,0,MATCH(G$2,Inputs!$D$2:$AG$2,0)),Inputs!$B$4:$B$200,$B55)/1000)</f>
        <v/>
      </c>
      <c r="H55" s="12" t="str">
        <f>IF(COUNT(D55:G55)=4,SUM(D55:G55),"")</f>
        <v/>
      </c>
      <c r="I55" s="11" t="str">
        <f>IF(SUMPRODUCT((Inputs!$B$4:$B$200=$B55)*ISNUMBER(INDEX(Inputs!$D$4:$AG$200,0,MATCH(I$2,Inputs!$D$2:$AG$2,0))))=0,"",SUMIFS(INDEX(Inputs!$D$4:$AG$200,0,MATCH(I$2,Inputs!$D$2:$AG$2,0)),Inputs!$B$4:$B$200,$B55)/1000)</f>
        <v/>
      </c>
      <c r="J55" s="11" t="str">
        <f>IF(SUMPRODUCT((Inputs!$B$4:$B$200=$B55)*ISNUMBER(INDEX(Inputs!$D$4:$AG$200,0,MATCH(J$2,Inputs!$D$2:$AG$2,0))))=0,"",SUMIFS(INDEX(Inputs!$D$4:$AG$200,0,MATCH(J$2,Inputs!$D$2:$AG$2,0)),Inputs!$B$4:$B$200,$B55)/1000)</f>
        <v/>
      </c>
      <c r="K55" s="11" t="str">
        <f>IF(SUMPRODUCT((Inputs!$B$4:$B$200=$B55)*ISNUMBER(INDEX(Inputs!$D$4:$AG$200,0,MATCH(K$2,Inputs!$D$2:$AG$2,0))))=0,"",SUMIFS(INDEX(Inputs!$D$4:$AG$200,0,MATCH(K$2,Inputs!$D$2:$AG$2,0)),Inputs!$B$4:$B$200,$B55)/1000)</f>
        <v/>
      </c>
      <c r="L55" s="11" t="str">
        <f>IF(SUMPRODUCT((Inputs!$B$4:$B$200=$B55)*ISNUMBER(INDEX(Inputs!$D$4:$AG$200,0,MATCH(L$2,Inputs!$D$2:$AG$2,0))))=0,"",SUMIFS(INDEX(Inputs!$D$4:$AG$200,0,MATCH(L$2,Inputs!$D$2:$AG$2,0)),Inputs!$B$4:$B$200,$B55)/1000)</f>
        <v/>
      </c>
      <c r="M55" s="12" t="str">
        <f>IF(COUNT(I55:L55)=4,SUM(I55:L55),"")</f>
        <v/>
      </c>
      <c r="N55" s="11">
        <f>IF(SUMPRODUCT((Inputs!$B$4:$B$200=$B55)*ISNUMBER(INDEX(Inputs!$D$4:$AG$200,0,MATCH(N$2,Inputs!$D$2:$AG$2,0))))=0,"",SUMIFS(INDEX(Inputs!$D$4:$AG$200,0,MATCH(N$2,Inputs!$D$2:$AG$2,0)),Inputs!$B$4:$B$200,$B55)/1000)</f>
        <v>927</v>
      </c>
      <c r="O55" s="11">
        <f>IF(SUMPRODUCT((Inputs!$B$4:$B$200=$B55)*ISNUMBER(INDEX(Inputs!$D$4:$AG$200,0,MATCH(O$2,Inputs!$D$2:$AG$2,0))))=0,"",SUMIFS(INDEX(Inputs!$D$4:$AG$200,0,MATCH(O$2,Inputs!$D$2:$AG$2,0)),Inputs!$B$4:$B$200,$B55)/1000)</f>
        <v>1711</v>
      </c>
      <c r="P55" s="11">
        <f>IF(SUMPRODUCT((Inputs!$B$4:$B$200=$B55)*ISNUMBER(INDEX(Inputs!$D$4:$AG$200,0,MATCH(P$2,Inputs!$D$2:$AG$2,0))))=0,"",SUMIFS(INDEX(Inputs!$D$4:$AG$200,0,MATCH(P$2,Inputs!$D$2:$AG$2,0)),Inputs!$B$4:$B$200,$B55)/1000)</f>
        <v>2606</v>
      </c>
      <c r="Q55" s="11">
        <f>IF(SUMPRODUCT((Inputs!$B$4:$B$200=$B55)*ISNUMBER(INDEX(Inputs!$D$4:$AG$200,0,MATCH(Q$2,Inputs!$D$2:$AG$2,0))))=0,"",SUMIFS(INDEX(Inputs!$D$4:$AG$200,0,MATCH(Q$2,Inputs!$D$2:$AG$2,0)),Inputs!$B$4:$B$200,$B55)/1000)</f>
        <v>3331</v>
      </c>
      <c r="R55" s="12">
        <f>IF(COUNT(N55:Q55)=4,SUM(N55:Q55),"")</f>
        <v>8575</v>
      </c>
      <c r="S55" s="11">
        <f>IF(SUMPRODUCT((Inputs!$B$4:$B$200=$B55)*ISNUMBER(INDEX(Inputs!$D$4:$AG$200,0,MATCH(S$2,Inputs!$D$2:$AG$2,0))))=0,"",SUMIFS(INDEX(Inputs!$D$4:$AG$200,0,MATCH(S$2,Inputs!$D$2:$AG$2,0)),Inputs!$B$4:$B$200,$B55)/1000)</f>
        <v>3171</v>
      </c>
      <c r="T55" s="11">
        <f>IF(SUMPRODUCT((Inputs!$B$4:$B$200=$B55)*ISNUMBER(INDEX(Inputs!$D$4:$AG$200,0,MATCH(T$2,Inputs!$D$2:$AG$2,0))))=0,"",SUMIFS(INDEX(Inputs!$D$4:$AG$200,0,MATCH(T$2,Inputs!$D$2:$AG$2,0)),Inputs!$B$4:$B$200,$B55)/1000)</f>
        <v>3668</v>
      </c>
      <c r="U55" s="11">
        <f>IF(SUMPRODUCT((Inputs!$B$4:$B$200=$B55)*ISNUMBER(INDEX(Inputs!$D$4:$AG$200,0,MATCH(U$2,Inputs!$D$2:$AG$2,0))))=0,"",SUMIFS(INDEX(Inputs!$D$4:$AG$200,0,MATCH(U$2,Inputs!$D$2:$AG$2,0)),Inputs!$B$4:$B$200,$B55)/1000)</f>
        <v>3127</v>
      </c>
      <c r="V55" s="11">
        <f>IF(SUMPRODUCT((Inputs!$B$4:$B$200=$B55)*ISNUMBER(INDEX(Inputs!$D$4:$AG$200,0,MATCH(V$2,Inputs!$D$2:$AG$2,0))))=0,"",SUMIFS(INDEX(Inputs!$D$4:$AG$200,0,MATCH(V$2,Inputs!$D$2:$AG$2,0)),Inputs!$B$4:$B$200,$B55)/1000)</f>
        <v>3024</v>
      </c>
      <c r="W55" s="12">
        <f>IF(COUNT(S55:V55)=4,SUM(S55:V55),"")</f>
        <v>12990</v>
      </c>
      <c r="X55" s="11">
        <f>IF(SUMPRODUCT((Inputs!$B$4:$B$200=$B55)*ISNUMBER(INDEX(Inputs!$D$4:$AG$200,0,MATCH(X$2,Inputs!$D$2:$AG$2,0))))=0,"",SUMIFS(INDEX(Inputs!$D$4:$AG$200,0,MATCH(X$2,Inputs!$D$2:$AG$2,0)),Inputs!$B$4:$B$200,$B55)/1000)</f>
        <v>4957</v>
      </c>
      <c r="Y55" s="11">
        <f>IF(SUMPRODUCT((Inputs!$B$4:$B$200=$B55)*ISNUMBER(INDEX(Inputs!$D$4:$AG$200,0,MATCH(Y$2,Inputs!$D$2:$AG$2,0))))=0,"",SUMIFS(INDEX(Inputs!$D$4:$AG$200,0,MATCH(Y$2,Inputs!$D$2:$AG$2,0)),Inputs!$B$4:$B$200,$B55)/1000)</f>
        <v>7252</v>
      </c>
      <c r="Z55" s="11">
        <f>IF(SUMPRODUCT((Inputs!$B$4:$B$200=$B55)*ISNUMBER(INDEX(Inputs!$D$4:$AG$200,0,MATCH(Z$2,Inputs!$D$2:$AG$2,0))))=0,"",SUMIFS(INDEX(Inputs!$D$4:$AG$200,0,MATCH(Z$2,Inputs!$D$2:$AG$2,0)),Inputs!$B$4:$B$200,$B55)/1000)</f>
        <v>8187</v>
      </c>
      <c r="AA55" s="11">
        <f>IF(SUMPRODUCT((Inputs!$B$4:$B$200=$B55)*ISNUMBER(INDEX(Inputs!$D$4:$AG$200,0,MATCH(AA$2,Inputs!$D$2:$AG$2,0))))=0,"",SUMIFS(INDEX(Inputs!$D$4:$AG$200,0,MATCH(AA$2,Inputs!$D$2:$AG$2,0)),Inputs!$B$4:$B$200,$B55)/1000)</f>
        <v>10980</v>
      </c>
      <c r="AB55" s="12">
        <f>IF(COUNT(X55:AA55)=4,SUM(X55:AA55),"")</f>
        <v>31376</v>
      </c>
      <c r="AC55" s="11" t="str">
        <f>IF(SUMPRODUCT((Inputs!$B$4:$B$200=$B55)*ISNUMBER(INDEX(Inputs!$D$4:$AG$200,0,MATCH(AC$2,Inputs!$D$2:$AG$2,0))))=0,"",SUMIFS(INDEX(Inputs!$D$4:$AG$200,0,MATCH(AC$2,Inputs!$D$2:$AG$2,0)),Inputs!$B$4:$B$200,$B55)/1000)</f>
        <v/>
      </c>
      <c r="AD55" s="11" t="str">
        <f>IF(SUMPRODUCT((Inputs!$B$4:$B$200=$B55)*ISNUMBER(INDEX(Inputs!$D$4:$AG$200,0,MATCH(AD$2,Inputs!$D$2:$AG$2,0))))=0,"",SUMIFS(INDEX(Inputs!$D$4:$AG$200,0,MATCH(AD$2,Inputs!$D$2:$AG$2,0)),Inputs!$B$4:$B$200,$B55)/1000)</f>
        <v/>
      </c>
      <c r="AE55" s="11" t="str">
        <f>IF(SUMPRODUCT((Inputs!$B$4:$B$200=$B55)*ISNUMBER(INDEX(Inputs!$D$4:$AG$200,0,MATCH(AE$2,Inputs!$D$2:$AG$2,0))))=0,"",SUMIFS(INDEX(Inputs!$D$4:$AG$200,0,MATCH(AE$2,Inputs!$D$2:$AG$2,0)),Inputs!$B$4:$B$200,$B55)/1000)</f>
        <v/>
      </c>
      <c r="AF55" s="11" t="str">
        <f>IF(SUMPRODUCT((Inputs!$B$4:$B$200=$B55)*ISNUMBER(INDEX(Inputs!$D$4:$AG$200,0,MATCH(AF$2,Inputs!$D$2:$AG$2,0))))=0,"",SUMIFS(INDEX(Inputs!$D$4:$AG$200,0,MATCH(AF$2,Inputs!$D$2:$AG$2,0)),Inputs!$B$4:$B$200,$B55)/1000)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Data Center - Hyperscale (USD; nova abertura do FY27, com 1T25 e 2T25 reapresentados)</t>
        </is>
      </c>
      <c r="D56" s="11" t="str">
        <f>IF(SUMPRODUCT((Inputs!$B$4:$B$200=$B56)*ISNUMBER(INDEX(Inputs!$D$4:$AG$200,0,MATCH(D$2,Inputs!$D$2:$AG$2,0))))=0,"",SUMIFS(INDEX(Inputs!$D$4:$AG$200,0,MATCH(D$2,Inputs!$D$2:$AG$2,0)),Inputs!$B$4:$B$200,$B56)/1000)</f>
        <v/>
      </c>
      <c r="E56" s="11" t="str">
        <f>IF(SUMPRODUCT((Inputs!$B$4:$B$200=$B56)*ISNUMBER(INDEX(Inputs!$D$4:$AG$200,0,MATCH(E$2,Inputs!$D$2:$AG$2,0))))=0,"",SUMIFS(INDEX(Inputs!$D$4:$AG$200,0,MATCH(E$2,Inputs!$D$2:$AG$2,0)),Inputs!$B$4:$B$200,$B56)/1000)</f>
        <v/>
      </c>
      <c r="F56" s="11" t="str">
        <f>IF(SUMPRODUCT((Inputs!$B$4:$B$200=$B56)*ISNUMBER(INDEX(Inputs!$D$4:$AG$200,0,MATCH(F$2,Inputs!$D$2:$AG$2,0))))=0,"",SUMIFS(INDEX(Inputs!$D$4:$AG$200,0,MATCH(F$2,Inputs!$D$2:$AG$2,0)),Inputs!$B$4:$B$200,$B56)/1000)</f>
        <v/>
      </c>
      <c r="G56" s="11" t="str">
        <f>IF(SUMPRODUCT((Inputs!$B$4:$B$200=$B56)*ISNUMBER(INDEX(Inputs!$D$4:$AG$200,0,MATCH(G$2,Inputs!$D$2:$AG$2,0))))=0,"",SUMIFS(INDEX(Inputs!$D$4:$AG$200,0,MATCH(G$2,Inputs!$D$2:$AG$2,0)),Inputs!$B$4:$B$200,$B56)/1000)</f>
        <v/>
      </c>
      <c r="H56" s="12" t="str">
        <f>IF(COUNT(D56:G56)=4,SUM(D56:G56),"")</f>
        <v/>
      </c>
      <c r="I56" s="11" t="str">
        <f>IF(SUMPRODUCT((Inputs!$B$4:$B$200=$B56)*ISNUMBER(INDEX(Inputs!$D$4:$AG$200,0,MATCH(I$2,Inputs!$D$2:$AG$2,0))))=0,"",SUMIFS(INDEX(Inputs!$D$4:$AG$200,0,MATCH(I$2,Inputs!$D$2:$AG$2,0)),Inputs!$B$4:$B$200,$B56)/1000)</f>
        <v/>
      </c>
      <c r="J56" s="11" t="str">
        <f>IF(SUMPRODUCT((Inputs!$B$4:$B$200=$B56)*ISNUMBER(INDEX(Inputs!$D$4:$AG$200,0,MATCH(J$2,Inputs!$D$2:$AG$2,0))))=0,"",SUMIFS(INDEX(Inputs!$D$4:$AG$200,0,MATCH(J$2,Inputs!$D$2:$AG$2,0)),Inputs!$B$4:$B$200,$B56)/1000)</f>
        <v/>
      </c>
      <c r="K56" s="11" t="str">
        <f>IF(SUMPRODUCT((Inputs!$B$4:$B$200=$B56)*ISNUMBER(INDEX(Inputs!$D$4:$AG$200,0,MATCH(K$2,Inputs!$D$2:$AG$2,0))))=0,"",SUMIFS(INDEX(Inputs!$D$4:$AG$200,0,MATCH(K$2,Inputs!$D$2:$AG$2,0)),Inputs!$B$4:$B$200,$B56)/1000)</f>
        <v/>
      </c>
      <c r="L56" s="11" t="str">
        <f>IF(SUMPRODUCT((Inputs!$B$4:$B$200=$B56)*ISNUMBER(INDEX(Inputs!$D$4:$AG$200,0,MATCH(L$2,Inputs!$D$2:$AG$2,0))))=0,"",SUMIFS(INDEX(Inputs!$D$4:$AG$200,0,MATCH(L$2,Inputs!$D$2:$AG$2,0)),Inputs!$B$4:$B$200,$B56)/1000)</f>
        <v/>
      </c>
      <c r="M56" s="12" t="str">
        <f>IF(COUNT(I56:L56)=4,SUM(I56:L56),"")</f>
        <v/>
      </c>
      <c r="N56" s="11" t="str">
        <f>IF(SUMPRODUCT((Inputs!$B$4:$B$200=$B56)*ISNUMBER(INDEX(Inputs!$D$4:$AG$200,0,MATCH(N$2,Inputs!$D$2:$AG$2,0))))=0,"",SUMIFS(INDEX(Inputs!$D$4:$AG$200,0,MATCH(N$2,Inputs!$D$2:$AG$2,0)),Inputs!$B$4:$B$200,$B56)/1000)</f>
        <v/>
      </c>
      <c r="O56" s="11" t="str">
        <f>IF(SUMPRODUCT((Inputs!$B$4:$B$200=$B56)*ISNUMBER(INDEX(Inputs!$D$4:$AG$200,0,MATCH(O$2,Inputs!$D$2:$AG$2,0))))=0,"",SUMIFS(INDEX(Inputs!$D$4:$AG$200,0,MATCH(O$2,Inputs!$D$2:$AG$2,0)),Inputs!$B$4:$B$200,$B56)/1000)</f>
        <v/>
      </c>
      <c r="P56" s="11" t="str">
        <f>IF(SUMPRODUCT((Inputs!$B$4:$B$200=$B56)*ISNUMBER(INDEX(Inputs!$D$4:$AG$200,0,MATCH(P$2,Inputs!$D$2:$AG$2,0))))=0,"",SUMIFS(INDEX(Inputs!$D$4:$AG$200,0,MATCH(P$2,Inputs!$D$2:$AG$2,0)),Inputs!$B$4:$B$200,$B56)/1000)</f>
        <v/>
      </c>
      <c r="Q56" s="11" t="str">
        <f>IF(SUMPRODUCT((Inputs!$B$4:$B$200=$B56)*ISNUMBER(INDEX(Inputs!$D$4:$AG$200,0,MATCH(Q$2,Inputs!$D$2:$AG$2,0))))=0,"",SUMIFS(INDEX(Inputs!$D$4:$AG$200,0,MATCH(Q$2,Inputs!$D$2:$AG$2,0)),Inputs!$B$4:$B$200,$B56)/1000)</f>
        <v/>
      </c>
      <c r="R56" s="12" t="str">
        <f>IF(COUNT(N56:Q56)=4,SUM(N56:Q56),"")</f>
        <v/>
      </c>
      <c r="S56" s="11" t="str">
        <f>IF(SUMPRODUCT((Inputs!$B$4:$B$200=$B56)*ISNUMBER(INDEX(Inputs!$D$4:$AG$200,0,MATCH(S$2,Inputs!$D$2:$AG$2,0))))=0,"",SUMIFS(INDEX(Inputs!$D$4:$AG$200,0,MATCH(S$2,Inputs!$D$2:$AG$2,0)),Inputs!$B$4:$B$200,$B56)/1000)</f>
        <v/>
      </c>
      <c r="T56" s="11" t="str">
        <f>IF(SUMPRODUCT((Inputs!$B$4:$B$200=$B56)*ISNUMBER(INDEX(Inputs!$D$4:$AG$200,0,MATCH(T$2,Inputs!$D$2:$AG$2,0))))=0,"",SUMIFS(INDEX(Inputs!$D$4:$AG$200,0,MATCH(T$2,Inputs!$D$2:$AG$2,0)),Inputs!$B$4:$B$200,$B56)/1000)</f>
        <v/>
      </c>
      <c r="U56" s="11" t="str">
        <f>IF(SUMPRODUCT((Inputs!$B$4:$B$200=$B56)*ISNUMBER(INDEX(Inputs!$D$4:$AG$200,0,MATCH(U$2,Inputs!$D$2:$AG$2,0))))=0,"",SUMIFS(INDEX(Inputs!$D$4:$AG$200,0,MATCH(U$2,Inputs!$D$2:$AG$2,0)),Inputs!$B$4:$B$200,$B56)/1000)</f>
        <v/>
      </c>
      <c r="V56" s="11" t="str">
        <f>IF(SUMPRODUCT((Inputs!$B$4:$B$200=$B56)*ISNUMBER(INDEX(Inputs!$D$4:$AG$200,0,MATCH(V$2,Inputs!$D$2:$AG$2,0))))=0,"",SUMIFS(INDEX(Inputs!$D$4:$AG$200,0,MATCH(V$2,Inputs!$D$2:$AG$2,0)),Inputs!$B$4:$B$200,$B56)/1000)</f>
        <v/>
      </c>
      <c r="W56" s="12" t="str">
        <f>IF(COUNT(S56:V56)=4,SUM(S56:V56),"")</f>
        <v/>
      </c>
      <c r="X56" s="11">
        <f>IF(SUMPRODUCT((Inputs!$B$4:$B$200=$B56)*ISNUMBER(INDEX(Inputs!$D$4:$AG$200,0,MATCH(X$2,Inputs!$D$2:$AG$2,0))))=0,"",SUMIFS(INDEX(Inputs!$D$4:$AG$200,0,MATCH(X$2,Inputs!$D$2:$AG$2,0)),Inputs!$B$4:$B$200,$B56)/1000)</f>
        <v>17599</v>
      </c>
      <c r="Y56" s="11">
        <f>IF(SUMPRODUCT((Inputs!$B$4:$B$200=$B56)*ISNUMBER(INDEX(Inputs!$D$4:$AG$200,0,MATCH(Y$2,Inputs!$D$2:$AG$2,0))))=0,"",SUMIFS(INDEX(Inputs!$D$4:$AG$200,0,MATCH(Y$2,Inputs!$D$2:$AG$2,0)),Inputs!$B$4:$B$200,$B56)/1000)</f>
        <v>24168</v>
      </c>
      <c r="Z56" s="11" t="str">
        <f>IF(SUMPRODUCT((Inputs!$B$4:$B$200=$B56)*ISNUMBER(INDEX(Inputs!$D$4:$AG$200,0,MATCH(Z$2,Inputs!$D$2:$AG$2,0))))=0,"",SUMIFS(INDEX(Inputs!$D$4:$AG$200,0,MATCH(Z$2,Inputs!$D$2:$AG$2,0)),Inputs!$B$4:$B$200,$B56)/1000)</f>
        <v/>
      </c>
      <c r="AA56" s="11" t="str">
        <f>IF(SUMPRODUCT((Inputs!$B$4:$B$200=$B56)*ISNUMBER(INDEX(Inputs!$D$4:$AG$200,0,MATCH(AA$2,Inputs!$D$2:$AG$2,0))))=0,"",SUMIFS(INDEX(Inputs!$D$4:$AG$200,0,MATCH(AA$2,Inputs!$D$2:$AG$2,0)),Inputs!$B$4:$B$200,$B56)/1000)</f>
        <v/>
      </c>
      <c r="AB56" s="12" t="str">
        <f>IF(COUNT(X56:AA56)=4,SUM(X56:AA56),"")</f>
        <v/>
      </c>
      <c r="AC56" s="11">
        <f>IF(SUMPRODUCT((Inputs!$B$4:$B$200=$B56)*ISNUMBER(INDEX(Inputs!$D$4:$AG$200,0,MATCH(AC$2,Inputs!$D$2:$AG$2,0))))=0,"",SUMIFS(INDEX(Inputs!$D$4:$AG$200,0,MATCH(AC$2,Inputs!$D$2:$AG$2,0)),Inputs!$B$4:$B$200,$B56)/1000)</f>
        <v>37869</v>
      </c>
      <c r="AD56" s="11">
        <f>IF(SUMPRODUCT((Inputs!$B$4:$B$200=$B56)*ISNUMBER(INDEX(Inputs!$D$4:$AG$200,0,MATCH(AD$2,Inputs!$D$2:$AG$2,0))))=0,"",SUMIFS(INDEX(Inputs!$D$4:$AG$200,0,MATCH(AD$2,Inputs!$D$2:$AG$2,0)),Inputs!$B$4:$B$200,$B56)/1000)</f>
        <v>48710</v>
      </c>
      <c r="AE56" s="11" t="str">
        <f>IF(SUMPRODUCT((Inputs!$B$4:$B$200=$B56)*ISNUMBER(INDEX(Inputs!$D$4:$AG$200,0,MATCH(AE$2,Inputs!$D$2:$AG$2,0))))=0,"",SUMIFS(INDEX(Inputs!$D$4:$AG$200,0,MATCH(AE$2,Inputs!$D$2:$AG$2,0)),Inputs!$B$4:$B$200,$B56)/1000)</f>
        <v/>
      </c>
      <c r="AF56" s="11" t="str">
        <f>IF(SUMPRODUCT((Inputs!$B$4:$B$200=$B56)*ISNUMBER(INDEX(Inputs!$D$4:$AG$200,0,MATCH(AF$2,Inputs!$D$2:$AG$2,0))))=0,"",SUMIFS(INDEX(Inputs!$D$4:$AG$200,0,MATCH(AF$2,Inputs!$D$2:$AG$2,0)),Inputs!$B$4:$B$200,$B56)/1000)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Data Center - AI Clouds, Industrial &amp; Enterprise (USD; nova abertura do FY27)</t>
        </is>
      </c>
      <c r="D57" s="11" t="str">
        <f>IF(SUMPRODUCT((Inputs!$B$4:$B$200=$B57)*ISNUMBER(INDEX(Inputs!$D$4:$AG$200,0,MATCH(D$2,Inputs!$D$2:$AG$2,0))))=0,"",SUMIFS(INDEX(Inputs!$D$4:$AG$200,0,MATCH(D$2,Inputs!$D$2:$AG$2,0)),Inputs!$B$4:$B$200,$B57)/1000)</f>
        <v/>
      </c>
      <c r="E57" s="11" t="str">
        <f>IF(SUMPRODUCT((Inputs!$B$4:$B$200=$B57)*ISNUMBER(INDEX(Inputs!$D$4:$AG$200,0,MATCH(E$2,Inputs!$D$2:$AG$2,0))))=0,"",SUMIFS(INDEX(Inputs!$D$4:$AG$200,0,MATCH(E$2,Inputs!$D$2:$AG$2,0)),Inputs!$B$4:$B$200,$B57)/1000)</f>
        <v/>
      </c>
      <c r="F57" s="11" t="str">
        <f>IF(SUMPRODUCT((Inputs!$B$4:$B$200=$B57)*ISNUMBER(INDEX(Inputs!$D$4:$AG$200,0,MATCH(F$2,Inputs!$D$2:$AG$2,0))))=0,"",SUMIFS(INDEX(Inputs!$D$4:$AG$200,0,MATCH(F$2,Inputs!$D$2:$AG$2,0)),Inputs!$B$4:$B$200,$B57)/1000)</f>
        <v/>
      </c>
      <c r="G57" s="11" t="str">
        <f>IF(SUMPRODUCT((Inputs!$B$4:$B$200=$B57)*ISNUMBER(INDEX(Inputs!$D$4:$AG$200,0,MATCH(G$2,Inputs!$D$2:$AG$2,0))))=0,"",SUMIFS(INDEX(Inputs!$D$4:$AG$200,0,MATCH(G$2,Inputs!$D$2:$AG$2,0)),Inputs!$B$4:$B$200,$B57)/1000)</f>
        <v/>
      </c>
      <c r="H57" s="12" t="str">
        <f>IF(COUNT(D57:G57)=4,SUM(D57:G57),"")</f>
        <v/>
      </c>
      <c r="I57" s="11" t="str">
        <f>IF(SUMPRODUCT((Inputs!$B$4:$B$200=$B57)*ISNUMBER(INDEX(Inputs!$D$4:$AG$200,0,MATCH(I$2,Inputs!$D$2:$AG$2,0))))=0,"",SUMIFS(INDEX(Inputs!$D$4:$AG$200,0,MATCH(I$2,Inputs!$D$2:$AG$2,0)),Inputs!$B$4:$B$200,$B57)/1000)</f>
        <v/>
      </c>
      <c r="J57" s="11" t="str">
        <f>IF(SUMPRODUCT((Inputs!$B$4:$B$200=$B57)*ISNUMBER(INDEX(Inputs!$D$4:$AG$200,0,MATCH(J$2,Inputs!$D$2:$AG$2,0))))=0,"",SUMIFS(INDEX(Inputs!$D$4:$AG$200,0,MATCH(J$2,Inputs!$D$2:$AG$2,0)),Inputs!$B$4:$B$200,$B57)/1000)</f>
        <v/>
      </c>
      <c r="K57" s="11" t="str">
        <f>IF(SUMPRODUCT((Inputs!$B$4:$B$200=$B57)*ISNUMBER(INDEX(Inputs!$D$4:$AG$200,0,MATCH(K$2,Inputs!$D$2:$AG$2,0))))=0,"",SUMIFS(INDEX(Inputs!$D$4:$AG$200,0,MATCH(K$2,Inputs!$D$2:$AG$2,0)),Inputs!$B$4:$B$200,$B57)/1000)</f>
        <v/>
      </c>
      <c r="L57" s="11" t="str">
        <f>IF(SUMPRODUCT((Inputs!$B$4:$B$200=$B57)*ISNUMBER(INDEX(Inputs!$D$4:$AG$200,0,MATCH(L$2,Inputs!$D$2:$AG$2,0))))=0,"",SUMIFS(INDEX(Inputs!$D$4:$AG$200,0,MATCH(L$2,Inputs!$D$2:$AG$2,0)),Inputs!$B$4:$B$200,$B57)/1000)</f>
        <v/>
      </c>
      <c r="M57" s="12" t="str">
        <f>IF(COUNT(I57:L57)=4,SUM(I57:L57),"")</f>
        <v/>
      </c>
      <c r="N57" s="11" t="str">
        <f>IF(SUMPRODUCT((Inputs!$B$4:$B$200=$B57)*ISNUMBER(INDEX(Inputs!$D$4:$AG$200,0,MATCH(N$2,Inputs!$D$2:$AG$2,0))))=0,"",SUMIFS(INDEX(Inputs!$D$4:$AG$200,0,MATCH(N$2,Inputs!$D$2:$AG$2,0)),Inputs!$B$4:$B$200,$B57)/1000)</f>
        <v/>
      </c>
      <c r="O57" s="11" t="str">
        <f>IF(SUMPRODUCT((Inputs!$B$4:$B$200=$B57)*ISNUMBER(INDEX(Inputs!$D$4:$AG$200,0,MATCH(O$2,Inputs!$D$2:$AG$2,0))))=0,"",SUMIFS(INDEX(Inputs!$D$4:$AG$200,0,MATCH(O$2,Inputs!$D$2:$AG$2,0)),Inputs!$B$4:$B$200,$B57)/1000)</f>
        <v/>
      </c>
      <c r="P57" s="11" t="str">
        <f>IF(SUMPRODUCT((Inputs!$B$4:$B$200=$B57)*ISNUMBER(INDEX(Inputs!$D$4:$AG$200,0,MATCH(P$2,Inputs!$D$2:$AG$2,0))))=0,"",SUMIFS(INDEX(Inputs!$D$4:$AG$200,0,MATCH(P$2,Inputs!$D$2:$AG$2,0)),Inputs!$B$4:$B$200,$B57)/1000)</f>
        <v/>
      </c>
      <c r="Q57" s="11" t="str">
        <f>IF(SUMPRODUCT((Inputs!$B$4:$B$200=$B57)*ISNUMBER(INDEX(Inputs!$D$4:$AG$200,0,MATCH(Q$2,Inputs!$D$2:$AG$2,0))))=0,"",SUMIFS(INDEX(Inputs!$D$4:$AG$200,0,MATCH(Q$2,Inputs!$D$2:$AG$2,0)),Inputs!$B$4:$B$200,$B57)/1000)</f>
        <v/>
      </c>
      <c r="R57" s="12" t="str">
        <f>IF(COUNT(N57:Q57)=4,SUM(N57:Q57),"")</f>
        <v/>
      </c>
      <c r="S57" s="11" t="str">
        <f>IF(SUMPRODUCT((Inputs!$B$4:$B$200=$B57)*ISNUMBER(INDEX(Inputs!$D$4:$AG$200,0,MATCH(S$2,Inputs!$D$2:$AG$2,0))))=0,"",SUMIFS(INDEX(Inputs!$D$4:$AG$200,0,MATCH(S$2,Inputs!$D$2:$AG$2,0)),Inputs!$B$4:$B$200,$B57)/1000)</f>
        <v/>
      </c>
      <c r="T57" s="11" t="str">
        <f>IF(SUMPRODUCT((Inputs!$B$4:$B$200=$B57)*ISNUMBER(INDEX(Inputs!$D$4:$AG$200,0,MATCH(T$2,Inputs!$D$2:$AG$2,0))))=0,"",SUMIFS(INDEX(Inputs!$D$4:$AG$200,0,MATCH(T$2,Inputs!$D$2:$AG$2,0)),Inputs!$B$4:$B$200,$B57)/1000)</f>
        <v/>
      </c>
      <c r="U57" s="11" t="str">
        <f>IF(SUMPRODUCT((Inputs!$B$4:$B$200=$B57)*ISNUMBER(INDEX(Inputs!$D$4:$AG$200,0,MATCH(U$2,Inputs!$D$2:$AG$2,0))))=0,"",SUMIFS(INDEX(Inputs!$D$4:$AG$200,0,MATCH(U$2,Inputs!$D$2:$AG$2,0)),Inputs!$B$4:$B$200,$B57)/1000)</f>
        <v/>
      </c>
      <c r="V57" s="11" t="str">
        <f>IF(SUMPRODUCT((Inputs!$B$4:$B$200=$B57)*ISNUMBER(INDEX(Inputs!$D$4:$AG$200,0,MATCH(V$2,Inputs!$D$2:$AG$2,0))))=0,"",SUMIFS(INDEX(Inputs!$D$4:$AG$200,0,MATCH(V$2,Inputs!$D$2:$AG$2,0)),Inputs!$B$4:$B$200,$B57)/1000)</f>
        <v/>
      </c>
      <c r="W57" s="12" t="str">
        <f>IF(COUNT(S57:V57)=4,SUM(S57:V57),"")</f>
        <v/>
      </c>
      <c r="X57" s="11">
        <f>IF(SUMPRODUCT((Inputs!$B$4:$B$200=$B57)*ISNUMBER(INDEX(Inputs!$D$4:$AG$200,0,MATCH(X$2,Inputs!$D$2:$AG$2,0))))=0,"",SUMIFS(INDEX(Inputs!$D$4:$AG$200,0,MATCH(X$2,Inputs!$D$2:$AG$2,0)),Inputs!$B$4:$B$200,$B57)/1000)</f>
        <v>21513</v>
      </c>
      <c r="Y57" s="11">
        <f>IF(SUMPRODUCT((Inputs!$B$4:$B$200=$B57)*ISNUMBER(INDEX(Inputs!$D$4:$AG$200,0,MATCH(Y$2,Inputs!$D$2:$AG$2,0))))=0,"",SUMIFS(INDEX(Inputs!$D$4:$AG$200,0,MATCH(Y$2,Inputs!$D$2:$AG$2,0)),Inputs!$B$4:$B$200,$B57)/1000)</f>
        <v>16928</v>
      </c>
      <c r="Z57" s="11" t="str">
        <f>IF(SUMPRODUCT((Inputs!$B$4:$B$200=$B57)*ISNUMBER(INDEX(Inputs!$D$4:$AG$200,0,MATCH(Z$2,Inputs!$D$2:$AG$2,0))))=0,"",SUMIFS(INDEX(Inputs!$D$4:$AG$200,0,MATCH(Z$2,Inputs!$D$2:$AG$2,0)),Inputs!$B$4:$B$200,$B57)/1000)</f>
        <v/>
      </c>
      <c r="AA57" s="11" t="str">
        <f>IF(SUMPRODUCT((Inputs!$B$4:$B$200=$B57)*ISNUMBER(INDEX(Inputs!$D$4:$AG$200,0,MATCH(AA$2,Inputs!$D$2:$AG$2,0))))=0,"",SUMIFS(INDEX(Inputs!$D$4:$AG$200,0,MATCH(AA$2,Inputs!$D$2:$AG$2,0)),Inputs!$B$4:$B$200,$B57)/1000)</f>
        <v/>
      </c>
      <c r="AB57" s="12" t="str">
        <f>IF(COUNT(X57:AA57)=4,SUM(X57:AA57),"")</f>
        <v/>
      </c>
      <c r="AC57" s="11">
        <f>IF(SUMPRODUCT((Inputs!$B$4:$B$200=$B57)*ISNUMBER(INDEX(Inputs!$D$4:$AG$200,0,MATCH(AC$2,Inputs!$D$2:$AG$2,0))))=0,"",SUMIFS(INDEX(Inputs!$D$4:$AG$200,0,MATCH(AC$2,Inputs!$D$2:$AG$2,0)),Inputs!$B$4:$B$200,$B57)/1000)</f>
        <v>37377</v>
      </c>
      <c r="AD57" s="11">
        <f>IF(SUMPRODUCT((Inputs!$B$4:$B$200=$B57)*ISNUMBER(INDEX(Inputs!$D$4:$AG$200,0,MATCH(AD$2,Inputs!$D$2:$AG$2,0))))=0,"",SUMIFS(INDEX(Inputs!$D$4:$AG$200,0,MATCH(AD$2,Inputs!$D$2:$AG$2,0)),Inputs!$B$4:$B$200,$B57)/1000)</f>
        <v>40313</v>
      </c>
      <c r="AE57" s="11" t="str">
        <f>IF(SUMPRODUCT((Inputs!$B$4:$B$200=$B57)*ISNUMBER(INDEX(Inputs!$D$4:$AG$200,0,MATCH(AE$2,Inputs!$D$2:$AG$2,0))))=0,"",SUMIFS(INDEX(Inputs!$D$4:$AG$200,0,MATCH(AE$2,Inputs!$D$2:$AG$2,0)),Inputs!$B$4:$B$200,$B57)/1000)</f>
        <v/>
      </c>
      <c r="AF57" s="11" t="str">
        <f>IF(SUMPRODUCT((Inputs!$B$4:$B$200=$B57)*ISNUMBER(INDEX(Inputs!$D$4:$AG$200,0,MATCH(AF$2,Inputs!$D$2:$AG$2,0))))=0,"",SUMIFS(INDEX(Inputs!$D$4:$AG$200,0,MATCH(AF$2,Inputs!$D$2:$AG$2,0)),Inputs!$B$4:$B$200,$B57)/1000)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Receita Gaming (USD; até 4T25)</t>
        </is>
      </c>
      <c r="D58" s="11">
        <f>IF(SUMPRODUCT((Inputs!$B$4:$B$200=$B58)*ISNUMBER(INDEX(Inputs!$D$4:$AG$200,0,MATCH(D$2,Inputs!$D$2:$AG$2,0))))=0,"",SUMIFS(INDEX(Inputs!$D$4:$AG$200,0,MATCH(D$2,Inputs!$D$2:$AG$2,0)),Inputs!$B$4:$B$200,$B58)/1000)</f>
        <v>2760</v>
      </c>
      <c r="E58" s="11">
        <f>IF(SUMPRODUCT((Inputs!$B$4:$B$200=$B58)*ISNUMBER(INDEX(Inputs!$D$4:$AG$200,0,MATCH(E$2,Inputs!$D$2:$AG$2,0))))=0,"",SUMIFS(INDEX(Inputs!$D$4:$AG$200,0,MATCH(E$2,Inputs!$D$2:$AG$2,0)),Inputs!$B$4:$B$200,$B58)/1000)</f>
        <v>3061</v>
      </c>
      <c r="F58" s="11">
        <f>IF(SUMPRODUCT((Inputs!$B$4:$B$200=$B58)*ISNUMBER(INDEX(Inputs!$D$4:$AG$200,0,MATCH(F$2,Inputs!$D$2:$AG$2,0))))=0,"",SUMIFS(INDEX(Inputs!$D$4:$AG$200,0,MATCH(F$2,Inputs!$D$2:$AG$2,0)),Inputs!$B$4:$B$200,$B58)/1000)</f>
        <v>3221</v>
      </c>
      <c r="G58" s="11">
        <f>IF(SUMPRODUCT((Inputs!$B$4:$B$200=$B58)*ISNUMBER(INDEX(Inputs!$D$4:$AG$200,0,MATCH(G$2,Inputs!$D$2:$AG$2,0))))=0,"",SUMIFS(INDEX(Inputs!$D$4:$AG$200,0,MATCH(G$2,Inputs!$D$2:$AG$2,0)),Inputs!$B$4:$B$200,$B58)/1000)</f>
        <v>3420</v>
      </c>
      <c r="H58" s="12">
        <f>IF(COUNT(D58:G58)=4,SUM(D58:G58),"")</f>
        <v>12462</v>
      </c>
      <c r="I58" s="11">
        <f>IF(SUMPRODUCT((Inputs!$B$4:$B$200=$B58)*ISNUMBER(INDEX(Inputs!$D$4:$AG$200,0,MATCH(I$2,Inputs!$D$2:$AG$2,0))))=0,"",SUMIFS(INDEX(Inputs!$D$4:$AG$200,0,MATCH(I$2,Inputs!$D$2:$AG$2,0)),Inputs!$B$4:$B$200,$B58)/1000)</f>
        <v>3620</v>
      </c>
      <c r="J58" s="11">
        <f>IF(SUMPRODUCT((Inputs!$B$4:$B$200=$B58)*ISNUMBER(INDEX(Inputs!$D$4:$AG$200,0,MATCH(J$2,Inputs!$D$2:$AG$2,0))))=0,"",SUMIFS(INDEX(Inputs!$D$4:$AG$200,0,MATCH(J$2,Inputs!$D$2:$AG$2,0)),Inputs!$B$4:$B$200,$B58)/1000)</f>
        <v>2042</v>
      </c>
      <c r="K58" s="11">
        <f>IF(SUMPRODUCT((Inputs!$B$4:$B$200=$B58)*ISNUMBER(INDEX(Inputs!$D$4:$AG$200,0,MATCH(K$2,Inputs!$D$2:$AG$2,0))))=0,"",SUMIFS(INDEX(Inputs!$D$4:$AG$200,0,MATCH(K$2,Inputs!$D$2:$AG$2,0)),Inputs!$B$4:$B$200,$B58)/1000)</f>
        <v>1574</v>
      </c>
      <c r="L58" s="11">
        <f>IF(SUMPRODUCT((Inputs!$B$4:$B$200=$B58)*ISNUMBER(INDEX(Inputs!$D$4:$AG$200,0,MATCH(L$2,Inputs!$D$2:$AG$2,0))))=0,"",SUMIFS(INDEX(Inputs!$D$4:$AG$200,0,MATCH(L$2,Inputs!$D$2:$AG$2,0)),Inputs!$B$4:$B$200,$B58)/1000)</f>
        <v>1831</v>
      </c>
      <c r="M58" s="12">
        <f>IF(COUNT(I58:L58)=4,SUM(I58:L58),"")</f>
        <v>9067</v>
      </c>
      <c r="N58" s="11">
        <f>IF(SUMPRODUCT((Inputs!$B$4:$B$200=$B58)*ISNUMBER(INDEX(Inputs!$D$4:$AG$200,0,MATCH(N$2,Inputs!$D$2:$AG$2,0))))=0,"",SUMIFS(INDEX(Inputs!$D$4:$AG$200,0,MATCH(N$2,Inputs!$D$2:$AG$2,0)),Inputs!$B$4:$B$200,$B58)/1000)</f>
        <v>2240</v>
      </c>
      <c r="O58" s="11">
        <f>IF(SUMPRODUCT((Inputs!$B$4:$B$200=$B58)*ISNUMBER(INDEX(Inputs!$D$4:$AG$200,0,MATCH(O$2,Inputs!$D$2:$AG$2,0))))=0,"",SUMIFS(INDEX(Inputs!$D$4:$AG$200,0,MATCH(O$2,Inputs!$D$2:$AG$2,0)),Inputs!$B$4:$B$200,$B58)/1000)</f>
        <v>2486</v>
      </c>
      <c r="P58" s="11">
        <f>IF(SUMPRODUCT((Inputs!$B$4:$B$200=$B58)*ISNUMBER(INDEX(Inputs!$D$4:$AG$200,0,MATCH(P$2,Inputs!$D$2:$AG$2,0))))=0,"",SUMIFS(INDEX(Inputs!$D$4:$AG$200,0,MATCH(P$2,Inputs!$D$2:$AG$2,0)),Inputs!$B$4:$B$200,$B58)/1000)</f>
        <v>2856</v>
      </c>
      <c r="Q58" s="11">
        <f>IF(SUMPRODUCT((Inputs!$B$4:$B$200=$B58)*ISNUMBER(INDEX(Inputs!$D$4:$AG$200,0,MATCH(Q$2,Inputs!$D$2:$AG$2,0))))=0,"",SUMIFS(INDEX(Inputs!$D$4:$AG$200,0,MATCH(Q$2,Inputs!$D$2:$AG$2,0)),Inputs!$B$4:$B$200,$B58)/1000)</f>
        <v>2865</v>
      </c>
      <c r="R58" s="12">
        <f>IF(COUNT(N58:Q58)=4,SUM(N58:Q58),"")</f>
        <v>10447</v>
      </c>
      <c r="S58" s="11">
        <f>IF(SUMPRODUCT((Inputs!$B$4:$B$200=$B58)*ISNUMBER(INDEX(Inputs!$D$4:$AG$200,0,MATCH(S$2,Inputs!$D$2:$AG$2,0))))=0,"",SUMIFS(INDEX(Inputs!$D$4:$AG$200,0,MATCH(S$2,Inputs!$D$2:$AG$2,0)),Inputs!$B$4:$B$200,$B58)/1000)</f>
        <v>2647</v>
      </c>
      <c r="T58" s="11">
        <f>IF(SUMPRODUCT((Inputs!$B$4:$B$200=$B58)*ISNUMBER(INDEX(Inputs!$D$4:$AG$200,0,MATCH(T$2,Inputs!$D$2:$AG$2,0))))=0,"",SUMIFS(INDEX(Inputs!$D$4:$AG$200,0,MATCH(T$2,Inputs!$D$2:$AG$2,0)),Inputs!$B$4:$B$200,$B58)/1000)</f>
        <v>2880</v>
      </c>
      <c r="U58" s="11">
        <f>IF(SUMPRODUCT((Inputs!$B$4:$B$200=$B58)*ISNUMBER(INDEX(Inputs!$D$4:$AG$200,0,MATCH(U$2,Inputs!$D$2:$AG$2,0))))=0,"",SUMIFS(INDEX(Inputs!$D$4:$AG$200,0,MATCH(U$2,Inputs!$D$2:$AG$2,0)),Inputs!$B$4:$B$200,$B58)/1000)</f>
        <v>3279</v>
      </c>
      <c r="V58" s="11">
        <f>IF(SUMPRODUCT((Inputs!$B$4:$B$200=$B58)*ISNUMBER(INDEX(Inputs!$D$4:$AG$200,0,MATCH(V$2,Inputs!$D$2:$AG$2,0))))=0,"",SUMIFS(INDEX(Inputs!$D$4:$AG$200,0,MATCH(V$2,Inputs!$D$2:$AG$2,0)),Inputs!$B$4:$B$200,$B58)/1000)</f>
        <v>2544</v>
      </c>
      <c r="W58" s="12">
        <f>IF(COUNT(S58:V58)=4,SUM(S58:V58),"")</f>
        <v>11350</v>
      </c>
      <c r="X58" s="11">
        <f>IF(SUMPRODUCT((Inputs!$B$4:$B$200=$B58)*ISNUMBER(INDEX(Inputs!$D$4:$AG$200,0,MATCH(X$2,Inputs!$D$2:$AG$2,0))))=0,"",SUMIFS(INDEX(Inputs!$D$4:$AG$200,0,MATCH(X$2,Inputs!$D$2:$AG$2,0)),Inputs!$B$4:$B$200,$B58)/1000)</f>
        <v>3763</v>
      </c>
      <c r="Y58" s="11">
        <f>IF(SUMPRODUCT((Inputs!$B$4:$B$200=$B58)*ISNUMBER(INDEX(Inputs!$D$4:$AG$200,0,MATCH(Y$2,Inputs!$D$2:$AG$2,0))))=0,"",SUMIFS(INDEX(Inputs!$D$4:$AG$200,0,MATCH(Y$2,Inputs!$D$2:$AG$2,0)),Inputs!$B$4:$B$200,$B58)/1000)</f>
        <v>4287</v>
      </c>
      <c r="Z58" s="11">
        <f>IF(SUMPRODUCT((Inputs!$B$4:$B$200=$B58)*ISNUMBER(INDEX(Inputs!$D$4:$AG$200,0,MATCH(Z$2,Inputs!$D$2:$AG$2,0))))=0,"",SUMIFS(INDEX(Inputs!$D$4:$AG$200,0,MATCH(Z$2,Inputs!$D$2:$AG$2,0)),Inputs!$B$4:$B$200,$B58)/1000)</f>
        <v>4265</v>
      </c>
      <c r="AA58" s="11">
        <f>IF(SUMPRODUCT((Inputs!$B$4:$B$200=$B58)*ISNUMBER(INDEX(Inputs!$D$4:$AG$200,0,MATCH(AA$2,Inputs!$D$2:$AG$2,0))))=0,"",SUMIFS(INDEX(Inputs!$D$4:$AG$200,0,MATCH(AA$2,Inputs!$D$2:$AG$2,0)),Inputs!$B$4:$B$200,$B58)/1000)</f>
        <v>3727</v>
      </c>
      <c r="AB58" s="12">
        <f>IF(COUNT(X58:AA58)=4,SUM(X58:AA58),"")</f>
        <v>16042</v>
      </c>
      <c r="AC58" s="11" t="str">
        <f>IF(SUMPRODUCT((Inputs!$B$4:$B$200=$B58)*ISNUMBER(INDEX(Inputs!$D$4:$AG$200,0,MATCH(AC$2,Inputs!$D$2:$AG$2,0))))=0,"",SUMIFS(INDEX(Inputs!$D$4:$AG$200,0,MATCH(AC$2,Inputs!$D$2:$AG$2,0)),Inputs!$B$4:$B$200,$B58)/1000)</f>
        <v/>
      </c>
      <c r="AD58" s="11" t="str">
        <f>IF(SUMPRODUCT((Inputs!$B$4:$B$200=$B58)*ISNUMBER(INDEX(Inputs!$D$4:$AG$200,0,MATCH(AD$2,Inputs!$D$2:$AG$2,0))))=0,"",SUMIFS(INDEX(Inputs!$D$4:$AG$200,0,MATCH(AD$2,Inputs!$D$2:$AG$2,0)),Inputs!$B$4:$B$200,$B58)/1000)</f>
        <v/>
      </c>
      <c r="AE58" s="11" t="str">
        <f>IF(SUMPRODUCT((Inputs!$B$4:$B$200=$B58)*ISNUMBER(INDEX(Inputs!$D$4:$AG$200,0,MATCH(AE$2,Inputs!$D$2:$AG$2,0))))=0,"",SUMIFS(INDEX(Inputs!$D$4:$AG$200,0,MATCH(AE$2,Inputs!$D$2:$AG$2,0)),Inputs!$B$4:$B$200,$B58)/1000)</f>
        <v/>
      </c>
      <c r="AF58" s="11" t="str">
        <f>IF(SUMPRODUCT((Inputs!$B$4:$B$200=$B58)*ISNUMBER(INDEX(Inputs!$D$4:$AG$200,0,MATCH(AF$2,Inputs!$D$2:$AG$2,0))))=0,"",SUMIFS(INDEX(Inputs!$D$4:$AG$200,0,MATCH(AF$2,Inputs!$D$2:$AG$2,0)),Inputs!$B$4:$B$200,$B58)/1000)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Receita Professional Visualization (USD; até 4T25)</t>
        </is>
      </c>
      <c r="D59" s="11">
        <f>IF(SUMPRODUCT((Inputs!$B$4:$B$200=$B59)*ISNUMBER(INDEX(Inputs!$D$4:$AG$200,0,MATCH(D$2,Inputs!$D$2:$AG$2,0))))=0,"",SUMIFS(INDEX(Inputs!$D$4:$AG$200,0,MATCH(D$2,Inputs!$D$2:$AG$2,0)),Inputs!$B$4:$B$200,$B59)/1000)</f>
        <v>372</v>
      </c>
      <c r="E59" s="11">
        <f>IF(SUMPRODUCT((Inputs!$B$4:$B$200=$B59)*ISNUMBER(INDEX(Inputs!$D$4:$AG$200,0,MATCH(E$2,Inputs!$D$2:$AG$2,0))))=0,"",SUMIFS(INDEX(Inputs!$D$4:$AG$200,0,MATCH(E$2,Inputs!$D$2:$AG$2,0)),Inputs!$B$4:$B$200,$B59)/1000)</f>
        <v>519</v>
      </c>
      <c r="F59" s="11">
        <f>IF(SUMPRODUCT((Inputs!$B$4:$B$200=$B59)*ISNUMBER(INDEX(Inputs!$D$4:$AG$200,0,MATCH(F$2,Inputs!$D$2:$AG$2,0))))=0,"",SUMIFS(INDEX(Inputs!$D$4:$AG$200,0,MATCH(F$2,Inputs!$D$2:$AG$2,0)),Inputs!$B$4:$B$200,$B59)/1000)</f>
        <v>577</v>
      </c>
      <c r="G59" s="11">
        <f>IF(SUMPRODUCT((Inputs!$B$4:$B$200=$B59)*ISNUMBER(INDEX(Inputs!$D$4:$AG$200,0,MATCH(G$2,Inputs!$D$2:$AG$2,0))))=0,"",SUMIFS(INDEX(Inputs!$D$4:$AG$200,0,MATCH(G$2,Inputs!$D$2:$AG$2,0)),Inputs!$B$4:$B$200,$B59)/1000)</f>
        <v>643</v>
      </c>
      <c r="H59" s="12">
        <f>IF(COUNT(D59:G59)=4,SUM(D59:G59),"")</f>
        <v>2111</v>
      </c>
      <c r="I59" s="11">
        <f>IF(SUMPRODUCT((Inputs!$B$4:$B$200=$B59)*ISNUMBER(INDEX(Inputs!$D$4:$AG$200,0,MATCH(I$2,Inputs!$D$2:$AG$2,0))))=0,"",SUMIFS(INDEX(Inputs!$D$4:$AG$200,0,MATCH(I$2,Inputs!$D$2:$AG$2,0)),Inputs!$B$4:$B$200,$B59)/1000)</f>
        <v>622</v>
      </c>
      <c r="J59" s="11">
        <f>IF(SUMPRODUCT((Inputs!$B$4:$B$200=$B59)*ISNUMBER(INDEX(Inputs!$D$4:$AG$200,0,MATCH(J$2,Inputs!$D$2:$AG$2,0))))=0,"",SUMIFS(INDEX(Inputs!$D$4:$AG$200,0,MATCH(J$2,Inputs!$D$2:$AG$2,0)),Inputs!$B$4:$B$200,$B59)/1000)</f>
        <v>496</v>
      </c>
      <c r="K59" s="11">
        <f>IF(SUMPRODUCT((Inputs!$B$4:$B$200=$B59)*ISNUMBER(INDEX(Inputs!$D$4:$AG$200,0,MATCH(K$2,Inputs!$D$2:$AG$2,0))))=0,"",SUMIFS(INDEX(Inputs!$D$4:$AG$200,0,MATCH(K$2,Inputs!$D$2:$AG$2,0)),Inputs!$B$4:$B$200,$B59)/1000)</f>
        <v>200</v>
      </c>
      <c r="L59" s="11">
        <f>IF(SUMPRODUCT((Inputs!$B$4:$B$200=$B59)*ISNUMBER(INDEX(Inputs!$D$4:$AG$200,0,MATCH(L$2,Inputs!$D$2:$AG$2,0))))=0,"",SUMIFS(INDEX(Inputs!$D$4:$AG$200,0,MATCH(L$2,Inputs!$D$2:$AG$2,0)),Inputs!$B$4:$B$200,$B59)/1000)</f>
        <v>226</v>
      </c>
      <c r="M59" s="12">
        <f>IF(COUNT(I59:L59)=4,SUM(I59:L59),"")</f>
        <v>1544</v>
      </c>
      <c r="N59" s="11">
        <f>IF(SUMPRODUCT((Inputs!$B$4:$B$200=$B59)*ISNUMBER(INDEX(Inputs!$D$4:$AG$200,0,MATCH(N$2,Inputs!$D$2:$AG$2,0))))=0,"",SUMIFS(INDEX(Inputs!$D$4:$AG$200,0,MATCH(N$2,Inputs!$D$2:$AG$2,0)),Inputs!$B$4:$B$200,$B59)/1000)</f>
        <v>295</v>
      </c>
      <c r="O59" s="11">
        <f>IF(SUMPRODUCT((Inputs!$B$4:$B$200=$B59)*ISNUMBER(INDEX(Inputs!$D$4:$AG$200,0,MATCH(O$2,Inputs!$D$2:$AG$2,0))))=0,"",SUMIFS(INDEX(Inputs!$D$4:$AG$200,0,MATCH(O$2,Inputs!$D$2:$AG$2,0)),Inputs!$B$4:$B$200,$B59)/1000)</f>
        <v>379</v>
      </c>
      <c r="P59" s="11">
        <f>IF(SUMPRODUCT((Inputs!$B$4:$B$200=$B59)*ISNUMBER(INDEX(Inputs!$D$4:$AG$200,0,MATCH(P$2,Inputs!$D$2:$AG$2,0))))=0,"",SUMIFS(INDEX(Inputs!$D$4:$AG$200,0,MATCH(P$2,Inputs!$D$2:$AG$2,0)),Inputs!$B$4:$B$200,$B59)/1000)</f>
        <v>416</v>
      </c>
      <c r="Q59" s="11">
        <f>IF(SUMPRODUCT((Inputs!$B$4:$B$200=$B59)*ISNUMBER(INDEX(Inputs!$D$4:$AG$200,0,MATCH(Q$2,Inputs!$D$2:$AG$2,0))))=0,"",SUMIFS(INDEX(Inputs!$D$4:$AG$200,0,MATCH(Q$2,Inputs!$D$2:$AG$2,0)),Inputs!$B$4:$B$200,$B59)/1000)</f>
        <v>463</v>
      </c>
      <c r="R59" s="12">
        <f>IF(COUNT(N59:Q59)=4,SUM(N59:Q59),"")</f>
        <v>1553</v>
      </c>
      <c r="S59" s="11">
        <f>IF(SUMPRODUCT((Inputs!$B$4:$B$200=$B59)*ISNUMBER(INDEX(Inputs!$D$4:$AG$200,0,MATCH(S$2,Inputs!$D$2:$AG$2,0))))=0,"",SUMIFS(INDEX(Inputs!$D$4:$AG$200,0,MATCH(S$2,Inputs!$D$2:$AG$2,0)),Inputs!$B$4:$B$200,$B59)/1000)</f>
        <v>427</v>
      </c>
      <c r="T59" s="11">
        <f>IF(SUMPRODUCT((Inputs!$B$4:$B$200=$B59)*ISNUMBER(INDEX(Inputs!$D$4:$AG$200,0,MATCH(T$2,Inputs!$D$2:$AG$2,0))))=0,"",SUMIFS(INDEX(Inputs!$D$4:$AG$200,0,MATCH(T$2,Inputs!$D$2:$AG$2,0)),Inputs!$B$4:$B$200,$B59)/1000)</f>
        <v>454</v>
      </c>
      <c r="U59" s="11">
        <f>IF(SUMPRODUCT((Inputs!$B$4:$B$200=$B59)*ISNUMBER(INDEX(Inputs!$D$4:$AG$200,0,MATCH(U$2,Inputs!$D$2:$AG$2,0))))=0,"",SUMIFS(INDEX(Inputs!$D$4:$AG$200,0,MATCH(U$2,Inputs!$D$2:$AG$2,0)),Inputs!$B$4:$B$200,$B59)/1000)</f>
        <v>486</v>
      </c>
      <c r="V59" s="11">
        <f>IF(SUMPRODUCT((Inputs!$B$4:$B$200=$B59)*ISNUMBER(INDEX(Inputs!$D$4:$AG$200,0,MATCH(V$2,Inputs!$D$2:$AG$2,0))))=0,"",SUMIFS(INDEX(Inputs!$D$4:$AG$200,0,MATCH(V$2,Inputs!$D$2:$AG$2,0)),Inputs!$B$4:$B$200,$B59)/1000)</f>
        <v>511</v>
      </c>
      <c r="W59" s="12">
        <f>IF(COUNT(S59:V59)=4,SUM(S59:V59),"")</f>
        <v>1878</v>
      </c>
      <c r="X59" s="11">
        <f>IF(SUMPRODUCT((Inputs!$B$4:$B$200=$B59)*ISNUMBER(INDEX(Inputs!$D$4:$AG$200,0,MATCH(X$2,Inputs!$D$2:$AG$2,0))))=0,"",SUMIFS(INDEX(Inputs!$D$4:$AG$200,0,MATCH(X$2,Inputs!$D$2:$AG$2,0)),Inputs!$B$4:$B$200,$B59)/1000)</f>
        <v>509</v>
      </c>
      <c r="Y59" s="11">
        <f>IF(SUMPRODUCT((Inputs!$B$4:$B$200=$B59)*ISNUMBER(INDEX(Inputs!$D$4:$AG$200,0,MATCH(Y$2,Inputs!$D$2:$AG$2,0))))=0,"",SUMIFS(INDEX(Inputs!$D$4:$AG$200,0,MATCH(Y$2,Inputs!$D$2:$AG$2,0)),Inputs!$B$4:$B$200,$B59)/1000)</f>
        <v>601</v>
      </c>
      <c r="Z59" s="11">
        <f>IF(SUMPRODUCT((Inputs!$B$4:$B$200=$B59)*ISNUMBER(INDEX(Inputs!$D$4:$AG$200,0,MATCH(Z$2,Inputs!$D$2:$AG$2,0))))=0,"",SUMIFS(INDEX(Inputs!$D$4:$AG$200,0,MATCH(Z$2,Inputs!$D$2:$AG$2,0)),Inputs!$B$4:$B$200,$B59)/1000)</f>
        <v>760</v>
      </c>
      <c r="AA59" s="11">
        <f>IF(SUMPRODUCT((Inputs!$B$4:$B$200=$B59)*ISNUMBER(INDEX(Inputs!$D$4:$AG$200,0,MATCH(AA$2,Inputs!$D$2:$AG$2,0))))=0,"",SUMIFS(INDEX(Inputs!$D$4:$AG$200,0,MATCH(AA$2,Inputs!$D$2:$AG$2,0)),Inputs!$B$4:$B$200,$B59)/1000)</f>
        <v>1321</v>
      </c>
      <c r="AB59" s="12">
        <f>IF(COUNT(X59:AA59)=4,SUM(X59:AA59),"")</f>
        <v>3191</v>
      </c>
      <c r="AC59" s="11" t="str">
        <f>IF(SUMPRODUCT((Inputs!$B$4:$B$200=$B59)*ISNUMBER(INDEX(Inputs!$D$4:$AG$200,0,MATCH(AC$2,Inputs!$D$2:$AG$2,0))))=0,"",SUMIFS(INDEX(Inputs!$D$4:$AG$200,0,MATCH(AC$2,Inputs!$D$2:$AG$2,0)),Inputs!$B$4:$B$200,$B59)/1000)</f>
        <v/>
      </c>
      <c r="AD59" s="11" t="str">
        <f>IF(SUMPRODUCT((Inputs!$B$4:$B$200=$B59)*ISNUMBER(INDEX(Inputs!$D$4:$AG$200,0,MATCH(AD$2,Inputs!$D$2:$AG$2,0))))=0,"",SUMIFS(INDEX(Inputs!$D$4:$AG$200,0,MATCH(AD$2,Inputs!$D$2:$AG$2,0)),Inputs!$B$4:$B$200,$B59)/1000)</f>
        <v/>
      </c>
      <c r="AE59" s="11" t="str">
        <f>IF(SUMPRODUCT((Inputs!$B$4:$B$200=$B59)*ISNUMBER(INDEX(Inputs!$D$4:$AG$200,0,MATCH(AE$2,Inputs!$D$2:$AG$2,0))))=0,"",SUMIFS(INDEX(Inputs!$D$4:$AG$200,0,MATCH(AE$2,Inputs!$D$2:$AG$2,0)),Inputs!$B$4:$B$200,$B59)/1000)</f>
        <v/>
      </c>
      <c r="AF59" s="11" t="str">
        <f>IF(SUMPRODUCT((Inputs!$B$4:$B$200=$B59)*ISNUMBER(INDEX(Inputs!$D$4:$AG$200,0,MATCH(AF$2,Inputs!$D$2:$AG$2,0))))=0,"",SUMIFS(INDEX(Inputs!$D$4:$AG$200,0,MATCH(AF$2,Inputs!$D$2:$AG$2,0)),Inputs!$B$4:$B$200,$B59)/1000)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Receita Automotive (USD; até 4T25)</t>
        </is>
      </c>
      <c r="D60" s="11">
        <f>IF(SUMPRODUCT((Inputs!$B$4:$B$200=$B60)*ISNUMBER(INDEX(Inputs!$D$4:$AG$200,0,MATCH(D$2,Inputs!$D$2:$AG$2,0))))=0,"",SUMIFS(INDEX(Inputs!$D$4:$AG$200,0,MATCH(D$2,Inputs!$D$2:$AG$2,0)),Inputs!$B$4:$B$200,$B60)/1000)</f>
        <v>154</v>
      </c>
      <c r="E60" s="11">
        <f>IF(SUMPRODUCT((Inputs!$B$4:$B$200=$B60)*ISNUMBER(INDEX(Inputs!$D$4:$AG$200,0,MATCH(E$2,Inputs!$D$2:$AG$2,0))))=0,"",SUMIFS(INDEX(Inputs!$D$4:$AG$200,0,MATCH(E$2,Inputs!$D$2:$AG$2,0)),Inputs!$B$4:$B$200,$B60)/1000)</f>
        <v>152</v>
      </c>
      <c r="F60" s="11">
        <f>IF(SUMPRODUCT((Inputs!$B$4:$B$200=$B60)*ISNUMBER(INDEX(Inputs!$D$4:$AG$200,0,MATCH(F$2,Inputs!$D$2:$AG$2,0))))=0,"",SUMIFS(INDEX(Inputs!$D$4:$AG$200,0,MATCH(F$2,Inputs!$D$2:$AG$2,0)),Inputs!$B$4:$B$200,$B60)/1000)</f>
        <v>135</v>
      </c>
      <c r="G60" s="11">
        <f>IF(SUMPRODUCT((Inputs!$B$4:$B$200=$B60)*ISNUMBER(INDEX(Inputs!$D$4:$AG$200,0,MATCH(G$2,Inputs!$D$2:$AG$2,0))))=0,"",SUMIFS(INDEX(Inputs!$D$4:$AG$200,0,MATCH(G$2,Inputs!$D$2:$AG$2,0)),Inputs!$B$4:$B$200,$B60)/1000)</f>
        <v>125</v>
      </c>
      <c r="H60" s="12">
        <f>IF(COUNT(D60:G60)=4,SUM(D60:G60),"")</f>
        <v>566</v>
      </c>
      <c r="I60" s="11">
        <f>IF(SUMPRODUCT((Inputs!$B$4:$B$200=$B60)*ISNUMBER(INDEX(Inputs!$D$4:$AG$200,0,MATCH(I$2,Inputs!$D$2:$AG$2,0))))=0,"",SUMIFS(INDEX(Inputs!$D$4:$AG$200,0,MATCH(I$2,Inputs!$D$2:$AG$2,0)),Inputs!$B$4:$B$200,$B60)/1000)</f>
        <v>138</v>
      </c>
      <c r="J60" s="11">
        <f>IF(SUMPRODUCT((Inputs!$B$4:$B$200=$B60)*ISNUMBER(INDEX(Inputs!$D$4:$AG$200,0,MATCH(J$2,Inputs!$D$2:$AG$2,0))))=0,"",SUMIFS(INDEX(Inputs!$D$4:$AG$200,0,MATCH(J$2,Inputs!$D$2:$AG$2,0)),Inputs!$B$4:$B$200,$B60)/1000)</f>
        <v>220</v>
      </c>
      <c r="K60" s="11">
        <f>IF(SUMPRODUCT((Inputs!$B$4:$B$200=$B60)*ISNUMBER(INDEX(Inputs!$D$4:$AG$200,0,MATCH(K$2,Inputs!$D$2:$AG$2,0))))=0,"",SUMIFS(INDEX(Inputs!$D$4:$AG$200,0,MATCH(K$2,Inputs!$D$2:$AG$2,0)),Inputs!$B$4:$B$200,$B60)/1000)</f>
        <v>251</v>
      </c>
      <c r="L60" s="11">
        <f>IF(SUMPRODUCT((Inputs!$B$4:$B$200=$B60)*ISNUMBER(INDEX(Inputs!$D$4:$AG$200,0,MATCH(L$2,Inputs!$D$2:$AG$2,0))))=0,"",SUMIFS(INDEX(Inputs!$D$4:$AG$200,0,MATCH(L$2,Inputs!$D$2:$AG$2,0)),Inputs!$B$4:$B$200,$B60)/1000)</f>
        <v>294</v>
      </c>
      <c r="M60" s="12">
        <f>IF(COUNT(I60:L60)=4,SUM(I60:L60),"")</f>
        <v>903</v>
      </c>
      <c r="N60" s="11">
        <f>IF(SUMPRODUCT((Inputs!$B$4:$B$200=$B60)*ISNUMBER(INDEX(Inputs!$D$4:$AG$200,0,MATCH(N$2,Inputs!$D$2:$AG$2,0))))=0,"",SUMIFS(INDEX(Inputs!$D$4:$AG$200,0,MATCH(N$2,Inputs!$D$2:$AG$2,0)),Inputs!$B$4:$B$200,$B60)/1000)</f>
        <v>296</v>
      </c>
      <c r="O60" s="11">
        <f>IF(SUMPRODUCT((Inputs!$B$4:$B$200=$B60)*ISNUMBER(INDEX(Inputs!$D$4:$AG$200,0,MATCH(O$2,Inputs!$D$2:$AG$2,0))))=0,"",SUMIFS(INDEX(Inputs!$D$4:$AG$200,0,MATCH(O$2,Inputs!$D$2:$AG$2,0)),Inputs!$B$4:$B$200,$B60)/1000)</f>
        <v>253</v>
      </c>
      <c r="P60" s="11">
        <f>IF(SUMPRODUCT((Inputs!$B$4:$B$200=$B60)*ISNUMBER(INDEX(Inputs!$D$4:$AG$200,0,MATCH(P$2,Inputs!$D$2:$AG$2,0))))=0,"",SUMIFS(INDEX(Inputs!$D$4:$AG$200,0,MATCH(P$2,Inputs!$D$2:$AG$2,0)),Inputs!$B$4:$B$200,$B60)/1000)</f>
        <v>261</v>
      </c>
      <c r="Q60" s="11">
        <f>IF(SUMPRODUCT((Inputs!$B$4:$B$200=$B60)*ISNUMBER(INDEX(Inputs!$D$4:$AG$200,0,MATCH(Q$2,Inputs!$D$2:$AG$2,0))))=0,"",SUMIFS(INDEX(Inputs!$D$4:$AG$200,0,MATCH(Q$2,Inputs!$D$2:$AG$2,0)),Inputs!$B$4:$B$200,$B60)/1000)</f>
        <v>281</v>
      </c>
      <c r="R60" s="12">
        <f>IF(COUNT(N60:Q60)=4,SUM(N60:Q60),"")</f>
        <v>1091</v>
      </c>
      <c r="S60" s="11">
        <f>IF(SUMPRODUCT((Inputs!$B$4:$B$200=$B60)*ISNUMBER(INDEX(Inputs!$D$4:$AG$200,0,MATCH(S$2,Inputs!$D$2:$AG$2,0))))=0,"",SUMIFS(INDEX(Inputs!$D$4:$AG$200,0,MATCH(S$2,Inputs!$D$2:$AG$2,0)),Inputs!$B$4:$B$200,$B60)/1000)</f>
        <v>329</v>
      </c>
      <c r="T60" s="11">
        <f>IF(SUMPRODUCT((Inputs!$B$4:$B$200=$B60)*ISNUMBER(INDEX(Inputs!$D$4:$AG$200,0,MATCH(T$2,Inputs!$D$2:$AG$2,0))))=0,"",SUMIFS(INDEX(Inputs!$D$4:$AG$200,0,MATCH(T$2,Inputs!$D$2:$AG$2,0)),Inputs!$B$4:$B$200,$B60)/1000)</f>
        <v>346</v>
      </c>
      <c r="U60" s="11">
        <f>IF(SUMPRODUCT((Inputs!$B$4:$B$200=$B60)*ISNUMBER(INDEX(Inputs!$D$4:$AG$200,0,MATCH(U$2,Inputs!$D$2:$AG$2,0))))=0,"",SUMIFS(INDEX(Inputs!$D$4:$AG$200,0,MATCH(U$2,Inputs!$D$2:$AG$2,0)),Inputs!$B$4:$B$200,$B60)/1000)</f>
        <v>449</v>
      </c>
      <c r="V60" s="11">
        <f>IF(SUMPRODUCT((Inputs!$B$4:$B$200=$B60)*ISNUMBER(INDEX(Inputs!$D$4:$AG$200,0,MATCH(V$2,Inputs!$D$2:$AG$2,0))))=0,"",SUMIFS(INDEX(Inputs!$D$4:$AG$200,0,MATCH(V$2,Inputs!$D$2:$AG$2,0)),Inputs!$B$4:$B$200,$B60)/1000)</f>
        <v>570</v>
      </c>
      <c r="W60" s="12">
        <f>IF(COUNT(S60:V60)=4,SUM(S60:V60),"")</f>
        <v>1694</v>
      </c>
      <c r="X60" s="11">
        <f>IF(SUMPRODUCT((Inputs!$B$4:$B$200=$B60)*ISNUMBER(INDEX(Inputs!$D$4:$AG$200,0,MATCH(X$2,Inputs!$D$2:$AG$2,0))))=0,"",SUMIFS(INDEX(Inputs!$D$4:$AG$200,0,MATCH(X$2,Inputs!$D$2:$AG$2,0)),Inputs!$B$4:$B$200,$B60)/1000)</f>
        <v>567</v>
      </c>
      <c r="Y60" s="11">
        <f>IF(SUMPRODUCT((Inputs!$B$4:$B$200=$B60)*ISNUMBER(INDEX(Inputs!$D$4:$AG$200,0,MATCH(Y$2,Inputs!$D$2:$AG$2,0))))=0,"",SUMIFS(INDEX(Inputs!$D$4:$AG$200,0,MATCH(Y$2,Inputs!$D$2:$AG$2,0)),Inputs!$B$4:$B$200,$B60)/1000)</f>
        <v>586</v>
      </c>
      <c r="Z60" s="11">
        <f>IF(SUMPRODUCT((Inputs!$B$4:$B$200=$B60)*ISNUMBER(INDEX(Inputs!$D$4:$AG$200,0,MATCH(Z$2,Inputs!$D$2:$AG$2,0))))=0,"",SUMIFS(INDEX(Inputs!$D$4:$AG$200,0,MATCH(Z$2,Inputs!$D$2:$AG$2,0)),Inputs!$B$4:$B$200,$B60)/1000)</f>
        <v>592</v>
      </c>
      <c r="AA60" s="11">
        <f>IF(SUMPRODUCT((Inputs!$B$4:$B$200=$B60)*ISNUMBER(INDEX(Inputs!$D$4:$AG$200,0,MATCH(AA$2,Inputs!$D$2:$AG$2,0))))=0,"",SUMIFS(INDEX(Inputs!$D$4:$AG$200,0,MATCH(AA$2,Inputs!$D$2:$AG$2,0)),Inputs!$B$4:$B$200,$B60)/1000)</f>
        <v>604</v>
      </c>
      <c r="AB60" s="12">
        <f>IF(COUNT(X60:AA60)=4,SUM(X60:AA60),"")</f>
        <v>2349</v>
      </c>
      <c r="AC60" s="11" t="str">
        <f>IF(SUMPRODUCT((Inputs!$B$4:$B$200=$B60)*ISNUMBER(INDEX(Inputs!$D$4:$AG$200,0,MATCH(AC$2,Inputs!$D$2:$AG$2,0))))=0,"",SUMIFS(INDEX(Inputs!$D$4:$AG$200,0,MATCH(AC$2,Inputs!$D$2:$AG$2,0)),Inputs!$B$4:$B$200,$B60)/1000)</f>
        <v/>
      </c>
      <c r="AD60" s="11" t="str">
        <f>IF(SUMPRODUCT((Inputs!$B$4:$B$200=$B60)*ISNUMBER(INDEX(Inputs!$D$4:$AG$200,0,MATCH(AD$2,Inputs!$D$2:$AG$2,0))))=0,"",SUMIFS(INDEX(Inputs!$D$4:$AG$200,0,MATCH(AD$2,Inputs!$D$2:$AG$2,0)),Inputs!$B$4:$B$200,$B60)/1000)</f>
        <v/>
      </c>
      <c r="AE60" s="11" t="str">
        <f>IF(SUMPRODUCT((Inputs!$B$4:$B$200=$B60)*ISNUMBER(INDEX(Inputs!$D$4:$AG$200,0,MATCH(AE$2,Inputs!$D$2:$AG$2,0))))=0,"",SUMIFS(INDEX(Inputs!$D$4:$AG$200,0,MATCH(AE$2,Inputs!$D$2:$AG$2,0)),Inputs!$B$4:$B$200,$B60)/1000)</f>
        <v/>
      </c>
      <c r="AF60" s="11" t="str">
        <f>IF(SUMPRODUCT((Inputs!$B$4:$B$200=$B60)*ISNUMBER(INDEX(Inputs!$D$4:$AG$200,0,MATCH(AF$2,Inputs!$D$2:$AG$2,0))))=0,"",SUMIFS(INDEX(Inputs!$D$4:$AG$200,0,MATCH(AF$2,Inputs!$D$2:$AG$2,0)),Inputs!$B$4:$B$200,$B60)/1000)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Receita OEM &amp; Other (USD; até 4T25)</t>
        </is>
      </c>
      <c r="D61" s="11">
        <f>IF(SUMPRODUCT((Inputs!$B$4:$B$200=$B61)*ISNUMBER(INDEX(Inputs!$D$4:$AG$200,0,MATCH(D$2,Inputs!$D$2:$AG$2,0))))=0,"",SUMIFS(INDEX(Inputs!$D$4:$AG$200,0,MATCH(D$2,Inputs!$D$2:$AG$2,0)),Inputs!$B$4:$B$200,$B61)/1000)</f>
        <v>327</v>
      </c>
      <c r="E61" s="11">
        <f>IF(SUMPRODUCT((Inputs!$B$4:$B$200=$B61)*ISNUMBER(INDEX(Inputs!$D$4:$AG$200,0,MATCH(E$2,Inputs!$D$2:$AG$2,0))))=0,"",SUMIFS(INDEX(Inputs!$D$4:$AG$200,0,MATCH(E$2,Inputs!$D$2:$AG$2,0)),Inputs!$B$4:$B$200,$B61)/1000)</f>
        <v>409</v>
      </c>
      <c r="F61" s="11">
        <f>IF(SUMPRODUCT((Inputs!$B$4:$B$200=$B61)*ISNUMBER(INDEX(Inputs!$D$4:$AG$200,0,MATCH(F$2,Inputs!$D$2:$AG$2,0))))=0,"",SUMIFS(INDEX(Inputs!$D$4:$AG$200,0,MATCH(F$2,Inputs!$D$2:$AG$2,0)),Inputs!$B$4:$B$200,$B61)/1000)</f>
        <v>234</v>
      </c>
      <c r="G61" s="11">
        <f>IF(SUMPRODUCT((Inputs!$B$4:$B$200=$B61)*ISNUMBER(INDEX(Inputs!$D$4:$AG$200,0,MATCH(G$2,Inputs!$D$2:$AG$2,0))))=0,"",SUMIFS(INDEX(Inputs!$D$4:$AG$200,0,MATCH(G$2,Inputs!$D$2:$AG$2,0)),Inputs!$B$4:$B$200,$B61)/1000)</f>
        <v>192</v>
      </c>
      <c r="H61" s="12">
        <f>IF(COUNT(D61:G61)=4,SUM(D61:G61),"")</f>
        <v>1162</v>
      </c>
      <c r="I61" s="11">
        <f>IF(SUMPRODUCT((Inputs!$B$4:$B$200=$B61)*ISNUMBER(INDEX(Inputs!$D$4:$AG$200,0,MATCH(I$2,Inputs!$D$2:$AG$2,0))))=0,"",SUMIFS(INDEX(Inputs!$D$4:$AG$200,0,MATCH(I$2,Inputs!$D$2:$AG$2,0)),Inputs!$B$4:$B$200,$B61)/1000)</f>
        <v>158</v>
      </c>
      <c r="J61" s="11">
        <f>IF(SUMPRODUCT((Inputs!$B$4:$B$200=$B61)*ISNUMBER(INDEX(Inputs!$D$4:$AG$200,0,MATCH(J$2,Inputs!$D$2:$AG$2,0))))=0,"",SUMIFS(INDEX(Inputs!$D$4:$AG$200,0,MATCH(J$2,Inputs!$D$2:$AG$2,0)),Inputs!$B$4:$B$200,$B61)/1000)</f>
        <v>140</v>
      </c>
      <c r="K61" s="11">
        <f>IF(SUMPRODUCT((Inputs!$B$4:$B$200=$B61)*ISNUMBER(INDEX(Inputs!$D$4:$AG$200,0,MATCH(K$2,Inputs!$D$2:$AG$2,0))))=0,"",SUMIFS(INDEX(Inputs!$D$4:$AG$200,0,MATCH(K$2,Inputs!$D$2:$AG$2,0)),Inputs!$B$4:$B$200,$B61)/1000)</f>
        <v>73</v>
      </c>
      <c r="L61" s="11">
        <f>IF(SUMPRODUCT((Inputs!$B$4:$B$200=$B61)*ISNUMBER(INDEX(Inputs!$D$4:$AG$200,0,MATCH(L$2,Inputs!$D$2:$AG$2,0))))=0,"",SUMIFS(INDEX(Inputs!$D$4:$AG$200,0,MATCH(L$2,Inputs!$D$2:$AG$2,0)),Inputs!$B$4:$B$200,$B61)/1000)</f>
        <v>84</v>
      </c>
      <c r="M61" s="12">
        <f>IF(COUNT(I61:L61)=4,SUM(I61:L61),"")</f>
        <v>455</v>
      </c>
      <c r="N61" s="11">
        <f>IF(SUMPRODUCT((Inputs!$B$4:$B$200=$B61)*ISNUMBER(INDEX(Inputs!$D$4:$AG$200,0,MATCH(N$2,Inputs!$D$2:$AG$2,0))))=0,"",SUMIFS(INDEX(Inputs!$D$4:$AG$200,0,MATCH(N$2,Inputs!$D$2:$AG$2,0)),Inputs!$B$4:$B$200,$B61)/1000)</f>
        <v>77</v>
      </c>
      <c r="O61" s="11">
        <f>IF(SUMPRODUCT((Inputs!$B$4:$B$200=$B61)*ISNUMBER(INDEX(Inputs!$D$4:$AG$200,0,MATCH(O$2,Inputs!$D$2:$AG$2,0))))=0,"",SUMIFS(INDEX(Inputs!$D$4:$AG$200,0,MATCH(O$2,Inputs!$D$2:$AG$2,0)),Inputs!$B$4:$B$200,$B61)/1000)</f>
        <v>66</v>
      </c>
      <c r="P61" s="11">
        <f>IF(SUMPRODUCT((Inputs!$B$4:$B$200=$B61)*ISNUMBER(INDEX(Inputs!$D$4:$AG$200,0,MATCH(P$2,Inputs!$D$2:$AG$2,0))))=0,"",SUMIFS(INDEX(Inputs!$D$4:$AG$200,0,MATCH(P$2,Inputs!$D$2:$AG$2,0)),Inputs!$B$4:$B$200,$B61)/1000)</f>
        <v>73</v>
      </c>
      <c r="Q61" s="11">
        <f>IF(SUMPRODUCT((Inputs!$B$4:$B$200=$B61)*ISNUMBER(INDEX(Inputs!$D$4:$AG$200,0,MATCH(Q$2,Inputs!$D$2:$AG$2,0))))=0,"",SUMIFS(INDEX(Inputs!$D$4:$AG$200,0,MATCH(Q$2,Inputs!$D$2:$AG$2,0)),Inputs!$B$4:$B$200,$B61)/1000)</f>
        <v>90</v>
      </c>
      <c r="R61" s="12">
        <f>IF(COUNT(N61:Q61)=4,SUM(N61:Q61),"")</f>
        <v>306</v>
      </c>
      <c r="S61" s="11">
        <f>IF(SUMPRODUCT((Inputs!$B$4:$B$200=$B61)*ISNUMBER(INDEX(Inputs!$D$4:$AG$200,0,MATCH(S$2,Inputs!$D$2:$AG$2,0))))=0,"",SUMIFS(INDEX(Inputs!$D$4:$AG$200,0,MATCH(S$2,Inputs!$D$2:$AG$2,0)),Inputs!$B$4:$B$200,$B61)/1000)</f>
        <v>78</v>
      </c>
      <c r="T61" s="11">
        <f>IF(SUMPRODUCT((Inputs!$B$4:$B$200=$B61)*ISNUMBER(INDEX(Inputs!$D$4:$AG$200,0,MATCH(T$2,Inputs!$D$2:$AG$2,0))))=0,"",SUMIFS(INDEX(Inputs!$D$4:$AG$200,0,MATCH(T$2,Inputs!$D$2:$AG$2,0)),Inputs!$B$4:$B$200,$B61)/1000)</f>
        <v>88</v>
      </c>
      <c r="U61" s="11">
        <f>IF(SUMPRODUCT((Inputs!$B$4:$B$200=$B61)*ISNUMBER(INDEX(Inputs!$D$4:$AG$200,0,MATCH(U$2,Inputs!$D$2:$AG$2,0))))=0,"",SUMIFS(INDEX(Inputs!$D$4:$AG$200,0,MATCH(U$2,Inputs!$D$2:$AG$2,0)),Inputs!$B$4:$B$200,$B61)/1000)</f>
        <v>97</v>
      </c>
      <c r="V61" s="11">
        <f>IF(SUMPRODUCT((Inputs!$B$4:$B$200=$B61)*ISNUMBER(INDEX(Inputs!$D$4:$AG$200,0,MATCH(V$2,Inputs!$D$2:$AG$2,0))))=0,"",SUMIFS(INDEX(Inputs!$D$4:$AG$200,0,MATCH(V$2,Inputs!$D$2:$AG$2,0)),Inputs!$B$4:$B$200,$B61)/1000)</f>
        <v>126</v>
      </c>
      <c r="W61" s="12">
        <f>IF(COUNT(S61:V61)=4,SUM(S61:V61),"")</f>
        <v>389</v>
      </c>
      <c r="X61" s="11">
        <f>IF(SUMPRODUCT((Inputs!$B$4:$B$200=$B61)*ISNUMBER(INDEX(Inputs!$D$4:$AG$200,0,MATCH(X$2,Inputs!$D$2:$AG$2,0))))=0,"",SUMIFS(INDEX(Inputs!$D$4:$AG$200,0,MATCH(X$2,Inputs!$D$2:$AG$2,0)),Inputs!$B$4:$B$200,$B61)/1000)</f>
        <v>111</v>
      </c>
      <c r="Y61" s="11">
        <f>IF(SUMPRODUCT((Inputs!$B$4:$B$200=$B61)*ISNUMBER(INDEX(Inputs!$D$4:$AG$200,0,MATCH(Y$2,Inputs!$D$2:$AG$2,0))))=0,"",SUMIFS(INDEX(Inputs!$D$4:$AG$200,0,MATCH(Y$2,Inputs!$D$2:$AG$2,0)),Inputs!$B$4:$B$200,$B61)/1000)</f>
        <v>173</v>
      </c>
      <c r="Z61" s="11">
        <f>IF(SUMPRODUCT((Inputs!$B$4:$B$200=$B61)*ISNUMBER(INDEX(Inputs!$D$4:$AG$200,0,MATCH(Z$2,Inputs!$D$2:$AG$2,0))))=0,"",SUMIFS(INDEX(Inputs!$D$4:$AG$200,0,MATCH(Z$2,Inputs!$D$2:$AG$2,0)),Inputs!$B$4:$B$200,$B61)/1000)</f>
        <v>174</v>
      </c>
      <c r="AA61" s="11">
        <f>IF(SUMPRODUCT((Inputs!$B$4:$B$200=$B61)*ISNUMBER(INDEX(Inputs!$D$4:$AG$200,0,MATCH(AA$2,Inputs!$D$2:$AG$2,0))))=0,"",SUMIFS(INDEX(Inputs!$D$4:$AG$200,0,MATCH(AA$2,Inputs!$D$2:$AG$2,0)),Inputs!$B$4:$B$200,$B61)/1000)</f>
        <v>161</v>
      </c>
      <c r="AB61" s="12">
        <f>IF(COUNT(X61:AA61)=4,SUM(X61:AA61),"")</f>
        <v>619</v>
      </c>
      <c r="AC61" s="11" t="str">
        <f>IF(SUMPRODUCT((Inputs!$B$4:$B$200=$B61)*ISNUMBER(INDEX(Inputs!$D$4:$AG$200,0,MATCH(AC$2,Inputs!$D$2:$AG$2,0))))=0,"",SUMIFS(INDEX(Inputs!$D$4:$AG$200,0,MATCH(AC$2,Inputs!$D$2:$AG$2,0)),Inputs!$B$4:$B$200,$B61)/1000)</f>
        <v/>
      </c>
      <c r="AD61" s="11" t="str">
        <f>IF(SUMPRODUCT((Inputs!$B$4:$B$200=$B61)*ISNUMBER(INDEX(Inputs!$D$4:$AG$200,0,MATCH(AD$2,Inputs!$D$2:$AG$2,0))))=0,"",SUMIFS(INDEX(Inputs!$D$4:$AG$200,0,MATCH(AD$2,Inputs!$D$2:$AG$2,0)),Inputs!$B$4:$B$200,$B61)/1000)</f>
        <v/>
      </c>
      <c r="AE61" s="11" t="str">
        <f>IF(SUMPRODUCT((Inputs!$B$4:$B$200=$B61)*ISNUMBER(INDEX(Inputs!$D$4:$AG$200,0,MATCH(AE$2,Inputs!$D$2:$AG$2,0))))=0,"",SUMIFS(INDEX(Inputs!$D$4:$AG$200,0,MATCH(AE$2,Inputs!$D$2:$AG$2,0)),Inputs!$B$4:$B$200,$B61)/1000)</f>
        <v/>
      </c>
      <c r="AF61" s="11" t="str">
        <f>IF(SUMPRODUCT((Inputs!$B$4:$B$200=$B61)*ISNUMBER(INDEX(Inputs!$D$4:$AG$200,0,MATCH(AF$2,Inputs!$D$2:$AG$2,0))))=0,"",SUMIFS(INDEX(Inputs!$D$4:$AG$200,0,MATCH(AF$2,Inputs!$D$2:$AG$2,0)),Inputs!$B$4:$B$200,$B61)/1000)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Receita Edge Computing (USD; plataforma nova do FY27 que reúne o que não é Data Center)</t>
        </is>
      </c>
      <c r="D62" s="11" t="str">
        <f>IF(SUMPRODUCT((Inputs!$B$4:$B$200=$B62)*ISNUMBER(INDEX(Inputs!$D$4:$AG$200,0,MATCH(D$2,Inputs!$D$2:$AG$2,0))))=0,"",SUMIFS(INDEX(Inputs!$D$4:$AG$200,0,MATCH(D$2,Inputs!$D$2:$AG$2,0)),Inputs!$B$4:$B$200,$B62)/1000)</f>
        <v/>
      </c>
      <c r="E62" s="11" t="str">
        <f>IF(SUMPRODUCT((Inputs!$B$4:$B$200=$B62)*ISNUMBER(INDEX(Inputs!$D$4:$AG$200,0,MATCH(E$2,Inputs!$D$2:$AG$2,0))))=0,"",SUMIFS(INDEX(Inputs!$D$4:$AG$200,0,MATCH(E$2,Inputs!$D$2:$AG$2,0)),Inputs!$B$4:$B$200,$B62)/1000)</f>
        <v/>
      </c>
      <c r="F62" s="11" t="str">
        <f>IF(SUMPRODUCT((Inputs!$B$4:$B$200=$B62)*ISNUMBER(INDEX(Inputs!$D$4:$AG$200,0,MATCH(F$2,Inputs!$D$2:$AG$2,0))))=0,"",SUMIFS(INDEX(Inputs!$D$4:$AG$200,0,MATCH(F$2,Inputs!$D$2:$AG$2,0)),Inputs!$B$4:$B$200,$B62)/1000)</f>
        <v/>
      </c>
      <c r="G62" s="11" t="str">
        <f>IF(SUMPRODUCT((Inputs!$B$4:$B$200=$B62)*ISNUMBER(INDEX(Inputs!$D$4:$AG$200,0,MATCH(G$2,Inputs!$D$2:$AG$2,0))))=0,"",SUMIFS(INDEX(Inputs!$D$4:$AG$200,0,MATCH(G$2,Inputs!$D$2:$AG$2,0)),Inputs!$B$4:$B$200,$B62)/1000)</f>
        <v/>
      </c>
      <c r="H62" s="12" t="str">
        <f>IF(COUNT(D62:G62)=4,SUM(D62:G62),"")</f>
        <v/>
      </c>
      <c r="I62" s="11" t="str">
        <f>IF(SUMPRODUCT((Inputs!$B$4:$B$200=$B62)*ISNUMBER(INDEX(Inputs!$D$4:$AG$200,0,MATCH(I$2,Inputs!$D$2:$AG$2,0))))=0,"",SUMIFS(INDEX(Inputs!$D$4:$AG$200,0,MATCH(I$2,Inputs!$D$2:$AG$2,0)),Inputs!$B$4:$B$200,$B62)/1000)</f>
        <v/>
      </c>
      <c r="J62" s="11" t="str">
        <f>IF(SUMPRODUCT((Inputs!$B$4:$B$200=$B62)*ISNUMBER(INDEX(Inputs!$D$4:$AG$200,0,MATCH(J$2,Inputs!$D$2:$AG$2,0))))=0,"",SUMIFS(INDEX(Inputs!$D$4:$AG$200,0,MATCH(J$2,Inputs!$D$2:$AG$2,0)),Inputs!$B$4:$B$200,$B62)/1000)</f>
        <v/>
      </c>
      <c r="K62" s="11" t="str">
        <f>IF(SUMPRODUCT((Inputs!$B$4:$B$200=$B62)*ISNUMBER(INDEX(Inputs!$D$4:$AG$200,0,MATCH(K$2,Inputs!$D$2:$AG$2,0))))=0,"",SUMIFS(INDEX(Inputs!$D$4:$AG$200,0,MATCH(K$2,Inputs!$D$2:$AG$2,0)),Inputs!$B$4:$B$200,$B62)/1000)</f>
        <v/>
      </c>
      <c r="L62" s="11" t="str">
        <f>IF(SUMPRODUCT((Inputs!$B$4:$B$200=$B62)*ISNUMBER(INDEX(Inputs!$D$4:$AG$200,0,MATCH(L$2,Inputs!$D$2:$AG$2,0))))=0,"",SUMIFS(INDEX(Inputs!$D$4:$AG$200,0,MATCH(L$2,Inputs!$D$2:$AG$2,0)),Inputs!$B$4:$B$200,$B62)/1000)</f>
        <v/>
      </c>
      <c r="M62" s="12" t="str">
        <f>IF(COUNT(I62:L62)=4,SUM(I62:L62),"")</f>
        <v/>
      </c>
      <c r="N62" s="11" t="str">
        <f>IF(SUMPRODUCT((Inputs!$B$4:$B$200=$B62)*ISNUMBER(INDEX(Inputs!$D$4:$AG$200,0,MATCH(N$2,Inputs!$D$2:$AG$2,0))))=0,"",SUMIFS(INDEX(Inputs!$D$4:$AG$200,0,MATCH(N$2,Inputs!$D$2:$AG$2,0)),Inputs!$B$4:$B$200,$B62)/1000)</f>
        <v/>
      </c>
      <c r="O62" s="11" t="str">
        <f>IF(SUMPRODUCT((Inputs!$B$4:$B$200=$B62)*ISNUMBER(INDEX(Inputs!$D$4:$AG$200,0,MATCH(O$2,Inputs!$D$2:$AG$2,0))))=0,"",SUMIFS(INDEX(Inputs!$D$4:$AG$200,0,MATCH(O$2,Inputs!$D$2:$AG$2,0)),Inputs!$B$4:$B$200,$B62)/1000)</f>
        <v/>
      </c>
      <c r="P62" s="11" t="str">
        <f>IF(SUMPRODUCT((Inputs!$B$4:$B$200=$B62)*ISNUMBER(INDEX(Inputs!$D$4:$AG$200,0,MATCH(P$2,Inputs!$D$2:$AG$2,0))))=0,"",SUMIFS(INDEX(Inputs!$D$4:$AG$200,0,MATCH(P$2,Inputs!$D$2:$AG$2,0)),Inputs!$B$4:$B$200,$B62)/1000)</f>
        <v/>
      </c>
      <c r="Q62" s="11" t="str">
        <f>IF(SUMPRODUCT((Inputs!$B$4:$B$200=$B62)*ISNUMBER(INDEX(Inputs!$D$4:$AG$200,0,MATCH(Q$2,Inputs!$D$2:$AG$2,0))))=0,"",SUMIFS(INDEX(Inputs!$D$4:$AG$200,0,MATCH(Q$2,Inputs!$D$2:$AG$2,0)),Inputs!$B$4:$B$200,$B62)/1000)</f>
        <v/>
      </c>
      <c r="R62" s="12" t="str">
        <f>IF(COUNT(N62:Q62)=4,SUM(N62:Q62),"")</f>
        <v/>
      </c>
      <c r="S62" s="11" t="str">
        <f>IF(SUMPRODUCT((Inputs!$B$4:$B$200=$B62)*ISNUMBER(INDEX(Inputs!$D$4:$AG$200,0,MATCH(S$2,Inputs!$D$2:$AG$2,0))))=0,"",SUMIFS(INDEX(Inputs!$D$4:$AG$200,0,MATCH(S$2,Inputs!$D$2:$AG$2,0)),Inputs!$B$4:$B$200,$B62)/1000)</f>
        <v/>
      </c>
      <c r="T62" s="11" t="str">
        <f>IF(SUMPRODUCT((Inputs!$B$4:$B$200=$B62)*ISNUMBER(INDEX(Inputs!$D$4:$AG$200,0,MATCH(T$2,Inputs!$D$2:$AG$2,0))))=0,"",SUMIFS(INDEX(Inputs!$D$4:$AG$200,0,MATCH(T$2,Inputs!$D$2:$AG$2,0)),Inputs!$B$4:$B$200,$B62)/1000)</f>
        <v/>
      </c>
      <c r="U62" s="11" t="str">
        <f>IF(SUMPRODUCT((Inputs!$B$4:$B$200=$B62)*ISNUMBER(INDEX(Inputs!$D$4:$AG$200,0,MATCH(U$2,Inputs!$D$2:$AG$2,0))))=0,"",SUMIFS(INDEX(Inputs!$D$4:$AG$200,0,MATCH(U$2,Inputs!$D$2:$AG$2,0)),Inputs!$B$4:$B$200,$B62)/1000)</f>
        <v/>
      </c>
      <c r="V62" s="11" t="str">
        <f>IF(SUMPRODUCT((Inputs!$B$4:$B$200=$B62)*ISNUMBER(INDEX(Inputs!$D$4:$AG$200,0,MATCH(V$2,Inputs!$D$2:$AG$2,0))))=0,"",SUMIFS(INDEX(Inputs!$D$4:$AG$200,0,MATCH(V$2,Inputs!$D$2:$AG$2,0)),Inputs!$B$4:$B$200,$B62)/1000)</f>
        <v/>
      </c>
      <c r="W62" s="12" t="str">
        <f>IF(COUNT(S62:V62)=4,SUM(S62:V62),"")</f>
        <v/>
      </c>
      <c r="X62" s="11">
        <f>IF(SUMPRODUCT((Inputs!$B$4:$B$200=$B62)*ISNUMBER(INDEX(Inputs!$D$4:$AG$200,0,MATCH(X$2,Inputs!$D$2:$AG$2,0))))=0,"",SUMIFS(INDEX(Inputs!$D$4:$AG$200,0,MATCH(X$2,Inputs!$D$2:$AG$2,0)),Inputs!$B$4:$B$200,$B62)/1000)</f>
        <v>4950</v>
      </c>
      <c r="Y62" s="11">
        <f>IF(SUMPRODUCT((Inputs!$B$4:$B$200=$B62)*ISNUMBER(INDEX(Inputs!$D$4:$AG$200,0,MATCH(Y$2,Inputs!$D$2:$AG$2,0))))=0,"",SUMIFS(INDEX(Inputs!$D$4:$AG$200,0,MATCH(Y$2,Inputs!$D$2:$AG$2,0)),Inputs!$B$4:$B$200,$B62)/1000)</f>
        <v>5647</v>
      </c>
      <c r="Z62" s="11" t="str">
        <f>IF(SUMPRODUCT((Inputs!$B$4:$B$200=$B62)*ISNUMBER(INDEX(Inputs!$D$4:$AG$200,0,MATCH(Z$2,Inputs!$D$2:$AG$2,0))))=0,"",SUMIFS(INDEX(Inputs!$D$4:$AG$200,0,MATCH(Z$2,Inputs!$D$2:$AG$2,0)),Inputs!$B$4:$B$200,$B62)/1000)</f>
        <v/>
      </c>
      <c r="AA62" s="11" t="str">
        <f>IF(SUMPRODUCT((Inputs!$B$4:$B$200=$B62)*ISNUMBER(INDEX(Inputs!$D$4:$AG$200,0,MATCH(AA$2,Inputs!$D$2:$AG$2,0))))=0,"",SUMIFS(INDEX(Inputs!$D$4:$AG$200,0,MATCH(AA$2,Inputs!$D$2:$AG$2,0)),Inputs!$B$4:$B$200,$B62)/1000)</f>
        <v/>
      </c>
      <c r="AB62" s="12" t="str">
        <f>IF(COUNT(X62:AA62)=4,SUM(X62:AA62),"")</f>
        <v/>
      </c>
      <c r="AC62" s="11">
        <f>IF(SUMPRODUCT((Inputs!$B$4:$B$200=$B62)*ISNUMBER(INDEX(Inputs!$D$4:$AG$200,0,MATCH(AC$2,Inputs!$D$2:$AG$2,0))))=0,"",SUMIFS(INDEX(Inputs!$D$4:$AG$200,0,MATCH(AC$2,Inputs!$D$2:$AG$2,0)),Inputs!$B$4:$B$200,$B62)/1000)</f>
        <v>6369</v>
      </c>
      <c r="AD62" s="11">
        <f>IF(SUMPRODUCT((Inputs!$B$4:$B$200=$B62)*ISNUMBER(INDEX(Inputs!$D$4:$AG$200,0,MATCH(AD$2,Inputs!$D$2:$AG$2,0))))=0,"",SUMIFS(INDEX(Inputs!$D$4:$AG$200,0,MATCH(AD$2,Inputs!$D$2:$AG$2,0)),Inputs!$B$4:$B$200,$B62)/1000)</f>
        <v>7198</v>
      </c>
      <c r="AE62" s="11" t="str">
        <f>IF(SUMPRODUCT((Inputs!$B$4:$B$200=$B62)*ISNUMBER(INDEX(Inputs!$D$4:$AG$200,0,MATCH(AE$2,Inputs!$D$2:$AG$2,0))))=0,"",SUMIFS(INDEX(Inputs!$D$4:$AG$200,0,MATCH(AE$2,Inputs!$D$2:$AG$2,0)),Inputs!$B$4:$B$200,$B62)/1000)</f>
        <v/>
      </c>
      <c r="AF62" s="11" t="str">
        <f>IF(SUMPRODUCT((Inputs!$B$4:$B$200=$B62)*ISNUMBER(INDEX(Inputs!$D$4:$AG$200,0,MATCH(AF$2,Inputs!$D$2:$AG$2,0))))=0,"",SUMIFS(INDEX(Inputs!$D$4:$AG$200,0,MATCH(AF$2,Inputs!$D$2:$AG$2,0)),Inputs!$B$4:$B$200,$B62)/1000)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Segmento Compute &amp; Networking - receita (USD)</t>
        </is>
      </c>
      <c r="D63" s="11">
        <f>IF(SUMPRODUCT((Inputs!$B$4:$B$200=$B63)*ISNUMBER(INDEX(Inputs!$D$4:$AG$200,0,MATCH(D$2,Inputs!$D$2:$AG$2,0))))=0,"",SUMIFS(INDEX(Inputs!$D$4:$AG$200,0,MATCH(D$2,Inputs!$D$2:$AG$2,0)),Inputs!$B$4:$B$200,$B63)/1000)</f>
        <v>2210</v>
      </c>
      <c r="E63" s="11">
        <f>IF(SUMPRODUCT((Inputs!$B$4:$B$200=$B63)*ISNUMBER(INDEX(Inputs!$D$4:$AG$200,0,MATCH(E$2,Inputs!$D$2:$AG$2,0))))=0,"",SUMIFS(INDEX(Inputs!$D$4:$AG$200,0,MATCH(E$2,Inputs!$D$2:$AG$2,0)),Inputs!$B$4:$B$200,$B63)/1000)</f>
        <v>2600</v>
      </c>
      <c r="F63" s="11">
        <f>IF(SUMPRODUCT((Inputs!$B$4:$B$200=$B63)*ISNUMBER(INDEX(Inputs!$D$4:$AG$200,0,MATCH(F$2,Inputs!$D$2:$AG$2,0))))=0,"",SUMIFS(INDEX(Inputs!$D$4:$AG$200,0,MATCH(F$2,Inputs!$D$2:$AG$2,0)),Inputs!$B$4:$B$200,$B63)/1000)</f>
        <v>3011</v>
      </c>
      <c r="G63" s="11">
        <f>IF(SUMPRODUCT((Inputs!$B$4:$B$200=$B63)*ISNUMBER(INDEX(Inputs!$D$4:$AG$200,0,MATCH(G$2,Inputs!$D$2:$AG$2,0))))=0,"",SUMIFS(INDEX(Inputs!$D$4:$AG$200,0,MATCH(G$2,Inputs!$D$2:$AG$2,0)),Inputs!$B$4:$B$200,$B63)/1000)</f>
        <v>3225</v>
      </c>
      <c r="H63" s="12">
        <f>IF(COUNT(D63:G63)=4,SUM(D63:G63),"")</f>
        <v>11046</v>
      </c>
      <c r="I63" s="11">
        <f>IF(SUMPRODUCT((Inputs!$B$4:$B$200=$B63)*ISNUMBER(INDEX(Inputs!$D$4:$AG$200,0,MATCH(I$2,Inputs!$D$2:$AG$2,0))))=0,"",SUMIFS(INDEX(Inputs!$D$4:$AG$200,0,MATCH(I$2,Inputs!$D$2:$AG$2,0)),Inputs!$B$4:$B$200,$B63)/1000)</f>
        <v>3672</v>
      </c>
      <c r="J63" s="11">
        <f>IF(SUMPRODUCT((Inputs!$B$4:$B$200=$B63)*ISNUMBER(INDEX(Inputs!$D$4:$AG$200,0,MATCH(J$2,Inputs!$D$2:$AG$2,0))))=0,"",SUMIFS(INDEX(Inputs!$D$4:$AG$200,0,MATCH(J$2,Inputs!$D$2:$AG$2,0)),Inputs!$B$4:$B$200,$B63)/1000)</f>
        <v>3907</v>
      </c>
      <c r="K63" s="11">
        <f>IF(SUMPRODUCT((Inputs!$B$4:$B$200=$B63)*ISNUMBER(INDEX(Inputs!$D$4:$AG$200,0,MATCH(K$2,Inputs!$D$2:$AG$2,0))))=0,"",SUMIFS(INDEX(Inputs!$D$4:$AG$200,0,MATCH(K$2,Inputs!$D$2:$AG$2,0)),Inputs!$B$4:$B$200,$B63)/1000)</f>
        <v>3816</v>
      </c>
      <c r="L63" s="11">
        <f>IF(SUMPRODUCT((Inputs!$B$4:$B$200=$B63)*ISNUMBER(INDEX(Inputs!$D$4:$AG$200,0,MATCH(L$2,Inputs!$D$2:$AG$2,0))))=0,"",SUMIFS(INDEX(Inputs!$D$4:$AG$200,0,MATCH(L$2,Inputs!$D$2:$AG$2,0)),Inputs!$B$4:$B$200,$B63)/1000)</f>
        <v>3673</v>
      </c>
      <c r="M63" s="12">
        <f>IF(COUNT(I63:L63)=4,SUM(I63:L63),"")</f>
        <v>15068</v>
      </c>
      <c r="N63" s="11">
        <f>IF(SUMPRODUCT((Inputs!$B$4:$B$200=$B63)*ISNUMBER(INDEX(Inputs!$D$4:$AG$200,0,MATCH(N$2,Inputs!$D$2:$AG$2,0))))=0,"",SUMIFS(INDEX(Inputs!$D$4:$AG$200,0,MATCH(N$2,Inputs!$D$2:$AG$2,0)),Inputs!$B$4:$B$200,$B63)/1000)</f>
        <v>4460</v>
      </c>
      <c r="O63" s="11">
        <f>IF(SUMPRODUCT((Inputs!$B$4:$B$200=$B63)*ISNUMBER(INDEX(Inputs!$D$4:$AG$200,0,MATCH(O$2,Inputs!$D$2:$AG$2,0))))=0,"",SUMIFS(INDEX(Inputs!$D$4:$AG$200,0,MATCH(O$2,Inputs!$D$2:$AG$2,0)),Inputs!$B$4:$B$200,$B63)/1000)</f>
        <v>10402</v>
      </c>
      <c r="P63" s="11">
        <f>IF(SUMPRODUCT((Inputs!$B$4:$B$200=$B63)*ISNUMBER(INDEX(Inputs!$D$4:$AG$200,0,MATCH(P$2,Inputs!$D$2:$AG$2,0))))=0,"",SUMIFS(INDEX(Inputs!$D$4:$AG$200,0,MATCH(P$2,Inputs!$D$2:$AG$2,0)),Inputs!$B$4:$B$200,$B63)/1000)</f>
        <v>14645</v>
      </c>
      <c r="Q63" s="11">
        <f>IF(SUMPRODUCT((Inputs!$B$4:$B$200=$B63)*ISNUMBER(INDEX(Inputs!$D$4:$AG$200,0,MATCH(Q$2,Inputs!$D$2:$AG$2,0))))=0,"",SUMIFS(INDEX(Inputs!$D$4:$AG$200,0,MATCH(Q$2,Inputs!$D$2:$AG$2,0)),Inputs!$B$4:$B$200,$B63)/1000)</f>
        <v>17898</v>
      </c>
      <c r="R63" s="12">
        <f>IF(COUNT(N63:Q63)=4,SUM(N63:Q63),"")</f>
        <v>47405</v>
      </c>
      <c r="S63" s="11">
        <f>IF(SUMPRODUCT((Inputs!$B$4:$B$200=$B63)*ISNUMBER(INDEX(Inputs!$D$4:$AG$200,0,MATCH(S$2,Inputs!$D$2:$AG$2,0))))=0,"",SUMIFS(INDEX(Inputs!$D$4:$AG$200,0,MATCH(S$2,Inputs!$D$2:$AG$2,0)),Inputs!$B$4:$B$200,$B63)/1000)</f>
        <v>22675</v>
      </c>
      <c r="T63" s="11">
        <f>IF(SUMPRODUCT((Inputs!$B$4:$B$200=$B63)*ISNUMBER(INDEX(Inputs!$D$4:$AG$200,0,MATCH(T$2,Inputs!$D$2:$AG$2,0))))=0,"",SUMIFS(INDEX(Inputs!$D$4:$AG$200,0,MATCH(T$2,Inputs!$D$2:$AG$2,0)),Inputs!$B$4:$B$200,$B63)/1000)</f>
        <v>26446</v>
      </c>
      <c r="U63" s="11">
        <f>IF(SUMPRODUCT((Inputs!$B$4:$B$200=$B63)*ISNUMBER(INDEX(Inputs!$D$4:$AG$200,0,MATCH(U$2,Inputs!$D$2:$AG$2,0))))=0,"",SUMIFS(INDEX(Inputs!$D$4:$AG$200,0,MATCH(U$2,Inputs!$D$2:$AG$2,0)),Inputs!$B$4:$B$200,$B63)/1000)</f>
        <v>31036</v>
      </c>
      <c r="V63" s="11">
        <f>IF(SUMPRODUCT((Inputs!$B$4:$B$200=$B63)*ISNUMBER(INDEX(Inputs!$D$4:$AG$200,0,MATCH(V$2,Inputs!$D$2:$AG$2,0))))=0,"",SUMIFS(INDEX(Inputs!$D$4:$AG$200,0,MATCH(V$2,Inputs!$D$2:$AG$2,0)),Inputs!$B$4:$B$200,$B63)/1000)</f>
        <v>36036</v>
      </c>
      <c r="W63" s="12">
        <f>IF(COUNT(S63:V63)=4,SUM(S63:V63),"")</f>
        <v>116193</v>
      </c>
      <c r="X63" s="11">
        <f>IF(SUMPRODUCT((Inputs!$B$4:$B$200=$B63)*ISNUMBER(INDEX(Inputs!$D$4:$AG$200,0,MATCH(X$2,Inputs!$D$2:$AG$2,0))))=0,"",SUMIFS(INDEX(Inputs!$D$4:$AG$200,0,MATCH(X$2,Inputs!$D$2:$AG$2,0)),Inputs!$B$4:$B$200,$B63)/1000)</f>
        <v>39589</v>
      </c>
      <c r="Y63" s="11">
        <f>IF(SUMPRODUCT((Inputs!$B$4:$B$200=$B63)*ISNUMBER(INDEX(Inputs!$D$4:$AG$200,0,MATCH(Y$2,Inputs!$D$2:$AG$2,0))))=0,"",SUMIFS(INDEX(Inputs!$D$4:$AG$200,0,MATCH(Y$2,Inputs!$D$2:$AG$2,0)),Inputs!$B$4:$B$200,$B63)/1000)</f>
        <v>41331</v>
      </c>
      <c r="Z63" s="11">
        <f>IF(SUMPRODUCT((Inputs!$B$4:$B$200=$B63)*ISNUMBER(INDEX(Inputs!$D$4:$AG$200,0,MATCH(Z$2,Inputs!$D$2:$AG$2,0))))=0,"",SUMIFS(INDEX(Inputs!$D$4:$AG$200,0,MATCH(Z$2,Inputs!$D$2:$AG$2,0)),Inputs!$B$4:$B$200,$B63)/1000)</f>
        <v>50908</v>
      </c>
      <c r="AA63" s="11">
        <f>IF(SUMPRODUCT((Inputs!$B$4:$B$200=$B63)*ISNUMBER(INDEX(Inputs!$D$4:$AG$200,0,MATCH(AA$2,Inputs!$D$2:$AG$2,0))))=0,"",SUMIFS(INDEX(Inputs!$D$4:$AG$200,0,MATCH(AA$2,Inputs!$D$2:$AG$2,0)),Inputs!$B$4:$B$200,$B63)/1000)</f>
        <v>61651</v>
      </c>
      <c r="AB63" s="12">
        <f>IF(COUNT(X63:AA63)=4,SUM(X63:AA63),"")</f>
        <v>193479</v>
      </c>
      <c r="AC63" s="11">
        <f>IF(SUMPRODUCT((Inputs!$B$4:$B$200=$B63)*ISNUMBER(INDEX(Inputs!$D$4:$AG$200,0,MATCH(AC$2,Inputs!$D$2:$AG$2,0))))=0,"",SUMIFS(INDEX(Inputs!$D$4:$AG$200,0,MATCH(AC$2,Inputs!$D$2:$AG$2,0)),Inputs!$B$4:$B$200,$B63)/1000)</f>
        <v>74550</v>
      </c>
      <c r="AD63" s="11">
        <f>IF(SUMPRODUCT((Inputs!$B$4:$B$200=$B63)*ISNUMBER(INDEX(Inputs!$D$4:$AG$200,0,MATCH(AD$2,Inputs!$D$2:$AG$2,0))))=0,"",SUMIFS(INDEX(Inputs!$D$4:$AG$200,0,MATCH(AD$2,Inputs!$D$2:$AG$2,0)),Inputs!$B$4:$B$200,$B63)/1000)</f>
        <v>88299</v>
      </c>
      <c r="AE63" s="11" t="str">
        <f>IF(SUMPRODUCT((Inputs!$B$4:$B$200=$B63)*ISNUMBER(INDEX(Inputs!$D$4:$AG$200,0,MATCH(AE$2,Inputs!$D$2:$AG$2,0))))=0,"",SUMIFS(INDEX(Inputs!$D$4:$AG$200,0,MATCH(AE$2,Inputs!$D$2:$AG$2,0)),Inputs!$B$4:$B$200,$B63)/1000)</f>
        <v/>
      </c>
      <c r="AF63" s="11" t="str">
        <f>IF(SUMPRODUCT((Inputs!$B$4:$B$200=$B63)*ISNUMBER(INDEX(Inputs!$D$4:$AG$200,0,MATCH(AF$2,Inputs!$D$2:$AG$2,0))))=0,"",SUMIFS(INDEX(Inputs!$D$4:$AG$200,0,MATCH(AF$2,Inputs!$D$2:$AG$2,0)),Inputs!$B$4:$B$200,$B63)/1000)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Segmento Graphics - receita (USD)</t>
        </is>
      </c>
      <c r="D64" s="11">
        <f>IF(SUMPRODUCT((Inputs!$B$4:$B$200=$B64)*ISNUMBER(INDEX(Inputs!$D$4:$AG$200,0,MATCH(D$2,Inputs!$D$2:$AG$2,0))))=0,"",SUMIFS(INDEX(Inputs!$D$4:$AG$200,0,MATCH(D$2,Inputs!$D$2:$AG$2,0)),Inputs!$B$4:$B$200,$B64)/1000)</f>
        <v>3451</v>
      </c>
      <c r="E64" s="11">
        <f>IF(SUMPRODUCT((Inputs!$B$4:$B$200=$B64)*ISNUMBER(INDEX(Inputs!$D$4:$AG$200,0,MATCH(E$2,Inputs!$D$2:$AG$2,0))))=0,"",SUMIFS(INDEX(Inputs!$D$4:$AG$200,0,MATCH(E$2,Inputs!$D$2:$AG$2,0)),Inputs!$B$4:$B$200,$B64)/1000)</f>
        <v>3907</v>
      </c>
      <c r="F64" s="11">
        <f>IF(SUMPRODUCT((Inputs!$B$4:$B$200=$B64)*ISNUMBER(INDEX(Inputs!$D$4:$AG$200,0,MATCH(F$2,Inputs!$D$2:$AG$2,0))))=0,"",SUMIFS(INDEX(Inputs!$D$4:$AG$200,0,MATCH(F$2,Inputs!$D$2:$AG$2,0)),Inputs!$B$4:$B$200,$B64)/1000)</f>
        <v>4092</v>
      </c>
      <c r="G64" s="11">
        <f>IF(SUMPRODUCT((Inputs!$B$4:$B$200=$B64)*ISNUMBER(INDEX(Inputs!$D$4:$AG$200,0,MATCH(G$2,Inputs!$D$2:$AG$2,0))))=0,"",SUMIFS(INDEX(Inputs!$D$4:$AG$200,0,MATCH(G$2,Inputs!$D$2:$AG$2,0)),Inputs!$B$4:$B$200,$B64)/1000)</f>
        <v>4418</v>
      </c>
      <c r="H64" s="12">
        <f>IF(COUNT(D64:G64)=4,SUM(D64:G64),"")</f>
        <v>15868</v>
      </c>
      <c r="I64" s="11">
        <f>IF(SUMPRODUCT((Inputs!$B$4:$B$200=$B64)*ISNUMBER(INDEX(Inputs!$D$4:$AG$200,0,MATCH(I$2,Inputs!$D$2:$AG$2,0))))=0,"",SUMIFS(INDEX(Inputs!$D$4:$AG$200,0,MATCH(I$2,Inputs!$D$2:$AG$2,0)),Inputs!$B$4:$B$200,$B64)/1000)</f>
        <v>4616</v>
      </c>
      <c r="J64" s="11">
        <f>IF(SUMPRODUCT((Inputs!$B$4:$B$200=$B64)*ISNUMBER(INDEX(Inputs!$D$4:$AG$200,0,MATCH(J$2,Inputs!$D$2:$AG$2,0))))=0,"",SUMIFS(INDEX(Inputs!$D$4:$AG$200,0,MATCH(J$2,Inputs!$D$2:$AG$2,0)),Inputs!$B$4:$B$200,$B64)/1000)</f>
        <v>2797</v>
      </c>
      <c r="K64" s="11">
        <f>IF(SUMPRODUCT((Inputs!$B$4:$B$200=$B64)*ISNUMBER(INDEX(Inputs!$D$4:$AG$200,0,MATCH(K$2,Inputs!$D$2:$AG$2,0))))=0,"",SUMIFS(INDEX(Inputs!$D$4:$AG$200,0,MATCH(K$2,Inputs!$D$2:$AG$2,0)),Inputs!$B$4:$B$200,$B64)/1000)</f>
        <v>2115</v>
      </c>
      <c r="L64" s="11">
        <f>IF(SUMPRODUCT((Inputs!$B$4:$B$200=$B64)*ISNUMBER(INDEX(Inputs!$D$4:$AG$200,0,MATCH(L$2,Inputs!$D$2:$AG$2,0))))=0,"",SUMIFS(INDEX(Inputs!$D$4:$AG$200,0,MATCH(L$2,Inputs!$D$2:$AG$2,0)),Inputs!$B$4:$B$200,$B64)/1000)</f>
        <v>2378</v>
      </c>
      <c r="M64" s="12">
        <f>IF(COUNT(I64:L64)=4,SUM(I64:L64),"")</f>
        <v>11906</v>
      </c>
      <c r="N64" s="11">
        <f>IF(SUMPRODUCT((Inputs!$B$4:$B$200=$B64)*ISNUMBER(INDEX(Inputs!$D$4:$AG$200,0,MATCH(N$2,Inputs!$D$2:$AG$2,0))))=0,"",SUMIFS(INDEX(Inputs!$D$4:$AG$200,0,MATCH(N$2,Inputs!$D$2:$AG$2,0)),Inputs!$B$4:$B$200,$B64)/1000)</f>
        <v>2732</v>
      </c>
      <c r="O64" s="11">
        <f>IF(SUMPRODUCT((Inputs!$B$4:$B$200=$B64)*ISNUMBER(INDEX(Inputs!$D$4:$AG$200,0,MATCH(O$2,Inputs!$D$2:$AG$2,0))))=0,"",SUMIFS(INDEX(Inputs!$D$4:$AG$200,0,MATCH(O$2,Inputs!$D$2:$AG$2,0)),Inputs!$B$4:$B$200,$B64)/1000)</f>
        <v>3105</v>
      </c>
      <c r="P64" s="11">
        <f>IF(SUMPRODUCT((Inputs!$B$4:$B$200=$B64)*ISNUMBER(INDEX(Inputs!$D$4:$AG$200,0,MATCH(P$2,Inputs!$D$2:$AG$2,0))))=0,"",SUMIFS(INDEX(Inputs!$D$4:$AG$200,0,MATCH(P$2,Inputs!$D$2:$AG$2,0)),Inputs!$B$4:$B$200,$B64)/1000)</f>
        <v>3475</v>
      </c>
      <c r="Q64" s="11">
        <f>IF(SUMPRODUCT((Inputs!$B$4:$B$200=$B64)*ISNUMBER(INDEX(Inputs!$D$4:$AG$200,0,MATCH(Q$2,Inputs!$D$2:$AG$2,0))))=0,"",SUMIFS(INDEX(Inputs!$D$4:$AG$200,0,MATCH(Q$2,Inputs!$D$2:$AG$2,0)),Inputs!$B$4:$B$200,$B64)/1000)</f>
        <v>4205</v>
      </c>
      <c r="R64" s="12">
        <f>IF(COUNT(N64:Q64)=4,SUM(N64:Q64),"")</f>
        <v>13517</v>
      </c>
      <c r="S64" s="11">
        <f>IF(SUMPRODUCT((Inputs!$B$4:$B$200=$B64)*ISNUMBER(INDEX(Inputs!$D$4:$AG$200,0,MATCH(S$2,Inputs!$D$2:$AG$2,0))))=0,"",SUMIFS(INDEX(Inputs!$D$4:$AG$200,0,MATCH(S$2,Inputs!$D$2:$AG$2,0)),Inputs!$B$4:$B$200,$B64)/1000)</f>
        <v>3369</v>
      </c>
      <c r="T64" s="11">
        <f>IF(SUMPRODUCT((Inputs!$B$4:$B$200=$B64)*ISNUMBER(INDEX(Inputs!$D$4:$AG$200,0,MATCH(T$2,Inputs!$D$2:$AG$2,0))))=0,"",SUMIFS(INDEX(Inputs!$D$4:$AG$200,0,MATCH(T$2,Inputs!$D$2:$AG$2,0)),Inputs!$B$4:$B$200,$B64)/1000)</f>
        <v>3594</v>
      </c>
      <c r="U64" s="11">
        <f>IF(SUMPRODUCT((Inputs!$B$4:$B$200=$B64)*ISNUMBER(INDEX(Inputs!$D$4:$AG$200,0,MATCH(U$2,Inputs!$D$2:$AG$2,0))))=0,"",SUMIFS(INDEX(Inputs!$D$4:$AG$200,0,MATCH(U$2,Inputs!$D$2:$AG$2,0)),Inputs!$B$4:$B$200,$B64)/1000)</f>
        <v>4046</v>
      </c>
      <c r="V64" s="11">
        <f>IF(SUMPRODUCT((Inputs!$B$4:$B$200=$B64)*ISNUMBER(INDEX(Inputs!$D$4:$AG$200,0,MATCH(V$2,Inputs!$D$2:$AG$2,0))))=0,"",SUMIFS(INDEX(Inputs!$D$4:$AG$200,0,MATCH(V$2,Inputs!$D$2:$AG$2,0)),Inputs!$B$4:$B$200,$B64)/1000)</f>
        <v>3295</v>
      </c>
      <c r="W64" s="12">
        <f>IF(COUNT(S64:V64)=4,SUM(S64:V64),"")</f>
        <v>14304</v>
      </c>
      <c r="X64" s="11">
        <f>IF(SUMPRODUCT((Inputs!$B$4:$B$200=$B64)*ISNUMBER(INDEX(Inputs!$D$4:$AG$200,0,MATCH(X$2,Inputs!$D$2:$AG$2,0))))=0,"",SUMIFS(INDEX(Inputs!$D$4:$AG$200,0,MATCH(X$2,Inputs!$D$2:$AG$2,0)),Inputs!$B$4:$B$200,$B64)/1000)</f>
        <v>4473</v>
      </c>
      <c r="Y64" s="11">
        <f>IF(SUMPRODUCT((Inputs!$B$4:$B$200=$B64)*ISNUMBER(INDEX(Inputs!$D$4:$AG$200,0,MATCH(Y$2,Inputs!$D$2:$AG$2,0))))=0,"",SUMIFS(INDEX(Inputs!$D$4:$AG$200,0,MATCH(Y$2,Inputs!$D$2:$AG$2,0)),Inputs!$B$4:$B$200,$B64)/1000)</f>
        <v>5412</v>
      </c>
      <c r="Z64" s="11">
        <f>IF(SUMPRODUCT((Inputs!$B$4:$B$200=$B64)*ISNUMBER(INDEX(Inputs!$D$4:$AG$200,0,MATCH(Z$2,Inputs!$D$2:$AG$2,0))))=0,"",SUMIFS(INDEX(Inputs!$D$4:$AG$200,0,MATCH(Z$2,Inputs!$D$2:$AG$2,0)),Inputs!$B$4:$B$200,$B64)/1000)</f>
        <v>6098</v>
      </c>
      <c r="AA64" s="11">
        <f>IF(SUMPRODUCT((Inputs!$B$4:$B$200=$B64)*ISNUMBER(INDEX(Inputs!$D$4:$AG$200,0,MATCH(AA$2,Inputs!$D$2:$AG$2,0))))=0,"",SUMIFS(INDEX(Inputs!$D$4:$AG$200,0,MATCH(AA$2,Inputs!$D$2:$AG$2,0)),Inputs!$B$4:$B$200,$B64)/1000)</f>
        <v>6476</v>
      </c>
      <c r="AB64" s="12">
        <f>IF(COUNT(X64:AA64)=4,SUM(X64:AA64),"")</f>
        <v>22459</v>
      </c>
      <c r="AC64" s="11">
        <f>IF(SUMPRODUCT((Inputs!$B$4:$B$200=$B64)*ISNUMBER(INDEX(Inputs!$D$4:$AG$200,0,MATCH(AC$2,Inputs!$D$2:$AG$2,0))))=0,"",SUMIFS(INDEX(Inputs!$D$4:$AG$200,0,MATCH(AC$2,Inputs!$D$2:$AG$2,0)),Inputs!$B$4:$B$200,$B64)/1000)</f>
        <v>7065</v>
      </c>
      <c r="AD64" s="11">
        <f>IF(SUMPRODUCT((Inputs!$B$4:$B$200=$B64)*ISNUMBER(INDEX(Inputs!$D$4:$AG$200,0,MATCH(AD$2,Inputs!$D$2:$AG$2,0))))=0,"",SUMIFS(INDEX(Inputs!$D$4:$AG$200,0,MATCH(AD$2,Inputs!$D$2:$AG$2,0)),Inputs!$B$4:$B$200,$B64)/1000)</f>
        <v>7922</v>
      </c>
      <c r="AE64" s="11" t="str">
        <f>IF(SUMPRODUCT((Inputs!$B$4:$B$200=$B64)*ISNUMBER(INDEX(Inputs!$D$4:$AG$200,0,MATCH(AE$2,Inputs!$D$2:$AG$2,0))))=0,"",SUMIFS(INDEX(Inputs!$D$4:$AG$200,0,MATCH(AE$2,Inputs!$D$2:$AG$2,0)),Inputs!$B$4:$B$200,$B64)/1000)</f>
        <v/>
      </c>
      <c r="AF64" s="11" t="str">
        <f>IF(SUMPRODUCT((Inputs!$B$4:$B$200=$B64)*ISNUMBER(INDEX(Inputs!$D$4:$AG$200,0,MATCH(AF$2,Inputs!$D$2:$AG$2,0))))=0,"",SUMIFS(INDEX(Inputs!$D$4:$AG$200,0,MATCH(AF$2,Inputs!$D$2:$AG$2,0)),Inputs!$B$4:$B$200,$B64)/1000)</f>
        <v/>
      </c>
      <c r="AG64" s="12" t="str">
        <f>IF(COUNT(AC64:AF64)=4,SUM(AC64:AF64),"")</f>
        <v/>
      </c>
    </row>
    <row r="65">
      <c r="B65" s="9" t="n">
        <v>57</v>
      </c>
      <c r="C65" s="10" t="inlineStr">
        <is>
          <t>Segmento Compute &amp; Networking - lucro operacional (USD)</t>
        </is>
      </c>
      <c r="D65" s="11">
        <f>IF(SUMPRODUCT((Inputs!$B$4:$B$200=$B65)*ISNUMBER(INDEX(Inputs!$D$4:$AG$200,0,MATCH(D$2,Inputs!$D$2:$AG$2,0))))=0,"",SUMIFS(INDEX(Inputs!$D$4:$AG$200,0,MATCH(D$2,Inputs!$D$2:$AG$2,0)),Inputs!$B$4:$B$200,$B65)/1000)</f>
        <v>861</v>
      </c>
      <c r="E65" s="11">
        <f>IF(SUMPRODUCT((Inputs!$B$4:$B$200=$B65)*ISNUMBER(INDEX(Inputs!$D$4:$AG$200,0,MATCH(E$2,Inputs!$D$2:$AG$2,0))))=0,"",SUMIFS(INDEX(Inputs!$D$4:$AG$200,0,MATCH(E$2,Inputs!$D$2:$AG$2,0)),Inputs!$B$4:$B$200,$B65)/1000)</f>
        <v>1034</v>
      </c>
      <c r="F65" s="11">
        <f>IF(SUMPRODUCT((Inputs!$B$4:$B$200=$B65)*ISNUMBER(INDEX(Inputs!$D$4:$AG$200,0,MATCH(F$2,Inputs!$D$2:$AG$2,0))))=0,"",SUMIFS(INDEX(Inputs!$D$4:$AG$200,0,MATCH(F$2,Inputs!$D$2:$AG$2,0)),Inputs!$B$4:$B$200,$B65)/1000)</f>
        <v>1332</v>
      </c>
      <c r="G65" s="11">
        <f>IF(SUMPRODUCT((Inputs!$B$4:$B$200=$B65)*ISNUMBER(INDEX(Inputs!$D$4:$AG$200,0,MATCH(G$2,Inputs!$D$2:$AG$2,0))))=0,"",SUMIFS(INDEX(Inputs!$D$4:$AG$200,0,MATCH(G$2,Inputs!$D$2:$AG$2,0)),Inputs!$B$4:$B$200,$B65)/1000)</f>
        <v>1371</v>
      </c>
      <c r="H65" s="12">
        <f>IF(COUNT(D65:G65)=4,SUM(D65:G65),"")</f>
        <v>4598</v>
      </c>
      <c r="I65" s="11">
        <f>IF(SUMPRODUCT((Inputs!$B$4:$B$200=$B65)*ISNUMBER(INDEX(Inputs!$D$4:$AG$200,0,MATCH(I$2,Inputs!$D$2:$AG$2,0))))=0,"",SUMIFS(INDEX(Inputs!$D$4:$AG$200,0,MATCH(I$2,Inputs!$D$2:$AG$2,0)),Inputs!$B$4:$B$200,$B65)/1000)</f>
        <v>1606</v>
      </c>
      <c r="J65" s="11">
        <f>IF(SUMPRODUCT((Inputs!$B$4:$B$200=$B65)*ISNUMBER(INDEX(Inputs!$D$4:$AG$200,0,MATCH(J$2,Inputs!$D$2:$AG$2,0))))=0,"",SUMIFS(INDEX(Inputs!$D$4:$AG$200,0,MATCH(J$2,Inputs!$D$2:$AG$2,0)),Inputs!$B$4:$B$200,$B65)/1000)</f>
        <v>816</v>
      </c>
      <c r="K65" s="11">
        <f>IF(SUMPRODUCT((Inputs!$B$4:$B$200=$B65)*ISNUMBER(INDEX(Inputs!$D$4:$AG$200,0,MATCH(K$2,Inputs!$D$2:$AG$2,0))))=0,"",SUMIFS(INDEX(Inputs!$D$4:$AG$200,0,MATCH(K$2,Inputs!$D$2:$AG$2,0)),Inputs!$B$4:$B$200,$B65)/1000)</f>
        <v>1086</v>
      </c>
      <c r="L65" s="11">
        <f>IF(SUMPRODUCT((Inputs!$B$4:$B$200=$B65)*ISNUMBER(INDEX(Inputs!$D$4:$AG$200,0,MATCH(L$2,Inputs!$D$2:$AG$2,0))))=0,"",SUMIFS(INDEX(Inputs!$D$4:$AG$200,0,MATCH(L$2,Inputs!$D$2:$AG$2,0)),Inputs!$B$4:$B$200,$B65)/1000)</f>
        <v>1574</v>
      </c>
      <c r="M65" s="12">
        <f>IF(COUNT(I65:L65)=4,SUM(I65:L65),"")</f>
        <v>5082</v>
      </c>
      <c r="N65" s="11">
        <f>IF(SUMPRODUCT((Inputs!$B$4:$B$200=$B65)*ISNUMBER(INDEX(Inputs!$D$4:$AG$200,0,MATCH(N$2,Inputs!$D$2:$AG$2,0))))=0,"",SUMIFS(INDEX(Inputs!$D$4:$AG$200,0,MATCH(N$2,Inputs!$D$2:$AG$2,0)),Inputs!$B$4:$B$200,$B65)/1000)</f>
        <v>2160</v>
      </c>
      <c r="O65" s="11">
        <f>IF(SUMPRODUCT((Inputs!$B$4:$B$200=$B65)*ISNUMBER(INDEX(Inputs!$D$4:$AG$200,0,MATCH(O$2,Inputs!$D$2:$AG$2,0))))=0,"",SUMIFS(INDEX(Inputs!$D$4:$AG$200,0,MATCH(O$2,Inputs!$D$2:$AG$2,0)),Inputs!$B$4:$B$200,$B65)/1000)</f>
        <v>6728</v>
      </c>
      <c r="P65" s="11">
        <f>IF(SUMPRODUCT((Inputs!$B$4:$B$200=$B65)*ISNUMBER(INDEX(Inputs!$D$4:$AG$200,0,MATCH(P$2,Inputs!$D$2:$AG$2,0))))=0,"",SUMIFS(INDEX(Inputs!$D$4:$AG$200,0,MATCH(P$2,Inputs!$D$2:$AG$2,0)),Inputs!$B$4:$B$200,$B65)/1000)</f>
        <v>10262</v>
      </c>
      <c r="Q65" s="11">
        <f>IF(SUMPRODUCT((Inputs!$B$4:$B$200=$B65)*ISNUMBER(INDEX(Inputs!$D$4:$AG$200,0,MATCH(Q$2,Inputs!$D$2:$AG$2,0))))=0,"",SUMIFS(INDEX(Inputs!$D$4:$AG$200,0,MATCH(Q$2,Inputs!$D$2:$AG$2,0)),Inputs!$B$4:$B$200,$B65)/1000)</f>
        <v>12867</v>
      </c>
      <c r="R65" s="12">
        <f>IF(COUNT(N65:Q65)=4,SUM(N65:Q65),"")</f>
        <v>32017</v>
      </c>
      <c r="S65" s="11">
        <f>IF(SUMPRODUCT((Inputs!$B$4:$B$200=$B65)*ISNUMBER(INDEX(Inputs!$D$4:$AG$200,0,MATCH(S$2,Inputs!$D$2:$AG$2,0))))=0,"",SUMIFS(INDEX(Inputs!$D$4:$AG$200,0,MATCH(S$2,Inputs!$D$2:$AG$2,0)),Inputs!$B$4:$B$200,$B65)/1000)</f>
        <v>17047</v>
      </c>
      <c r="T65" s="11">
        <f>IF(SUMPRODUCT((Inputs!$B$4:$B$200=$B65)*ISNUMBER(INDEX(Inputs!$D$4:$AG$200,0,MATCH(T$2,Inputs!$D$2:$AG$2,0))))=0,"",SUMIFS(INDEX(Inputs!$D$4:$AG$200,0,MATCH(T$2,Inputs!$D$2:$AG$2,0)),Inputs!$B$4:$B$200,$B65)/1000)</f>
        <v>18848</v>
      </c>
      <c r="U65" s="11">
        <f>IF(SUMPRODUCT((Inputs!$B$4:$B$200=$B65)*ISNUMBER(INDEX(Inputs!$D$4:$AG$200,0,MATCH(U$2,Inputs!$D$2:$AG$2,0))))=0,"",SUMIFS(INDEX(Inputs!$D$4:$AG$200,0,MATCH(U$2,Inputs!$D$2:$AG$2,0)),Inputs!$B$4:$B$200,$B65)/1000)</f>
        <v>22081</v>
      </c>
      <c r="V65" s="11">
        <f>IF(SUMPRODUCT((Inputs!$B$4:$B$200=$B65)*ISNUMBER(INDEX(Inputs!$D$4:$AG$200,0,MATCH(V$2,Inputs!$D$2:$AG$2,0))))=0,"",SUMIFS(INDEX(Inputs!$D$4:$AG$200,0,MATCH(V$2,Inputs!$D$2:$AG$2,0)),Inputs!$B$4:$B$200,$B65)/1000)</f>
        <v>24898</v>
      </c>
      <c r="W65" s="12">
        <f>IF(COUNT(S65:V65)=4,SUM(S65:V65),"")</f>
        <v>82874</v>
      </c>
      <c r="X65" s="11">
        <f>IF(SUMPRODUCT((Inputs!$B$4:$B$200=$B65)*ISNUMBER(INDEX(Inputs!$D$4:$AG$200,0,MATCH(X$2,Inputs!$D$2:$AG$2,0))))=0,"",SUMIFS(INDEX(Inputs!$D$4:$AG$200,0,MATCH(X$2,Inputs!$D$2:$AG$2,0)),Inputs!$B$4:$B$200,$B65)/1000)</f>
        <v>22054</v>
      </c>
      <c r="Y65" s="11">
        <f>IF(SUMPRODUCT((Inputs!$B$4:$B$200=$B65)*ISNUMBER(INDEX(Inputs!$D$4:$AG$200,0,MATCH(Y$2,Inputs!$D$2:$AG$2,0))))=0,"",SUMIFS(INDEX(Inputs!$D$4:$AG$200,0,MATCH(Y$2,Inputs!$D$2:$AG$2,0)),Inputs!$B$4:$B$200,$B65)/1000)</f>
        <v>28363</v>
      </c>
      <c r="Z65" s="11">
        <f>IF(SUMPRODUCT((Inputs!$B$4:$B$200=$B65)*ISNUMBER(INDEX(Inputs!$D$4:$AG$200,0,MATCH(Z$2,Inputs!$D$2:$AG$2,0))))=0,"",SUMIFS(INDEX(Inputs!$D$4:$AG$200,0,MATCH(Z$2,Inputs!$D$2:$AG$2,0)),Inputs!$B$4:$B$200,$B65)/1000)</f>
        <v>35721</v>
      </c>
      <c r="AA65" s="11">
        <f>IF(SUMPRODUCT((Inputs!$B$4:$B$200=$B65)*ISNUMBER(INDEX(Inputs!$D$4:$AG$200,0,MATCH(AA$2,Inputs!$D$2:$AG$2,0))))=0,"",SUMIFS(INDEX(Inputs!$D$4:$AG$200,0,MATCH(AA$2,Inputs!$D$2:$AG$2,0)),Inputs!$B$4:$B$200,$B65)/1000)</f>
        <v>44002</v>
      </c>
      <c r="AB65" s="12">
        <f>IF(COUNT(X65:AA65)=4,SUM(X65:AA65),"")</f>
        <v>130140</v>
      </c>
      <c r="AC65" s="11">
        <f>IF(SUMPRODUCT((Inputs!$B$4:$B$200=$B65)*ISNUMBER(INDEX(Inputs!$D$4:$AG$200,0,MATCH(AC$2,Inputs!$D$2:$AG$2,0))))=0,"",SUMIFS(INDEX(Inputs!$D$4:$AG$200,0,MATCH(AC$2,Inputs!$D$2:$AG$2,0)),Inputs!$B$4:$B$200,$B65)/1000)</f>
        <v>53335</v>
      </c>
      <c r="AD65" s="11">
        <f>IF(SUMPRODUCT((Inputs!$B$4:$B$200=$B65)*ISNUMBER(INDEX(Inputs!$D$4:$AG$200,0,MATCH(AD$2,Inputs!$D$2:$AG$2,0))))=0,"",SUMIFS(INDEX(Inputs!$D$4:$AG$200,0,MATCH(AD$2,Inputs!$D$2:$AG$2,0)),Inputs!$B$4:$B$200,$B65)/1000)</f>
        <v>62696</v>
      </c>
      <c r="AE65" s="11" t="str">
        <f>IF(SUMPRODUCT((Inputs!$B$4:$B$200=$B65)*ISNUMBER(INDEX(Inputs!$D$4:$AG$200,0,MATCH(AE$2,Inputs!$D$2:$AG$2,0))))=0,"",SUMIFS(INDEX(Inputs!$D$4:$AG$200,0,MATCH(AE$2,Inputs!$D$2:$AG$2,0)),Inputs!$B$4:$B$200,$B65)/1000)</f>
        <v/>
      </c>
      <c r="AF65" s="11" t="str">
        <f>IF(SUMPRODUCT((Inputs!$B$4:$B$200=$B65)*ISNUMBER(INDEX(Inputs!$D$4:$AG$200,0,MATCH(AF$2,Inputs!$D$2:$AG$2,0))))=0,"",SUMIFS(INDEX(Inputs!$D$4:$AG$200,0,MATCH(AF$2,Inputs!$D$2:$AG$2,0)),Inputs!$B$4:$B$200,$B65)/1000)</f>
        <v/>
      </c>
      <c r="AG65" s="12" t="str">
        <f>IF(COUNT(AC65:AF65)=4,SUM(AC65:AF65),"")</f>
        <v/>
      </c>
    </row>
    <row r="66">
      <c r="B66" s="9" t="n">
        <v>58</v>
      </c>
      <c r="C66" s="10" t="inlineStr">
        <is>
          <t>Segmento Graphics - lucro operacional (USD)</t>
        </is>
      </c>
      <c r="D66" s="11">
        <f>IF(SUMPRODUCT((Inputs!$B$4:$B$200=$B66)*ISNUMBER(INDEX(Inputs!$D$4:$AG$200,0,MATCH(D$2,Inputs!$D$2:$AG$2,0))))=0,"",SUMIFS(INDEX(Inputs!$D$4:$AG$200,0,MATCH(D$2,Inputs!$D$2:$AG$2,0)),Inputs!$B$4:$B$200,$B66)/1000)</f>
        <v>1786</v>
      </c>
      <c r="E66" s="11">
        <f>IF(SUMPRODUCT((Inputs!$B$4:$B$200=$B66)*ISNUMBER(INDEX(Inputs!$D$4:$AG$200,0,MATCH(E$2,Inputs!$D$2:$AG$2,0))))=0,"",SUMIFS(INDEX(Inputs!$D$4:$AG$200,0,MATCH(E$2,Inputs!$D$2:$AG$2,0)),Inputs!$B$4:$B$200,$B66)/1000)</f>
        <v>2127</v>
      </c>
      <c r="F66" s="11">
        <f>IF(SUMPRODUCT((Inputs!$B$4:$B$200=$B66)*ISNUMBER(INDEX(Inputs!$D$4:$AG$200,0,MATCH(F$2,Inputs!$D$2:$AG$2,0))))=0,"",SUMIFS(INDEX(Inputs!$D$4:$AG$200,0,MATCH(F$2,Inputs!$D$2:$AG$2,0)),Inputs!$B$4:$B$200,$B66)/1000)</f>
        <v>2160</v>
      </c>
      <c r="G66" s="11">
        <f>IF(SUMPRODUCT((Inputs!$B$4:$B$200=$B66)*ISNUMBER(INDEX(Inputs!$D$4:$AG$200,0,MATCH(G$2,Inputs!$D$2:$AG$2,0))))=0,"",SUMIFS(INDEX(Inputs!$D$4:$AG$200,0,MATCH(G$2,Inputs!$D$2:$AG$2,0)),Inputs!$B$4:$B$200,$B66)/1000)</f>
        <v>2419</v>
      </c>
      <c r="H66" s="12">
        <f>IF(COUNT(D66:G66)=4,SUM(D66:G66),"")</f>
        <v>8492</v>
      </c>
      <c r="I66" s="11">
        <f>IF(SUMPRODUCT((Inputs!$B$4:$B$200=$B66)*ISNUMBER(INDEX(Inputs!$D$4:$AG$200,0,MATCH(I$2,Inputs!$D$2:$AG$2,0))))=0,"",SUMIFS(INDEX(Inputs!$D$4:$AG$200,0,MATCH(I$2,Inputs!$D$2:$AG$2,0)),Inputs!$B$4:$B$200,$B66)/1000)</f>
        <v>2476</v>
      </c>
      <c r="J66" s="11">
        <f>IF(SUMPRODUCT((Inputs!$B$4:$B$200=$B66)*ISNUMBER(INDEX(Inputs!$D$4:$AG$200,0,MATCH(J$2,Inputs!$D$2:$AG$2,0))))=0,"",SUMIFS(INDEX(Inputs!$D$4:$AG$200,0,MATCH(J$2,Inputs!$D$2:$AG$2,0)),Inputs!$B$4:$B$200,$B66)/1000)</f>
        <v>657</v>
      </c>
      <c r="K66" s="11">
        <f>IF(SUMPRODUCT((Inputs!$B$4:$B$200=$B66)*ISNUMBER(INDEX(Inputs!$D$4:$AG$200,0,MATCH(K$2,Inputs!$D$2:$AG$2,0))))=0,"",SUMIFS(INDEX(Inputs!$D$4:$AG$200,0,MATCH(K$2,Inputs!$D$2:$AG$2,0)),Inputs!$B$4:$B$200,$B66)/1000)</f>
        <v>606</v>
      </c>
      <c r="L66" s="11">
        <f>IF(SUMPRODUCT((Inputs!$B$4:$B$200=$B66)*ISNUMBER(INDEX(Inputs!$D$4:$AG$200,0,MATCH(L$2,Inputs!$D$2:$AG$2,0))))=0,"",SUMIFS(INDEX(Inputs!$D$4:$AG$200,0,MATCH(L$2,Inputs!$D$2:$AG$2,0)),Inputs!$B$4:$B$200,$B66)/1000)</f>
        <v>813</v>
      </c>
      <c r="M66" s="12">
        <f>IF(COUNT(I66:L66)=4,SUM(I66:L66),"")</f>
        <v>4552</v>
      </c>
      <c r="N66" s="11">
        <f>IF(SUMPRODUCT((Inputs!$B$4:$B$200=$B66)*ISNUMBER(INDEX(Inputs!$D$4:$AG$200,0,MATCH(N$2,Inputs!$D$2:$AG$2,0))))=0,"",SUMIFS(INDEX(Inputs!$D$4:$AG$200,0,MATCH(N$2,Inputs!$D$2:$AG$2,0)),Inputs!$B$4:$B$200,$B66)/1000)</f>
        <v>1046</v>
      </c>
      <c r="O66" s="11">
        <f>IF(SUMPRODUCT((Inputs!$B$4:$B$200=$B66)*ISNUMBER(INDEX(Inputs!$D$4:$AG$200,0,MATCH(O$2,Inputs!$D$2:$AG$2,0))))=0,"",SUMIFS(INDEX(Inputs!$D$4:$AG$200,0,MATCH(O$2,Inputs!$D$2:$AG$2,0)),Inputs!$B$4:$B$200,$B66)/1000)</f>
        <v>1211</v>
      </c>
      <c r="P66" s="11">
        <f>IF(SUMPRODUCT((Inputs!$B$4:$B$200=$B66)*ISNUMBER(INDEX(Inputs!$D$4:$AG$200,0,MATCH(P$2,Inputs!$D$2:$AG$2,0))))=0,"",SUMIFS(INDEX(Inputs!$D$4:$AG$200,0,MATCH(P$2,Inputs!$D$2:$AG$2,0)),Inputs!$B$4:$B$200,$B66)/1000)</f>
        <v>1493</v>
      </c>
      <c r="Q66" s="11">
        <f>IF(SUMPRODUCT((Inputs!$B$4:$B$200=$B66)*ISNUMBER(INDEX(Inputs!$D$4:$AG$200,0,MATCH(Q$2,Inputs!$D$2:$AG$2,0))))=0,"",SUMIFS(INDEX(Inputs!$D$4:$AG$200,0,MATCH(Q$2,Inputs!$D$2:$AG$2,0)),Inputs!$B$4:$B$200,$B66)/1000)</f>
        <v>2095</v>
      </c>
      <c r="R66" s="12">
        <f>IF(COUNT(N66:Q66)=4,SUM(N66:Q66),"")</f>
        <v>5845</v>
      </c>
      <c r="S66" s="11">
        <f>IF(SUMPRODUCT((Inputs!$B$4:$B$200=$B66)*ISNUMBER(INDEX(Inputs!$D$4:$AG$200,0,MATCH(S$2,Inputs!$D$2:$AG$2,0))))=0,"",SUMIFS(INDEX(Inputs!$D$4:$AG$200,0,MATCH(S$2,Inputs!$D$2:$AG$2,0)),Inputs!$B$4:$B$200,$B66)/1000)</f>
        <v>1241</v>
      </c>
      <c r="T66" s="11">
        <f>IF(SUMPRODUCT((Inputs!$B$4:$B$200=$B66)*ISNUMBER(INDEX(Inputs!$D$4:$AG$200,0,MATCH(T$2,Inputs!$D$2:$AG$2,0))))=0,"",SUMIFS(INDEX(Inputs!$D$4:$AG$200,0,MATCH(T$2,Inputs!$D$2:$AG$2,0)),Inputs!$B$4:$B$200,$B66)/1000)</f>
        <v>1369</v>
      </c>
      <c r="U66" s="11">
        <f>IF(SUMPRODUCT((Inputs!$B$4:$B$200=$B66)*ISNUMBER(INDEX(Inputs!$D$4:$AG$200,0,MATCH(U$2,Inputs!$D$2:$AG$2,0))))=0,"",SUMIFS(INDEX(Inputs!$D$4:$AG$200,0,MATCH(U$2,Inputs!$D$2:$AG$2,0)),Inputs!$B$4:$B$200,$B66)/1000)</f>
        <v>1502</v>
      </c>
      <c r="V66" s="11">
        <f>IF(SUMPRODUCT((Inputs!$B$4:$B$200=$B66)*ISNUMBER(INDEX(Inputs!$D$4:$AG$200,0,MATCH(V$2,Inputs!$D$2:$AG$2,0))))=0,"",SUMIFS(INDEX(Inputs!$D$4:$AG$200,0,MATCH(V$2,Inputs!$D$2:$AG$2,0)),Inputs!$B$4:$B$200,$B66)/1000)</f>
        <v>974</v>
      </c>
      <c r="W66" s="12">
        <f>IF(COUNT(S66:V66)=4,SUM(S66:V66),"")</f>
        <v>5086</v>
      </c>
      <c r="X66" s="11">
        <f>IF(SUMPRODUCT((Inputs!$B$4:$B$200=$B66)*ISNUMBER(INDEX(Inputs!$D$4:$AG$200,0,MATCH(X$2,Inputs!$D$2:$AG$2,0))))=0,"",SUMIFS(INDEX(Inputs!$D$4:$AG$200,0,MATCH(X$2,Inputs!$D$2:$AG$2,0)),Inputs!$B$4:$B$200,$B66)/1000)</f>
        <v>1640</v>
      </c>
      <c r="Y66" s="11">
        <f>IF(SUMPRODUCT((Inputs!$B$4:$B$200=$B66)*ISNUMBER(INDEX(Inputs!$D$4:$AG$200,0,MATCH(Y$2,Inputs!$D$2:$AG$2,0))))=0,"",SUMIFS(INDEX(Inputs!$D$4:$AG$200,0,MATCH(Y$2,Inputs!$D$2:$AG$2,0)),Inputs!$B$4:$B$200,$B66)/1000)</f>
        <v>2242</v>
      </c>
      <c r="Z66" s="11">
        <f>IF(SUMPRODUCT((Inputs!$B$4:$B$200=$B66)*ISNUMBER(INDEX(Inputs!$D$4:$AG$200,0,MATCH(Z$2,Inputs!$D$2:$AG$2,0))))=0,"",SUMIFS(INDEX(Inputs!$D$4:$AG$200,0,MATCH(Z$2,Inputs!$D$2:$AG$2,0)),Inputs!$B$4:$B$200,$B66)/1000)</f>
        <v>2546</v>
      </c>
      <c r="AA66" s="11">
        <f>IF(SUMPRODUCT((Inputs!$B$4:$B$200=$B66)*ISNUMBER(INDEX(Inputs!$D$4:$AG$200,0,MATCH(AA$2,Inputs!$D$2:$AG$2,0))))=0,"",SUMIFS(INDEX(Inputs!$D$4:$AG$200,0,MATCH(AA$2,Inputs!$D$2:$AG$2,0)),Inputs!$B$4:$B$200,$B66)/1000)</f>
        <v>2728</v>
      </c>
      <c r="AB66" s="12">
        <f>IF(COUNT(X66:AA66)=4,SUM(X66:AA66),"")</f>
        <v>9156</v>
      </c>
      <c r="AC66" s="11">
        <f>IF(SUMPRODUCT((Inputs!$B$4:$B$200=$B66)*ISNUMBER(INDEX(Inputs!$D$4:$AG$200,0,MATCH(AC$2,Inputs!$D$2:$AG$2,0))))=0,"",SUMIFS(INDEX(Inputs!$D$4:$AG$200,0,MATCH(AC$2,Inputs!$D$2:$AG$2,0)),Inputs!$B$4:$B$200,$B66)/1000)</f>
        <v>2941</v>
      </c>
      <c r="AD66" s="11">
        <f>IF(SUMPRODUCT((Inputs!$B$4:$B$200=$B66)*ISNUMBER(INDEX(Inputs!$D$4:$AG$200,0,MATCH(AD$2,Inputs!$D$2:$AG$2,0))))=0,"",SUMIFS(INDEX(Inputs!$D$4:$AG$200,0,MATCH(AD$2,Inputs!$D$2:$AG$2,0)),Inputs!$B$4:$B$200,$B66)/1000)</f>
        <v>3899</v>
      </c>
      <c r="AE66" s="11" t="str">
        <f>IF(SUMPRODUCT((Inputs!$B$4:$B$200=$B66)*ISNUMBER(INDEX(Inputs!$D$4:$AG$200,0,MATCH(AE$2,Inputs!$D$2:$AG$2,0))))=0,"",SUMIFS(INDEX(Inputs!$D$4:$AG$200,0,MATCH(AE$2,Inputs!$D$2:$AG$2,0)),Inputs!$B$4:$B$200,$B66)/1000)</f>
        <v/>
      </c>
      <c r="AF66" s="11" t="str">
        <f>IF(SUMPRODUCT((Inputs!$B$4:$B$200=$B66)*ISNUMBER(INDEX(Inputs!$D$4:$AG$200,0,MATCH(AF$2,Inputs!$D$2:$AG$2,0))))=0,"",SUMIFS(INDEX(Inputs!$D$4:$AG$200,0,MATCH(AF$2,Inputs!$D$2:$AG$2,0)),Inputs!$B$4:$B$200,$B66)/1000)</f>
        <v/>
      </c>
      <c r="AG66" s="12" t="str">
        <f>IF(COUNT(AC66:AF66)=4,SUM(AC66:AF66),"")</f>
        <v/>
      </c>
    </row>
    <row r="67">
      <c r="B67" s="9" t="n">
        <v>59</v>
      </c>
      <c r="C67" s="10" t="inlineStr">
        <is>
          <t>Receita por local de faturamento - Estados Unidos (USD; como divulgado originalmente: os 10-Qs do FY26 reapresentaram a abertura geográfica de 3T24-2T25 e o modelo mantém a base original para o 4T = ano - 9M ficar coerente)</t>
        </is>
      </c>
      <c r="D67" s="11">
        <f>IF(SUMPRODUCT((Inputs!$B$4:$B$200=$B67)*ISNUMBER(INDEX(Inputs!$D$4:$AG$200,0,MATCH(D$2,Inputs!$D$2:$AG$2,0))))=0,"",SUMIFS(INDEX(Inputs!$D$4:$AG$200,0,MATCH(D$2,Inputs!$D$2:$AG$2,0)),Inputs!$B$4:$B$200,$B67)/1000)</f>
        <v>768</v>
      </c>
      <c r="E67" s="11">
        <f>IF(SUMPRODUCT((Inputs!$B$4:$B$200=$B67)*ISNUMBER(INDEX(Inputs!$D$4:$AG$200,0,MATCH(E$2,Inputs!$D$2:$AG$2,0))))=0,"",SUMIFS(INDEX(Inputs!$D$4:$AG$200,0,MATCH(E$2,Inputs!$D$2:$AG$2,0)),Inputs!$B$4:$B$200,$B67)/1000)</f>
        <v>996</v>
      </c>
      <c r="F67" s="11">
        <f>IF(SUMPRODUCT((Inputs!$B$4:$B$200=$B67)*ISNUMBER(INDEX(Inputs!$D$4:$AG$200,0,MATCH(F$2,Inputs!$D$2:$AG$2,0))))=0,"",SUMIFS(INDEX(Inputs!$D$4:$AG$200,0,MATCH(F$2,Inputs!$D$2:$AG$2,0)),Inputs!$B$4:$B$200,$B67)/1000)</f>
        <v>1126</v>
      </c>
      <c r="G67" s="11">
        <f>IF(SUMPRODUCT((Inputs!$B$4:$B$200=$B67)*ISNUMBER(INDEX(Inputs!$D$4:$AG$200,0,MATCH(G$2,Inputs!$D$2:$AG$2,0))))=0,"",SUMIFS(INDEX(Inputs!$D$4:$AG$200,0,MATCH(G$2,Inputs!$D$2:$AG$2,0)),Inputs!$B$4:$B$200,$B67)/1000)</f>
        <v>1459</v>
      </c>
      <c r="H67" s="12">
        <f>IF(COUNT(D67:G67)=4,SUM(D67:G67),"")</f>
        <v>4349</v>
      </c>
      <c r="I67" s="11">
        <f>IF(SUMPRODUCT((Inputs!$B$4:$B$200=$B67)*ISNUMBER(INDEX(Inputs!$D$4:$AG$200,0,MATCH(I$2,Inputs!$D$2:$AG$2,0))))=0,"",SUMIFS(INDEX(Inputs!$D$4:$AG$200,0,MATCH(I$2,Inputs!$D$2:$AG$2,0)),Inputs!$B$4:$B$200,$B67)/1000)</f>
        <v>1932</v>
      </c>
      <c r="J67" s="11">
        <f>IF(SUMPRODUCT((Inputs!$B$4:$B$200=$B67)*ISNUMBER(INDEX(Inputs!$D$4:$AG$200,0,MATCH(J$2,Inputs!$D$2:$AG$2,0))))=0,"",SUMIFS(INDEX(Inputs!$D$4:$AG$200,0,MATCH(J$2,Inputs!$D$2:$AG$2,0)),Inputs!$B$4:$B$200,$B67)/1000)</f>
        <v>1988</v>
      </c>
      <c r="K67" s="11">
        <f>IF(SUMPRODUCT((Inputs!$B$4:$B$200=$B67)*ISNUMBER(INDEX(Inputs!$D$4:$AG$200,0,MATCH(K$2,Inputs!$D$2:$AG$2,0))))=0,"",SUMIFS(INDEX(Inputs!$D$4:$AG$200,0,MATCH(K$2,Inputs!$D$2:$AG$2,0)),Inputs!$B$4:$B$200,$B67)/1000)</f>
        <v>2148</v>
      </c>
      <c r="L67" s="11">
        <f>IF(SUMPRODUCT((Inputs!$B$4:$B$200=$B67)*ISNUMBER(INDEX(Inputs!$D$4:$AG$200,0,MATCH(L$2,Inputs!$D$2:$AG$2,0))))=0,"",SUMIFS(INDEX(Inputs!$D$4:$AG$200,0,MATCH(L$2,Inputs!$D$2:$AG$2,0)),Inputs!$B$4:$B$200,$B67)/1000)</f>
        <v>2223</v>
      </c>
      <c r="M67" s="12">
        <f>IF(COUNT(I67:L67)=4,SUM(I67:L67),"")</f>
        <v>8291</v>
      </c>
      <c r="N67" s="11">
        <f>IF(SUMPRODUCT((Inputs!$B$4:$B$200=$B67)*ISNUMBER(INDEX(Inputs!$D$4:$AG$200,0,MATCH(N$2,Inputs!$D$2:$AG$2,0))))=0,"",SUMIFS(INDEX(Inputs!$D$4:$AG$200,0,MATCH(N$2,Inputs!$D$2:$AG$2,0)),Inputs!$B$4:$B$200,$B67)/1000)</f>
        <v>2385</v>
      </c>
      <c r="O67" s="11">
        <f>IF(SUMPRODUCT((Inputs!$B$4:$B$200=$B67)*ISNUMBER(INDEX(Inputs!$D$4:$AG$200,0,MATCH(O$2,Inputs!$D$2:$AG$2,0))))=0,"",SUMIFS(INDEX(Inputs!$D$4:$AG$200,0,MATCH(O$2,Inputs!$D$2:$AG$2,0)),Inputs!$B$4:$B$200,$B67)/1000)</f>
        <v>6043</v>
      </c>
      <c r="P67" s="11">
        <f>IF(SUMPRODUCT((Inputs!$B$4:$B$200=$B67)*ISNUMBER(INDEX(Inputs!$D$4:$AG$200,0,MATCH(P$2,Inputs!$D$2:$AG$2,0))))=0,"",SUMIFS(INDEX(Inputs!$D$4:$AG$200,0,MATCH(P$2,Inputs!$D$2:$AG$2,0)),Inputs!$B$4:$B$200,$B67)/1000)</f>
        <v>6302</v>
      </c>
      <c r="Q67" s="11">
        <f>IF(SUMPRODUCT((Inputs!$B$4:$B$200=$B67)*ISNUMBER(INDEX(Inputs!$D$4:$AG$200,0,MATCH(Q$2,Inputs!$D$2:$AG$2,0))))=0,"",SUMIFS(INDEX(Inputs!$D$4:$AG$200,0,MATCH(Q$2,Inputs!$D$2:$AG$2,0)),Inputs!$B$4:$B$200,$B67)/1000)</f>
        <v>12236</v>
      </c>
      <c r="R67" s="12">
        <f>IF(COUNT(N67:Q67)=4,SUM(N67:Q67),"")</f>
        <v>26966</v>
      </c>
      <c r="S67" s="11">
        <f>IF(SUMPRODUCT((Inputs!$B$4:$B$200=$B67)*ISNUMBER(INDEX(Inputs!$D$4:$AG$200,0,MATCH(S$2,Inputs!$D$2:$AG$2,0))))=0,"",SUMIFS(INDEX(Inputs!$D$4:$AG$200,0,MATCH(S$2,Inputs!$D$2:$AG$2,0)),Inputs!$B$4:$B$200,$B67)/1000)</f>
        <v>13496</v>
      </c>
      <c r="T67" s="11">
        <f>IF(SUMPRODUCT((Inputs!$B$4:$B$200=$B67)*ISNUMBER(INDEX(Inputs!$D$4:$AG$200,0,MATCH(T$2,Inputs!$D$2:$AG$2,0))))=0,"",SUMIFS(INDEX(Inputs!$D$4:$AG$200,0,MATCH(T$2,Inputs!$D$2:$AG$2,0)),Inputs!$B$4:$B$200,$B67)/1000)</f>
        <v>13022</v>
      </c>
      <c r="U67" s="11">
        <f>IF(SUMPRODUCT((Inputs!$B$4:$B$200=$B67)*ISNUMBER(INDEX(Inputs!$D$4:$AG$200,0,MATCH(U$2,Inputs!$D$2:$AG$2,0))))=0,"",SUMIFS(INDEX(Inputs!$D$4:$AG$200,0,MATCH(U$2,Inputs!$D$2:$AG$2,0)),Inputs!$B$4:$B$200,$B67)/1000)</f>
        <v>14800</v>
      </c>
      <c r="V67" s="11">
        <f>IF(SUMPRODUCT((Inputs!$B$4:$B$200=$B67)*ISNUMBER(INDEX(Inputs!$D$4:$AG$200,0,MATCH(V$2,Inputs!$D$2:$AG$2,0))))=0,"",SUMIFS(INDEX(Inputs!$D$4:$AG$200,0,MATCH(V$2,Inputs!$D$2:$AG$2,0)),Inputs!$B$4:$B$200,$B67)/1000)</f>
        <v>19939</v>
      </c>
      <c r="W67" s="12">
        <f>IF(COUNT(S67:V67)=4,SUM(S67:V67),"")</f>
        <v>61257</v>
      </c>
      <c r="X67" s="11">
        <f>IF(SUMPRODUCT((Inputs!$B$4:$B$200=$B67)*ISNUMBER(INDEX(Inputs!$D$4:$AG$200,0,MATCH(X$2,Inputs!$D$2:$AG$2,0))))=0,"",SUMIFS(INDEX(Inputs!$D$4:$AG$200,0,MATCH(X$2,Inputs!$D$2:$AG$2,0)),Inputs!$B$4:$B$200,$B67)/1000)</f>
        <v>20739</v>
      </c>
      <c r="Y67" s="11">
        <f>IF(SUMPRODUCT((Inputs!$B$4:$B$200=$B67)*ISNUMBER(INDEX(Inputs!$D$4:$AG$200,0,MATCH(Y$2,Inputs!$D$2:$AG$2,0))))=0,"",SUMIFS(INDEX(Inputs!$D$4:$AG$200,0,MATCH(Y$2,Inputs!$D$2:$AG$2,0)),Inputs!$B$4:$B$200,$B67)/1000)</f>
        <v>23470</v>
      </c>
      <c r="Z67" s="11">
        <f>IF(SUMPRODUCT((Inputs!$B$4:$B$200=$B67)*ISNUMBER(INDEX(Inputs!$D$4:$AG$200,0,MATCH(Z$2,Inputs!$D$2:$AG$2,0))))=0,"",SUMIFS(INDEX(Inputs!$D$4:$AG$200,0,MATCH(Z$2,Inputs!$D$2:$AG$2,0)),Inputs!$B$4:$B$200,$B67)/1000)</f>
        <v>39177</v>
      </c>
      <c r="AA67" s="11">
        <f>IF(SUMPRODUCT((Inputs!$B$4:$B$200=$B67)*ISNUMBER(INDEX(Inputs!$D$4:$AG$200,0,MATCH(AA$2,Inputs!$D$2:$AG$2,0))))=0,"",SUMIFS(INDEX(Inputs!$D$4:$AG$200,0,MATCH(AA$2,Inputs!$D$2:$AG$2,0)),Inputs!$B$4:$B$200,$B67)/1000)</f>
        <v>51858</v>
      </c>
      <c r="AB67" s="12">
        <f>IF(COUNT(X67:AA67)=4,SUM(X67:AA67),"")</f>
        <v>135244</v>
      </c>
      <c r="AC67" s="11">
        <f>IF(SUMPRODUCT((Inputs!$B$4:$B$200=$B67)*ISNUMBER(INDEX(Inputs!$D$4:$AG$200,0,MATCH(AC$2,Inputs!$D$2:$AG$2,0))))=0,"",SUMIFS(INDEX(Inputs!$D$4:$AG$200,0,MATCH(AC$2,Inputs!$D$2:$AG$2,0)),Inputs!$B$4:$B$200,$B67)/1000)</f>
        <v>63769</v>
      </c>
      <c r="AD67" s="11">
        <f>IF(SUMPRODUCT((Inputs!$B$4:$B$200=$B67)*ISNUMBER(INDEX(Inputs!$D$4:$AG$200,0,MATCH(AD$2,Inputs!$D$2:$AG$2,0))))=0,"",SUMIFS(INDEX(Inputs!$D$4:$AG$200,0,MATCH(AD$2,Inputs!$D$2:$AG$2,0)),Inputs!$B$4:$B$200,$B67)/1000)</f>
        <v>60074</v>
      </c>
      <c r="AE67" s="11" t="str">
        <f>IF(SUMPRODUCT((Inputs!$B$4:$B$200=$B67)*ISNUMBER(INDEX(Inputs!$D$4:$AG$200,0,MATCH(AE$2,Inputs!$D$2:$AG$2,0))))=0,"",SUMIFS(INDEX(Inputs!$D$4:$AG$200,0,MATCH(AE$2,Inputs!$D$2:$AG$2,0)),Inputs!$B$4:$B$200,$B67)/1000)</f>
        <v/>
      </c>
      <c r="AF67" s="11" t="str">
        <f>IF(SUMPRODUCT((Inputs!$B$4:$B$200=$B67)*ISNUMBER(INDEX(Inputs!$D$4:$AG$200,0,MATCH(AF$2,Inputs!$D$2:$AG$2,0))))=0,"",SUMIFS(INDEX(Inputs!$D$4:$AG$200,0,MATCH(AF$2,Inputs!$D$2:$AG$2,0)),Inputs!$B$4:$B$200,$B67)/1000)</f>
        <v/>
      </c>
      <c r="AG67" s="12" t="str">
        <f>IF(COUNT(AC67:AF67)=4,SUM(AC67:AF67),"")</f>
        <v/>
      </c>
    </row>
    <row r="68">
      <c r="B68" s="9" t="n">
        <v>60</v>
      </c>
      <c r="C68" s="10" t="inlineStr">
        <is>
          <t>Receita por local de faturamento - Taiwan (USD)</t>
        </is>
      </c>
      <c r="D68" s="11">
        <f>IF(SUMPRODUCT((Inputs!$B$4:$B$200=$B68)*ISNUMBER(INDEX(Inputs!$D$4:$AG$200,0,MATCH(D$2,Inputs!$D$2:$AG$2,0))))=0,"",SUMIFS(INDEX(Inputs!$D$4:$AG$200,0,MATCH(D$2,Inputs!$D$2:$AG$2,0)),Inputs!$B$4:$B$200,$B68)/1000)</f>
        <v>1784</v>
      </c>
      <c r="E68" s="11">
        <f>IF(SUMPRODUCT((Inputs!$B$4:$B$200=$B68)*ISNUMBER(INDEX(Inputs!$D$4:$AG$200,0,MATCH(E$2,Inputs!$D$2:$AG$2,0))))=0,"",SUMIFS(INDEX(Inputs!$D$4:$AG$200,0,MATCH(E$2,Inputs!$D$2:$AG$2,0)),Inputs!$B$4:$B$200,$B68)/1000)</f>
        <v>1961</v>
      </c>
      <c r="F68" s="11">
        <f>IF(SUMPRODUCT((Inputs!$B$4:$B$200=$B68)*ISNUMBER(INDEX(Inputs!$D$4:$AG$200,0,MATCH(F$2,Inputs!$D$2:$AG$2,0))))=0,"",SUMIFS(INDEX(Inputs!$D$4:$AG$200,0,MATCH(F$2,Inputs!$D$2:$AG$2,0)),Inputs!$B$4:$B$200,$B68)/1000)</f>
        <v>2187</v>
      </c>
      <c r="G68" s="11">
        <f>IF(SUMPRODUCT((Inputs!$B$4:$B$200=$B68)*ISNUMBER(INDEX(Inputs!$D$4:$AG$200,0,MATCH(G$2,Inputs!$D$2:$AG$2,0))))=0,"",SUMIFS(INDEX(Inputs!$D$4:$AG$200,0,MATCH(G$2,Inputs!$D$2:$AG$2,0)),Inputs!$B$4:$B$200,$B68)/1000)</f>
        <v>2612</v>
      </c>
      <c r="H68" s="12">
        <f>IF(COUNT(D68:G68)=4,SUM(D68:G68),"")</f>
        <v>8544</v>
      </c>
      <c r="I68" s="11">
        <f>IF(SUMPRODUCT((Inputs!$B$4:$B$200=$B68)*ISNUMBER(INDEX(Inputs!$D$4:$AG$200,0,MATCH(I$2,Inputs!$D$2:$AG$2,0))))=0,"",SUMIFS(INDEX(Inputs!$D$4:$AG$200,0,MATCH(I$2,Inputs!$D$2:$AG$2,0)),Inputs!$B$4:$B$200,$B68)/1000)</f>
        <v>2777</v>
      </c>
      <c r="J68" s="11">
        <f>IF(SUMPRODUCT((Inputs!$B$4:$B$200=$B68)*ISNUMBER(INDEX(Inputs!$D$4:$AG$200,0,MATCH(J$2,Inputs!$D$2:$AG$2,0))))=0,"",SUMIFS(INDEX(Inputs!$D$4:$AG$200,0,MATCH(J$2,Inputs!$D$2:$AG$2,0)),Inputs!$B$4:$B$200,$B68)/1000)</f>
        <v>1204</v>
      </c>
      <c r="K68" s="11">
        <f>IF(SUMPRODUCT((Inputs!$B$4:$B$200=$B68)*ISNUMBER(INDEX(Inputs!$D$4:$AG$200,0,MATCH(K$2,Inputs!$D$2:$AG$2,0))))=0,"",SUMIFS(INDEX(Inputs!$D$4:$AG$200,0,MATCH(K$2,Inputs!$D$2:$AG$2,0)),Inputs!$B$4:$B$200,$B68)/1000)</f>
        <v>1153</v>
      </c>
      <c r="L68" s="11">
        <f>IF(SUMPRODUCT((Inputs!$B$4:$B$200=$B68)*ISNUMBER(INDEX(Inputs!$D$4:$AG$200,0,MATCH(L$2,Inputs!$D$2:$AG$2,0))))=0,"",SUMIFS(INDEX(Inputs!$D$4:$AG$200,0,MATCH(L$2,Inputs!$D$2:$AG$2,0)),Inputs!$B$4:$B$200,$B68)/1000)</f>
        <v>1852</v>
      </c>
      <c r="M68" s="12">
        <f>IF(COUNT(I68:L68)=4,SUM(I68:L68),"")</f>
        <v>6986</v>
      </c>
      <c r="N68" s="11">
        <f>IF(SUMPRODUCT((Inputs!$B$4:$B$200=$B68)*ISNUMBER(INDEX(Inputs!$D$4:$AG$200,0,MATCH(N$2,Inputs!$D$2:$AG$2,0))))=0,"",SUMIFS(INDEX(Inputs!$D$4:$AG$200,0,MATCH(N$2,Inputs!$D$2:$AG$2,0)),Inputs!$B$4:$B$200,$B68)/1000)</f>
        <v>1796</v>
      </c>
      <c r="O68" s="11">
        <f>IF(SUMPRODUCT((Inputs!$B$4:$B$200=$B68)*ISNUMBER(INDEX(Inputs!$D$4:$AG$200,0,MATCH(O$2,Inputs!$D$2:$AG$2,0))))=0,"",SUMIFS(INDEX(Inputs!$D$4:$AG$200,0,MATCH(O$2,Inputs!$D$2:$AG$2,0)),Inputs!$B$4:$B$200,$B68)/1000)</f>
        <v>2839</v>
      </c>
      <c r="P68" s="11">
        <f>IF(SUMPRODUCT((Inputs!$B$4:$B$200=$B68)*ISNUMBER(INDEX(Inputs!$D$4:$AG$200,0,MATCH(P$2,Inputs!$D$2:$AG$2,0))))=0,"",SUMIFS(INDEX(Inputs!$D$4:$AG$200,0,MATCH(P$2,Inputs!$D$2:$AG$2,0)),Inputs!$B$4:$B$200,$B68)/1000)</f>
        <v>4333</v>
      </c>
      <c r="Q68" s="11">
        <f>IF(SUMPRODUCT((Inputs!$B$4:$B$200=$B68)*ISNUMBER(INDEX(Inputs!$D$4:$AG$200,0,MATCH(Q$2,Inputs!$D$2:$AG$2,0))))=0,"",SUMIFS(INDEX(Inputs!$D$4:$AG$200,0,MATCH(Q$2,Inputs!$D$2:$AG$2,0)),Inputs!$B$4:$B$200,$B68)/1000)</f>
        <v>4437</v>
      </c>
      <c r="R68" s="12">
        <f>IF(COUNT(N68:Q68)=4,SUM(N68:Q68),"")</f>
        <v>13405</v>
      </c>
      <c r="S68" s="11">
        <f>IF(SUMPRODUCT((Inputs!$B$4:$B$200=$B68)*ISNUMBER(INDEX(Inputs!$D$4:$AG$200,0,MATCH(S$2,Inputs!$D$2:$AG$2,0))))=0,"",SUMIFS(INDEX(Inputs!$D$4:$AG$200,0,MATCH(S$2,Inputs!$D$2:$AG$2,0)),Inputs!$B$4:$B$200,$B68)/1000)</f>
        <v>4373</v>
      </c>
      <c r="T68" s="11">
        <f>IF(SUMPRODUCT((Inputs!$B$4:$B$200=$B68)*ISNUMBER(INDEX(Inputs!$D$4:$AG$200,0,MATCH(T$2,Inputs!$D$2:$AG$2,0))))=0,"",SUMIFS(INDEX(Inputs!$D$4:$AG$200,0,MATCH(T$2,Inputs!$D$2:$AG$2,0)),Inputs!$B$4:$B$200,$B68)/1000)</f>
        <v>5740</v>
      </c>
      <c r="U68" s="11">
        <f>IF(SUMPRODUCT((Inputs!$B$4:$B$200=$B68)*ISNUMBER(INDEX(Inputs!$D$4:$AG$200,0,MATCH(U$2,Inputs!$D$2:$AG$2,0))))=0,"",SUMIFS(INDEX(Inputs!$D$4:$AG$200,0,MATCH(U$2,Inputs!$D$2:$AG$2,0)),Inputs!$B$4:$B$200,$B68)/1000)</f>
        <v>5153</v>
      </c>
      <c r="V68" s="11">
        <f>IF(SUMPRODUCT((Inputs!$B$4:$B$200=$B68)*ISNUMBER(INDEX(Inputs!$D$4:$AG$200,0,MATCH(V$2,Inputs!$D$2:$AG$2,0))))=0,"",SUMIFS(INDEX(Inputs!$D$4:$AG$200,0,MATCH(V$2,Inputs!$D$2:$AG$2,0)),Inputs!$B$4:$B$200,$B68)/1000)</f>
        <v>5307</v>
      </c>
      <c r="W68" s="12">
        <f>IF(COUNT(S68:V68)=4,SUM(S68:V68),"")</f>
        <v>20573</v>
      </c>
      <c r="X68" s="11">
        <f>IF(SUMPRODUCT((Inputs!$B$4:$B$200=$B68)*ISNUMBER(INDEX(Inputs!$D$4:$AG$200,0,MATCH(X$2,Inputs!$D$2:$AG$2,0))))=0,"",SUMIFS(INDEX(Inputs!$D$4:$AG$200,0,MATCH(X$2,Inputs!$D$2:$AG$2,0)),Inputs!$B$4:$B$200,$B68)/1000)</f>
        <v>7158</v>
      </c>
      <c r="Y68" s="11">
        <f>IF(SUMPRODUCT((Inputs!$B$4:$B$200=$B68)*ISNUMBER(INDEX(Inputs!$D$4:$AG$200,0,MATCH(Y$2,Inputs!$D$2:$AG$2,0))))=0,"",SUMIFS(INDEX(Inputs!$D$4:$AG$200,0,MATCH(Y$2,Inputs!$D$2:$AG$2,0)),Inputs!$B$4:$B$200,$B68)/1000)</f>
        <v>8529</v>
      </c>
      <c r="Z68" s="11">
        <f>IF(SUMPRODUCT((Inputs!$B$4:$B$200=$B68)*ISNUMBER(INDEX(Inputs!$D$4:$AG$200,0,MATCH(Z$2,Inputs!$D$2:$AG$2,0))))=0,"",SUMIFS(INDEX(Inputs!$D$4:$AG$200,0,MATCH(Z$2,Inputs!$D$2:$AG$2,0)),Inputs!$B$4:$B$200,$B68)/1000)</f>
        <v>13751</v>
      </c>
      <c r="AA68" s="11">
        <f>IF(SUMPRODUCT((Inputs!$B$4:$B$200=$B68)*ISNUMBER(INDEX(Inputs!$D$4:$AG$200,0,MATCH(AA$2,Inputs!$D$2:$AG$2,0))))=0,"",SUMIFS(INDEX(Inputs!$D$4:$AG$200,0,MATCH(AA$2,Inputs!$D$2:$AG$2,0)),Inputs!$B$4:$B$200,$B68)/1000)</f>
        <v>12044</v>
      </c>
      <c r="AB68" s="12">
        <f>IF(COUNT(X68:AA68)=4,SUM(X68:AA68),"")</f>
        <v>41482</v>
      </c>
      <c r="AC68" s="11">
        <f>IF(SUMPRODUCT((Inputs!$B$4:$B$200=$B68)*ISNUMBER(INDEX(Inputs!$D$4:$AG$200,0,MATCH(AC$2,Inputs!$D$2:$AG$2,0))))=0,"",SUMIFS(INDEX(Inputs!$D$4:$AG$200,0,MATCH(AC$2,Inputs!$D$2:$AG$2,0)),Inputs!$B$4:$B$200,$B68)/1000)</f>
        <v>12006</v>
      </c>
      <c r="AD68" s="11">
        <f>IF(SUMPRODUCT((Inputs!$B$4:$B$200=$B68)*ISNUMBER(INDEX(Inputs!$D$4:$AG$200,0,MATCH(AD$2,Inputs!$D$2:$AG$2,0))))=0,"",SUMIFS(INDEX(Inputs!$D$4:$AG$200,0,MATCH(AD$2,Inputs!$D$2:$AG$2,0)),Inputs!$B$4:$B$200,$B68)/1000)</f>
        <v>26985</v>
      </c>
      <c r="AE68" s="11" t="str">
        <f>IF(SUMPRODUCT((Inputs!$B$4:$B$200=$B68)*ISNUMBER(INDEX(Inputs!$D$4:$AG$200,0,MATCH(AE$2,Inputs!$D$2:$AG$2,0))))=0,"",SUMIFS(INDEX(Inputs!$D$4:$AG$200,0,MATCH(AE$2,Inputs!$D$2:$AG$2,0)),Inputs!$B$4:$B$200,$B68)/1000)</f>
        <v/>
      </c>
      <c r="AF68" s="11" t="str">
        <f>IF(SUMPRODUCT((Inputs!$B$4:$B$200=$B68)*ISNUMBER(INDEX(Inputs!$D$4:$AG$200,0,MATCH(AF$2,Inputs!$D$2:$AG$2,0))))=0,"",SUMIFS(INDEX(Inputs!$D$4:$AG$200,0,MATCH(AF$2,Inputs!$D$2:$AG$2,0)),Inputs!$B$4:$B$200,$B68)/1000)</f>
        <v/>
      </c>
      <c r="AG68" s="12" t="str">
        <f>IF(COUNT(AC68:AF68)=4,SUM(AC68:AF68),"")</f>
        <v/>
      </c>
    </row>
    <row r="69">
      <c r="B69" s="9" t="n">
        <v>61</v>
      </c>
      <c r="C69" s="10" t="inlineStr">
        <is>
          <t>Receita por local de faturamento - China, inclui Hong Kong (USD)</t>
        </is>
      </c>
      <c r="D69" s="11">
        <f>IF(SUMPRODUCT((Inputs!$B$4:$B$200=$B69)*ISNUMBER(INDEX(Inputs!$D$4:$AG$200,0,MATCH(D$2,Inputs!$D$2:$AG$2,0))))=0,"",SUMIFS(INDEX(Inputs!$D$4:$AG$200,0,MATCH(D$2,Inputs!$D$2:$AG$2,0)),Inputs!$B$4:$B$200,$B69)/1000)</f>
        <v>1391</v>
      </c>
      <c r="E69" s="11">
        <f>IF(SUMPRODUCT((Inputs!$B$4:$B$200=$B69)*ISNUMBER(INDEX(Inputs!$D$4:$AG$200,0,MATCH(E$2,Inputs!$D$2:$AG$2,0))))=0,"",SUMIFS(INDEX(Inputs!$D$4:$AG$200,0,MATCH(E$2,Inputs!$D$2:$AG$2,0)),Inputs!$B$4:$B$200,$B69)/1000)</f>
        <v>1720</v>
      </c>
      <c r="F69" s="11">
        <f>IF(SUMPRODUCT((Inputs!$B$4:$B$200=$B69)*ISNUMBER(INDEX(Inputs!$D$4:$AG$200,0,MATCH(F$2,Inputs!$D$2:$AG$2,0))))=0,"",SUMIFS(INDEX(Inputs!$D$4:$AG$200,0,MATCH(F$2,Inputs!$D$2:$AG$2,0)),Inputs!$B$4:$B$200,$B69)/1000)</f>
        <v>2017</v>
      </c>
      <c r="G69" s="11">
        <f>IF(SUMPRODUCT((Inputs!$B$4:$B$200=$B69)*ISNUMBER(INDEX(Inputs!$D$4:$AG$200,0,MATCH(G$2,Inputs!$D$2:$AG$2,0))))=0,"",SUMIFS(INDEX(Inputs!$D$4:$AG$200,0,MATCH(G$2,Inputs!$D$2:$AG$2,0)),Inputs!$B$4:$B$200,$B69)/1000)</f>
        <v>1983</v>
      </c>
      <c r="H69" s="12">
        <f>IF(COUNT(D69:G69)=4,SUM(D69:G69),"")</f>
        <v>7111</v>
      </c>
      <c r="I69" s="11">
        <f>IF(SUMPRODUCT((Inputs!$B$4:$B$200=$B69)*ISNUMBER(INDEX(Inputs!$D$4:$AG$200,0,MATCH(I$2,Inputs!$D$2:$AG$2,0))))=0,"",SUMIFS(INDEX(Inputs!$D$4:$AG$200,0,MATCH(I$2,Inputs!$D$2:$AG$2,0)),Inputs!$B$4:$B$200,$B69)/1000)</f>
        <v>2081</v>
      </c>
      <c r="J69" s="11">
        <f>IF(SUMPRODUCT((Inputs!$B$4:$B$200=$B69)*ISNUMBER(INDEX(Inputs!$D$4:$AG$200,0,MATCH(J$2,Inputs!$D$2:$AG$2,0))))=0,"",SUMIFS(INDEX(Inputs!$D$4:$AG$200,0,MATCH(J$2,Inputs!$D$2:$AG$2,0)),Inputs!$B$4:$B$200,$B69)/1000)</f>
        <v>1602</v>
      </c>
      <c r="K69" s="11">
        <f>IF(SUMPRODUCT((Inputs!$B$4:$B$200=$B69)*ISNUMBER(INDEX(Inputs!$D$4:$AG$200,0,MATCH(K$2,Inputs!$D$2:$AG$2,0))))=0,"",SUMIFS(INDEX(Inputs!$D$4:$AG$200,0,MATCH(K$2,Inputs!$D$2:$AG$2,0)),Inputs!$B$4:$B$200,$B69)/1000)</f>
        <v>1148</v>
      </c>
      <c r="L69" s="11">
        <f>IF(SUMPRODUCT((Inputs!$B$4:$B$200=$B69)*ISNUMBER(INDEX(Inputs!$D$4:$AG$200,0,MATCH(L$2,Inputs!$D$2:$AG$2,0))))=0,"",SUMIFS(INDEX(Inputs!$D$4:$AG$200,0,MATCH(L$2,Inputs!$D$2:$AG$2,0)),Inputs!$B$4:$B$200,$B69)/1000)</f>
        <v>954</v>
      </c>
      <c r="M69" s="12">
        <f>IF(COUNT(I69:L69)=4,SUM(I69:L69),"")</f>
        <v>5785</v>
      </c>
      <c r="N69" s="11">
        <f>IF(SUMPRODUCT((Inputs!$B$4:$B$200=$B69)*ISNUMBER(INDEX(Inputs!$D$4:$AG$200,0,MATCH(N$2,Inputs!$D$2:$AG$2,0))))=0,"",SUMIFS(INDEX(Inputs!$D$4:$AG$200,0,MATCH(N$2,Inputs!$D$2:$AG$2,0)),Inputs!$B$4:$B$200,$B69)/1000)</f>
        <v>1590</v>
      </c>
      <c r="O69" s="11">
        <f>IF(SUMPRODUCT((Inputs!$B$4:$B$200=$B69)*ISNUMBER(INDEX(Inputs!$D$4:$AG$200,0,MATCH(O$2,Inputs!$D$2:$AG$2,0))))=0,"",SUMIFS(INDEX(Inputs!$D$4:$AG$200,0,MATCH(O$2,Inputs!$D$2:$AG$2,0)),Inputs!$B$4:$B$200,$B69)/1000)</f>
        <v>2740</v>
      </c>
      <c r="P69" s="11">
        <f>IF(SUMPRODUCT((Inputs!$B$4:$B$200=$B69)*ISNUMBER(INDEX(Inputs!$D$4:$AG$200,0,MATCH(P$2,Inputs!$D$2:$AG$2,0))))=0,"",SUMIFS(INDEX(Inputs!$D$4:$AG$200,0,MATCH(P$2,Inputs!$D$2:$AG$2,0)),Inputs!$B$4:$B$200,$B69)/1000)</f>
        <v>4030</v>
      </c>
      <c r="Q69" s="11">
        <f>IF(SUMPRODUCT((Inputs!$B$4:$B$200=$B69)*ISNUMBER(INDEX(Inputs!$D$4:$AG$200,0,MATCH(Q$2,Inputs!$D$2:$AG$2,0))))=0,"",SUMIFS(INDEX(Inputs!$D$4:$AG$200,0,MATCH(Q$2,Inputs!$D$2:$AG$2,0)),Inputs!$B$4:$B$200,$B69)/1000)</f>
        <v>1946</v>
      </c>
      <c r="R69" s="12">
        <f>IF(COUNT(N69:Q69)=4,SUM(N69:Q69),"")</f>
        <v>10306</v>
      </c>
      <c r="S69" s="11">
        <f>IF(SUMPRODUCT((Inputs!$B$4:$B$200=$B69)*ISNUMBER(INDEX(Inputs!$D$4:$AG$200,0,MATCH(S$2,Inputs!$D$2:$AG$2,0))))=0,"",SUMIFS(INDEX(Inputs!$D$4:$AG$200,0,MATCH(S$2,Inputs!$D$2:$AG$2,0)),Inputs!$B$4:$B$200,$B69)/1000)</f>
        <v>2491</v>
      </c>
      <c r="T69" s="11">
        <f>IF(SUMPRODUCT((Inputs!$B$4:$B$200=$B69)*ISNUMBER(INDEX(Inputs!$D$4:$AG$200,0,MATCH(T$2,Inputs!$D$2:$AG$2,0))))=0,"",SUMIFS(INDEX(Inputs!$D$4:$AG$200,0,MATCH(T$2,Inputs!$D$2:$AG$2,0)),Inputs!$B$4:$B$200,$B69)/1000)</f>
        <v>3667</v>
      </c>
      <c r="U69" s="11">
        <f>IF(SUMPRODUCT((Inputs!$B$4:$B$200=$B69)*ISNUMBER(INDEX(Inputs!$D$4:$AG$200,0,MATCH(U$2,Inputs!$D$2:$AG$2,0))))=0,"",SUMIFS(INDEX(Inputs!$D$4:$AG$200,0,MATCH(U$2,Inputs!$D$2:$AG$2,0)),Inputs!$B$4:$B$200,$B69)/1000)</f>
        <v>5416</v>
      </c>
      <c r="V69" s="11">
        <f>IF(SUMPRODUCT((Inputs!$B$4:$B$200=$B69)*ISNUMBER(INDEX(Inputs!$D$4:$AG$200,0,MATCH(V$2,Inputs!$D$2:$AG$2,0))))=0,"",SUMIFS(INDEX(Inputs!$D$4:$AG$200,0,MATCH(V$2,Inputs!$D$2:$AG$2,0)),Inputs!$B$4:$B$200,$B69)/1000)</f>
        <v>5534</v>
      </c>
      <c r="W69" s="12">
        <f>IF(COUNT(S69:V69)=4,SUM(S69:V69),"")</f>
        <v>17108</v>
      </c>
      <c r="X69" s="11">
        <f>IF(SUMPRODUCT((Inputs!$B$4:$B$200=$B69)*ISNUMBER(INDEX(Inputs!$D$4:$AG$200,0,MATCH(X$2,Inputs!$D$2:$AG$2,0))))=0,"",SUMIFS(INDEX(Inputs!$D$4:$AG$200,0,MATCH(X$2,Inputs!$D$2:$AG$2,0)),Inputs!$B$4:$B$200,$B69)/1000)</f>
        <v>5522</v>
      </c>
      <c r="Y69" s="11">
        <f>IF(SUMPRODUCT((Inputs!$B$4:$B$200=$B69)*ISNUMBER(INDEX(Inputs!$D$4:$AG$200,0,MATCH(Y$2,Inputs!$D$2:$AG$2,0))))=0,"",SUMIFS(INDEX(Inputs!$D$4:$AG$200,0,MATCH(Y$2,Inputs!$D$2:$AG$2,0)),Inputs!$B$4:$B$200,$B69)/1000)</f>
        <v>2769</v>
      </c>
      <c r="Z69" s="11">
        <f>IF(SUMPRODUCT((Inputs!$B$4:$B$200=$B69)*ISNUMBER(INDEX(Inputs!$D$4:$AG$200,0,MATCH(Z$2,Inputs!$D$2:$AG$2,0))))=0,"",SUMIFS(INDEX(Inputs!$D$4:$AG$200,0,MATCH(Z$2,Inputs!$D$2:$AG$2,0)),Inputs!$B$4:$B$200,$B69)/1000)</f>
        <v>2973</v>
      </c>
      <c r="AA69" s="11">
        <f>IF(SUMPRODUCT((Inputs!$B$4:$B$200=$B69)*ISNUMBER(INDEX(Inputs!$D$4:$AG$200,0,MATCH(AA$2,Inputs!$D$2:$AG$2,0))))=0,"",SUMIFS(INDEX(Inputs!$D$4:$AG$200,0,MATCH(AA$2,Inputs!$D$2:$AG$2,0)),Inputs!$B$4:$B$200,$B69)/1000)</f>
        <v>3060</v>
      </c>
      <c r="AB69" s="12">
        <f>IF(COUNT(X69:AA69)=4,SUM(X69:AA69),"")</f>
        <v>14324</v>
      </c>
      <c r="AC69" s="11">
        <f>IF(SUMPRODUCT((Inputs!$B$4:$B$200=$B69)*ISNUMBER(INDEX(Inputs!$D$4:$AG$200,0,MATCH(AC$2,Inputs!$D$2:$AG$2,0))))=0,"",SUMIFS(INDEX(Inputs!$D$4:$AG$200,0,MATCH(AC$2,Inputs!$D$2:$AG$2,0)),Inputs!$B$4:$B$200,$B69)/1000)</f>
        <v>4550</v>
      </c>
      <c r="AD69" s="11">
        <f>IF(SUMPRODUCT((Inputs!$B$4:$B$200=$B69)*ISNUMBER(INDEX(Inputs!$D$4:$AG$200,0,MATCH(AD$2,Inputs!$D$2:$AG$2,0))))=0,"",SUMIFS(INDEX(Inputs!$D$4:$AG$200,0,MATCH(AD$2,Inputs!$D$2:$AG$2,0)),Inputs!$B$4:$B$200,$B69)/1000)</f>
        <v>7880</v>
      </c>
      <c r="AE69" s="11" t="str">
        <f>IF(SUMPRODUCT((Inputs!$B$4:$B$200=$B69)*ISNUMBER(INDEX(Inputs!$D$4:$AG$200,0,MATCH(AE$2,Inputs!$D$2:$AG$2,0))))=0,"",SUMIFS(INDEX(Inputs!$D$4:$AG$200,0,MATCH(AE$2,Inputs!$D$2:$AG$2,0)),Inputs!$B$4:$B$200,$B69)/1000)</f>
        <v/>
      </c>
      <c r="AF69" s="11" t="str">
        <f>IF(SUMPRODUCT((Inputs!$B$4:$B$200=$B69)*ISNUMBER(INDEX(Inputs!$D$4:$AG$200,0,MATCH(AF$2,Inputs!$D$2:$AG$2,0))))=0,"",SUMIFS(INDEX(Inputs!$D$4:$AG$200,0,MATCH(AF$2,Inputs!$D$2:$AG$2,0)),Inputs!$B$4:$B$200,$B69)/1000)</f>
        <v/>
      </c>
      <c r="AG69" s="12" t="str">
        <f>IF(COUNT(AC69:AF69)=4,SUM(AC69:AF69),"")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1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59686.9691935346</v>
      </c>
      <c r="AK1" s="12">
        <f>IF(AK2="","",SUM(AK2,AK3))</f>
        <v>71330.9853392263</v>
      </c>
      <c r="AL1" s="12">
        <f>IF(AL2="","",SUM(AL2,AL3))</f>
        <v>249026.954532761</v>
      </c>
      <c r="AM1" s="12">
        <f>IF(AM2="","",SUM(AM2,AM3))</f>
        <v>85453.3205404752</v>
      </c>
      <c r="AN1" s="12">
        <f>IF(AN2="","",SUM(AN2,AN3))</f>
        <v>100746.234830914</v>
      </c>
      <c r="AO1" s="12">
        <f>IF(AO2="","",SUM(AO2,AO3))</f>
        <v>104608.608539616</v>
      </c>
      <c r="AP1" s="12">
        <f>IF(AP2="","",SUM(AP2,AP3))</f>
        <v>125016.15047501</v>
      </c>
      <c r="AQ1" s="12">
        <f>IF(AQ2="","",SUM(AQ2,AQ3))</f>
        <v>415824.314386015</v>
      </c>
      <c r="AR1" s="12">
        <f>IF(AR2="","",SUM(AR2,AR3))</f>
        <v>149339.97870412</v>
      </c>
      <c r="AS1" s="12">
        <f>IF(AS2="","",SUM(AS2,AS3))</f>
        <v>176066.189926964</v>
      </c>
      <c r="AT1" s="12">
        <f>IF(AT2="","",SUM(AT2,AT3))</f>
        <v>182816.153576787</v>
      </c>
      <c r="AU1" s="12">
        <f>IF(AU2="","",SUM(AU2,AU3))</f>
        <v>218480.793157312</v>
      </c>
      <c r="AV1" s="12">
        <f>IF(AV2="","",SUM(AV2,AV3))</f>
        <v>726703.115365184</v>
      </c>
      <c r="AW1" s="12">
        <f>IF(AW2="","",SUM(AW2,AW3))</f>
        <v>260242.915235403</v>
      </c>
      <c r="AX1" s="12">
        <f>IF(AX2="","",SUM(AX2,AX3))</f>
        <v>306816.560030211</v>
      </c>
      <c r="AY1" s="12">
        <f>IF(AY2="","",SUM(AY2,AY3))</f>
        <v>318579.185371435</v>
      </c>
      <c r="AZ1" s="12">
        <f>IF(AZ2="","",SUM(AZ2,AZ3))</f>
        <v>380729.119071672</v>
      </c>
      <c r="BA1" s="12">
        <f>IF(BA2="","",SUM(BA2,BA3))</f>
        <v>1266367.77970872</v>
      </c>
      <c r="BB1" s="12">
        <f>IF(BB2="","",SUM(BB2,BB3))</f>
        <v>452203.436475126</v>
      </c>
      <c r="BC1" s="12">
        <f>IF(BC2="","",SUM(BC2,BC3))</f>
        <v>533130.758574687</v>
      </c>
      <c r="BD1" s="12">
        <f>IF(BD2="","",SUM(BD2,BD3))</f>
        <v>553569.738043001</v>
      </c>
      <c r="BE1" s="12">
        <f>IF(BE2="","",SUM(BE2,BE3))</f>
        <v>661562.739775734</v>
      </c>
      <c r="BF1" s="12">
        <f>IF(BF2="","",SUM(BF2,BF3))</f>
        <v>2200466.67286855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IF(COUNT(I196,I272)&lt;2,"",ABS(I196-I272))</f>
        <v>0</v>
      </c>
      <c r="J2" s="12">
        <f>IF(COUNT(J196,J272)&lt;2,"",ABS(J196-J272))</f>
        <v>0</v>
      </c>
      <c r="K2" s="12">
        <f>IF(COUNT(K196,K272)&lt;2,"",ABS(K196-K272))</f>
        <v>0</v>
      </c>
      <c r="L2" s="12">
        <f>IF(COUNT(L196,L272)&lt;2,"",ABS(L196-L272))</f>
        <v>0</v>
      </c>
      <c r="M2" s="12">
        <f>IF(COUNT(M196,M272)&lt;2,"",ABS(M196-M272))</f>
        <v>0</v>
      </c>
      <c r="N2" s="12">
        <f>IF(COUNT(N196,N272)&lt;2,"",ABS(N196-N272))</f>
        <v>0</v>
      </c>
      <c r="O2" s="12">
        <f>IF(COUNT(O196,O272)&lt;2,"",ABS(O196-O272))</f>
        <v>0</v>
      </c>
      <c r="P2" s="12">
        <f>IF(COUNT(P196,P272)&lt;2,"",ABS(P196-P272))</f>
        <v>0</v>
      </c>
      <c r="Q2" s="12">
        <f>IF(COUNT(Q196,Q272)&lt;2,"",ABS(Q196-Q272))</f>
        <v>0</v>
      </c>
      <c r="R2" s="12">
        <f>IF(COUNT(R196,R272)&lt;2,"",ABS(R196-R272))</f>
        <v>0</v>
      </c>
      <c r="S2" s="12">
        <f>IF(COUNT(S196,S272)&lt;2,"",ABS(S196-S272))</f>
        <v>0</v>
      </c>
      <c r="T2" s="12">
        <f>IF(COUNT(T196,T272)&lt;2,"",ABS(T196-T272))</f>
        <v>0</v>
      </c>
      <c r="U2" s="12">
        <f>IF(COUNT(U196,U272)&lt;2,"",ABS(U196-U272))</f>
        <v>0</v>
      </c>
      <c r="V2" s="12">
        <f>IF(COUNT(V196,V272)&lt;2,"",ABS(V196-V272))</f>
        <v>0</v>
      </c>
      <c r="W2" s="12">
        <f>IF(COUNT(W196,W272)&lt;2,"",ABS(W196-W272))</f>
        <v>0</v>
      </c>
      <c r="X2" s="12">
        <f>IF(COUNT(X196,X272)&lt;2,"",ABS(X196-X272))</f>
        <v>0</v>
      </c>
      <c r="Y2" s="12">
        <f>IF(COUNT(Y196,Y272)&lt;2,"",ABS(Y196-Y272))</f>
        <v>0</v>
      </c>
      <c r="Z2" s="12">
        <f>IF(COUNT(Z196,Z272)&lt;2,"",ABS(Z196-Z272))</f>
        <v>0</v>
      </c>
      <c r="AA2" s="12">
        <f>IF(COUNT(AA196,AA272)&lt;2,"",ABS(AA196-AA272))</f>
        <v>0</v>
      </c>
      <c r="AB2" s="12">
        <f>IF(COUNT(AB196,AB272)&lt;2,"",ABS(AB196-AB272))</f>
        <v>0</v>
      </c>
      <c r="AC2" s="12">
        <f>IF(COUNT(AC196,AC272)&lt;2,"",ABS(AC196-AC272))</f>
        <v>0</v>
      </c>
      <c r="AD2" s="12">
        <f>IF(COUNT(AD196,AD272)&lt;2,"",ABS(AD196-AD272))</f>
        <v>0</v>
      </c>
      <c r="AE2" s="12">
        <f>IF(COUNT(AE196,AE272)&lt;2,"",ABS(AE196-AE272))</f>
        <v>0</v>
      </c>
      <c r="AF2" s="12">
        <f>IF(COUNT(AF196,AF272)&lt;2,"",ABS(AF196-AF272))</f>
        <v>0</v>
      </c>
      <c r="AG2" s="12">
        <f>IF(COUNT(AG196,AG272)&lt;2,"",ABS(AG196-AG272))</f>
        <v>0</v>
      </c>
      <c r="AH2" s="12">
        <f>IF(COUNT(AH196,AH272)&lt;2,"",ABS(AH196-AH272))</f>
        <v>0</v>
      </c>
      <c r="AI2" s="12">
        <f>IF(COUNT(AI196,AI272)&lt;2,"",ABS(AI196-AI272))</f>
        <v>0</v>
      </c>
      <c r="AJ2" s="12">
        <f>IF(COUNT(AJ196,AJ272)&lt;2,"",ABS(AJ196-AJ272))</f>
        <v>0</v>
      </c>
      <c r="AK2" s="12">
        <f>IF(COUNT(AK196,AK272)&lt;2,"",ABS(AK196-AK272))</f>
        <v>0</v>
      </c>
      <c r="AL2" s="12">
        <f>IF(COUNT(AL196,AL272)&lt;2,"",ABS(AL196-AL272))</f>
        <v>0</v>
      </c>
      <c r="AM2" s="12">
        <f>IF(COUNT(AM196,AM272)&lt;2,"",ABS(AM196-AM272))</f>
        <v>0</v>
      </c>
      <c r="AN2" s="12">
        <f>IF(COUNT(AN196,AN272)&lt;2,"",ABS(AN196-AN272))</f>
        <v>0</v>
      </c>
      <c r="AO2" s="12">
        <f>IF(COUNT(AO196,AO272)&lt;2,"",ABS(AO196-AO272))</f>
        <v>0</v>
      </c>
      <c r="AP2" s="12">
        <f>IF(COUNT(AP196,AP272)&lt;2,"",ABS(AP196-AP272))</f>
        <v>0</v>
      </c>
      <c r="AQ2" s="12">
        <f>IF(COUNT(AQ196,AQ272)&lt;2,"",ABS(AQ196-AQ272))</f>
        <v>0</v>
      </c>
      <c r="AR2" s="12">
        <f>IF(COUNT(AR196,AR272)&lt;2,"",ABS(AR196-AR272))</f>
        <v>0</v>
      </c>
      <c r="AS2" s="12">
        <f>IF(COUNT(AS196,AS272)&lt;2,"",ABS(AS196-AS272))</f>
        <v>0</v>
      </c>
      <c r="AT2" s="12">
        <f>IF(COUNT(AT196,AT272)&lt;2,"",ABS(AT196-AT272))</f>
        <v>0</v>
      </c>
      <c r="AU2" s="12">
        <f>IF(COUNT(AU196,AU272)&lt;2,"",ABS(AU196-AU272))</f>
        <v>0</v>
      </c>
      <c r="AV2" s="12">
        <f>IF(COUNT(AV196,AV272)&lt;2,"",ABS(AV196-AV272))</f>
        <v>0</v>
      </c>
      <c r="AW2" s="12">
        <f>IF(COUNT(AW196,AW272)&lt;2,"",ABS(AW196-AW272))</f>
        <v>0</v>
      </c>
      <c r="AX2" s="12">
        <f>IF(COUNT(AX196,AX272)&lt;2,"",ABS(AX196-AX272))</f>
        <v>0</v>
      </c>
      <c r="AY2" s="12">
        <f>IF(COUNT(AY196,AY272)&lt;2,"",ABS(AY196-AY272))</f>
        <v>0</v>
      </c>
      <c r="AZ2" s="12">
        <f>IF(COUNT(AZ196,AZ272)&lt;2,"",ABS(AZ196-AZ272))</f>
        <v>0</v>
      </c>
      <c r="BA2" s="12">
        <f>IF(COUNT(BA196,BA272)&lt;2,"",ABS(BA196-BA272))</f>
        <v>0</v>
      </c>
      <c r="BB2" s="12">
        <f>IF(COUNT(BB196,BB272)&lt;2,"",ABS(BB196-BB272))</f>
        <v>0</v>
      </c>
      <c r="BC2" s="12">
        <f>IF(COUNT(BC196,BC272)&lt;2,"",ABS(BC196-BC272))</f>
        <v>0</v>
      </c>
      <c r="BD2" s="12">
        <f>IF(COUNT(BD196,BD272)&lt;2,"",ABS(BD196-BD272))</f>
        <v>0</v>
      </c>
      <c r="BE2" s="12">
        <f>IF(COUNT(BE196,BE272)&lt;2,"",ABS(BE196-BE272))</f>
        <v>0</v>
      </c>
      <c r="BF2" s="12">
        <f>IF(COUNT(BF196,BF272)&lt;2,"",ABS(BF196-BF272))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IF(COUNT(I136,I4)&lt;2,"",ABS(I136-I4))</f>
        <v>0</v>
      </c>
      <c r="J3" s="12">
        <f>IF(COUNT(J136,J4)&lt;2,"",ABS(J136-J4))</f>
        <v>0</v>
      </c>
      <c r="K3" s="12">
        <f>IF(COUNT(K136,K4)&lt;2,"",ABS(K136-K4))</f>
        <v>0</v>
      </c>
      <c r="L3" s="12">
        <f>IF(COUNT(L136,L4)&lt;2,"",ABS(L136-L4))</f>
        <v>0</v>
      </c>
      <c r="M3" s="12">
        <f>IF(COUNT(M136,M4)&lt;2,"",ABS(M136-M4))</f>
        <v>0</v>
      </c>
      <c r="N3" s="12">
        <f>IF(COUNT(N136,N4)&lt;2,"",ABS(N136-N4))</f>
        <v>0</v>
      </c>
      <c r="O3" s="12">
        <f>IF(COUNT(O136,O4)&lt;2,"",ABS(O136-O4))</f>
        <v>0</v>
      </c>
      <c r="P3" s="12">
        <f>IF(COUNT(P136,P4)&lt;2,"",ABS(P136-P4))</f>
        <v>0</v>
      </c>
      <c r="Q3" s="12">
        <f>IF(COUNT(Q136,Q4)&lt;2,"",ABS(Q136-Q4))</f>
        <v>0</v>
      </c>
      <c r="R3" s="12">
        <f>IF(COUNT(R136,R4)&lt;2,"",ABS(R136-R4))</f>
        <v>0</v>
      </c>
      <c r="S3" s="12">
        <f>IF(COUNT(S136,S4)&lt;2,"",ABS(S136-S4))</f>
        <v>0</v>
      </c>
      <c r="T3" s="12">
        <f>IF(COUNT(T136,T4)&lt;2,"",ABS(T136-T4))</f>
        <v>0</v>
      </c>
      <c r="U3" s="12">
        <f>IF(COUNT(U136,U4)&lt;2,"",ABS(U136-U4))</f>
        <v>0</v>
      </c>
      <c r="V3" s="12">
        <f>IF(COUNT(V136,V4)&lt;2,"",ABS(V136-V4))</f>
        <v>0</v>
      </c>
      <c r="W3" s="12">
        <f>IF(COUNT(W136,W4)&lt;2,"",ABS(W136-W4))</f>
        <v>0</v>
      </c>
      <c r="X3" s="12">
        <f>IF(COUNT(X136,X4)&lt;2,"",ABS(X136-X4))</f>
        <v>0</v>
      </c>
      <c r="Y3" s="12">
        <f>IF(COUNT(Y136,Y4)&lt;2,"",ABS(Y136-Y4))</f>
        <v>0</v>
      </c>
      <c r="Z3" s="12">
        <f>IF(COUNT(Z136,Z4)&lt;2,"",ABS(Z136-Z4))</f>
        <v>0</v>
      </c>
      <c r="AA3" s="12">
        <f>IF(COUNT(AA136,AA4)&lt;2,"",ABS(AA136-AA4))</f>
        <v>0</v>
      </c>
      <c r="AB3" s="12">
        <f>IF(COUNT(AB136,AB4)&lt;2,"",ABS(AB136-AB4))</f>
        <v>0</v>
      </c>
      <c r="AC3" s="12">
        <f>IF(COUNT(AC136,AC4)&lt;2,"",ABS(AC136-AC4))</f>
        <v>0</v>
      </c>
      <c r="AD3" s="12">
        <f>IF(COUNT(AD136,AD4)&lt;2,"",ABS(AD136-AD4))</f>
        <v>0</v>
      </c>
      <c r="AE3" s="12">
        <f>IF(COUNT(AE136,AE4)&lt;2,"",ABS(AE136-AE4))</f>
        <v>0</v>
      </c>
      <c r="AF3" s="12">
        <f>IF(COUNT(AF136,AF4)&lt;2,"",ABS(AF136-AF4))</f>
        <v>0</v>
      </c>
      <c r="AG3" s="12">
        <f>IF(COUNT(AG136,AG4)&lt;2,"",ABS(AG136-AG4))</f>
        <v>0</v>
      </c>
      <c r="AH3" s="12">
        <f>IF(COUNT(AH136,AH4)&lt;2,"",ABS(AH136-AH4))</f>
        <v>0</v>
      </c>
      <c r="AI3" s="12">
        <f>IF(COUNT(AI136,AI4)&lt;2,"",ABS(AI136-AI4))</f>
        <v>0</v>
      </c>
      <c r="AJ3" s="12">
        <f>ABS(AJ136-AJ4)</f>
        <v>59686.9691935346</v>
      </c>
      <c r="AK3" s="12">
        <f>ABS(AK136-AK4)</f>
        <v>71330.9853392263</v>
      </c>
      <c r="AL3" s="12">
        <f>ABS(AL136-AL4)</f>
        <v>249026.954532761</v>
      </c>
      <c r="AM3" s="12">
        <f>ABS(AM136-AM4)</f>
        <v>85453.3205404752</v>
      </c>
      <c r="AN3" s="12">
        <f>ABS(AN136-AN4)</f>
        <v>100746.234830914</v>
      </c>
      <c r="AO3" s="12">
        <f>ABS(AO136-AO4)</f>
        <v>104608.608539616</v>
      </c>
      <c r="AP3" s="12">
        <f>ABS(AP136-AP4)</f>
        <v>125016.15047501</v>
      </c>
      <c r="AQ3" s="12">
        <f>ABS(AQ136-AQ4)</f>
        <v>415824.314386015</v>
      </c>
      <c r="AR3" s="12">
        <f>ABS(AR136-AR4)</f>
        <v>149339.97870412</v>
      </c>
      <c r="AS3" s="12">
        <f>ABS(AS136-AS4)</f>
        <v>176066.189926964</v>
      </c>
      <c r="AT3" s="12">
        <f>ABS(AT136-AT4)</f>
        <v>182816.153576787</v>
      </c>
      <c r="AU3" s="12">
        <f>ABS(AU136-AU4)</f>
        <v>218480.793157312</v>
      </c>
      <c r="AV3" s="12">
        <f>ABS(AV136-AV4)</f>
        <v>726703.115365184</v>
      </c>
      <c r="AW3" s="12">
        <f>ABS(AW136-AW4)</f>
        <v>260242.915235403</v>
      </c>
      <c r="AX3" s="12">
        <f>ABS(AX136-AX4)</f>
        <v>306816.560030211</v>
      </c>
      <c r="AY3" s="12">
        <f>ABS(AY136-AY4)</f>
        <v>318579.185371435</v>
      </c>
      <c r="AZ3" s="12">
        <f>ABS(AZ136-AZ4)</f>
        <v>380729.119071672</v>
      </c>
      <c r="BA3" s="12">
        <f>ABS(BA136-BA4)</f>
        <v>1266367.77970872</v>
      </c>
      <c r="BB3" s="12">
        <f>ABS(BB136-BB4)</f>
        <v>452203.436475126</v>
      </c>
      <c r="BC3" s="12">
        <f>ABS(BC136-BC4)</f>
        <v>533130.758574687</v>
      </c>
      <c r="BD3" s="12">
        <f>ABS(BD136-BD4)</f>
        <v>553569.738043001</v>
      </c>
      <c r="BE3" s="12">
        <f>ABS(BE136-BE4)</f>
        <v>661562.739775734</v>
      </c>
      <c r="BF3" s="12">
        <f>ABS(BF136-BF4)</f>
        <v>2200466.67286855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1912</v>
      </c>
      <c r="J4">
        <f>IF(ISNUMBER('Inputs (2)'!E50),'Inputs (2)'!E50,"")</f>
        <v>2374</v>
      </c>
      <c r="K4">
        <f>IF(ISNUMBER('Inputs (2)'!F50),'Inputs (2)'!F50,"")</f>
        <v>2464</v>
      </c>
      <c r="L4">
        <f>IF(ISNUMBER('Inputs (2)'!G50),'Inputs (2)'!G50,"")</f>
        <v>3003</v>
      </c>
      <c r="M4" s="11">
        <f>IF(COUNT(I4:L4)=4,SUM(I4:L4),"")</f>
        <v>9753</v>
      </c>
      <c r="N4">
        <f>IF(ISNUMBER('Inputs (2)'!I50),'Inputs (2)'!I50,"")</f>
        <v>1618</v>
      </c>
      <c r="O4">
        <f>IF(ISNUMBER('Inputs (2)'!J50),'Inputs (2)'!J50,"")</f>
        <v>656</v>
      </c>
      <c r="P4">
        <f>IF(ISNUMBER('Inputs (2)'!K50),'Inputs (2)'!K50,"")</f>
        <v>680</v>
      </c>
      <c r="Q4">
        <f>IF(ISNUMBER('Inputs (2)'!L50),'Inputs (2)'!L50,"")</f>
        <v>1414</v>
      </c>
      <c r="R4" s="11">
        <f>IF(COUNT(N4:Q4)=4,SUM(N4:Q4),"")</f>
        <v>4368</v>
      </c>
      <c r="S4">
        <f>IF(ISNUMBER('Inputs (2)'!N50),'Inputs (2)'!N50,"")</f>
        <v>2043</v>
      </c>
      <c r="T4">
        <f>IF(ISNUMBER('Inputs (2)'!O50),'Inputs (2)'!O50,"")</f>
        <v>6188</v>
      </c>
      <c r="U4">
        <f>IF(ISNUMBER('Inputs (2)'!P50),'Inputs (2)'!P50,"")</f>
        <v>9243</v>
      </c>
      <c r="V4">
        <f>IF(ISNUMBER('Inputs (2)'!Q50),'Inputs (2)'!Q50,"")</f>
        <v>12285</v>
      </c>
      <c r="W4" s="11">
        <f>IF(COUNT(S4:V4)=4,SUM(S4:V4),"")</f>
        <v>29759</v>
      </c>
      <c r="X4">
        <f>IF(ISNUMBER('Inputs (2)'!S50),'Inputs (2)'!S50,"")</f>
        <v>14881</v>
      </c>
      <c r="Y4">
        <f>IF(ISNUMBER('Inputs (2)'!T50),'Inputs (2)'!T50,"")</f>
        <v>16599</v>
      </c>
      <c r="Z4">
        <f>IF(ISNUMBER('Inputs (2)'!U50),'Inputs (2)'!U50,"")</f>
        <v>19309</v>
      </c>
      <c r="AA4">
        <f>IF(ISNUMBER('Inputs (2)'!V50),'Inputs (2)'!V50,"")</f>
        <v>22091</v>
      </c>
      <c r="AB4" s="11">
        <f>IF(COUNT(X4:AA4)=4,SUM(X4:AA4),"")</f>
        <v>72880</v>
      </c>
      <c r="AC4">
        <f>IF(ISNUMBER('Inputs (2)'!X50),'Inputs (2)'!X50,"")</f>
        <v>18775</v>
      </c>
      <c r="AD4">
        <f>IF(ISNUMBER('Inputs (2)'!Y50),'Inputs (2)'!Y50,"")</f>
        <v>26422</v>
      </c>
      <c r="AE4">
        <f>IF(ISNUMBER('Inputs (2)'!Z50),'Inputs (2)'!Z50,"")</f>
        <v>31910</v>
      </c>
      <c r="AF4">
        <f>IF(ISNUMBER('Inputs (2)'!AA50),'Inputs (2)'!AA50,"")</f>
        <v>42960</v>
      </c>
      <c r="AG4" s="11">
        <f>IF(COUNT(AC4:AF4)=4,SUM(AC4:AF4),"")</f>
        <v>120067</v>
      </c>
      <c r="AH4" s="11">
        <f>IF(ISNUMBER('Inputs (2)'!AC50),'Inputs (2)'!AC50,"")</f>
        <v>58321</v>
      </c>
      <c r="AI4" s="11">
        <f>IF(ISNUMBER('Inputs (2)'!AD50),'Inputs (2)'!AD50,"")</f>
        <v>59688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5661</v>
      </c>
      <c r="J15" s="34">
        <f>'Inputs (2)'!E4</f>
        <v>6507</v>
      </c>
      <c r="K15" s="34">
        <f>'Inputs (2)'!F4</f>
        <v>7103</v>
      </c>
      <c r="L15" s="34">
        <f>'Inputs (2)'!G4</f>
        <v>7643</v>
      </c>
      <c r="M15" s="35">
        <f>'Inputs (2)'!H4</f>
        <v>26914</v>
      </c>
      <c r="N15" s="34">
        <f>'Inputs (2)'!I4</f>
        <v>8288</v>
      </c>
      <c r="O15" s="34">
        <f>'Inputs (2)'!J4</f>
        <v>6704</v>
      </c>
      <c r="P15" s="34">
        <f>'Inputs (2)'!K4</f>
        <v>5931</v>
      </c>
      <c r="Q15" s="34">
        <f>'Inputs (2)'!L4</f>
        <v>6051</v>
      </c>
      <c r="R15" s="35">
        <f>'Inputs (2)'!M4</f>
        <v>26974</v>
      </c>
      <c r="S15" s="34">
        <f>'Inputs (2)'!N4</f>
        <v>7192</v>
      </c>
      <c r="T15" s="34">
        <f>'Inputs (2)'!O4</f>
        <v>13507</v>
      </c>
      <c r="U15" s="34">
        <f>'Inputs (2)'!P4</f>
        <v>18120</v>
      </c>
      <c r="V15" s="34">
        <f>'Inputs (2)'!Q4</f>
        <v>22103</v>
      </c>
      <c r="W15" s="35">
        <f>'Inputs (2)'!R4</f>
        <v>60922</v>
      </c>
      <c r="X15" s="34">
        <f>'Inputs (2)'!S4</f>
        <v>26044</v>
      </c>
      <c r="Y15" s="34">
        <f>'Inputs (2)'!T4</f>
        <v>30040</v>
      </c>
      <c r="Z15" s="34">
        <f>'Inputs (2)'!U4</f>
        <v>35082</v>
      </c>
      <c r="AA15" s="34">
        <f>'Inputs (2)'!V4</f>
        <v>39331</v>
      </c>
      <c r="AB15" s="35">
        <f>'Inputs (2)'!W4</f>
        <v>130497</v>
      </c>
      <c r="AC15" s="34">
        <f>'Inputs (2)'!X4</f>
        <v>44062</v>
      </c>
      <c r="AD15" s="34">
        <f>'Inputs (2)'!Y4</f>
        <v>46743</v>
      </c>
      <c r="AE15" s="34">
        <f>'Inputs (2)'!Z4</f>
        <v>57006</v>
      </c>
      <c r="AF15" s="34">
        <f>'Inputs (2)'!AA4</f>
        <v>68127</v>
      </c>
      <c r="AG15" s="35">
        <f>'Inputs (2)'!AB4</f>
        <v>215938</v>
      </c>
      <c r="AH15" s="35">
        <f>'Inputs (2)'!AC4</f>
        <v>81615</v>
      </c>
      <c r="AI15" s="35">
        <f>'Inputs (2)'!AD4</f>
        <v>96221</v>
      </c>
      <c r="AJ15" s="35">
        <f>AE15*(1+AJ16)</f>
        <v>99909.8868477191</v>
      </c>
      <c r="AK15" s="35">
        <f>AF15*(1+AK16)</f>
        <v>119400.779940262</v>
      </c>
      <c r="AL15" s="35">
        <f>SUM(AH15:AK15)</f>
        <v>397146.666787981</v>
      </c>
      <c r="AM15" s="35">
        <f>AH15*(1+AM16)</f>
        <v>143040.125865288</v>
      </c>
      <c r="AN15" s="35">
        <f>AI15*(1+AN16)</f>
        <v>168638.90156079</v>
      </c>
      <c r="AO15" s="35">
        <f>AJ15*(1+AO16)</f>
        <v>175104.120442129</v>
      </c>
      <c r="AP15" s="35">
        <f>AK15*(1+AP16)</f>
        <v>209264.260136844</v>
      </c>
      <c r="AQ15" s="35">
        <f>SUM(AM15:AP15)</f>
        <v>696047.408005051</v>
      </c>
      <c r="AR15" s="35">
        <f>AM15*(1+AR16)</f>
        <v>249979.862870733</v>
      </c>
      <c r="AS15" s="35">
        <f>AN15*(1+AS16)</f>
        <v>294716.809229735</v>
      </c>
      <c r="AT15" s="35">
        <f>AO15*(1+AT16)</f>
        <v>306015.558581428</v>
      </c>
      <c r="AU15" s="35">
        <f>AP15*(1+AU16)</f>
        <v>365714.520567606</v>
      </c>
      <c r="AV15" s="35">
        <f>SUM(AR15:AU15)</f>
        <v>1216426.7512495</v>
      </c>
      <c r="AW15" s="35">
        <f>AR15*(1+AW16)</f>
        <v>435620.045135515</v>
      </c>
      <c r="AX15" s="35">
        <f>AS15*(1+AX16)</f>
        <v>513579.567027928</v>
      </c>
      <c r="AY15" s="35">
        <f>AT15*(1+AY16)</f>
        <v>533268.999792778</v>
      </c>
      <c r="AZ15" s="35">
        <f>AU15*(1+AZ16)</f>
        <v>637301.637527323</v>
      </c>
      <c r="BA15" s="35">
        <f>SUM(AW15:AZ15)</f>
        <v>2119770.24948354</v>
      </c>
      <c r="BB15" s="35">
        <f>AW15*(1+BB16)</f>
        <v>756942.340695587</v>
      </c>
      <c r="BC15" s="35">
        <f>AX15*(1+BC16)</f>
        <v>892406.407695522</v>
      </c>
      <c r="BD15" s="35">
        <f>AY15*(1+BD16)</f>
        <v>926619.170607654</v>
      </c>
      <c r="BE15" s="35">
        <f>AZ15*(1+BE16)</f>
        <v>1107388.41939423</v>
      </c>
      <c r="BF15" s="35">
        <f>SUM(BB15:BE15)</f>
        <v>3683356.338393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0.464052287581699</v>
      </c>
      <c r="O16" s="40">
        <f>IFERROR(O15/J15-1,"")</f>
        <v>0.0302750883663747</v>
      </c>
      <c r="P16" s="40">
        <f>IFERROR(P15/K15-1,"")</f>
        <v>-0.165000703927918</v>
      </c>
      <c r="Q16" s="40">
        <f>IFERROR(Q15/L15-1,"")</f>
        <v>-0.208295172052859</v>
      </c>
      <c r="R16" s="40">
        <f>IFERROR(R15/M15-1,"")</f>
        <v>0.00222932302890699</v>
      </c>
      <c r="S16" s="40">
        <f>IFERROR(S15/N15-1,"")</f>
        <v>-0.132239382239382</v>
      </c>
      <c r="T16" s="40">
        <f>IFERROR(T15/O15-1,"")</f>
        <v>1.01476730310263</v>
      </c>
      <c r="U16" s="40">
        <f>IFERROR(U15/P15-1,"")</f>
        <v>2.05513404147699</v>
      </c>
      <c r="V16" s="40">
        <f>IFERROR(V15/Q15-1,"")</f>
        <v>2.65278466369195</v>
      </c>
      <c r="W16" s="40">
        <f>IFERROR(W15/R15-1,"")</f>
        <v>1.25854526581152</v>
      </c>
      <c r="X16" s="40">
        <f>IFERROR(X15/S15-1,"")</f>
        <v>2.62124582869855</v>
      </c>
      <c r="Y16" s="40">
        <f>IFERROR(Y15/T15-1,"")</f>
        <v>1.22403198341601</v>
      </c>
      <c r="Z16" s="40">
        <f>IFERROR(Z15/U15-1,"")</f>
        <v>0.936092715231788</v>
      </c>
      <c r="AA16" s="40">
        <f>IFERROR(AA15/V15-1,"")</f>
        <v>0.779441704745962</v>
      </c>
      <c r="AB16" s="40">
        <f>IFERROR(AB15/W15-1,"")</f>
        <v>1.14203407635994</v>
      </c>
      <c r="AC16" s="40">
        <f>IFERROR(AC15/X15-1,"")</f>
        <v>0.691829212102596</v>
      </c>
      <c r="AD16" s="40">
        <f>IFERROR(AD15/Y15-1,"")</f>
        <v>0.556025299600533</v>
      </c>
      <c r="AE16" s="40">
        <f>IFERROR(AE15/Z15-1,"")</f>
        <v>0.624935864545921</v>
      </c>
      <c r="AF16" s="41">
        <f>IFERROR(AF15/AA15-1,"")</f>
        <v>0.732145127253312</v>
      </c>
      <c r="AG16" s="40">
        <f>IFERROR(AG15/AB15-1,"")</f>
        <v>0.654735357900948</v>
      </c>
      <c r="AH16" s="41">
        <f>IFERROR(AH15/AC15-1,"")</f>
        <v>0.852276337887522</v>
      </c>
      <c r="AI16" s="41">
        <f>IFERROR(AI15/AD15-1,"")</f>
        <v>1.05851143486725</v>
      </c>
      <c r="AJ16" s="41">
        <f>Control!$B$18</f>
        <v>0.752620546042856</v>
      </c>
      <c r="AK16" s="41">
        <f>Control!$B$18</f>
        <v>0.752620546042856</v>
      </c>
      <c r="AL16" s="42">
        <f>IFERROR(AL15/AG15-1,"")</f>
        <v>0.839169885744893</v>
      </c>
      <c r="AM16" s="41">
        <f>Control!$C$18</f>
        <v>0.752620546042856</v>
      </c>
      <c r="AN16" s="41">
        <f>Control!$C$18</f>
        <v>0.752620546042856</v>
      </c>
      <c r="AO16" s="41">
        <f>Control!$C$18</f>
        <v>0.752620546042856</v>
      </c>
      <c r="AP16" s="41">
        <f>Control!$C$18</f>
        <v>0.752620546042856</v>
      </c>
      <c r="AQ16" s="42">
        <f>IFERROR(AQ15/AL15-1,"")</f>
        <v>0.752620546042856</v>
      </c>
      <c r="AR16" s="41">
        <f>Control!$D$18</f>
        <v>0.747620546042856</v>
      </c>
      <c r="AS16" s="41">
        <f>Control!$D$18</f>
        <v>0.747620546042856</v>
      </c>
      <c r="AT16" s="41">
        <f>Control!$D$18</f>
        <v>0.747620546042856</v>
      </c>
      <c r="AU16" s="41">
        <f>Control!$D$18</f>
        <v>0.747620546042856</v>
      </c>
      <c r="AV16" s="42">
        <f>IFERROR(AV15/AQ15-1,"")</f>
        <v>0.747620546042856</v>
      </c>
      <c r="AW16" s="41">
        <f>Control!$E$18</f>
        <v>0.742620546042856</v>
      </c>
      <c r="AX16" s="41">
        <f>Control!$E$18</f>
        <v>0.742620546042856</v>
      </c>
      <c r="AY16" s="41">
        <f>Control!$E$18</f>
        <v>0.742620546042856</v>
      </c>
      <c r="AZ16" s="41">
        <f>Control!$E$18</f>
        <v>0.742620546042856</v>
      </c>
      <c r="BA16" s="42">
        <f>IFERROR(BA15/AV15-1,"")</f>
        <v>0.742620546042856</v>
      </c>
      <c r="BB16" s="41">
        <f>Control!$F$18</f>
        <v>0.737620546042856</v>
      </c>
      <c r="BC16" s="41">
        <f>Control!$F$18</f>
        <v>0.737620546042856</v>
      </c>
      <c r="BD16" s="41">
        <f>Control!$F$18</f>
        <v>0.737620546042856</v>
      </c>
      <c r="BE16" s="41">
        <f>Control!$F$18</f>
        <v>0.737620546042856</v>
      </c>
      <c r="BF16" s="42">
        <f>IFERROR(BF15/BA15-1,"")</f>
        <v>0.737620546042856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IF(ISNUMBER(I30),I30,"")</f>
        <v>0</v>
      </c>
      <c r="J17" s="40">
        <f>IF(ISNUMBER(J30),J30,"")</f>
        <v>0</v>
      </c>
      <c r="K17" s="40">
        <f>IF(ISNUMBER(K30),K30,"")</f>
        <v>0</v>
      </c>
      <c r="L17" s="40">
        <f>IF(ISNUMBER(L30),L30,"")</f>
        <v>0</v>
      </c>
      <c r="M17" s="39">
        <f>IF(ISNUMBER(M30),M30,"")</f>
        <v>0</v>
      </c>
      <c r="N17" s="40">
        <f>IF(ISNUMBER(N30),N30,"")</f>
        <v>0</v>
      </c>
      <c r="O17" s="40">
        <f>IF(ISNUMBER(O30),O30,"")</f>
        <v>0</v>
      </c>
      <c r="P17" s="40">
        <f>IF(ISNUMBER(P30),P30,"")</f>
        <v>0</v>
      </c>
      <c r="Q17" s="40">
        <f>IF(ISNUMBER(Q30),Q30,"")</f>
        <v>0</v>
      </c>
      <c r="R17" s="40">
        <f>IF(ISNUMBER(R30),R30,"")</f>
        <v>0</v>
      </c>
      <c r="S17" s="40">
        <f>IF(ISNUMBER(S30),S30,"")</f>
        <v>0</v>
      </c>
      <c r="T17" s="40">
        <f>IF(ISNUMBER(T30),T30,"")</f>
        <v>0</v>
      </c>
      <c r="U17" s="40">
        <f>IF(ISNUMBER(U30),U30,"")</f>
        <v>0</v>
      </c>
      <c r="V17" s="40">
        <f>IF(ISNUMBER(V30),V30,"")</f>
        <v>0</v>
      </c>
      <c r="W17" s="40">
        <f>IF(ISNUMBER(W30),W30,"")</f>
        <v>0</v>
      </c>
      <c r="X17" s="40">
        <f>IF(ISNUMBER(X30),X30,"")</f>
        <v>0</v>
      </c>
      <c r="Y17" s="40">
        <f>IF(ISNUMBER(Y30),Y30,"")</f>
        <v>0</v>
      </c>
      <c r="Z17" s="40">
        <f>IF(ISNUMBER(Z30),Z30,"")</f>
        <v>0</v>
      </c>
      <c r="AA17" s="40">
        <f>IF(ISNUMBER(AA30),AA30,"")</f>
        <v>0</v>
      </c>
      <c r="AB17" s="40">
        <f>IF(ISNUMBER(AB30),AB30,"")</f>
        <v>0</v>
      </c>
      <c r="AC17" s="40">
        <f>IF(ISNUMBER(AC30),AC30,"")</f>
        <v>0</v>
      </c>
      <c r="AD17" s="40">
        <f>IF(ISNUMBER(AD30),AD30,"")</f>
        <v>0</v>
      </c>
      <c r="AE17" s="40">
        <f>IF(ISNUMBER(AE30),AE30,"")</f>
        <v>0</v>
      </c>
      <c r="AF17" s="40">
        <f>IF(ISNUMBER(AF30),AF30,"")</f>
        <v>0</v>
      </c>
      <c r="AG17" s="40">
        <f>IF(ISNUMBER(AG30),AG30,"")</f>
        <v>0</v>
      </c>
      <c r="AH17" s="41">
        <f>IF(ISNUMBER(AH30),AH30,"")</f>
        <v>0</v>
      </c>
      <c r="AI17" s="41">
        <f>IF(ISNUMBER(AI30),AI30,"")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por plataforma de mercado - como a NVIDIA divulga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>Data Center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2048</v>
      </c>
      <c r="J19" s="269">
        <f>IFERROR(INDEX('Inputs (2)'!$D$53:$AL$53,MATCH(J$7&amp;"",'Inputs (2)'!$D$2:$AL$2,0)),"")</f>
        <v>2366</v>
      </c>
      <c r="K19" s="269">
        <f>IFERROR(INDEX('Inputs (2)'!$D$53:$AL$53,MATCH(K$7&amp;"",'Inputs (2)'!$D$2:$AL$2,0)),"")</f>
        <v>2936</v>
      </c>
      <c r="L19" s="269">
        <f>IFERROR(INDEX('Inputs (2)'!$D$53:$AL$53,MATCH(L$7&amp;"",'Inputs (2)'!$D$2:$AL$2,0)),"")</f>
        <v>3263</v>
      </c>
      <c r="M19" s="270">
        <f>IF(COUNT(I19:L19)=4,SUM(I19:L19),"")</f>
        <v>10613</v>
      </c>
      <c r="N19" s="269">
        <f>IFERROR(INDEX('Inputs (2)'!$D$53:$AL$53,MATCH(N$7&amp;"",'Inputs (2)'!$D$2:$AL$2,0)),"")</f>
        <v>3750</v>
      </c>
      <c r="O19" s="269">
        <f>IFERROR(INDEX('Inputs (2)'!$D$53:$AL$53,MATCH(O$7&amp;"",'Inputs (2)'!$D$2:$AL$2,0)),"")</f>
        <v>3806</v>
      </c>
      <c r="P19" s="269">
        <f>IFERROR(INDEX('Inputs (2)'!$D$53:$AL$53,MATCH(P$7&amp;"",'Inputs (2)'!$D$2:$AL$2,0)),"")</f>
        <v>3833</v>
      </c>
      <c r="Q19" s="269">
        <f>IFERROR(INDEX('Inputs (2)'!$D$53:$AL$53,MATCH(Q$7&amp;"",'Inputs (2)'!$D$2:$AL$2,0)),"")</f>
        <v>3616</v>
      </c>
      <c r="R19" s="270">
        <f>IF(COUNT(N19:Q19)=4,SUM(N19:Q19),"")</f>
        <v>15005</v>
      </c>
      <c r="S19" s="269">
        <f>IFERROR(INDEX('Inputs (2)'!$D$53:$AL$53,MATCH(S$7&amp;"",'Inputs (2)'!$D$2:$AL$2,0)),"")</f>
        <v>4284</v>
      </c>
      <c r="T19" s="269">
        <f>IFERROR(INDEX('Inputs (2)'!$D$53:$AL$53,MATCH(T$7&amp;"",'Inputs (2)'!$D$2:$AL$2,0)),"")</f>
        <v>10323</v>
      </c>
      <c r="U19" s="269">
        <f>IFERROR(INDEX('Inputs (2)'!$D$53:$AL$53,MATCH(U$7&amp;"",'Inputs (2)'!$D$2:$AL$2,0)),"")</f>
        <v>14514</v>
      </c>
      <c r="V19" s="269">
        <f>IFERROR(INDEX('Inputs (2)'!$D$53:$AL$53,MATCH(V$7&amp;"",'Inputs (2)'!$D$2:$AL$2,0)),"")</f>
        <v>18404</v>
      </c>
      <c r="W19" s="270">
        <f>IF(COUNT(S19:V19)=4,SUM(S19:V19),"")</f>
        <v>47525</v>
      </c>
      <c r="X19" s="269">
        <f>IFERROR(INDEX('Inputs (2)'!$D$53:$AL$53,MATCH(X$7&amp;"",'Inputs (2)'!$D$2:$AL$2,0)),"")</f>
        <v>22563</v>
      </c>
      <c r="Y19" s="269">
        <f>IFERROR(INDEX('Inputs (2)'!$D$53:$AL$53,MATCH(Y$7&amp;"",'Inputs (2)'!$D$2:$AL$2,0)),"")</f>
        <v>26272</v>
      </c>
      <c r="Z19" s="269">
        <f>IFERROR(INDEX('Inputs (2)'!$D$53:$AL$53,MATCH(Z$7&amp;"",'Inputs (2)'!$D$2:$AL$2,0)),"")</f>
        <v>30771</v>
      </c>
      <c r="AA19" s="269">
        <f>IFERROR(INDEX('Inputs (2)'!$D$53:$AL$53,MATCH(AA$7&amp;"",'Inputs (2)'!$D$2:$AL$2,0)),"")</f>
        <v>35580</v>
      </c>
      <c r="AB19" s="270">
        <f>IF(COUNT(X19:AA19)=4,SUM(X19:AA19),"")</f>
        <v>115186</v>
      </c>
      <c r="AC19" s="269">
        <f>IFERROR(INDEX('Inputs (2)'!$D$53:$AL$53,MATCH(AC$7&amp;"",'Inputs (2)'!$D$2:$AL$2,0)),"")</f>
        <v>39112</v>
      </c>
      <c r="AD19" s="269">
        <f>IFERROR(INDEX('Inputs (2)'!$D$53:$AL$53,MATCH(AD$7&amp;"",'Inputs (2)'!$D$2:$AL$2,0)),"")</f>
        <v>41096</v>
      </c>
      <c r="AE19" s="269">
        <f>IFERROR(INDEX('Inputs (2)'!$D$53:$AL$53,MATCH(AE$7&amp;"",'Inputs (2)'!$D$2:$AL$2,0)),"")</f>
        <v>51215</v>
      </c>
      <c r="AF19" s="269">
        <f>IFERROR(INDEX('Inputs (2)'!$D$53:$AL$53,MATCH(AF$7&amp;"",'Inputs (2)'!$D$2:$AL$2,0)),"")</f>
        <v>62314</v>
      </c>
      <c r="AG19" s="270">
        <f>IF(COUNT(AC19:AF19)=4,SUM(AC19:AF19),"")</f>
        <v>193737</v>
      </c>
      <c r="AH19" s="270">
        <f>IFERROR(INDEX('Inputs (2)'!$D$53:$AL$53,MATCH(AH$7&amp;"",'Inputs (2)'!$D$2:$AL$2,0)),"")</f>
        <v>75246</v>
      </c>
      <c r="AI19" s="270">
        <f>IFERROR(INDEX('Inputs (2)'!$D$53:$AL$53,MATCH(AI$7&amp;"",'Inputs (2)'!$D$2:$AL$2,0)),"")</f>
        <v>89023</v>
      </c>
    </row>
    <row r="20">
      <c r="C20" s="271" t="inlineStr">
        <is>
          <t xml:space="preserve">   Compute (até 4T25)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 t="str">
        <f>IFERROR(INDEX('Inputs (2)'!$D$54:$AL$54,MATCH(I$7&amp;"",'Inputs (2)'!$D$2:$AL$2,0)),"")</f>
        <v/>
      </c>
      <c r="J20" s="269" t="str">
        <f>IFERROR(INDEX('Inputs (2)'!$D$54:$AL$54,MATCH(J$7&amp;"",'Inputs (2)'!$D$2:$AL$2,0)),"")</f>
        <v/>
      </c>
      <c r="K20" s="269" t="str">
        <f>IFERROR(INDEX('Inputs (2)'!$D$54:$AL$54,MATCH(K$7&amp;"",'Inputs (2)'!$D$2:$AL$2,0)),"")</f>
        <v/>
      </c>
      <c r="L20" s="269" t="str">
        <f>IFERROR(INDEX('Inputs (2)'!$D$54:$AL$54,MATCH(L$7&amp;"",'Inputs (2)'!$D$2:$AL$2,0)),"")</f>
        <v/>
      </c>
      <c r="M20" s="270" t="str">
        <f>IF(COUNT(I20:L20)=4,SUM(I20:L20),"")</f>
        <v/>
      </c>
      <c r="N20" s="269" t="str">
        <f>IFERROR(INDEX('Inputs (2)'!$D$54:$AL$54,MATCH(N$7&amp;"",'Inputs (2)'!$D$2:$AL$2,0)),"")</f>
        <v/>
      </c>
      <c r="O20" s="269" t="str">
        <f>IFERROR(INDEX('Inputs (2)'!$D$54:$AL$54,MATCH(O$7&amp;"",'Inputs (2)'!$D$2:$AL$2,0)),"")</f>
        <v/>
      </c>
      <c r="P20" s="269" t="str">
        <f>IFERROR(INDEX('Inputs (2)'!$D$54:$AL$54,MATCH(P$7&amp;"",'Inputs (2)'!$D$2:$AL$2,0)),"")</f>
        <v/>
      </c>
      <c r="Q20" s="269" t="str">
        <f>IFERROR(INDEX('Inputs (2)'!$D$54:$AL$54,MATCH(Q$7&amp;"",'Inputs (2)'!$D$2:$AL$2,0)),"")</f>
        <v/>
      </c>
      <c r="R20" s="270" t="str">
        <f>IF(COUNT(N20:Q20)=4,SUM(N20:Q20),"")</f>
        <v/>
      </c>
      <c r="S20" s="269">
        <f>IFERROR(INDEX('Inputs (2)'!$D$54:$AL$54,MATCH(S$7&amp;"",'Inputs (2)'!$D$2:$AL$2,0)),"")</f>
        <v>3357</v>
      </c>
      <c r="T20" s="269">
        <f>IFERROR(INDEX('Inputs (2)'!$D$54:$AL$54,MATCH(T$7&amp;"",'Inputs (2)'!$D$2:$AL$2,0)),"")</f>
        <v>8612</v>
      </c>
      <c r="U20" s="269">
        <f>IFERROR(INDEX('Inputs (2)'!$D$54:$AL$54,MATCH(U$7&amp;"",'Inputs (2)'!$D$2:$AL$2,0)),"")</f>
        <v>11908</v>
      </c>
      <c r="V20" s="269">
        <f>IFERROR(INDEX('Inputs (2)'!$D$54:$AL$54,MATCH(V$7&amp;"",'Inputs (2)'!$D$2:$AL$2,0)),"")</f>
        <v>15073</v>
      </c>
      <c r="W20" s="270">
        <f>IF(COUNT(S20:V20)=4,SUM(S20:V20),"")</f>
        <v>38950</v>
      </c>
      <c r="X20" s="269">
        <f>IFERROR(INDEX('Inputs (2)'!$D$54:$AL$54,MATCH(X$7&amp;"",'Inputs (2)'!$D$2:$AL$2,0)),"")</f>
        <v>19392</v>
      </c>
      <c r="Y20" s="269">
        <f>IFERROR(INDEX('Inputs (2)'!$D$54:$AL$54,MATCH(Y$7&amp;"",'Inputs (2)'!$D$2:$AL$2,0)),"")</f>
        <v>22604</v>
      </c>
      <c r="Z20" s="269">
        <f>IFERROR(INDEX('Inputs (2)'!$D$54:$AL$54,MATCH(Z$7&amp;"",'Inputs (2)'!$D$2:$AL$2,0)),"")</f>
        <v>27644</v>
      </c>
      <c r="AA20" s="269">
        <f>IFERROR(INDEX('Inputs (2)'!$D$54:$AL$54,MATCH(AA$7&amp;"",'Inputs (2)'!$D$2:$AL$2,0)),"")</f>
        <v>32556</v>
      </c>
      <c r="AB20" s="270">
        <f>IF(COUNT(X20:AA20)=4,SUM(X20:AA20),"")</f>
        <v>102196</v>
      </c>
      <c r="AC20" s="269">
        <f>IFERROR(INDEX('Inputs (2)'!$D$54:$AL$54,MATCH(AC$7&amp;"",'Inputs (2)'!$D$2:$AL$2,0)),"")</f>
        <v>34155</v>
      </c>
      <c r="AD20" s="269">
        <f>IFERROR(INDEX('Inputs (2)'!$D$54:$AL$54,MATCH(AD$7&amp;"",'Inputs (2)'!$D$2:$AL$2,0)),"")</f>
        <v>33844</v>
      </c>
      <c r="AE20" s="269">
        <f>IFERROR(INDEX('Inputs (2)'!$D$54:$AL$54,MATCH(AE$7&amp;"",'Inputs (2)'!$D$2:$AL$2,0)),"")</f>
        <v>43028</v>
      </c>
      <c r="AF20" s="269">
        <f>IFERROR(INDEX('Inputs (2)'!$D$54:$AL$54,MATCH(AF$7&amp;"",'Inputs (2)'!$D$2:$AL$2,0)),"")</f>
        <v>51334</v>
      </c>
      <c r="AG20" s="270">
        <f>IF(COUNT(AC20:AF20)=4,SUM(AC20:AF20),"")</f>
        <v>162361</v>
      </c>
      <c r="AH20" s="270" t="str">
        <f>IFERROR(INDEX('Inputs (2)'!$D$54:$AL$54,MATCH(AH$7&amp;"",'Inputs (2)'!$D$2:$AL$2,0)),"")</f>
        <v/>
      </c>
      <c r="AI20" s="270" t="str">
        <f>IFERROR(INDEX('Inputs (2)'!$D$54:$AL$54,MATCH(AI$7&amp;"",'Inputs (2)'!$D$2:$AL$2,0)),"")</f>
        <v/>
      </c>
    </row>
    <row r="21">
      <c r="C21" s="271" t="inlineStr">
        <is>
          <t xml:space="preserve">   Networking (até 4T25)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 t="str">
        <f>IFERROR(INDEX('Inputs (2)'!$D$55:$AL$55,MATCH(I$7&amp;"",'Inputs (2)'!$D$2:$AL$2,0)),"")</f>
        <v/>
      </c>
      <c r="J21" s="269" t="str">
        <f>IFERROR(INDEX('Inputs (2)'!$D$55:$AL$55,MATCH(J$7&amp;"",'Inputs (2)'!$D$2:$AL$2,0)),"")</f>
        <v/>
      </c>
      <c r="K21" s="269" t="str">
        <f>IFERROR(INDEX('Inputs (2)'!$D$55:$AL$55,MATCH(K$7&amp;"",'Inputs (2)'!$D$2:$AL$2,0)),"")</f>
        <v/>
      </c>
      <c r="L21" s="269" t="str">
        <f>IFERROR(INDEX('Inputs (2)'!$D$55:$AL$55,MATCH(L$7&amp;"",'Inputs (2)'!$D$2:$AL$2,0)),"")</f>
        <v/>
      </c>
      <c r="M21" s="270" t="str">
        <f>IF(COUNT(I21:L21)=4,SUM(I21:L21),"")</f>
        <v/>
      </c>
      <c r="N21" s="269" t="str">
        <f>IFERROR(INDEX('Inputs (2)'!$D$55:$AL$55,MATCH(N$7&amp;"",'Inputs (2)'!$D$2:$AL$2,0)),"")</f>
        <v/>
      </c>
      <c r="O21" s="269" t="str">
        <f>IFERROR(INDEX('Inputs (2)'!$D$55:$AL$55,MATCH(O$7&amp;"",'Inputs (2)'!$D$2:$AL$2,0)),"")</f>
        <v/>
      </c>
      <c r="P21" s="269" t="str">
        <f>IFERROR(INDEX('Inputs (2)'!$D$55:$AL$55,MATCH(P$7&amp;"",'Inputs (2)'!$D$2:$AL$2,0)),"")</f>
        <v/>
      </c>
      <c r="Q21" s="269" t="str">
        <f>IFERROR(INDEX('Inputs (2)'!$D$55:$AL$55,MATCH(Q$7&amp;"",'Inputs (2)'!$D$2:$AL$2,0)),"")</f>
        <v/>
      </c>
      <c r="R21" s="270" t="str">
        <f>IF(COUNT(N21:Q21)=4,SUM(N21:Q21),"")</f>
        <v/>
      </c>
      <c r="S21" s="269">
        <f>IFERROR(INDEX('Inputs (2)'!$D$55:$AL$55,MATCH(S$7&amp;"",'Inputs (2)'!$D$2:$AL$2,0)),"")</f>
        <v>927</v>
      </c>
      <c r="T21" s="269">
        <f>IFERROR(INDEX('Inputs (2)'!$D$55:$AL$55,MATCH(T$7&amp;"",'Inputs (2)'!$D$2:$AL$2,0)),"")</f>
        <v>1711</v>
      </c>
      <c r="U21" s="269">
        <f>IFERROR(INDEX('Inputs (2)'!$D$55:$AL$55,MATCH(U$7&amp;"",'Inputs (2)'!$D$2:$AL$2,0)),"")</f>
        <v>2606</v>
      </c>
      <c r="V21" s="269">
        <f>IFERROR(INDEX('Inputs (2)'!$D$55:$AL$55,MATCH(V$7&amp;"",'Inputs (2)'!$D$2:$AL$2,0)),"")</f>
        <v>3331</v>
      </c>
      <c r="W21" s="270">
        <f>IF(COUNT(S21:V21)=4,SUM(S21:V21),"")</f>
        <v>8575</v>
      </c>
      <c r="X21" s="269">
        <f>IFERROR(INDEX('Inputs (2)'!$D$55:$AL$55,MATCH(X$7&amp;"",'Inputs (2)'!$D$2:$AL$2,0)),"")</f>
        <v>3171</v>
      </c>
      <c r="Y21" s="269">
        <f>IFERROR(INDEX('Inputs (2)'!$D$55:$AL$55,MATCH(Y$7&amp;"",'Inputs (2)'!$D$2:$AL$2,0)),"")</f>
        <v>3668</v>
      </c>
      <c r="Z21" s="269">
        <f>IFERROR(INDEX('Inputs (2)'!$D$55:$AL$55,MATCH(Z$7&amp;"",'Inputs (2)'!$D$2:$AL$2,0)),"")</f>
        <v>3127</v>
      </c>
      <c r="AA21" s="269">
        <f>IFERROR(INDEX('Inputs (2)'!$D$55:$AL$55,MATCH(AA$7&amp;"",'Inputs (2)'!$D$2:$AL$2,0)),"")</f>
        <v>3024</v>
      </c>
      <c r="AB21" s="270">
        <f>IF(COUNT(X21:AA21)=4,SUM(X21:AA21),"")</f>
        <v>12990</v>
      </c>
      <c r="AC21" s="269">
        <f>IFERROR(INDEX('Inputs (2)'!$D$55:$AL$55,MATCH(AC$7&amp;"",'Inputs (2)'!$D$2:$AL$2,0)),"")</f>
        <v>4957</v>
      </c>
      <c r="AD21" s="269">
        <f>IFERROR(INDEX('Inputs (2)'!$D$55:$AL$55,MATCH(AD$7&amp;"",'Inputs (2)'!$D$2:$AL$2,0)),"")</f>
        <v>7252</v>
      </c>
      <c r="AE21" s="269">
        <f>IFERROR(INDEX('Inputs (2)'!$D$55:$AL$55,MATCH(AE$7&amp;"",'Inputs (2)'!$D$2:$AL$2,0)),"")</f>
        <v>8187</v>
      </c>
      <c r="AF21" s="269">
        <f>IFERROR(INDEX('Inputs (2)'!$D$55:$AL$55,MATCH(AF$7&amp;"",'Inputs (2)'!$D$2:$AL$2,0)),"")</f>
        <v>10980</v>
      </c>
      <c r="AG21" s="270">
        <f>IF(COUNT(AC21:AF21)=4,SUM(AC21:AF21),"")</f>
        <v>31376</v>
      </c>
      <c r="AH21" s="270" t="str">
        <f>IFERROR(INDEX('Inputs (2)'!$D$55:$AL$55,MATCH(AH$7&amp;"",'Inputs (2)'!$D$2:$AL$2,0)),"")</f>
        <v/>
      </c>
      <c r="AI21" s="270" t="str">
        <f>IFERROR(INDEX('Inputs (2)'!$D$55:$AL$55,MATCH(AI$7&amp;"",'Inputs (2)'!$D$2:$AL$2,0)),"")</f>
        <v/>
      </c>
    </row>
    <row r="22">
      <c r="C22" s="271" t="inlineStr">
        <is>
          <t xml:space="preserve">   Hyperscale (nova abertura)</t>
        </is>
      </c>
      <c r="D22" s="269" t="str">
        <f>IFERROR(INDEX('Inputs (2)'!$D$56:$AL$56,MATCH(D$7&amp;"",'Inputs (2)'!$D$2:$AL$2,0)),"")</f>
        <v/>
      </c>
      <c r="E22" s="269" t="str">
        <f>IFERROR(INDEX('Inputs (2)'!$D$56:$AL$56,MATCH(E$7&amp;"",'Inputs (2)'!$D$2:$AL$2,0)),"")</f>
        <v/>
      </c>
      <c r="F22" s="269" t="str">
        <f>IFERROR(INDEX('Inputs (2)'!$D$56:$AL$56,MATCH(F$7&amp;"",'Inputs (2)'!$D$2:$AL$2,0)),"")</f>
        <v/>
      </c>
      <c r="G22" s="269" t="str">
        <f>IFERROR(INDEX('Inputs (2)'!$D$56:$AL$56,MATCH(G$7&amp;"",'Inputs (2)'!$D$2:$AL$2,0)),"")</f>
        <v/>
      </c>
      <c r="H22" s="270" t="str">
        <f>IF(COUNT(D22:G22)=4,SUM(D22:G22),"")</f>
        <v/>
      </c>
      <c r="I22" s="269" t="str">
        <f>IFERROR(INDEX('Inputs (2)'!$D$56:$AL$56,MATCH(I$7&amp;"",'Inputs (2)'!$D$2:$AL$2,0)),"")</f>
        <v/>
      </c>
      <c r="J22" s="269" t="str">
        <f>IFERROR(INDEX('Inputs (2)'!$D$56:$AL$56,MATCH(J$7&amp;"",'Inputs (2)'!$D$2:$AL$2,0)),"")</f>
        <v/>
      </c>
      <c r="K22" s="269" t="str">
        <f>IFERROR(INDEX('Inputs (2)'!$D$56:$AL$56,MATCH(K$7&amp;"",'Inputs (2)'!$D$2:$AL$2,0)),"")</f>
        <v/>
      </c>
      <c r="L22" s="269" t="str">
        <f>IFERROR(INDEX('Inputs (2)'!$D$56:$AL$56,MATCH(L$7&amp;"",'Inputs (2)'!$D$2:$AL$2,0)),"")</f>
        <v/>
      </c>
      <c r="M22" s="270" t="str">
        <f>IF(COUNT(I22:L22)=4,SUM(I22:L22),"")</f>
        <v/>
      </c>
      <c r="N22" s="269" t="str">
        <f>IFERROR(INDEX('Inputs (2)'!$D$56:$AL$56,MATCH(N$7&amp;"",'Inputs (2)'!$D$2:$AL$2,0)),"")</f>
        <v/>
      </c>
      <c r="O22" s="269" t="str">
        <f>IFERROR(INDEX('Inputs (2)'!$D$56:$AL$56,MATCH(O$7&amp;"",'Inputs (2)'!$D$2:$AL$2,0)),"")</f>
        <v/>
      </c>
      <c r="P22" s="269" t="str">
        <f>IFERROR(INDEX('Inputs (2)'!$D$56:$AL$56,MATCH(P$7&amp;"",'Inputs (2)'!$D$2:$AL$2,0)),"")</f>
        <v/>
      </c>
      <c r="Q22" s="269" t="str">
        <f>IFERROR(INDEX('Inputs (2)'!$D$56:$AL$56,MATCH(Q$7&amp;"",'Inputs (2)'!$D$2:$AL$2,0)),"")</f>
        <v/>
      </c>
      <c r="R22" s="270" t="str">
        <f>IF(COUNT(N22:Q22)=4,SUM(N22:Q22),"")</f>
        <v/>
      </c>
      <c r="S22" s="269" t="str">
        <f>IFERROR(INDEX('Inputs (2)'!$D$56:$AL$56,MATCH(S$7&amp;"",'Inputs (2)'!$D$2:$AL$2,0)),"")</f>
        <v/>
      </c>
      <c r="T22" s="269" t="str">
        <f>IFERROR(INDEX('Inputs (2)'!$D$56:$AL$56,MATCH(T$7&amp;"",'Inputs (2)'!$D$2:$AL$2,0)),"")</f>
        <v/>
      </c>
      <c r="U22" s="269" t="str">
        <f>IFERROR(INDEX('Inputs (2)'!$D$56:$AL$56,MATCH(U$7&amp;"",'Inputs (2)'!$D$2:$AL$2,0)),"")</f>
        <v/>
      </c>
      <c r="V22" s="269" t="str">
        <f>IFERROR(INDEX('Inputs (2)'!$D$56:$AL$56,MATCH(V$7&amp;"",'Inputs (2)'!$D$2:$AL$2,0)),"")</f>
        <v/>
      </c>
      <c r="W22" s="270" t="str">
        <f>IF(COUNT(S22:V22)=4,SUM(S22:V22),"")</f>
        <v/>
      </c>
      <c r="X22" s="269" t="str">
        <f>IFERROR(INDEX('Inputs (2)'!$D$56:$AL$56,MATCH(X$7&amp;"",'Inputs (2)'!$D$2:$AL$2,0)),"")</f>
        <v/>
      </c>
      <c r="Y22" s="269" t="str">
        <f>IFERROR(INDEX('Inputs (2)'!$D$56:$AL$56,MATCH(Y$7&amp;"",'Inputs (2)'!$D$2:$AL$2,0)),"")</f>
        <v/>
      </c>
      <c r="Z22" s="269" t="str">
        <f>IFERROR(INDEX('Inputs (2)'!$D$56:$AL$56,MATCH(Z$7&amp;"",'Inputs (2)'!$D$2:$AL$2,0)),"")</f>
        <v/>
      </c>
      <c r="AA22" s="269" t="str">
        <f>IFERROR(INDEX('Inputs (2)'!$D$56:$AL$56,MATCH(AA$7&amp;"",'Inputs (2)'!$D$2:$AL$2,0)),"")</f>
        <v/>
      </c>
      <c r="AB22" s="270" t="str">
        <f>IF(COUNT(X22:AA22)=4,SUM(X22:AA22),"")</f>
        <v/>
      </c>
      <c r="AC22" s="269">
        <f>IFERROR(INDEX('Inputs (2)'!$D$56:$AL$56,MATCH(AC$7&amp;"",'Inputs (2)'!$D$2:$AL$2,0)),"")</f>
        <v>17599</v>
      </c>
      <c r="AD22" s="269">
        <f>IFERROR(INDEX('Inputs (2)'!$D$56:$AL$56,MATCH(AD$7&amp;"",'Inputs (2)'!$D$2:$AL$2,0)),"")</f>
        <v>24168</v>
      </c>
      <c r="AE22" s="269" t="str">
        <f>IFERROR(INDEX('Inputs (2)'!$D$56:$AL$56,MATCH(AE$7&amp;"",'Inputs (2)'!$D$2:$AL$2,0)),"")</f>
        <v/>
      </c>
      <c r="AF22" s="269" t="str">
        <f>IFERROR(INDEX('Inputs (2)'!$D$56:$AL$56,MATCH(AF$7&amp;"",'Inputs (2)'!$D$2:$AL$2,0)),"")</f>
        <v/>
      </c>
      <c r="AG22" s="270" t="str">
        <f>IF(COUNT(AC22:AF22)=4,SUM(AC22:AF22),"")</f>
        <v/>
      </c>
      <c r="AH22" s="270">
        <f>IFERROR(INDEX('Inputs (2)'!$D$56:$AL$56,MATCH(AH$7&amp;"",'Inputs (2)'!$D$2:$AL$2,0)),"")</f>
        <v>37869</v>
      </c>
      <c r="AI22" s="270">
        <f>IFERROR(INDEX('Inputs (2)'!$D$56:$AL$56,MATCH(AI$7&amp;"",'Inputs (2)'!$D$2:$AL$2,0)),"")</f>
        <v>48710</v>
      </c>
    </row>
    <row r="23">
      <c r="C23" s="271" t="inlineStr">
        <is>
          <t xml:space="preserve">   AI Clouds, Industrial &amp; Enterprise (nova abertura)</t>
        </is>
      </c>
      <c r="D23" s="269" t="str">
        <f>IFERROR(INDEX('Inputs (2)'!$D$57:$AL$57,MATCH(D$7&amp;"",'Inputs (2)'!$D$2:$AL$2,0)),"")</f>
        <v/>
      </c>
      <c r="E23" s="269" t="str">
        <f>IFERROR(INDEX('Inputs (2)'!$D$57:$AL$57,MATCH(E$7&amp;"",'Inputs (2)'!$D$2:$AL$2,0)),"")</f>
        <v/>
      </c>
      <c r="F23" s="269" t="str">
        <f>IFERROR(INDEX('Inputs (2)'!$D$57:$AL$57,MATCH(F$7&amp;"",'Inputs (2)'!$D$2:$AL$2,0)),"")</f>
        <v/>
      </c>
      <c r="G23" s="269" t="str">
        <f>IFERROR(INDEX('Inputs (2)'!$D$57:$AL$57,MATCH(G$7&amp;"",'Inputs (2)'!$D$2:$AL$2,0)),"")</f>
        <v/>
      </c>
      <c r="H23" s="270" t="str">
        <f>IF(COUNT(D23:G23)=4,SUM(D23:G23),"")</f>
        <v/>
      </c>
      <c r="I23" s="269" t="str">
        <f>IFERROR(INDEX('Inputs (2)'!$D$57:$AL$57,MATCH(I$7&amp;"",'Inputs (2)'!$D$2:$AL$2,0)),"")</f>
        <v/>
      </c>
      <c r="J23" s="269" t="str">
        <f>IFERROR(INDEX('Inputs (2)'!$D$57:$AL$57,MATCH(J$7&amp;"",'Inputs (2)'!$D$2:$AL$2,0)),"")</f>
        <v/>
      </c>
      <c r="K23" s="269" t="str">
        <f>IFERROR(INDEX('Inputs (2)'!$D$57:$AL$57,MATCH(K$7&amp;"",'Inputs (2)'!$D$2:$AL$2,0)),"")</f>
        <v/>
      </c>
      <c r="L23" s="269" t="str">
        <f>IFERROR(INDEX('Inputs (2)'!$D$57:$AL$57,MATCH(L$7&amp;"",'Inputs (2)'!$D$2:$AL$2,0)),"")</f>
        <v/>
      </c>
      <c r="M23" s="270" t="str">
        <f>IF(COUNT(I23:L23)=4,SUM(I23:L23),"")</f>
        <v/>
      </c>
      <c r="N23" s="269" t="str">
        <f>IFERROR(INDEX('Inputs (2)'!$D$57:$AL$57,MATCH(N$7&amp;"",'Inputs (2)'!$D$2:$AL$2,0)),"")</f>
        <v/>
      </c>
      <c r="O23" s="269" t="str">
        <f>IFERROR(INDEX('Inputs (2)'!$D$57:$AL$57,MATCH(O$7&amp;"",'Inputs (2)'!$D$2:$AL$2,0)),"")</f>
        <v/>
      </c>
      <c r="P23" s="269" t="str">
        <f>IFERROR(INDEX('Inputs (2)'!$D$57:$AL$57,MATCH(P$7&amp;"",'Inputs (2)'!$D$2:$AL$2,0)),"")</f>
        <v/>
      </c>
      <c r="Q23" s="269" t="str">
        <f>IFERROR(INDEX('Inputs (2)'!$D$57:$AL$57,MATCH(Q$7&amp;"",'Inputs (2)'!$D$2:$AL$2,0)),"")</f>
        <v/>
      </c>
      <c r="R23" s="270" t="str">
        <f>IF(COUNT(N23:Q23)=4,SUM(N23:Q23),"")</f>
        <v/>
      </c>
      <c r="S23" s="269" t="str">
        <f>IFERROR(INDEX('Inputs (2)'!$D$57:$AL$57,MATCH(S$7&amp;"",'Inputs (2)'!$D$2:$AL$2,0)),"")</f>
        <v/>
      </c>
      <c r="T23" s="269" t="str">
        <f>IFERROR(INDEX('Inputs (2)'!$D$57:$AL$57,MATCH(T$7&amp;"",'Inputs (2)'!$D$2:$AL$2,0)),"")</f>
        <v/>
      </c>
      <c r="U23" s="269" t="str">
        <f>IFERROR(INDEX('Inputs (2)'!$D$57:$AL$57,MATCH(U$7&amp;"",'Inputs (2)'!$D$2:$AL$2,0)),"")</f>
        <v/>
      </c>
      <c r="V23" s="269" t="str">
        <f>IFERROR(INDEX('Inputs (2)'!$D$57:$AL$57,MATCH(V$7&amp;"",'Inputs (2)'!$D$2:$AL$2,0)),"")</f>
        <v/>
      </c>
      <c r="W23" s="270" t="str">
        <f>IF(COUNT(S23:V23)=4,SUM(S23:V23),"")</f>
        <v/>
      </c>
      <c r="X23" s="269" t="str">
        <f>IFERROR(INDEX('Inputs (2)'!$D$57:$AL$57,MATCH(X$7&amp;"",'Inputs (2)'!$D$2:$AL$2,0)),"")</f>
        <v/>
      </c>
      <c r="Y23" s="269" t="str">
        <f>IFERROR(INDEX('Inputs (2)'!$D$57:$AL$57,MATCH(Y$7&amp;"",'Inputs (2)'!$D$2:$AL$2,0)),"")</f>
        <v/>
      </c>
      <c r="Z23" s="269" t="str">
        <f>IFERROR(INDEX('Inputs (2)'!$D$57:$AL$57,MATCH(Z$7&amp;"",'Inputs (2)'!$D$2:$AL$2,0)),"")</f>
        <v/>
      </c>
      <c r="AA23" s="269" t="str">
        <f>IFERROR(INDEX('Inputs (2)'!$D$57:$AL$57,MATCH(AA$7&amp;"",'Inputs (2)'!$D$2:$AL$2,0)),"")</f>
        <v/>
      </c>
      <c r="AB23" s="270" t="str">
        <f>IF(COUNT(X23:AA23)=4,SUM(X23:AA23),"")</f>
        <v/>
      </c>
      <c r="AC23" s="269">
        <f>IFERROR(INDEX('Inputs (2)'!$D$57:$AL$57,MATCH(AC$7&amp;"",'Inputs (2)'!$D$2:$AL$2,0)),"")</f>
        <v>21513</v>
      </c>
      <c r="AD23" s="269">
        <f>IFERROR(INDEX('Inputs (2)'!$D$57:$AL$57,MATCH(AD$7&amp;"",'Inputs (2)'!$D$2:$AL$2,0)),"")</f>
        <v>16928</v>
      </c>
      <c r="AE23" s="269" t="str">
        <f>IFERROR(INDEX('Inputs (2)'!$D$57:$AL$57,MATCH(AE$7&amp;"",'Inputs (2)'!$D$2:$AL$2,0)),"")</f>
        <v/>
      </c>
      <c r="AF23" s="269" t="str">
        <f>IFERROR(INDEX('Inputs (2)'!$D$57:$AL$57,MATCH(AF$7&amp;"",'Inputs (2)'!$D$2:$AL$2,0)),"")</f>
        <v/>
      </c>
      <c r="AG23" s="270" t="str">
        <f>IF(COUNT(AC23:AF23)=4,SUM(AC23:AF23),"")</f>
        <v/>
      </c>
      <c r="AH23" s="270">
        <f>IFERROR(INDEX('Inputs (2)'!$D$57:$AL$57,MATCH(AH$7&amp;"",'Inputs (2)'!$D$2:$AL$2,0)),"")</f>
        <v>37377</v>
      </c>
      <c r="AI23" s="270">
        <f>IFERROR(INDEX('Inputs (2)'!$D$57:$AL$57,MATCH(AI$7&amp;"",'Inputs (2)'!$D$2:$AL$2,0)),"")</f>
        <v>40313</v>
      </c>
    </row>
    <row r="24">
      <c r="C24" s="271" t="inlineStr">
        <is>
          <t>Gaming (até 4T25)</t>
        </is>
      </c>
      <c r="D24" s="269" t="str">
        <f>IFERROR(INDEX('Inputs (2)'!$D$58:$AL$58,MATCH(D$7&amp;"",'Inputs (2)'!$D$2:$AL$2,0)),"")</f>
        <v/>
      </c>
      <c r="E24" s="269" t="str">
        <f>IFERROR(INDEX('Inputs (2)'!$D$58:$AL$58,MATCH(E$7&amp;"",'Inputs (2)'!$D$2:$AL$2,0)),"")</f>
        <v/>
      </c>
      <c r="F24" s="269" t="str">
        <f>IFERROR(INDEX('Inputs (2)'!$D$58:$AL$58,MATCH(F$7&amp;"",'Inputs (2)'!$D$2:$AL$2,0)),"")</f>
        <v/>
      </c>
      <c r="G24" s="269" t="str">
        <f>IFERROR(INDEX('Inputs (2)'!$D$58:$AL$58,MATCH(G$7&amp;"",'Inputs (2)'!$D$2:$AL$2,0)),"")</f>
        <v/>
      </c>
      <c r="H24" s="270" t="str">
        <f>IF(COUNT(D24:G24)=4,SUM(D24:G24),"")</f>
        <v/>
      </c>
      <c r="I24" s="269">
        <f>IFERROR(INDEX('Inputs (2)'!$D$58:$AL$58,MATCH(I$7&amp;"",'Inputs (2)'!$D$2:$AL$2,0)),"")</f>
        <v>2760</v>
      </c>
      <c r="J24" s="269">
        <f>IFERROR(INDEX('Inputs (2)'!$D$58:$AL$58,MATCH(J$7&amp;"",'Inputs (2)'!$D$2:$AL$2,0)),"")</f>
        <v>3061</v>
      </c>
      <c r="K24" s="269">
        <f>IFERROR(INDEX('Inputs (2)'!$D$58:$AL$58,MATCH(K$7&amp;"",'Inputs (2)'!$D$2:$AL$2,0)),"")</f>
        <v>3221</v>
      </c>
      <c r="L24" s="269">
        <f>IFERROR(INDEX('Inputs (2)'!$D$58:$AL$58,MATCH(L$7&amp;"",'Inputs (2)'!$D$2:$AL$2,0)),"")</f>
        <v>3420</v>
      </c>
      <c r="M24" s="270">
        <f>IF(COUNT(I24:L24)=4,SUM(I24:L24),"")</f>
        <v>12462</v>
      </c>
      <c r="N24" s="269">
        <f>IFERROR(INDEX('Inputs (2)'!$D$58:$AL$58,MATCH(N$7&amp;"",'Inputs (2)'!$D$2:$AL$2,0)),"")</f>
        <v>3620</v>
      </c>
      <c r="O24" s="269">
        <f>IFERROR(INDEX('Inputs (2)'!$D$58:$AL$58,MATCH(O$7&amp;"",'Inputs (2)'!$D$2:$AL$2,0)),"")</f>
        <v>2042</v>
      </c>
      <c r="P24" s="269">
        <f>IFERROR(INDEX('Inputs (2)'!$D$58:$AL$58,MATCH(P$7&amp;"",'Inputs (2)'!$D$2:$AL$2,0)),"")</f>
        <v>1574</v>
      </c>
      <c r="Q24" s="269">
        <f>IFERROR(INDEX('Inputs (2)'!$D$58:$AL$58,MATCH(Q$7&amp;"",'Inputs (2)'!$D$2:$AL$2,0)),"")</f>
        <v>1831</v>
      </c>
      <c r="R24" s="270">
        <f>IF(COUNT(N24:Q24)=4,SUM(N24:Q24),"")</f>
        <v>9067</v>
      </c>
      <c r="S24" s="269">
        <f>IFERROR(INDEX('Inputs (2)'!$D$58:$AL$58,MATCH(S$7&amp;"",'Inputs (2)'!$D$2:$AL$2,0)),"")</f>
        <v>2240</v>
      </c>
      <c r="T24" s="269">
        <f>IFERROR(INDEX('Inputs (2)'!$D$58:$AL$58,MATCH(T$7&amp;"",'Inputs (2)'!$D$2:$AL$2,0)),"")</f>
        <v>2486</v>
      </c>
      <c r="U24" s="269">
        <f>IFERROR(INDEX('Inputs (2)'!$D$58:$AL$58,MATCH(U$7&amp;"",'Inputs (2)'!$D$2:$AL$2,0)),"")</f>
        <v>2856</v>
      </c>
      <c r="V24" s="269">
        <f>IFERROR(INDEX('Inputs (2)'!$D$58:$AL$58,MATCH(V$7&amp;"",'Inputs (2)'!$D$2:$AL$2,0)),"")</f>
        <v>2865</v>
      </c>
      <c r="W24" s="270">
        <f>IF(COUNT(S24:V24)=4,SUM(S24:V24),"")</f>
        <v>10447</v>
      </c>
      <c r="X24" s="269">
        <f>IFERROR(INDEX('Inputs (2)'!$D$58:$AL$58,MATCH(X$7&amp;"",'Inputs (2)'!$D$2:$AL$2,0)),"")</f>
        <v>2647</v>
      </c>
      <c r="Y24" s="269">
        <f>IFERROR(INDEX('Inputs (2)'!$D$58:$AL$58,MATCH(Y$7&amp;"",'Inputs (2)'!$D$2:$AL$2,0)),"")</f>
        <v>2880</v>
      </c>
      <c r="Z24" s="269">
        <f>IFERROR(INDEX('Inputs (2)'!$D$58:$AL$58,MATCH(Z$7&amp;"",'Inputs (2)'!$D$2:$AL$2,0)),"")</f>
        <v>3279</v>
      </c>
      <c r="AA24" s="269">
        <f>IFERROR(INDEX('Inputs (2)'!$D$58:$AL$58,MATCH(AA$7&amp;"",'Inputs (2)'!$D$2:$AL$2,0)),"")</f>
        <v>2544</v>
      </c>
      <c r="AB24" s="270">
        <f>IF(COUNT(X24:AA24)=4,SUM(X24:AA24),"")</f>
        <v>11350</v>
      </c>
      <c r="AC24" s="269">
        <f>IFERROR(INDEX('Inputs (2)'!$D$58:$AL$58,MATCH(AC$7&amp;"",'Inputs (2)'!$D$2:$AL$2,0)),"")</f>
        <v>3763</v>
      </c>
      <c r="AD24" s="269">
        <f>IFERROR(INDEX('Inputs (2)'!$D$58:$AL$58,MATCH(AD$7&amp;"",'Inputs (2)'!$D$2:$AL$2,0)),"")</f>
        <v>4287</v>
      </c>
      <c r="AE24" s="269">
        <f>IFERROR(INDEX('Inputs (2)'!$D$58:$AL$58,MATCH(AE$7&amp;"",'Inputs (2)'!$D$2:$AL$2,0)),"")</f>
        <v>4265</v>
      </c>
      <c r="AF24" s="269">
        <f>IFERROR(INDEX('Inputs (2)'!$D$58:$AL$58,MATCH(AF$7&amp;"",'Inputs (2)'!$D$2:$AL$2,0)),"")</f>
        <v>3727</v>
      </c>
      <c r="AG24" s="270">
        <f>IF(COUNT(AC24:AF24)=4,SUM(AC24:AF24),"")</f>
        <v>16042</v>
      </c>
      <c r="AH24" s="270" t="str">
        <f>IFERROR(INDEX('Inputs (2)'!$D$58:$AL$58,MATCH(AH$7&amp;"",'Inputs (2)'!$D$2:$AL$2,0)),"")</f>
        <v/>
      </c>
      <c r="AI24" s="270" t="str">
        <f>IFERROR(INDEX('Inputs (2)'!$D$58:$AL$58,MATCH(AI$7&amp;"",'Inputs (2)'!$D$2:$AL$2,0)),"")</f>
        <v/>
      </c>
    </row>
    <row r="25">
      <c r="C25" s="271" t="inlineStr">
        <is>
          <t>Professional Visualization (até 4T25)</t>
        </is>
      </c>
      <c r="D25" s="269" t="str">
        <f>IFERROR(INDEX('Inputs (2)'!$D$59:$AL$59,MATCH(D$7&amp;"",'Inputs (2)'!$D$2:$AL$2,0)),"")</f>
        <v/>
      </c>
      <c r="E25" s="269" t="str">
        <f>IFERROR(INDEX('Inputs (2)'!$D$59:$AL$59,MATCH(E$7&amp;"",'Inputs (2)'!$D$2:$AL$2,0)),"")</f>
        <v/>
      </c>
      <c r="F25" s="269" t="str">
        <f>IFERROR(INDEX('Inputs (2)'!$D$59:$AL$59,MATCH(F$7&amp;"",'Inputs (2)'!$D$2:$AL$2,0)),"")</f>
        <v/>
      </c>
      <c r="G25" s="269" t="str">
        <f>IFERROR(INDEX('Inputs (2)'!$D$59:$AL$59,MATCH(G$7&amp;"",'Inputs (2)'!$D$2:$AL$2,0)),"")</f>
        <v/>
      </c>
      <c r="H25" s="270" t="str">
        <f>IF(COUNT(D25:G25)=4,SUM(D25:G25),"")</f>
        <v/>
      </c>
      <c r="I25" s="269">
        <f>IFERROR(INDEX('Inputs (2)'!$D$59:$AL$59,MATCH(I$7&amp;"",'Inputs (2)'!$D$2:$AL$2,0)),"")</f>
        <v>372</v>
      </c>
      <c r="J25" s="269">
        <f>IFERROR(INDEX('Inputs (2)'!$D$59:$AL$59,MATCH(J$7&amp;"",'Inputs (2)'!$D$2:$AL$2,0)),"")</f>
        <v>519</v>
      </c>
      <c r="K25" s="269">
        <f>IFERROR(INDEX('Inputs (2)'!$D$59:$AL$59,MATCH(K$7&amp;"",'Inputs (2)'!$D$2:$AL$2,0)),"")</f>
        <v>577</v>
      </c>
      <c r="L25" s="269">
        <f>IFERROR(INDEX('Inputs (2)'!$D$59:$AL$59,MATCH(L$7&amp;"",'Inputs (2)'!$D$2:$AL$2,0)),"")</f>
        <v>643</v>
      </c>
      <c r="M25" s="270">
        <f>IF(COUNT(I25:L25)=4,SUM(I25:L25),"")</f>
        <v>2111</v>
      </c>
      <c r="N25" s="269">
        <f>IFERROR(INDEX('Inputs (2)'!$D$59:$AL$59,MATCH(N$7&amp;"",'Inputs (2)'!$D$2:$AL$2,0)),"")</f>
        <v>622</v>
      </c>
      <c r="O25" s="269">
        <f>IFERROR(INDEX('Inputs (2)'!$D$59:$AL$59,MATCH(O$7&amp;"",'Inputs (2)'!$D$2:$AL$2,0)),"")</f>
        <v>496</v>
      </c>
      <c r="P25" s="269">
        <f>IFERROR(INDEX('Inputs (2)'!$D$59:$AL$59,MATCH(P$7&amp;"",'Inputs (2)'!$D$2:$AL$2,0)),"")</f>
        <v>200</v>
      </c>
      <c r="Q25" s="269">
        <f>IFERROR(INDEX('Inputs (2)'!$D$59:$AL$59,MATCH(Q$7&amp;"",'Inputs (2)'!$D$2:$AL$2,0)),"")</f>
        <v>226</v>
      </c>
      <c r="R25" s="270">
        <f>IF(COUNT(N25:Q25)=4,SUM(N25:Q25),"")</f>
        <v>1544</v>
      </c>
      <c r="S25" s="269">
        <f>IFERROR(INDEX('Inputs (2)'!$D$59:$AL$59,MATCH(S$7&amp;"",'Inputs (2)'!$D$2:$AL$2,0)),"")</f>
        <v>295</v>
      </c>
      <c r="T25" s="269">
        <f>IFERROR(INDEX('Inputs (2)'!$D$59:$AL$59,MATCH(T$7&amp;"",'Inputs (2)'!$D$2:$AL$2,0)),"")</f>
        <v>379</v>
      </c>
      <c r="U25" s="269">
        <f>IFERROR(INDEX('Inputs (2)'!$D$59:$AL$59,MATCH(U$7&amp;"",'Inputs (2)'!$D$2:$AL$2,0)),"")</f>
        <v>416</v>
      </c>
      <c r="V25" s="269">
        <f>IFERROR(INDEX('Inputs (2)'!$D$59:$AL$59,MATCH(V$7&amp;"",'Inputs (2)'!$D$2:$AL$2,0)),"")</f>
        <v>463</v>
      </c>
      <c r="W25" s="270">
        <f>IF(COUNT(S25:V25)=4,SUM(S25:V25),"")</f>
        <v>1553</v>
      </c>
      <c r="X25" s="269">
        <f>IFERROR(INDEX('Inputs (2)'!$D$59:$AL$59,MATCH(X$7&amp;"",'Inputs (2)'!$D$2:$AL$2,0)),"")</f>
        <v>427</v>
      </c>
      <c r="Y25" s="269">
        <f>IFERROR(INDEX('Inputs (2)'!$D$59:$AL$59,MATCH(Y$7&amp;"",'Inputs (2)'!$D$2:$AL$2,0)),"")</f>
        <v>454</v>
      </c>
      <c r="Z25" s="269">
        <f>IFERROR(INDEX('Inputs (2)'!$D$59:$AL$59,MATCH(Z$7&amp;"",'Inputs (2)'!$D$2:$AL$2,0)),"")</f>
        <v>486</v>
      </c>
      <c r="AA25" s="269">
        <f>IFERROR(INDEX('Inputs (2)'!$D$59:$AL$59,MATCH(AA$7&amp;"",'Inputs (2)'!$D$2:$AL$2,0)),"")</f>
        <v>511</v>
      </c>
      <c r="AB25" s="270">
        <f>IF(COUNT(X25:AA25)=4,SUM(X25:AA25),"")</f>
        <v>1878</v>
      </c>
      <c r="AC25" s="269">
        <f>IFERROR(INDEX('Inputs (2)'!$D$59:$AL$59,MATCH(AC$7&amp;"",'Inputs (2)'!$D$2:$AL$2,0)),"")</f>
        <v>509</v>
      </c>
      <c r="AD25" s="269">
        <f>IFERROR(INDEX('Inputs (2)'!$D$59:$AL$59,MATCH(AD$7&amp;"",'Inputs (2)'!$D$2:$AL$2,0)),"")</f>
        <v>601</v>
      </c>
      <c r="AE25" s="269">
        <f>IFERROR(INDEX('Inputs (2)'!$D$59:$AL$59,MATCH(AE$7&amp;"",'Inputs (2)'!$D$2:$AL$2,0)),"")</f>
        <v>760</v>
      </c>
      <c r="AF25" s="269">
        <f>IFERROR(INDEX('Inputs (2)'!$D$59:$AL$59,MATCH(AF$7&amp;"",'Inputs (2)'!$D$2:$AL$2,0)),"")</f>
        <v>1321</v>
      </c>
      <c r="AG25" s="270">
        <f>IF(COUNT(AC25:AF25)=4,SUM(AC25:AF25),"")</f>
        <v>3191</v>
      </c>
      <c r="AH25" s="270" t="str">
        <f>IFERROR(INDEX('Inputs (2)'!$D$59:$AL$59,MATCH(AH$7&amp;"",'Inputs (2)'!$D$2:$AL$2,0)),"")</f>
        <v/>
      </c>
      <c r="AI25" s="270" t="str">
        <f>IFERROR(INDEX('Inputs (2)'!$D$59:$AL$59,MATCH(AI$7&amp;"",'Inputs (2)'!$D$2:$AL$2,0)),"")</f>
        <v/>
      </c>
    </row>
    <row r="26">
      <c r="C26" s="271" t="inlineStr">
        <is>
          <t>Automotive (até 4T25)</t>
        </is>
      </c>
      <c r="D26" s="269" t="str">
        <f>IFERROR(INDEX('Inputs (2)'!$D$60:$AL$60,MATCH(D$7&amp;"",'Inputs (2)'!$D$2:$AL$2,0)),"")</f>
        <v/>
      </c>
      <c r="E26" s="269" t="str">
        <f>IFERROR(INDEX('Inputs (2)'!$D$60:$AL$60,MATCH(E$7&amp;"",'Inputs (2)'!$D$2:$AL$2,0)),"")</f>
        <v/>
      </c>
      <c r="F26" s="269" t="str">
        <f>IFERROR(INDEX('Inputs (2)'!$D$60:$AL$60,MATCH(F$7&amp;"",'Inputs (2)'!$D$2:$AL$2,0)),"")</f>
        <v/>
      </c>
      <c r="G26" s="269" t="str">
        <f>IFERROR(INDEX('Inputs (2)'!$D$60:$AL$60,MATCH(G$7&amp;"",'Inputs (2)'!$D$2:$AL$2,0)),"")</f>
        <v/>
      </c>
      <c r="H26" s="270" t="str">
        <f>IF(COUNT(D26:G26)=4,SUM(D26:G26),"")</f>
        <v/>
      </c>
      <c r="I26" s="269">
        <f>IFERROR(INDEX('Inputs (2)'!$D$60:$AL$60,MATCH(I$7&amp;"",'Inputs (2)'!$D$2:$AL$2,0)),"")</f>
        <v>154</v>
      </c>
      <c r="J26" s="269">
        <f>IFERROR(INDEX('Inputs (2)'!$D$60:$AL$60,MATCH(J$7&amp;"",'Inputs (2)'!$D$2:$AL$2,0)),"")</f>
        <v>152</v>
      </c>
      <c r="K26" s="269">
        <f>IFERROR(INDEX('Inputs (2)'!$D$60:$AL$60,MATCH(K$7&amp;"",'Inputs (2)'!$D$2:$AL$2,0)),"")</f>
        <v>135</v>
      </c>
      <c r="L26" s="269">
        <f>IFERROR(INDEX('Inputs (2)'!$D$60:$AL$60,MATCH(L$7&amp;"",'Inputs (2)'!$D$2:$AL$2,0)),"")</f>
        <v>125</v>
      </c>
      <c r="M26" s="270">
        <f>IF(COUNT(I26:L26)=4,SUM(I26:L26),"")</f>
        <v>566</v>
      </c>
      <c r="N26" s="269">
        <f>IFERROR(INDEX('Inputs (2)'!$D$60:$AL$60,MATCH(N$7&amp;"",'Inputs (2)'!$D$2:$AL$2,0)),"")</f>
        <v>138</v>
      </c>
      <c r="O26" s="269">
        <f>IFERROR(INDEX('Inputs (2)'!$D$60:$AL$60,MATCH(O$7&amp;"",'Inputs (2)'!$D$2:$AL$2,0)),"")</f>
        <v>220</v>
      </c>
      <c r="P26" s="269">
        <f>IFERROR(INDEX('Inputs (2)'!$D$60:$AL$60,MATCH(P$7&amp;"",'Inputs (2)'!$D$2:$AL$2,0)),"")</f>
        <v>251</v>
      </c>
      <c r="Q26" s="269">
        <f>IFERROR(INDEX('Inputs (2)'!$D$60:$AL$60,MATCH(Q$7&amp;"",'Inputs (2)'!$D$2:$AL$2,0)),"")</f>
        <v>294</v>
      </c>
      <c r="R26" s="270">
        <f>IF(COUNT(N26:Q26)=4,SUM(N26:Q26),"")</f>
        <v>903</v>
      </c>
      <c r="S26" s="269">
        <f>IFERROR(INDEX('Inputs (2)'!$D$60:$AL$60,MATCH(S$7&amp;"",'Inputs (2)'!$D$2:$AL$2,0)),"")</f>
        <v>296</v>
      </c>
      <c r="T26" s="269">
        <f>IFERROR(INDEX('Inputs (2)'!$D$60:$AL$60,MATCH(T$7&amp;"",'Inputs (2)'!$D$2:$AL$2,0)),"")</f>
        <v>253</v>
      </c>
      <c r="U26" s="269">
        <f>IFERROR(INDEX('Inputs (2)'!$D$60:$AL$60,MATCH(U$7&amp;"",'Inputs (2)'!$D$2:$AL$2,0)),"")</f>
        <v>261</v>
      </c>
      <c r="V26" s="269">
        <f>IFERROR(INDEX('Inputs (2)'!$D$60:$AL$60,MATCH(V$7&amp;"",'Inputs (2)'!$D$2:$AL$2,0)),"")</f>
        <v>281</v>
      </c>
      <c r="W26" s="270">
        <f>IF(COUNT(S26:V26)=4,SUM(S26:V26),"")</f>
        <v>1091</v>
      </c>
      <c r="X26" s="269">
        <f>IFERROR(INDEX('Inputs (2)'!$D$60:$AL$60,MATCH(X$7&amp;"",'Inputs (2)'!$D$2:$AL$2,0)),"")</f>
        <v>329</v>
      </c>
      <c r="Y26" s="269">
        <f>IFERROR(INDEX('Inputs (2)'!$D$60:$AL$60,MATCH(Y$7&amp;"",'Inputs (2)'!$D$2:$AL$2,0)),"")</f>
        <v>346</v>
      </c>
      <c r="Z26" s="269">
        <f>IFERROR(INDEX('Inputs (2)'!$D$60:$AL$60,MATCH(Z$7&amp;"",'Inputs (2)'!$D$2:$AL$2,0)),"")</f>
        <v>449</v>
      </c>
      <c r="AA26" s="269">
        <f>IFERROR(INDEX('Inputs (2)'!$D$60:$AL$60,MATCH(AA$7&amp;"",'Inputs (2)'!$D$2:$AL$2,0)),"")</f>
        <v>570</v>
      </c>
      <c r="AB26" s="270">
        <f>IF(COUNT(X26:AA26)=4,SUM(X26:AA26),"")</f>
        <v>1694</v>
      </c>
      <c r="AC26" s="269">
        <f>IFERROR(INDEX('Inputs (2)'!$D$60:$AL$60,MATCH(AC$7&amp;"",'Inputs (2)'!$D$2:$AL$2,0)),"")</f>
        <v>567</v>
      </c>
      <c r="AD26" s="269">
        <f>IFERROR(INDEX('Inputs (2)'!$D$60:$AL$60,MATCH(AD$7&amp;"",'Inputs (2)'!$D$2:$AL$2,0)),"")</f>
        <v>586</v>
      </c>
      <c r="AE26" s="269">
        <f>IFERROR(INDEX('Inputs (2)'!$D$60:$AL$60,MATCH(AE$7&amp;"",'Inputs (2)'!$D$2:$AL$2,0)),"")</f>
        <v>592</v>
      </c>
      <c r="AF26" s="269">
        <f>IFERROR(INDEX('Inputs (2)'!$D$60:$AL$60,MATCH(AF$7&amp;"",'Inputs (2)'!$D$2:$AL$2,0)),"")</f>
        <v>604</v>
      </c>
      <c r="AG26" s="270">
        <f>IF(COUNT(AC26:AF26)=4,SUM(AC26:AF26),"")</f>
        <v>2349</v>
      </c>
      <c r="AH26" s="270" t="str">
        <f>IFERROR(INDEX('Inputs (2)'!$D$60:$AL$60,MATCH(AH$7&amp;"",'Inputs (2)'!$D$2:$AL$2,0)),"")</f>
        <v/>
      </c>
      <c r="AI26" s="270" t="str">
        <f>IFERROR(INDEX('Inputs (2)'!$D$60:$AL$60,MATCH(AI$7&amp;"",'Inputs (2)'!$D$2:$AL$2,0)),"")</f>
        <v/>
      </c>
    </row>
    <row r="27">
      <c r="C27" s="271" t="inlineStr">
        <is>
          <t>OEM &amp; Other (até 4T25)</t>
        </is>
      </c>
      <c r="D27" s="269" t="str">
        <f>IFERROR(INDEX('Inputs (2)'!$D$61:$AL$61,MATCH(D$7&amp;"",'Inputs (2)'!$D$2:$AL$2,0)),"")</f>
        <v/>
      </c>
      <c r="E27" s="269" t="str">
        <f>IFERROR(INDEX('Inputs (2)'!$D$61:$AL$61,MATCH(E$7&amp;"",'Inputs (2)'!$D$2:$AL$2,0)),"")</f>
        <v/>
      </c>
      <c r="F27" s="269" t="str">
        <f>IFERROR(INDEX('Inputs (2)'!$D$61:$AL$61,MATCH(F$7&amp;"",'Inputs (2)'!$D$2:$AL$2,0)),"")</f>
        <v/>
      </c>
      <c r="G27" s="269" t="str">
        <f>IFERROR(INDEX('Inputs (2)'!$D$61:$AL$61,MATCH(G$7&amp;"",'Inputs (2)'!$D$2:$AL$2,0)),"")</f>
        <v/>
      </c>
      <c r="H27" s="270" t="str">
        <f>IF(COUNT(D27:G27)=4,SUM(D27:G27),"")</f>
        <v/>
      </c>
      <c r="I27" s="269">
        <f>IFERROR(INDEX('Inputs (2)'!$D$61:$AL$61,MATCH(I$7&amp;"",'Inputs (2)'!$D$2:$AL$2,0)),"")</f>
        <v>327</v>
      </c>
      <c r="J27" s="269">
        <f>IFERROR(INDEX('Inputs (2)'!$D$61:$AL$61,MATCH(J$7&amp;"",'Inputs (2)'!$D$2:$AL$2,0)),"")</f>
        <v>409</v>
      </c>
      <c r="K27" s="269">
        <f>IFERROR(INDEX('Inputs (2)'!$D$61:$AL$61,MATCH(K$7&amp;"",'Inputs (2)'!$D$2:$AL$2,0)),"")</f>
        <v>234</v>
      </c>
      <c r="L27" s="269">
        <f>IFERROR(INDEX('Inputs (2)'!$D$61:$AL$61,MATCH(L$7&amp;"",'Inputs (2)'!$D$2:$AL$2,0)),"")</f>
        <v>192</v>
      </c>
      <c r="M27" s="270">
        <f>IF(COUNT(I27:L27)=4,SUM(I27:L27),"")</f>
        <v>1162</v>
      </c>
      <c r="N27" s="269">
        <f>IFERROR(INDEX('Inputs (2)'!$D$61:$AL$61,MATCH(N$7&amp;"",'Inputs (2)'!$D$2:$AL$2,0)),"")</f>
        <v>158</v>
      </c>
      <c r="O27" s="269">
        <f>IFERROR(INDEX('Inputs (2)'!$D$61:$AL$61,MATCH(O$7&amp;"",'Inputs (2)'!$D$2:$AL$2,0)),"")</f>
        <v>140</v>
      </c>
      <c r="P27" s="269">
        <f>IFERROR(INDEX('Inputs (2)'!$D$61:$AL$61,MATCH(P$7&amp;"",'Inputs (2)'!$D$2:$AL$2,0)),"")</f>
        <v>73</v>
      </c>
      <c r="Q27" s="269">
        <f>IFERROR(INDEX('Inputs (2)'!$D$61:$AL$61,MATCH(Q$7&amp;"",'Inputs (2)'!$D$2:$AL$2,0)),"")</f>
        <v>84</v>
      </c>
      <c r="R27" s="270">
        <f>IF(COUNT(N27:Q27)=4,SUM(N27:Q27),"")</f>
        <v>455</v>
      </c>
      <c r="S27" s="269">
        <f>IFERROR(INDEX('Inputs (2)'!$D$61:$AL$61,MATCH(S$7&amp;"",'Inputs (2)'!$D$2:$AL$2,0)),"")</f>
        <v>77</v>
      </c>
      <c r="T27" s="269">
        <f>IFERROR(INDEX('Inputs (2)'!$D$61:$AL$61,MATCH(T$7&amp;"",'Inputs (2)'!$D$2:$AL$2,0)),"")</f>
        <v>66</v>
      </c>
      <c r="U27" s="269">
        <f>IFERROR(INDEX('Inputs (2)'!$D$61:$AL$61,MATCH(U$7&amp;"",'Inputs (2)'!$D$2:$AL$2,0)),"")</f>
        <v>73</v>
      </c>
      <c r="V27" s="269">
        <f>IFERROR(INDEX('Inputs (2)'!$D$61:$AL$61,MATCH(V$7&amp;"",'Inputs (2)'!$D$2:$AL$2,0)),"")</f>
        <v>90</v>
      </c>
      <c r="W27" s="270">
        <f>IF(COUNT(S27:V27)=4,SUM(S27:V27),"")</f>
        <v>306</v>
      </c>
      <c r="X27" s="269">
        <f>IFERROR(INDEX('Inputs (2)'!$D$61:$AL$61,MATCH(X$7&amp;"",'Inputs (2)'!$D$2:$AL$2,0)),"")</f>
        <v>78</v>
      </c>
      <c r="Y27" s="269">
        <f>IFERROR(INDEX('Inputs (2)'!$D$61:$AL$61,MATCH(Y$7&amp;"",'Inputs (2)'!$D$2:$AL$2,0)),"")</f>
        <v>88</v>
      </c>
      <c r="Z27" s="269">
        <f>IFERROR(INDEX('Inputs (2)'!$D$61:$AL$61,MATCH(Z$7&amp;"",'Inputs (2)'!$D$2:$AL$2,0)),"")</f>
        <v>97</v>
      </c>
      <c r="AA27" s="269">
        <f>IFERROR(INDEX('Inputs (2)'!$D$61:$AL$61,MATCH(AA$7&amp;"",'Inputs (2)'!$D$2:$AL$2,0)),"")</f>
        <v>126</v>
      </c>
      <c r="AB27" s="270">
        <f>IF(COUNT(X27:AA27)=4,SUM(X27:AA27),"")</f>
        <v>389</v>
      </c>
      <c r="AC27" s="269">
        <f>IFERROR(INDEX('Inputs (2)'!$D$61:$AL$61,MATCH(AC$7&amp;"",'Inputs (2)'!$D$2:$AL$2,0)),"")</f>
        <v>111</v>
      </c>
      <c r="AD27" s="269">
        <f>IFERROR(INDEX('Inputs (2)'!$D$61:$AL$61,MATCH(AD$7&amp;"",'Inputs (2)'!$D$2:$AL$2,0)),"")</f>
        <v>173</v>
      </c>
      <c r="AE27" s="269">
        <f>IFERROR(INDEX('Inputs (2)'!$D$61:$AL$61,MATCH(AE$7&amp;"",'Inputs (2)'!$D$2:$AL$2,0)),"")</f>
        <v>174</v>
      </c>
      <c r="AF27" s="269">
        <f>IFERROR(INDEX('Inputs (2)'!$D$61:$AL$61,MATCH(AF$7&amp;"",'Inputs (2)'!$D$2:$AL$2,0)),"")</f>
        <v>161</v>
      </c>
      <c r="AG27" s="270">
        <f>IF(COUNT(AC27:AF27)=4,SUM(AC27:AF27),"")</f>
        <v>619</v>
      </c>
      <c r="AH27" s="270" t="str">
        <f>IFERROR(INDEX('Inputs (2)'!$D$61:$AL$61,MATCH(AH$7&amp;"",'Inputs (2)'!$D$2:$AL$2,0)),"")</f>
        <v/>
      </c>
      <c r="AI27" s="270" t="str">
        <f>IFERROR(INDEX('Inputs (2)'!$D$61:$AL$61,MATCH(AI$7&amp;"",'Inputs (2)'!$D$2:$AL$2,0)),"")</f>
        <v/>
      </c>
    </row>
    <row r="28">
      <c r="C28" s="271" t="inlineStr">
        <is>
          <t>Edge Computing (1T25-2T25 reapresentados; soma só a partir de 1T26)</t>
        </is>
      </c>
      <c r="D28" s="269" t="str">
        <f>IFERROR(INDEX('Inputs (2)'!$D$62:$AL$62,MATCH(D$7&amp;"",'Inputs (2)'!$D$2:$AL$2,0)),"")</f>
        <v/>
      </c>
      <c r="E28" s="269" t="str">
        <f>IFERROR(INDEX('Inputs (2)'!$D$62:$AL$62,MATCH(E$7&amp;"",'Inputs (2)'!$D$2:$AL$2,0)),"")</f>
        <v/>
      </c>
      <c r="F28" s="269" t="str">
        <f>IFERROR(INDEX('Inputs (2)'!$D$62:$AL$62,MATCH(F$7&amp;"",'Inputs (2)'!$D$2:$AL$2,0)),"")</f>
        <v/>
      </c>
      <c r="G28" s="269" t="str">
        <f>IFERROR(INDEX('Inputs (2)'!$D$62:$AL$62,MATCH(G$7&amp;"",'Inputs (2)'!$D$2:$AL$2,0)),"")</f>
        <v/>
      </c>
      <c r="H28" s="270" t="str">
        <f>IF(COUNT(D28:G28)=4,SUM(D28:G28),"")</f>
        <v/>
      </c>
      <c r="I28" s="269" t="str">
        <f>IFERROR(INDEX('Inputs (2)'!$D$62:$AL$62,MATCH(I$7&amp;"",'Inputs (2)'!$D$2:$AL$2,0)),"")</f>
        <v/>
      </c>
      <c r="J28" s="269" t="str">
        <f>IFERROR(INDEX('Inputs (2)'!$D$62:$AL$62,MATCH(J$7&amp;"",'Inputs (2)'!$D$2:$AL$2,0)),"")</f>
        <v/>
      </c>
      <c r="K28" s="269" t="str">
        <f>IFERROR(INDEX('Inputs (2)'!$D$62:$AL$62,MATCH(K$7&amp;"",'Inputs (2)'!$D$2:$AL$2,0)),"")</f>
        <v/>
      </c>
      <c r="L28" s="269" t="str">
        <f>IFERROR(INDEX('Inputs (2)'!$D$62:$AL$62,MATCH(L$7&amp;"",'Inputs (2)'!$D$2:$AL$2,0)),"")</f>
        <v/>
      </c>
      <c r="M28" s="270" t="str">
        <f>IF(COUNT(I28:L28)=4,SUM(I28:L28),"")</f>
        <v/>
      </c>
      <c r="N28" s="269" t="str">
        <f>IFERROR(INDEX('Inputs (2)'!$D$62:$AL$62,MATCH(N$7&amp;"",'Inputs (2)'!$D$2:$AL$2,0)),"")</f>
        <v/>
      </c>
      <c r="O28" s="269" t="str">
        <f>IFERROR(INDEX('Inputs (2)'!$D$62:$AL$62,MATCH(O$7&amp;"",'Inputs (2)'!$D$2:$AL$2,0)),"")</f>
        <v/>
      </c>
      <c r="P28" s="269" t="str">
        <f>IFERROR(INDEX('Inputs (2)'!$D$62:$AL$62,MATCH(P$7&amp;"",'Inputs (2)'!$D$2:$AL$2,0)),"")</f>
        <v/>
      </c>
      <c r="Q28" s="269" t="str">
        <f>IFERROR(INDEX('Inputs (2)'!$D$62:$AL$62,MATCH(Q$7&amp;"",'Inputs (2)'!$D$2:$AL$2,0)),"")</f>
        <v/>
      </c>
      <c r="R28" s="270" t="str">
        <f>IF(COUNT(N28:Q28)=4,SUM(N28:Q28),"")</f>
        <v/>
      </c>
      <c r="S28" s="269" t="str">
        <f>IFERROR(INDEX('Inputs (2)'!$D$62:$AL$62,MATCH(S$7&amp;"",'Inputs (2)'!$D$2:$AL$2,0)),"")</f>
        <v/>
      </c>
      <c r="T28" s="269" t="str">
        <f>IFERROR(INDEX('Inputs (2)'!$D$62:$AL$62,MATCH(T$7&amp;"",'Inputs (2)'!$D$2:$AL$2,0)),"")</f>
        <v/>
      </c>
      <c r="U28" s="269" t="str">
        <f>IFERROR(INDEX('Inputs (2)'!$D$62:$AL$62,MATCH(U$7&amp;"",'Inputs (2)'!$D$2:$AL$2,0)),"")</f>
        <v/>
      </c>
      <c r="V28" s="269" t="str">
        <f>IFERROR(INDEX('Inputs (2)'!$D$62:$AL$62,MATCH(V$7&amp;"",'Inputs (2)'!$D$2:$AL$2,0)),"")</f>
        <v/>
      </c>
      <c r="W28" s="270" t="str">
        <f>IF(COUNT(S28:V28)=4,SUM(S28:V28),"")</f>
        <v/>
      </c>
      <c r="X28" s="269" t="str">
        <f>IFERROR(INDEX('Inputs (2)'!$D$62:$AL$62,MATCH(X$7&amp;"",'Inputs (2)'!$D$2:$AL$2,0)),"")</f>
        <v/>
      </c>
      <c r="Y28" s="269" t="str">
        <f>IFERROR(INDEX('Inputs (2)'!$D$62:$AL$62,MATCH(Y$7&amp;"",'Inputs (2)'!$D$2:$AL$2,0)),"")</f>
        <v/>
      </c>
      <c r="Z28" s="269" t="str">
        <f>IFERROR(INDEX('Inputs (2)'!$D$62:$AL$62,MATCH(Z$7&amp;"",'Inputs (2)'!$D$2:$AL$2,0)),"")</f>
        <v/>
      </c>
      <c r="AA28" s="269" t="str">
        <f>IFERROR(INDEX('Inputs (2)'!$D$62:$AL$62,MATCH(AA$7&amp;"",'Inputs (2)'!$D$2:$AL$2,0)),"")</f>
        <v/>
      </c>
      <c r="AB28" s="270" t="str">
        <f>IF(COUNT(X28:AA28)=4,SUM(X28:AA28),"")</f>
        <v/>
      </c>
      <c r="AC28" s="269">
        <f>IFERROR(INDEX('Inputs (2)'!$D$62:$AL$62,MATCH(AC$7&amp;"",'Inputs (2)'!$D$2:$AL$2,0)),"")</f>
        <v>4950</v>
      </c>
      <c r="AD28" s="269">
        <f>IFERROR(INDEX('Inputs (2)'!$D$62:$AL$62,MATCH(AD$7&amp;"",'Inputs (2)'!$D$2:$AL$2,0)),"")</f>
        <v>5647</v>
      </c>
      <c r="AE28" s="269" t="str">
        <f>IFERROR(INDEX('Inputs (2)'!$D$62:$AL$62,MATCH(AE$7&amp;"",'Inputs (2)'!$D$2:$AL$2,0)),"")</f>
        <v/>
      </c>
      <c r="AF28" s="269" t="str">
        <f>IFERROR(INDEX('Inputs (2)'!$D$62:$AL$62,MATCH(AF$7&amp;"",'Inputs (2)'!$D$2:$AL$2,0)),"")</f>
        <v/>
      </c>
      <c r="AG28" s="270" t="str">
        <f>IF(COUNT(AC28:AF28)=4,SUM(AC28:AF28),"")</f>
        <v/>
      </c>
      <c r="AH28" s="270">
        <f>IFERROR(INDEX('Inputs (2)'!$D$62:$AL$62,MATCH(AH$7&amp;"",'Inputs (2)'!$D$2:$AL$2,0)),"")</f>
        <v>6369</v>
      </c>
      <c r="AI28" s="270">
        <f>IFERROR(INDEX('Inputs (2)'!$D$62:$AL$62,MATCH(AI$7&amp;"",'Inputs (2)'!$D$2:$AL$2,0)),"")</f>
        <v>7198</v>
      </c>
    </row>
    <row r="29">
      <c r="C29" s="268" t="inlineStr">
        <is>
          <t>Receita total (Data Center + Gaming/ProViz/Auto/OEM; Edge Computing onde a abertura antiga não existe)</t>
        </is>
      </c>
      <c r="D29" s="269" t="str">
        <f>IF(COUNT(D19)=0,"",N(D19)+IF(COUNT(D24,D25,D26,D27)&gt;0,N(D24)+N(D25)+N(D26)+N(D27),N(D28)))</f>
        <v/>
      </c>
      <c r="E29" s="269" t="str">
        <f>IF(COUNT(E19)=0,"",N(E19)+IF(COUNT(E24,E25,E26,E27)&gt;0,N(E24)+N(E25)+N(E26)+N(E27),N(E28)))</f>
        <v/>
      </c>
      <c r="F29" s="269" t="str">
        <f>IF(COUNT(F19)=0,"",N(F19)+IF(COUNT(F24,F25,F26,F27)&gt;0,N(F24)+N(F25)+N(F26)+N(F27),N(F28)))</f>
        <v/>
      </c>
      <c r="G29" s="269" t="str">
        <f>IF(COUNT(G19)=0,"",N(G19)+IF(COUNT(G24,G25,G26,G27)&gt;0,N(G24)+N(G25)+N(G26)+N(G27),N(G28)))</f>
        <v/>
      </c>
      <c r="H29" s="270" t="str">
        <f>IF(COUNT(H19)=0,"",N(H19)+IF(COUNT(H24,H25,H26,H27)&gt;0,N(H24)+N(H25)+N(H26)+N(H27),N(H28)))</f>
        <v/>
      </c>
      <c r="I29" s="269">
        <f>IF(COUNT(I19)=0,"",N(I19)+IF(COUNT(I24,I25,I26,I27)&gt;0,N(I24)+N(I25)+N(I26)+N(I27),N(I28)))</f>
        <v>5661</v>
      </c>
      <c r="J29" s="269">
        <f>IF(COUNT(J19)=0,"",N(J19)+IF(COUNT(J24,J25,J26,J27)&gt;0,N(J24)+N(J25)+N(J26)+N(J27),N(J28)))</f>
        <v>6507</v>
      </c>
      <c r="K29" s="269">
        <f>IF(COUNT(K19)=0,"",N(K19)+IF(COUNT(K24,K25,K26,K27)&gt;0,N(K24)+N(K25)+N(K26)+N(K27),N(K28)))</f>
        <v>7103</v>
      </c>
      <c r="L29" s="269">
        <f>IF(COUNT(L19)=0,"",N(L19)+IF(COUNT(L24,L25,L26,L27)&gt;0,N(L24)+N(L25)+N(L26)+N(L27),N(L28)))</f>
        <v>7643</v>
      </c>
      <c r="M29" s="270">
        <f>IF(COUNT(M19)=0,"",N(M19)+IF(COUNT(M24,M25,M26,M27)&gt;0,N(M24)+N(M25)+N(M26)+N(M27),N(M28)))</f>
        <v>26914</v>
      </c>
      <c r="N29" s="269">
        <f>IF(COUNT(N19)=0,"",N(N19)+IF(COUNT(N24,N25,N26,N27)&gt;0,N(N24)+N(N25)+N(N26)+N(N27),N(N28)))</f>
        <v>8288</v>
      </c>
      <c r="O29" s="269">
        <f>IF(COUNT(O19)=0,"",N(O19)+IF(COUNT(O24,O25,O26,O27)&gt;0,N(O24)+N(O25)+N(O26)+N(O27),N(O28)))</f>
        <v>6704</v>
      </c>
      <c r="P29" s="269">
        <f>IF(COUNT(P19)=0,"",N(P19)+IF(COUNT(P24,P25,P26,P27)&gt;0,N(P24)+N(P25)+N(P26)+N(P27),N(P28)))</f>
        <v>5931</v>
      </c>
      <c r="Q29" s="269">
        <f>IF(COUNT(Q19)=0,"",N(Q19)+IF(COUNT(Q24,Q25,Q26,Q27)&gt;0,N(Q24)+N(Q25)+N(Q26)+N(Q27),N(Q28)))</f>
        <v>6051</v>
      </c>
      <c r="R29" s="270">
        <f>IF(COUNT(R19)=0,"",N(R19)+IF(COUNT(R24,R25,R26,R27)&gt;0,N(R24)+N(R25)+N(R26)+N(R27),N(R28)))</f>
        <v>26974</v>
      </c>
      <c r="S29" s="269">
        <f>IF(COUNT(S19)=0,"",N(S19)+IF(COUNT(S24,S25,S26,S27)&gt;0,N(S24)+N(S25)+N(S26)+N(S27),N(S28)))</f>
        <v>7192</v>
      </c>
      <c r="T29" s="269">
        <f>IF(COUNT(T19)=0,"",N(T19)+IF(COUNT(T24,T25,T26,T27)&gt;0,N(T24)+N(T25)+N(T26)+N(T27),N(T28)))</f>
        <v>13507</v>
      </c>
      <c r="U29" s="269">
        <f>IF(COUNT(U19)=0,"",N(U19)+IF(COUNT(U24,U25,U26,U27)&gt;0,N(U24)+N(U25)+N(U26)+N(U27),N(U28)))</f>
        <v>18120</v>
      </c>
      <c r="V29" s="269">
        <f>IF(COUNT(V19)=0,"",N(V19)+IF(COUNT(V24,V25,V26,V27)&gt;0,N(V24)+N(V25)+N(V26)+N(V27),N(V28)))</f>
        <v>22103</v>
      </c>
      <c r="W29" s="270">
        <f>IF(COUNT(W19)=0,"",N(W19)+IF(COUNT(W24,W25,W26,W27)&gt;0,N(W24)+N(W25)+N(W26)+N(W27),N(W28)))</f>
        <v>60922</v>
      </c>
      <c r="X29" s="269">
        <f>IF(COUNT(X19)=0,"",N(X19)+IF(COUNT(X24,X25,X26,X27)&gt;0,N(X24)+N(X25)+N(X26)+N(X27),N(X28)))</f>
        <v>26044</v>
      </c>
      <c r="Y29" s="269">
        <f>IF(COUNT(Y19)=0,"",N(Y19)+IF(COUNT(Y24,Y25,Y26,Y27)&gt;0,N(Y24)+N(Y25)+N(Y26)+N(Y27),N(Y28)))</f>
        <v>30040</v>
      </c>
      <c r="Z29" s="269">
        <f>IF(COUNT(Z19)=0,"",N(Z19)+IF(COUNT(Z24,Z25,Z26,Z27)&gt;0,N(Z24)+N(Z25)+N(Z26)+N(Z27),N(Z28)))</f>
        <v>35082</v>
      </c>
      <c r="AA29" s="269">
        <f>IF(COUNT(AA19)=0,"",N(AA19)+IF(COUNT(AA24,AA25,AA26,AA27)&gt;0,N(AA24)+N(AA25)+N(AA26)+N(AA27),N(AA28)))</f>
        <v>39331</v>
      </c>
      <c r="AB29" s="270">
        <f>IF(COUNT(AB19)=0,"",N(AB19)+IF(COUNT(AB24,AB25,AB26,AB27)&gt;0,N(AB24)+N(AB25)+N(AB26)+N(AB27),N(AB28)))</f>
        <v>130497</v>
      </c>
      <c r="AC29" s="269">
        <f>IF(COUNT(AC19)=0,"",N(AC19)+IF(COUNT(AC24,AC25,AC26,AC27)&gt;0,N(AC24)+N(AC25)+N(AC26)+N(AC27),N(AC28)))</f>
        <v>44062</v>
      </c>
      <c r="AD29" s="269">
        <f>IF(COUNT(AD19)=0,"",N(AD19)+IF(COUNT(AD24,AD25,AD26,AD27)&gt;0,N(AD24)+N(AD25)+N(AD26)+N(AD27),N(AD28)))</f>
        <v>46743</v>
      </c>
      <c r="AE29" s="269">
        <f>IF(COUNT(AE19)=0,"",N(AE19)+IF(COUNT(AE24,AE25,AE26,AE27)&gt;0,N(AE24)+N(AE25)+N(AE26)+N(AE27),N(AE28)))</f>
        <v>57006</v>
      </c>
      <c r="AF29" s="269">
        <f>IF(COUNT(AF19)=0,"",N(AF19)+IF(COUNT(AF24,AF25,AF26,AF27)&gt;0,N(AF24)+N(AF25)+N(AF26)+N(AF27),N(AF28)))</f>
        <v>68127</v>
      </c>
      <c r="AG29" s="270">
        <f>IF(COUNT(AG19)=0,"",N(AG19)+IF(COUNT(AG24,AG25,AG26,AG27)&gt;0,N(AG24)+N(AG25)+N(AG26)+N(AG27),N(AG28)))</f>
        <v>215938</v>
      </c>
      <c r="AH29" s="270">
        <f>IF(COUNT(AH19)=0,"",N(AH19)+IF(COUNT(AH24,AH25,AH26,AH27)&gt;0,N(AH24)+N(AH25)+N(AH26)+N(AH27),N(AH28)))</f>
        <v>81615</v>
      </c>
      <c r="AI29" s="270">
        <f>IF(COUNT(AI19)=0,"",N(AI19)+IF(COUNT(AI24,AI25,AI26,AI27)&gt;0,N(AI24)+N(AI25)+N(AI26)+N(AI27),N(AI28)))</f>
        <v>96221</v>
      </c>
    </row>
    <row r="30">
      <c r="C30" s="271" t="inlineStr">
        <is>
          <t>Check vs Net Revenues (linha 15)</t>
        </is>
      </c>
      <c r="D30" s="269" t="str">
        <f>IF(COUNT(D29)=0,"",ROUND(D15-D29,1))</f>
        <v/>
      </c>
      <c r="E30" s="269" t="str">
        <f>IF(COUNT(E29)=0,"",ROUND(E15-E29,1))</f>
        <v/>
      </c>
      <c r="F30" s="269" t="str">
        <f>IF(COUNT(F29)=0,"",ROUND(F15-F29,1))</f>
        <v/>
      </c>
      <c r="G30" s="269" t="str">
        <f>IF(COUNT(G29)=0,"",ROUND(G15-G29,1))</f>
        <v/>
      </c>
      <c r="H30" s="270" t="str">
        <f>IF(COUNT(H29)=0,"",ROUND(H15-H29,1))</f>
        <v/>
      </c>
      <c r="I30" s="269">
        <f>IF(COUNT(I29)=0,"",ROUND(I15-I29,1))</f>
        <v>0</v>
      </c>
      <c r="J30" s="269">
        <f>IF(COUNT(J29)=0,"",ROUND(J15-J29,1))</f>
        <v>0</v>
      </c>
      <c r="K30" s="269">
        <f>IF(COUNT(K29)=0,"",ROUND(K15-K29,1))</f>
        <v>0</v>
      </c>
      <c r="L30" s="269">
        <f>IF(COUNT(L29)=0,"",ROUND(L15-L29,1))</f>
        <v>0</v>
      </c>
      <c r="M30" s="270">
        <f>IF(COUNT(M29)=0,"",ROUND(M15-M29,1))</f>
        <v>0</v>
      </c>
      <c r="N30" s="269">
        <f>IF(COUNT(N29)=0,"",ROUND(N15-N29,1))</f>
        <v>0</v>
      </c>
      <c r="O30" s="269">
        <f>IF(COUNT(O29)=0,"",ROUND(O15-O29,1))</f>
        <v>0</v>
      </c>
      <c r="P30" s="269">
        <f>IF(COUNT(P29)=0,"",ROUND(P15-P29,1))</f>
        <v>0</v>
      </c>
      <c r="Q30" s="269">
        <f>IF(COUNT(Q29)=0,"",ROUND(Q15-Q29,1))</f>
        <v>0</v>
      </c>
      <c r="R30" s="270">
        <f>IF(COUNT(R29)=0,"",ROUND(R15-R29,1))</f>
        <v>0</v>
      </c>
      <c r="S30" s="269">
        <f>IF(COUNT(S29)=0,"",ROUND(S15-S29,1))</f>
        <v>0</v>
      </c>
      <c r="T30" s="269">
        <f>IF(COUNT(T29)=0,"",ROUND(T15-T29,1))</f>
        <v>0</v>
      </c>
      <c r="U30" s="269">
        <f>IF(COUNT(U29)=0,"",ROUND(U15-U29,1))</f>
        <v>0</v>
      </c>
      <c r="V30" s="269">
        <f>IF(COUNT(V29)=0,"",ROUND(V15-V29,1))</f>
        <v>0</v>
      </c>
      <c r="W30" s="270">
        <f>IF(COUNT(W29)=0,"",ROUND(W15-W29,1))</f>
        <v>0</v>
      </c>
      <c r="X30" s="269">
        <f>IF(COUNT(X29)=0,"",ROUND(X15-X29,1))</f>
        <v>0</v>
      </c>
      <c r="Y30" s="269">
        <f>IF(COUNT(Y29)=0,"",ROUND(Y15-Y29,1))</f>
        <v>0</v>
      </c>
      <c r="Z30" s="269">
        <f>IF(COUNT(Z29)=0,"",ROUND(Z15-Z29,1))</f>
        <v>0</v>
      </c>
      <c r="AA30" s="269">
        <f>IF(COUNT(AA29)=0,"",ROUND(AA15-AA29,1))</f>
        <v>0</v>
      </c>
      <c r="AB30" s="270">
        <f>IF(COUNT(AB29)=0,"",ROUND(AB15-AB29,1))</f>
        <v>0</v>
      </c>
      <c r="AC30" s="269">
        <f>IF(COUNT(AC29)=0,"",ROUND(AC15-AC29,1))</f>
        <v>0</v>
      </c>
      <c r="AD30" s="269">
        <f>IF(COUNT(AD29)=0,"",ROUND(AD15-AD29,1))</f>
        <v>0</v>
      </c>
      <c r="AE30" s="269">
        <f>IF(COUNT(AE29)=0,"",ROUND(AE15-AE29,1))</f>
        <v>0</v>
      </c>
      <c r="AF30" s="269">
        <f>IF(COUNT(AF29)=0,"",ROUND(AF15-AF29,1))</f>
        <v>0</v>
      </c>
      <c r="AG30" s="270">
        <f>IF(COUNT(AG29)=0,"",ROUND(AG15-AG29,1))</f>
        <v>0</v>
      </c>
      <c r="AH30" s="270">
        <f>IF(COUNT(AH29)=0,"",ROUND(AH15-AH29,1))</f>
        <v>0</v>
      </c>
      <c r="AI30" s="270">
        <f>IF(COUNT(AI29)=0,"",ROUND(AI15-AI29,1))</f>
        <v>0</v>
      </c>
    </row>
    <row r="31">
      <c r="C31" s="271" t="inlineStr">
        <is>
          <t xml:space="preserve">   % YoY Data Center</t>
        </is>
      </c>
      <c r="D31" s="272" t="str">
        <f>""</f>
        <v/>
      </c>
      <c r="E31" s="272" t="str">
        <f>""</f>
        <v/>
      </c>
      <c r="F31" s="272" t="str">
        <f>""</f>
        <v/>
      </c>
      <c r="G31" s="272" t="str">
        <f>""</f>
        <v/>
      </c>
      <c r="H31" s="273" t="str">
        <f>""</f>
        <v/>
      </c>
      <c r="I31" s="272" t="str">
        <f>IFERROR(I19/D19-1,"")</f>
        <v/>
      </c>
      <c r="J31" s="272" t="str">
        <f>IFERROR(J19/E19-1,"")</f>
        <v/>
      </c>
      <c r="K31" s="272" t="str">
        <f>IFERROR(K19/F19-1,"")</f>
        <v/>
      </c>
      <c r="L31" s="272" t="str">
        <f>IFERROR(L19/G19-1,"")</f>
        <v/>
      </c>
      <c r="M31" s="273" t="str">
        <f>IFERROR(M19/H19-1,"")</f>
        <v/>
      </c>
      <c r="N31" s="272">
        <f>IFERROR(N19/I19-1,"")</f>
        <v>0.8310546875</v>
      </c>
      <c r="O31" s="272">
        <f>IFERROR(O19/J19-1,"")</f>
        <v>0.608622147083685</v>
      </c>
      <c r="P31" s="272">
        <f>IFERROR(P19/K19-1,"")</f>
        <v>0.305517711171662</v>
      </c>
      <c r="Q31" s="272">
        <f>IFERROR(Q19/L19-1,"")</f>
        <v>0.108182653999387</v>
      </c>
      <c r="R31" s="273">
        <f>IFERROR(R19/M19-1,"")</f>
        <v>0.41383209271648</v>
      </c>
      <c r="S31" s="272">
        <f>IFERROR(S19/N19-1,"")</f>
        <v>0.1424</v>
      </c>
      <c r="T31" s="272">
        <f>IFERROR(T19/O19-1,"")</f>
        <v>1.71229637414609</v>
      </c>
      <c r="U31" s="272">
        <f>IFERROR(U19/P19-1,"")</f>
        <v>2.78659013827289</v>
      </c>
      <c r="V31" s="272">
        <f>IFERROR(V19/Q19-1,"")</f>
        <v>4.0896017699115</v>
      </c>
      <c r="W31" s="273">
        <f>IFERROR(W19/R19-1,"")</f>
        <v>2.16727757414195</v>
      </c>
      <c r="X31" s="272">
        <f>IFERROR(X19/S19-1,"")</f>
        <v>4.26680672268908</v>
      </c>
      <c r="Y31" s="272">
        <f>IFERROR(Y19/T19-1,"")</f>
        <v>1.54499660951274</v>
      </c>
      <c r="Z31" s="272">
        <f>IFERROR(Z19/U19-1,"")</f>
        <v>1.12009094667218</v>
      </c>
      <c r="AA31" s="272">
        <f>IFERROR(AA19/V19-1,"")</f>
        <v>0.933275374918496</v>
      </c>
      <c r="AB31" s="273">
        <f>IFERROR(AB19/W19-1,"")</f>
        <v>1.4236927932667</v>
      </c>
      <c r="AC31" s="272">
        <f>IFERROR(AC19/X19-1,"")</f>
        <v>0.733457430306254</v>
      </c>
      <c r="AD31" s="272">
        <f>IFERROR(AD19/Y19-1,"")</f>
        <v>0.564250913520098</v>
      </c>
      <c r="AE31" s="272">
        <f>IFERROR(AE19/Z19-1,"")</f>
        <v>0.664391797471645</v>
      </c>
      <c r="AF31" s="272">
        <f>IFERROR(AF19/AA19-1,"")</f>
        <v>0.751377178189994</v>
      </c>
      <c r="AG31" s="273">
        <f>IFERROR(AG19/AB19-1,"")</f>
        <v>0.681949195214696</v>
      </c>
      <c r="AH31" s="273">
        <f>IFERROR(AH19/AC19-1,"")</f>
        <v>0.923859685007159</v>
      </c>
      <c r="AI31" s="273">
        <f>IFERROR(AI19/AD19-1,"")</f>
        <v>1.16622055674518</v>
      </c>
    </row>
    <row r="32">
      <c r="C32" s="271" t="inlineStr">
        <is>
          <t xml:space="preserve">   % Data Center na receita</t>
        </is>
      </c>
      <c r="D32" s="272" t="str">
        <f>IFERROR(D19/D29,"")</f>
        <v/>
      </c>
      <c r="E32" s="272" t="str">
        <f>IFERROR(E19/E29,"")</f>
        <v/>
      </c>
      <c r="F32" s="272" t="str">
        <f>IFERROR(F19/F29,"")</f>
        <v/>
      </c>
      <c r="G32" s="272" t="str">
        <f>IFERROR(G19/G29,"")</f>
        <v/>
      </c>
      <c r="H32" s="273" t="str">
        <f>IFERROR(H19/H29,"")</f>
        <v/>
      </c>
      <c r="I32" s="272">
        <f>IFERROR(I19/I29,"")</f>
        <v>0.361773538244127</v>
      </c>
      <c r="J32" s="272">
        <f>IFERROR(J19/J29,"")</f>
        <v>0.363608421699708</v>
      </c>
      <c r="K32" s="272">
        <f>IFERROR(K19/K29,"")</f>
        <v>0.413346473321132</v>
      </c>
      <c r="L32" s="272">
        <f>IFERROR(L19/L29,"")</f>
        <v>0.426926599502813</v>
      </c>
      <c r="M32" s="273">
        <f>IFERROR(M19/M29,"")</f>
        <v>0.394330088429814</v>
      </c>
      <c r="N32" s="272">
        <f>IFERROR(N19/N29,"")</f>
        <v>0.45246138996139</v>
      </c>
      <c r="O32" s="272">
        <f>IFERROR(O19/O29,"")</f>
        <v>0.56772076372315</v>
      </c>
      <c r="P32" s="272">
        <f>IFERROR(P19/P29,"")</f>
        <v>0.646265385263868</v>
      </c>
      <c r="Q32" s="272">
        <f>IFERROR(Q19/Q29,"")</f>
        <v>0.597587175673442</v>
      </c>
      <c r="R32" s="273">
        <f>IFERROR(R19/R29,"")</f>
        <v>0.556276414324906</v>
      </c>
      <c r="S32" s="272">
        <f>IFERROR(S19/S29,"")</f>
        <v>0.595661846496107</v>
      </c>
      <c r="T32" s="272">
        <f>IFERROR(T19/T29,"")</f>
        <v>0.764270378322351</v>
      </c>
      <c r="U32" s="272">
        <f>IFERROR(U19/U29,"")</f>
        <v>0.800993377483444</v>
      </c>
      <c r="V32" s="272">
        <f>IFERROR(V19/V29,"")</f>
        <v>0.832647151970321</v>
      </c>
      <c r="W32" s="273">
        <f>IFERROR(W19/W29,"")</f>
        <v>0.780095860280359</v>
      </c>
      <c r="X32" s="272">
        <f>IFERROR(X19/X29,"")</f>
        <v>0.866341575794809</v>
      </c>
      <c r="Y32" s="272">
        <f>IFERROR(Y19/Y29,"")</f>
        <v>0.8745672436751</v>
      </c>
      <c r="Z32" s="272">
        <f>IFERROR(Z19/Z29,"")</f>
        <v>0.877116469984608</v>
      </c>
      <c r="AA32" s="272">
        <f>IFERROR(AA19/AA29,"")</f>
        <v>0.90462993567415</v>
      </c>
      <c r="AB32" s="273">
        <f>IFERROR(AB19/AB29,"")</f>
        <v>0.88267163229806</v>
      </c>
      <c r="AC32" s="272">
        <f>IFERROR(AC19/AC29,"")</f>
        <v>0.887658299668649</v>
      </c>
      <c r="AD32" s="272">
        <f>IFERROR(AD19/AD29,"")</f>
        <v>0.8791904670218</v>
      </c>
      <c r="AE32" s="272">
        <f>IFERROR(AE19/AE29,"")</f>
        <v>0.898414202013823</v>
      </c>
      <c r="AF32" s="272">
        <f>IFERROR(AF19/AF29,"")</f>
        <v>0.914674064614617</v>
      </c>
      <c r="AG32" s="273">
        <f>IFERROR(AG19/AG29,"")</f>
        <v>0.89718808176421</v>
      </c>
      <c r="AH32" s="273">
        <f>IFERROR(AH19/AH29,"")</f>
        <v>0.921962874471605</v>
      </c>
      <c r="AI32" s="273">
        <f>IFERROR(AI19/AI29,"")</f>
        <v>0.925193045177248</v>
      </c>
    </row>
    <row r="33"/>
    <row r="34">
      <c r="C34" s="267" t="inlineStr">
        <is>
          <t>Segmentos operacionais (USD milhões)</t>
        </is>
      </c>
      <c r="D34" s="267">
        <f>D7</f>
        <v>0</v>
      </c>
      <c r="E34" s="267">
        <f>E7</f>
        <v>0</v>
      </c>
      <c r="F34" s="267">
        <f>F7</f>
        <v>0</v>
      </c>
      <c r="G34" s="267">
        <f>G7</f>
        <v>0</v>
      </c>
      <c r="H34" s="267">
        <f>H7</f>
        <v>2020</v>
      </c>
      <c r="I34" s="267" t="str">
        <f>I7</f>
        <v>1Q21</v>
      </c>
      <c r="J34" s="267" t="str">
        <f>J7</f>
        <v>2Q21</v>
      </c>
      <c r="K34" s="267" t="str">
        <f>K7</f>
        <v>3Q21</v>
      </c>
      <c r="L34" s="267" t="str">
        <f>L7</f>
        <v>4Q21</v>
      </c>
      <c r="M34" s="267">
        <f>M7</f>
        <v>2021</v>
      </c>
      <c r="N34" s="267" t="str">
        <f>N7</f>
        <v>1Q22</v>
      </c>
      <c r="O34" s="267" t="str">
        <f>O7</f>
        <v>2Q22</v>
      </c>
      <c r="P34" s="267" t="str">
        <f>P7</f>
        <v>3Q22</v>
      </c>
      <c r="Q34" s="267" t="str">
        <f>Q7</f>
        <v>4Q22</v>
      </c>
      <c r="R34" s="267">
        <f>R7</f>
        <v>2022</v>
      </c>
      <c r="S34" s="267" t="str">
        <f>S7</f>
        <v>1Q23</v>
      </c>
      <c r="T34" s="267" t="str">
        <f>T7</f>
        <v>2Q23</v>
      </c>
      <c r="U34" s="267" t="str">
        <f>U7</f>
        <v>3Q23</v>
      </c>
      <c r="V34" s="267" t="str">
        <f>V7</f>
        <v>4Q23</v>
      </c>
      <c r="W34" s="267">
        <f>W7</f>
        <v>2023</v>
      </c>
      <c r="X34" s="267" t="str">
        <f>X7</f>
        <v>1Q24</v>
      </c>
      <c r="Y34" s="267" t="str">
        <f>Y7</f>
        <v>2Q24</v>
      </c>
      <c r="Z34" s="267" t="str">
        <f>Z7</f>
        <v>3Q24</v>
      </c>
      <c r="AA34" s="267" t="str">
        <f>AA7</f>
        <v>4Q24</v>
      </c>
      <c r="AB34" s="267">
        <f>AB7</f>
        <v>2024</v>
      </c>
      <c r="AC34" s="267" t="str">
        <f>AC7</f>
        <v>1Q25</v>
      </c>
      <c r="AD34" s="267" t="str">
        <f>AD7</f>
        <v>2Q25</v>
      </c>
      <c r="AE34" s="267" t="str">
        <f>AE7</f>
        <v>3Q25</v>
      </c>
      <c r="AF34" s="267" t="str">
        <f>AF7</f>
        <v>4Q25</v>
      </c>
      <c r="AG34" s="267">
        <f>AG7</f>
        <v>2025</v>
      </c>
      <c r="AH34" s="267" t="str">
        <f>AH7</f>
        <v>1Q26</v>
      </c>
      <c r="AI34" s="267" t="str">
        <f>AI7</f>
        <v>2Q26</v>
      </c>
    </row>
    <row r="35">
      <c r="C35" s="271" t="inlineStr">
        <is>
          <t xml:space="preserve">   Receita Compute &amp; Networking</t>
        </is>
      </c>
      <c r="D35" s="269" t="str">
        <f>IFERROR(INDEX('Inputs (2)'!$D$63:$AL$63,MATCH(D$7&amp;"",'Inputs (2)'!$D$2:$AL$2,0)),"")</f>
        <v/>
      </c>
      <c r="E35" s="269" t="str">
        <f>IFERROR(INDEX('Inputs (2)'!$D$63:$AL$63,MATCH(E$7&amp;"",'Inputs (2)'!$D$2:$AL$2,0)),"")</f>
        <v/>
      </c>
      <c r="F35" s="269" t="str">
        <f>IFERROR(INDEX('Inputs (2)'!$D$63:$AL$63,MATCH(F$7&amp;"",'Inputs (2)'!$D$2:$AL$2,0)),"")</f>
        <v/>
      </c>
      <c r="G35" s="269" t="str">
        <f>IFERROR(INDEX('Inputs (2)'!$D$63:$AL$63,MATCH(G$7&amp;"",'Inputs (2)'!$D$2:$AL$2,0)),"")</f>
        <v/>
      </c>
      <c r="H35" s="270" t="str">
        <f>IF(COUNT(D35:G35)=4,SUM(D35:G35),"")</f>
        <v/>
      </c>
      <c r="I35" s="269">
        <f>IFERROR(INDEX('Inputs (2)'!$D$63:$AL$63,MATCH(I$7&amp;"",'Inputs (2)'!$D$2:$AL$2,0)),"")</f>
        <v>2210</v>
      </c>
      <c r="J35" s="269">
        <f>IFERROR(INDEX('Inputs (2)'!$D$63:$AL$63,MATCH(J$7&amp;"",'Inputs (2)'!$D$2:$AL$2,0)),"")</f>
        <v>2600</v>
      </c>
      <c r="K35" s="269">
        <f>IFERROR(INDEX('Inputs (2)'!$D$63:$AL$63,MATCH(K$7&amp;"",'Inputs (2)'!$D$2:$AL$2,0)),"")</f>
        <v>3011</v>
      </c>
      <c r="L35" s="269">
        <f>IFERROR(INDEX('Inputs (2)'!$D$63:$AL$63,MATCH(L$7&amp;"",'Inputs (2)'!$D$2:$AL$2,0)),"")</f>
        <v>3225</v>
      </c>
      <c r="M35" s="270">
        <f>IF(COUNT(I35:L35)=4,SUM(I35:L35),"")</f>
        <v>11046</v>
      </c>
      <c r="N35" s="269">
        <f>IFERROR(INDEX('Inputs (2)'!$D$63:$AL$63,MATCH(N$7&amp;"",'Inputs (2)'!$D$2:$AL$2,0)),"")</f>
        <v>3672</v>
      </c>
      <c r="O35" s="269">
        <f>IFERROR(INDEX('Inputs (2)'!$D$63:$AL$63,MATCH(O$7&amp;"",'Inputs (2)'!$D$2:$AL$2,0)),"")</f>
        <v>3907</v>
      </c>
      <c r="P35" s="269">
        <f>IFERROR(INDEX('Inputs (2)'!$D$63:$AL$63,MATCH(P$7&amp;"",'Inputs (2)'!$D$2:$AL$2,0)),"")</f>
        <v>3816</v>
      </c>
      <c r="Q35" s="269">
        <f>IFERROR(INDEX('Inputs (2)'!$D$63:$AL$63,MATCH(Q$7&amp;"",'Inputs (2)'!$D$2:$AL$2,0)),"")</f>
        <v>3673</v>
      </c>
      <c r="R35" s="270">
        <f>IF(COUNT(N35:Q35)=4,SUM(N35:Q35),"")</f>
        <v>15068</v>
      </c>
      <c r="S35" s="269">
        <f>IFERROR(INDEX('Inputs (2)'!$D$63:$AL$63,MATCH(S$7&amp;"",'Inputs (2)'!$D$2:$AL$2,0)),"")</f>
        <v>4460</v>
      </c>
      <c r="T35" s="269">
        <f>IFERROR(INDEX('Inputs (2)'!$D$63:$AL$63,MATCH(T$7&amp;"",'Inputs (2)'!$D$2:$AL$2,0)),"")</f>
        <v>10402</v>
      </c>
      <c r="U35" s="269">
        <f>IFERROR(INDEX('Inputs (2)'!$D$63:$AL$63,MATCH(U$7&amp;"",'Inputs (2)'!$D$2:$AL$2,0)),"")</f>
        <v>14645</v>
      </c>
      <c r="V35" s="269">
        <f>IFERROR(INDEX('Inputs (2)'!$D$63:$AL$63,MATCH(V$7&amp;"",'Inputs (2)'!$D$2:$AL$2,0)),"")</f>
        <v>17898</v>
      </c>
      <c r="W35" s="270">
        <f>IF(COUNT(S35:V35)=4,SUM(S35:V35),"")</f>
        <v>47405</v>
      </c>
      <c r="X35" s="269">
        <f>IFERROR(INDEX('Inputs (2)'!$D$63:$AL$63,MATCH(X$7&amp;"",'Inputs (2)'!$D$2:$AL$2,0)),"")</f>
        <v>22675</v>
      </c>
      <c r="Y35" s="269">
        <f>IFERROR(INDEX('Inputs (2)'!$D$63:$AL$63,MATCH(Y$7&amp;"",'Inputs (2)'!$D$2:$AL$2,0)),"")</f>
        <v>26446</v>
      </c>
      <c r="Z35" s="269">
        <f>IFERROR(INDEX('Inputs (2)'!$D$63:$AL$63,MATCH(Z$7&amp;"",'Inputs (2)'!$D$2:$AL$2,0)),"")</f>
        <v>31036</v>
      </c>
      <c r="AA35" s="269">
        <f>IFERROR(INDEX('Inputs (2)'!$D$63:$AL$63,MATCH(AA$7&amp;"",'Inputs (2)'!$D$2:$AL$2,0)),"")</f>
        <v>36036</v>
      </c>
      <c r="AB35" s="270">
        <f>IF(COUNT(X35:AA35)=4,SUM(X35:AA35),"")</f>
        <v>116193</v>
      </c>
      <c r="AC35" s="269">
        <f>IFERROR(INDEX('Inputs (2)'!$D$63:$AL$63,MATCH(AC$7&amp;"",'Inputs (2)'!$D$2:$AL$2,0)),"")</f>
        <v>39589</v>
      </c>
      <c r="AD35" s="269">
        <f>IFERROR(INDEX('Inputs (2)'!$D$63:$AL$63,MATCH(AD$7&amp;"",'Inputs (2)'!$D$2:$AL$2,0)),"")</f>
        <v>41331</v>
      </c>
      <c r="AE35" s="269">
        <f>IFERROR(INDEX('Inputs (2)'!$D$63:$AL$63,MATCH(AE$7&amp;"",'Inputs (2)'!$D$2:$AL$2,0)),"")</f>
        <v>50908</v>
      </c>
      <c r="AF35" s="269">
        <f>IFERROR(INDEX('Inputs (2)'!$D$63:$AL$63,MATCH(AF$7&amp;"",'Inputs (2)'!$D$2:$AL$2,0)),"")</f>
        <v>61651</v>
      </c>
      <c r="AG35" s="270">
        <f>IF(COUNT(AC35:AF35)=4,SUM(AC35:AF35),"")</f>
        <v>193479</v>
      </c>
      <c r="AH35" s="270">
        <f>IFERROR(INDEX('Inputs (2)'!$D$63:$AL$63,MATCH(AH$7&amp;"",'Inputs (2)'!$D$2:$AL$2,0)),"")</f>
        <v>74550</v>
      </c>
      <c r="AI35" s="270">
        <f>IFERROR(INDEX('Inputs (2)'!$D$63:$AL$63,MATCH(AI$7&amp;"",'Inputs (2)'!$D$2:$AL$2,0)),"")</f>
        <v>88299</v>
      </c>
    </row>
    <row r="36">
      <c r="C36" s="271" t="inlineStr">
        <is>
          <t xml:space="preserve">   Receita Graphics</t>
        </is>
      </c>
      <c r="D36" s="269" t="str">
        <f>IFERROR(INDEX('Inputs (2)'!$D$64:$AL$64,MATCH(D$7&amp;"",'Inputs (2)'!$D$2:$AL$2,0)),"")</f>
        <v/>
      </c>
      <c r="E36" s="269" t="str">
        <f>IFERROR(INDEX('Inputs (2)'!$D$64:$AL$64,MATCH(E$7&amp;"",'Inputs (2)'!$D$2:$AL$2,0)),"")</f>
        <v/>
      </c>
      <c r="F36" s="269" t="str">
        <f>IFERROR(INDEX('Inputs (2)'!$D$64:$AL$64,MATCH(F$7&amp;"",'Inputs (2)'!$D$2:$AL$2,0)),"")</f>
        <v/>
      </c>
      <c r="G36" s="269" t="str">
        <f>IFERROR(INDEX('Inputs (2)'!$D$64:$AL$64,MATCH(G$7&amp;"",'Inputs (2)'!$D$2:$AL$2,0)),"")</f>
        <v/>
      </c>
      <c r="H36" s="270" t="str">
        <f>IF(COUNT(D36:G36)=4,SUM(D36:G36),"")</f>
        <v/>
      </c>
      <c r="I36" s="269">
        <f>IFERROR(INDEX('Inputs (2)'!$D$64:$AL$64,MATCH(I$7&amp;"",'Inputs (2)'!$D$2:$AL$2,0)),"")</f>
        <v>3451</v>
      </c>
      <c r="J36" s="269">
        <f>IFERROR(INDEX('Inputs (2)'!$D$64:$AL$64,MATCH(J$7&amp;"",'Inputs (2)'!$D$2:$AL$2,0)),"")</f>
        <v>3907</v>
      </c>
      <c r="K36" s="269">
        <f>IFERROR(INDEX('Inputs (2)'!$D$64:$AL$64,MATCH(K$7&amp;"",'Inputs (2)'!$D$2:$AL$2,0)),"")</f>
        <v>4092</v>
      </c>
      <c r="L36" s="269">
        <f>IFERROR(INDEX('Inputs (2)'!$D$64:$AL$64,MATCH(L$7&amp;"",'Inputs (2)'!$D$2:$AL$2,0)),"")</f>
        <v>4418</v>
      </c>
      <c r="M36" s="270">
        <f>IF(COUNT(I36:L36)=4,SUM(I36:L36),"")</f>
        <v>15868</v>
      </c>
      <c r="N36" s="269">
        <f>IFERROR(INDEX('Inputs (2)'!$D$64:$AL$64,MATCH(N$7&amp;"",'Inputs (2)'!$D$2:$AL$2,0)),"")</f>
        <v>4616</v>
      </c>
      <c r="O36" s="269">
        <f>IFERROR(INDEX('Inputs (2)'!$D$64:$AL$64,MATCH(O$7&amp;"",'Inputs (2)'!$D$2:$AL$2,0)),"")</f>
        <v>2797</v>
      </c>
      <c r="P36" s="269">
        <f>IFERROR(INDEX('Inputs (2)'!$D$64:$AL$64,MATCH(P$7&amp;"",'Inputs (2)'!$D$2:$AL$2,0)),"")</f>
        <v>2115</v>
      </c>
      <c r="Q36" s="269">
        <f>IFERROR(INDEX('Inputs (2)'!$D$64:$AL$64,MATCH(Q$7&amp;"",'Inputs (2)'!$D$2:$AL$2,0)),"")</f>
        <v>2378</v>
      </c>
      <c r="R36" s="270">
        <f>IF(COUNT(N36:Q36)=4,SUM(N36:Q36),"")</f>
        <v>11906</v>
      </c>
      <c r="S36" s="269">
        <f>IFERROR(INDEX('Inputs (2)'!$D$64:$AL$64,MATCH(S$7&amp;"",'Inputs (2)'!$D$2:$AL$2,0)),"")</f>
        <v>2732</v>
      </c>
      <c r="T36" s="269">
        <f>IFERROR(INDEX('Inputs (2)'!$D$64:$AL$64,MATCH(T$7&amp;"",'Inputs (2)'!$D$2:$AL$2,0)),"")</f>
        <v>3105</v>
      </c>
      <c r="U36" s="269">
        <f>IFERROR(INDEX('Inputs (2)'!$D$64:$AL$64,MATCH(U$7&amp;"",'Inputs (2)'!$D$2:$AL$2,0)),"")</f>
        <v>3475</v>
      </c>
      <c r="V36" s="269">
        <f>IFERROR(INDEX('Inputs (2)'!$D$64:$AL$64,MATCH(V$7&amp;"",'Inputs (2)'!$D$2:$AL$2,0)),"")</f>
        <v>4205</v>
      </c>
      <c r="W36" s="270">
        <f>IF(COUNT(S36:V36)=4,SUM(S36:V36),"")</f>
        <v>13517</v>
      </c>
      <c r="X36" s="269">
        <f>IFERROR(INDEX('Inputs (2)'!$D$64:$AL$64,MATCH(X$7&amp;"",'Inputs (2)'!$D$2:$AL$2,0)),"")</f>
        <v>3369</v>
      </c>
      <c r="Y36" s="269">
        <f>IFERROR(INDEX('Inputs (2)'!$D$64:$AL$64,MATCH(Y$7&amp;"",'Inputs (2)'!$D$2:$AL$2,0)),"")</f>
        <v>3594</v>
      </c>
      <c r="Z36" s="269">
        <f>IFERROR(INDEX('Inputs (2)'!$D$64:$AL$64,MATCH(Z$7&amp;"",'Inputs (2)'!$D$2:$AL$2,0)),"")</f>
        <v>4046</v>
      </c>
      <c r="AA36" s="269">
        <f>IFERROR(INDEX('Inputs (2)'!$D$64:$AL$64,MATCH(AA$7&amp;"",'Inputs (2)'!$D$2:$AL$2,0)),"")</f>
        <v>3295</v>
      </c>
      <c r="AB36" s="270">
        <f>IF(COUNT(X36:AA36)=4,SUM(X36:AA36),"")</f>
        <v>14304</v>
      </c>
      <c r="AC36" s="269">
        <f>IFERROR(INDEX('Inputs (2)'!$D$64:$AL$64,MATCH(AC$7&amp;"",'Inputs (2)'!$D$2:$AL$2,0)),"")</f>
        <v>4473</v>
      </c>
      <c r="AD36" s="269">
        <f>IFERROR(INDEX('Inputs (2)'!$D$64:$AL$64,MATCH(AD$7&amp;"",'Inputs (2)'!$D$2:$AL$2,0)),"")</f>
        <v>5412</v>
      </c>
      <c r="AE36" s="269">
        <f>IFERROR(INDEX('Inputs (2)'!$D$64:$AL$64,MATCH(AE$7&amp;"",'Inputs (2)'!$D$2:$AL$2,0)),"")</f>
        <v>6098</v>
      </c>
      <c r="AF36" s="269">
        <f>IFERROR(INDEX('Inputs (2)'!$D$64:$AL$64,MATCH(AF$7&amp;"",'Inputs (2)'!$D$2:$AL$2,0)),"")</f>
        <v>6476</v>
      </c>
      <c r="AG36" s="270">
        <f>IF(COUNT(AC36:AF36)=4,SUM(AC36:AF36),"")</f>
        <v>22459</v>
      </c>
      <c r="AH36" s="270">
        <f>IFERROR(INDEX('Inputs (2)'!$D$64:$AL$64,MATCH(AH$7&amp;"",'Inputs (2)'!$D$2:$AL$2,0)),"")</f>
        <v>7065</v>
      </c>
      <c r="AI36" s="270">
        <f>IFERROR(INDEX('Inputs (2)'!$D$64:$AL$64,MATCH(AI$7&amp;"",'Inputs (2)'!$D$2:$AL$2,0)),"")</f>
        <v>7922</v>
      </c>
    </row>
    <row r="37">
      <c r="C37" s="271" t="inlineStr">
        <is>
          <t>Check segmentos vs Net Revenues (linha 15)</t>
        </is>
      </c>
      <c r="D37" s="269" t="str">
        <f>IF(COUNT(D35,D36)=0,"",ROUND(D15-N(D35)-N(D36),1))</f>
        <v/>
      </c>
      <c r="E37" s="269" t="str">
        <f>IF(COUNT(E35,E36)=0,"",ROUND(E15-N(E35)-N(E36),1))</f>
        <v/>
      </c>
      <c r="F37" s="269" t="str">
        <f>IF(COUNT(F35,F36)=0,"",ROUND(F15-N(F35)-N(F36),1))</f>
        <v/>
      </c>
      <c r="G37" s="269" t="str">
        <f>IF(COUNT(G35,G36)=0,"",ROUND(G15-N(G35)-N(G36),1))</f>
        <v/>
      </c>
      <c r="H37" s="270" t="str">
        <f>IF(COUNT(H35,H36)=0,"",ROUND(H15-N(H35)-N(H36),1))</f>
        <v/>
      </c>
      <c r="I37" s="269">
        <f>IF(COUNT(I35,I36)=0,"",ROUND(I15-N(I35)-N(I36),1))</f>
        <v>0</v>
      </c>
      <c r="J37" s="269">
        <f>IF(COUNT(J35,J36)=0,"",ROUND(J15-N(J35)-N(J36),1))</f>
        <v>0</v>
      </c>
      <c r="K37" s="269">
        <f>IF(COUNT(K35,K36)=0,"",ROUND(K15-N(K35)-N(K36),1))</f>
        <v>0</v>
      </c>
      <c r="L37" s="269">
        <f>IF(COUNT(L35,L36)=0,"",ROUND(L15-N(L35)-N(L36),1))</f>
        <v>0</v>
      </c>
      <c r="M37" s="270">
        <f>IF(COUNT(M35,M36)=0,"",ROUND(M15-N(M35)-N(M36),1))</f>
        <v>0</v>
      </c>
      <c r="N37" s="269">
        <f>IF(COUNT(N35,N36)=0,"",ROUND(N15-N(N35)-N(N36),1))</f>
        <v>0</v>
      </c>
      <c r="O37" s="269">
        <f>IF(COUNT(O35,O36)=0,"",ROUND(O15-N(O35)-N(O36),1))</f>
        <v>0</v>
      </c>
      <c r="P37" s="269">
        <f>IF(COUNT(P35,P36)=0,"",ROUND(P15-N(P35)-N(P36),1))</f>
        <v>0</v>
      </c>
      <c r="Q37" s="269">
        <f>IF(COUNT(Q35,Q36)=0,"",ROUND(Q15-N(Q35)-N(Q36),1))</f>
        <v>0</v>
      </c>
      <c r="R37" s="270">
        <f>IF(COUNT(R35,R36)=0,"",ROUND(R15-N(R35)-N(R36),1))</f>
        <v>0</v>
      </c>
      <c r="S37" s="269">
        <f>IF(COUNT(S35,S36)=0,"",ROUND(S15-N(S35)-N(S36),1))</f>
        <v>0</v>
      </c>
      <c r="T37" s="269">
        <f>IF(COUNT(T35,T36)=0,"",ROUND(T15-N(T35)-N(T36),1))</f>
        <v>0</v>
      </c>
      <c r="U37" s="269">
        <f>IF(COUNT(U35,U36)=0,"",ROUND(U15-N(U35)-N(U36),1))</f>
        <v>0</v>
      </c>
      <c r="V37" s="269">
        <f>IF(COUNT(V35,V36)=0,"",ROUND(V15-N(V35)-N(V36),1))</f>
        <v>0</v>
      </c>
      <c r="W37" s="270">
        <f>IF(COUNT(W35,W36)=0,"",ROUND(W15-N(W35)-N(W36),1))</f>
        <v>0</v>
      </c>
      <c r="X37" s="269">
        <f>IF(COUNT(X35,X36)=0,"",ROUND(X15-N(X35)-N(X36),1))</f>
        <v>0</v>
      </c>
      <c r="Y37" s="269">
        <f>IF(COUNT(Y35,Y36)=0,"",ROUND(Y15-N(Y35)-N(Y36),1))</f>
        <v>0</v>
      </c>
      <c r="Z37" s="269">
        <f>IF(COUNT(Z35,Z36)=0,"",ROUND(Z15-N(Z35)-N(Z36),1))</f>
        <v>0</v>
      </c>
      <c r="AA37" s="269">
        <f>IF(COUNT(AA35,AA36)=0,"",ROUND(AA15-N(AA35)-N(AA36),1))</f>
        <v>0</v>
      </c>
      <c r="AB37" s="270">
        <f>IF(COUNT(AB35,AB36)=0,"",ROUND(AB15-N(AB35)-N(AB36),1))</f>
        <v>0</v>
      </c>
      <c r="AC37" s="269">
        <f>IF(COUNT(AC35,AC36)=0,"",ROUND(AC15-N(AC35)-N(AC36),1))</f>
        <v>0</v>
      </c>
      <c r="AD37" s="269">
        <f>IF(COUNT(AD35,AD36)=0,"",ROUND(AD15-N(AD35)-N(AD36),1))</f>
        <v>0</v>
      </c>
      <c r="AE37" s="269">
        <f>IF(COUNT(AE35,AE36)=0,"",ROUND(AE15-N(AE35)-N(AE36),1))</f>
        <v>0</v>
      </c>
      <c r="AF37" s="269">
        <f>IF(COUNT(AF35,AF36)=0,"",ROUND(AF15-N(AF35)-N(AF36),1))</f>
        <v>0</v>
      </c>
      <c r="AG37" s="270">
        <f>IF(COUNT(AG35,AG36)=0,"",ROUND(AG15-N(AG35)-N(AG36),1))</f>
        <v>0</v>
      </c>
      <c r="AH37" s="270">
        <f>IF(COUNT(AH35,AH36)=0,"",ROUND(AH15-N(AH35)-N(AH36),1))</f>
        <v>0</v>
      </c>
      <c r="AI37" s="270">
        <f>IF(COUNT(AI35,AI36)=0,"",ROUND(AI15-N(AI35)-N(AI36),1))</f>
        <v>0</v>
      </c>
    </row>
    <row r="38">
      <c r="C38" s="271" t="inlineStr">
        <is>
          <t xml:space="preserve">   Lucro operacional Compute &amp; Networking</t>
        </is>
      </c>
      <c r="D38" s="269" t="str">
        <f>IFERROR(INDEX('Inputs (2)'!$D$65:$AL$65,MATCH(D$7&amp;"",'Inputs (2)'!$D$2:$AL$2,0)),"")</f>
        <v/>
      </c>
      <c r="E38" s="269" t="str">
        <f>IFERROR(INDEX('Inputs (2)'!$D$65:$AL$65,MATCH(E$7&amp;"",'Inputs (2)'!$D$2:$AL$2,0)),"")</f>
        <v/>
      </c>
      <c r="F38" s="269" t="str">
        <f>IFERROR(INDEX('Inputs (2)'!$D$65:$AL$65,MATCH(F$7&amp;"",'Inputs (2)'!$D$2:$AL$2,0)),"")</f>
        <v/>
      </c>
      <c r="G38" s="269" t="str">
        <f>IFERROR(INDEX('Inputs (2)'!$D$65:$AL$65,MATCH(G$7&amp;"",'Inputs (2)'!$D$2:$AL$2,0)),"")</f>
        <v/>
      </c>
      <c r="H38" s="270" t="str">
        <f>IF(COUNT(D38:G38)=4,SUM(D38:G38),"")</f>
        <v/>
      </c>
      <c r="I38" s="269">
        <f>IFERROR(INDEX('Inputs (2)'!$D$65:$AL$65,MATCH(I$7&amp;"",'Inputs (2)'!$D$2:$AL$2,0)),"")</f>
        <v>861</v>
      </c>
      <c r="J38" s="269">
        <f>IFERROR(INDEX('Inputs (2)'!$D$65:$AL$65,MATCH(J$7&amp;"",'Inputs (2)'!$D$2:$AL$2,0)),"")</f>
        <v>1034</v>
      </c>
      <c r="K38" s="269">
        <f>IFERROR(INDEX('Inputs (2)'!$D$65:$AL$65,MATCH(K$7&amp;"",'Inputs (2)'!$D$2:$AL$2,0)),"")</f>
        <v>1332</v>
      </c>
      <c r="L38" s="269">
        <f>IFERROR(INDEX('Inputs (2)'!$D$65:$AL$65,MATCH(L$7&amp;"",'Inputs (2)'!$D$2:$AL$2,0)),"")</f>
        <v>1371</v>
      </c>
      <c r="M38" s="270">
        <f>IF(COUNT(I38:L38)=4,SUM(I38:L38),"")</f>
        <v>4598</v>
      </c>
      <c r="N38" s="269">
        <f>IFERROR(INDEX('Inputs (2)'!$D$65:$AL$65,MATCH(N$7&amp;"",'Inputs (2)'!$D$2:$AL$2,0)),"")</f>
        <v>1606</v>
      </c>
      <c r="O38" s="269">
        <f>IFERROR(INDEX('Inputs (2)'!$D$65:$AL$65,MATCH(O$7&amp;"",'Inputs (2)'!$D$2:$AL$2,0)),"")</f>
        <v>816</v>
      </c>
      <c r="P38" s="269">
        <f>IFERROR(INDEX('Inputs (2)'!$D$65:$AL$65,MATCH(P$7&amp;"",'Inputs (2)'!$D$2:$AL$2,0)),"")</f>
        <v>1086</v>
      </c>
      <c r="Q38" s="269">
        <f>IFERROR(INDEX('Inputs (2)'!$D$65:$AL$65,MATCH(Q$7&amp;"",'Inputs (2)'!$D$2:$AL$2,0)),"")</f>
        <v>1574</v>
      </c>
      <c r="R38" s="270">
        <f>IF(COUNT(N38:Q38)=4,SUM(N38:Q38),"")</f>
        <v>5082</v>
      </c>
      <c r="S38" s="269">
        <f>IFERROR(INDEX('Inputs (2)'!$D$65:$AL$65,MATCH(S$7&amp;"",'Inputs (2)'!$D$2:$AL$2,0)),"")</f>
        <v>2160</v>
      </c>
      <c r="T38" s="269">
        <f>IFERROR(INDEX('Inputs (2)'!$D$65:$AL$65,MATCH(T$7&amp;"",'Inputs (2)'!$D$2:$AL$2,0)),"")</f>
        <v>6728</v>
      </c>
      <c r="U38" s="269">
        <f>IFERROR(INDEX('Inputs (2)'!$D$65:$AL$65,MATCH(U$7&amp;"",'Inputs (2)'!$D$2:$AL$2,0)),"")</f>
        <v>10262</v>
      </c>
      <c r="V38" s="269">
        <f>IFERROR(INDEX('Inputs (2)'!$D$65:$AL$65,MATCH(V$7&amp;"",'Inputs (2)'!$D$2:$AL$2,0)),"")</f>
        <v>12867</v>
      </c>
      <c r="W38" s="270">
        <f>IF(COUNT(S38:V38)=4,SUM(S38:V38),"")</f>
        <v>32017</v>
      </c>
      <c r="X38" s="269">
        <f>IFERROR(INDEX('Inputs (2)'!$D$65:$AL$65,MATCH(X$7&amp;"",'Inputs (2)'!$D$2:$AL$2,0)),"")</f>
        <v>17047</v>
      </c>
      <c r="Y38" s="269">
        <f>IFERROR(INDEX('Inputs (2)'!$D$65:$AL$65,MATCH(Y$7&amp;"",'Inputs (2)'!$D$2:$AL$2,0)),"")</f>
        <v>18848</v>
      </c>
      <c r="Z38" s="269">
        <f>IFERROR(INDEX('Inputs (2)'!$D$65:$AL$65,MATCH(Z$7&amp;"",'Inputs (2)'!$D$2:$AL$2,0)),"")</f>
        <v>22081</v>
      </c>
      <c r="AA38" s="269">
        <f>IFERROR(INDEX('Inputs (2)'!$D$65:$AL$65,MATCH(AA$7&amp;"",'Inputs (2)'!$D$2:$AL$2,0)),"")</f>
        <v>24898</v>
      </c>
      <c r="AB38" s="270">
        <f>IF(COUNT(X38:AA38)=4,SUM(X38:AA38),"")</f>
        <v>82874</v>
      </c>
      <c r="AC38" s="269">
        <f>IFERROR(INDEX('Inputs (2)'!$D$65:$AL$65,MATCH(AC$7&amp;"",'Inputs (2)'!$D$2:$AL$2,0)),"")</f>
        <v>22054</v>
      </c>
      <c r="AD38" s="269">
        <f>IFERROR(INDEX('Inputs (2)'!$D$65:$AL$65,MATCH(AD$7&amp;"",'Inputs (2)'!$D$2:$AL$2,0)),"")</f>
        <v>28363</v>
      </c>
      <c r="AE38" s="269">
        <f>IFERROR(INDEX('Inputs (2)'!$D$65:$AL$65,MATCH(AE$7&amp;"",'Inputs (2)'!$D$2:$AL$2,0)),"")</f>
        <v>35721</v>
      </c>
      <c r="AF38" s="269">
        <f>IFERROR(INDEX('Inputs (2)'!$D$65:$AL$65,MATCH(AF$7&amp;"",'Inputs (2)'!$D$2:$AL$2,0)),"")</f>
        <v>44002</v>
      </c>
      <c r="AG38" s="270">
        <f>IF(COUNT(AC38:AF38)=4,SUM(AC38:AF38),"")</f>
        <v>130140</v>
      </c>
      <c r="AH38" s="270">
        <f>IFERROR(INDEX('Inputs (2)'!$D$65:$AL$65,MATCH(AH$7&amp;"",'Inputs (2)'!$D$2:$AL$2,0)),"")</f>
        <v>53335</v>
      </c>
      <c r="AI38" s="270">
        <f>IFERROR(INDEX('Inputs (2)'!$D$65:$AL$65,MATCH(AI$7&amp;"",'Inputs (2)'!$D$2:$AL$2,0)),"")</f>
        <v>62696</v>
      </c>
    </row>
    <row r="39">
      <c r="C39" s="271" t="inlineStr">
        <is>
          <t xml:space="preserve">   Lucro operacional Graphics</t>
        </is>
      </c>
      <c r="D39" s="269" t="str">
        <f>IFERROR(INDEX('Inputs (2)'!$D$66:$AL$66,MATCH(D$7&amp;"",'Inputs (2)'!$D$2:$AL$2,0)),"")</f>
        <v/>
      </c>
      <c r="E39" s="269" t="str">
        <f>IFERROR(INDEX('Inputs (2)'!$D$66:$AL$66,MATCH(E$7&amp;"",'Inputs (2)'!$D$2:$AL$2,0)),"")</f>
        <v/>
      </c>
      <c r="F39" s="269" t="str">
        <f>IFERROR(INDEX('Inputs (2)'!$D$66:$AL$66,MATCH(F$7&amp;"",'Inputs (2)'!$D$2:$AL$2,0)),"")</f>
        <v/>
      </c>
      <c r="G39" s="269" t="str">
        <f>IFERROR(INDEX('Inputs (2)'!$D$66:$AL$66,MATCH(G$7&amp;"",'Inputs (2)'!$D$2:$AL$2,0)),"")</f>
        <v/>
      </c>
      <c r="H39" s="270" t="str">
        <f>IF(COUNT(D39:G39)=4,SUM(D39:G39),"")</f>
        <v/>
      </c>
      <c r="I39" s="269">
        <f>IFERROR(INDEX('Inputs (2)'!$D$66:$AL$66,MATCH(I$7&amp;"",'Inputs (2)'!$D$2:$AL$2,0)),"")</f>
        <v>1786</v>
      </c>
      <c r="J39" s="269">
        <f>IFERROR(INDEX('Inputs (2)'!$D$66:$AL$66,MATCH(J$7&amp;"",'Inputs (2)'!$D$2:$AL$2,0)),"")</f>
        <v>2127</v>
      </c>
      <c r="K39" s="269">
        <f>IFERROR(INDEX('Inputs (2)'!$D$66:$AL$66,MATCH(K$7&amp;"",'Inputs (2)'!$D$2:$AL$2,0)),"")</f>
        <v>2160</v>
      </c>
      <c r="L39" s="269">
        <f>IFERROR(INDEX('Inputs (2)'!$D$66:$AL$66,MATCH(L$7&amp;"",'Inputs (2)'!$D$2:$AL$2,0)),"")</f>
        <v>2419</v>
      </c>
      <c r="M39" s="270">
        <f>IF(COUNT(I39:L39)=4,SUM(I39:L39),"")</f>
        <v>8492</v>
      </c>
      <c r="N39" s="269">
        <f>IFERROR(INDEX('Inputs (2)'!$D$66:$AL$66,MATCH(N$7&amp;"",'Inputs (2)'!$D$2:$AL$2,0)),"")</f>
        <v>2476</v>
      </c>
      <c r="O39" s="269">
        <f>IFERROR(INDEX('Inputs (2)'!$D$66:$AL$66,MATCH(O$7&amp;"",'Inputs (2)'!$D$2:$AL$2,0)),"")</f>
        <v>657</v>
      </c>
      <c r="P39" s="269">
        <f>IFERROR(INDEX('Inputs (2)'!$D$66:$AL$66,MATCH(P$7&amp;"",'Inputs (2)'!$D$2:$AL$2,0)),"")</f>
        <v>606</v>
      </c>
      <c r="Q39" s="269">
        <f>IFERROR(INDEX('Inputs (2)'!$D$66:$AL$66,MATCH(Q$7&amp;"",'Inputs (2)'!$D$2:$AL$2,0)),"")</f>
        <v>813</v>
      </c>
      <c r="R39" s="270">
        <f>IF(COUNT(N39:Q39)=4,SUM(N39:Q39),"")</f>
        <v>4552</v>
      </c>
      <c r="S39" s="269">
        <f>IFERROR(INDEX('Inputs (2)'!$D$66:$AL$66,MATCH(S$7&amp;"",'Inputs (2)'!$D$2:$AL$2,0)),"")</f>
        <v>1046</v>
      </c>
      <c r="T39" s="269">
        <f>IFERROR(INDEX('Inputs (2)'!$D$66:$AL$66,MATCH(T$7&amp;"",'Inputs (2)'!$D$2:$AL$2,0)),"")</f>
        <v>1211</v>
      </c>
      <c r="U39" s="269">
        <f>IFERROR(INDEX('Inputs (2)'!$D$66:$AL$66,MATCH(U$7&amp;"",'Inputs (2)'!$D$2:$AL$2,0)),"")</f>
        <v>1493</v>
      </c>
      <c r="V39" s="269">
        <f>IFERROR(INDEX('Inputs (2)'!$D$66:$AL$66,MATCH(V$7&amp;"",'Inputs (2)'!$D$2:$AL$2,0)),"")</f>
        <v>2095</v>
      </c>
      <c r="W39" s="270">
        <f>IF(COUNT(S39:V39)=4,SUM(S39:V39),"")</f>
        <v>5845</v>
      </c>
      <c r="X39" s="269">
        <f>IFERROR(INDEX('Inputs (2)'!$D$66:$AL$66,MATCH(X$7&amp;"",'Inputs (2)'!$D$2:$AL$2,0)),"")</f>
        <v>1241</v>
      </c>
      <c r="Y39" s="269">
        <f>IFERROR(INDEX('Inputs (2)'!$D$66:$AL$66,MATCH(Y$7&amp;"",'Inputs (2)'!$D$2:$AL$2,0)),"")</f>
        <v>1369</v>
      </c>
      <c r="Z39" s="269">
        <f>IFERROR(INDEX('Inputs (2)'!$D$66:$AL$66,MATCH(Z$7&amp;"",'Inputs (2)'!$D$2:$AL$2,0)),"")</f>
        <v>1502</v>
      </c>
      <c r="AA39" s="269">
        <f>IFERROR(INDEX('Inputs (2)'!$D$66:$AL$66,MATCH(AA$7&amp;"",'Inputs (2)'!$D$2:$AL$2,0)),"")</f>
        <v>974</v>
      </c>
      <c r="AB39" s="270">
        <f>IF(COUNT(X39:AA39)=4,SUM(X39:AA39),"")</f>
        <v>5086</v>
      </c>
      <c r="AC39" s="269">
        <f>IFERROR(INDEX('Inputs (2)'!$D$66:$AL$66,MATCH(AC$7&amp;"",'Inputs (2)'!$D$2:$AL$2,0)),"")</f>
        <v>1640</v>
      </c>
      <c r="AD39" s="269">
        <f>IFERROR(INDEX('Inputs (2)'!$D$66:$AL$66,MATCH(AD$7&amp;"",'Inputs (2)'!$D$2:$AL$2,0)),"")</f>
        <v>2242</v>
      </c>
      <c r="AE39" s="269">
        <f>IFERROR(INDEX('Inputs (2)'!$D$66:$AL$66,MATCH(AE$7&amp;"",'Inputs (2)'!$D$2:$AL$2,0)),"")</f>
        <v>2546</v>
      </c>
      <c r="AF39" s="269">
        <f>IFERROR(INDEX('Inputs (2)'!$D$66:$AL$66,MATCH(AF$7&amp;"",'Inputs (2)'!$D$2:$AL$2,0)),"")</f>
        <v>2728</v>
      </c>
      <c r="AG39" s="270">
        <f>IF(COUNT(AC39:AF39)=4,SUM(AC39:AF39),"")</f>
        <v>9156</v>
      </c>
      <c r="AH39" s="270">
        <f>IFERROR(INDEX('Inputs (2)'!$D$66:$AL$66,MATCH(AH$7&amp;"",'Inputs (2)'!$D$2:$AL$2,0)),"")</f>
        <v>2941</v>
      </c>
      <c r="AI39" s="270">
        <f>IFERROR(INDEX('Inputs (2)'!$D$66:$AL$66,MATCH(AI$7&amp;"",'Inputs (2)'!$D$2:$AL$2,0)),"")</f>
        <v>3899</v>
      </c>
    </row>
    <row r="40">
      <c r="C40" s="271" t="inlineStr">
        <is>
          <t xml:space="preserve">   Margem operacional Compute &amp; Networking</t>
        </is>
      </c>
      <c r="D40" s="272" t="str">
        <f>IFERROR(D38/D35,"")</f>
        <v/>
      </c>
      <c r="E40" s="272" t="str">
        <f>IFERROR(E38/E35,"")</f>
        <v/>
      </c>
      <c r="F40" s="272" t="str">
        <f>IFERROR(F38/F35,"")</f>
        <v/>
      </c>
      <c r="G40" s="272" t="str">
        <f>IFERROR(G38/G35,"")</f>
        <v/>
      </c>
      <c r="H40" s="273" t="str">
        <f>IFERROR(H38/H35,"")</f>
        <v/>
      </c>
      <c r="I40" s="272">
        <f>IFERROR(I38/I35,"")</f>
        <v>0.389592760180996</v>
      </c>
      <c r="J40" s="272">
        <f>IFERROR(J38/J35,"")</f>
        <v>0.397692307692308</v>
      </c>
      <c r="K40" s="272">
        <f>IFERROR(K38/K35,"")</f>
        <v>0.442377947525739</v>
      </c>
      <c r="L40" s="272">
        <f>IFERROR(L38/L35,"")</f>
        <v>0.425116279069767</v>
      </c>
      <c r="M40" s="273">
        <f>IFERROR(M38/M35,"")</f>
        <v>0.41625927937715</v>
      </c>
      <c r="N40" s="272">
        <f>IFERROR(N38/N35,"")</f>
        <v>0.437363834422658</v>
      </c>
      <c r="O40" s="272">
        <f>IFERROR(O38/O35,"")</f>
        <v>0.208855899667264</v>
      </c>
      <c r="P40" s="272">
        <f>IFERROR(P38/P35,"")</f>
        <v>0.284591194968553</v>
      </c>
      <c r="Q40" s="272">
        <f>IFERROR(Q38/Q35,"")</f>
        <v>0.428532534712769</v>
      </c>
      <c r="R40" s="273">
        <f>IFERROR(R38/R35,"")</f>
        <v>0.337271037961242</v>
      </c>
      <c r="S40" s="272">
        <f>IFERROR(S38/S35,"")</f>
        <v>0.484304932735426</v>
      </c>
      <c r="T40" s="272">
        <f>IFERROR(T38/T35,"")</f>
        <v>0.646798692559123</v>
      </c>
      <c r="U40" s="272">
        <f>IFERROR(U38/U35,"")</f>
        <v>0.700716968248549</v>
      </c>
      <c r="V40" s="272">
        <f>IFERROR(V38/V35,"")</f>
        <v>0.718907140462622</v>
      </c>
      <c r="W40" s="273">
        <f>IFERROR(W38/W35,"")</f>
        <v>0.675392891045248</v>
      </c>
      <c r="X40" s="272">
        <f>IFERROR(X38/X35,"")</f>
        <v>0.751797133406836</v>
      </c>
      <c r="Y40" s="272">
        <f>IFERROR(Y38/Y35,"")</f>
        <v>0.712697572411707</v>
      </c>
      <c r="Z40" s="272">
        <f>IFERROR(Z38/Z35,"")</f>
        <v>0.711464106199253</v>
      </c>
      <c r="AA40" s="272">
        <f>IFERROR(AA38/AA35,"")</f>
        <v>0.690920190920191</v>
      </c>
      <c r="AB40" s="273">
        <f>IFERROR(AB38/AB35,"")</f>
        <v>0.713244343463031</v>
      </c>
      <c r="AC40" s="272">
        <f>IFERROR(AC38/AC35,"")</f>
        <v>0.557073934678825</v>
      </c>
      <c r="AD40" s="272">
        <f>IFERROR(AD38/AD35,"")</f>
        <v>0.686240352277951</v>
      </c>
      <c r="AE40" s="272">
        <f>IFERROR(AE38/AE35,"")</f>
        <v>0.701677535947199</v>
      </c>
      <c r="AF40" s="272">
        <f>IFERROR(AF38/AF35,"")</f>
        <v>0.713727271252697</v>
      </c>
      <c r="AG40" s="273">
        <f>IFERROR(AG38/AG35,"")</f>
        <v>0.672631138263067</v>
      </c>
      <c r="AH40" s="273">
        <f>IFERROR(AH38/AH35,"")</f>
        <v>0.715425888665325</v>
      </c>
      <c r="AI40" s="273">
        <f>IFERROR(AI38/AI35,"")</f>
        <v>0.710042016330876</v>
      </c>
    </row>
    <row r="41">
      <c r="C41" s="271" t="inlineStr">
        <is>
          <t xml:space="preserve">   Margem operacional Graphics</t>
        </is>
      </c>
      <c r="D41" s="272" t="str">
        <f>IFERROR(D39/D36,"")</f>
        <v/>
      </c>
      <c r="E41" s="272" t="str">
        <f>IFERROR(E39/E36,"")</f>
        <v/>
      </c>
      <c r="F41" s="272" t="str">
        <f>IFERROR(F39/F36,"")</f>
        <v/>
      </c>
      <c r="G41" s="272" t="str">
        <f>IFERROR(G39/G36,"")</f>
        <v/>
      </c>
      <c r="H41" s="273" t="str">
        <f>IFERROR(H39/H36,"")</f>
        <v/>
      </c>
      <c r="I41" s="272">
        <f>IFERROR(I39/I36,"")</f>
        <v>0.517531150391191</v>
      </c>
      <c r="J41" s="272">
        <f>IFERROR(J39/J36,"")</f>
        <v>0.544407473765037</v>
      </c>
      <c r="K41" s="272">
        <f>IFERROR(K39/K36,"")</f>
        <v>0.527859237536657</v>
      </c>
      <c r="L41" s="272">
        <f>IFERROR(L39/L36,"")</f>
        <v>0.54753282028067</v>
      </c>
      <c r="M41" s="273">
        <f>IFERROR(M39/M36,"")</f>
        <v>0.535165112175448</v>
      </c>
      <c r="N41" s="272">
        <f>IFERROR(N39/N36,"")</f>
        <v>0.536395147313692</v>
      </c>
      <c r="O41" s="272">
        <f>IFERROR(O39/O36,"")</f>
        <v>0.234894529853414</v>
      </c>
      <c r="P41" s="272">
        <f>IFERROR(P39/P36,"")</f>
        <v>0.286524822695036</v>
      </c>
      <c r="Q41" s="272">
        <f>IFERROR(Q39/Q36,"")</f>
        <v>0.34188393608074</v>
      </c>
      <c r="R41" s="273">
        <f>IFERROR(R39/R36,"")</f>
        <v>0.382328237863262</v>
      </c>
      <c r="S41" s="272">
        <f>IFERROR(S39/S36,"")</f>
        <v>0.382869692532943</v>
      </c>
      <c r="T41" s="272">
        <f>IFERROR(T39/T36,"")</f>
        <v>0.390016103059581</v>
      </c>
      <c r="U41" s="272">
        <f>IFERROR(U39/U36,"")</f>
        <v>0.429640287769784</v>
      </c>
      <c r="V41" s="272">
        <f>IFERROR(V39/V36,"")</f>
        <v>0.498216409036861</v>
      </c>
      <c r="W41" s="273">
        <f>IFERROR(W39/W36,"")</f>
        <v>0.432418436043501</v>
      </c>
      <c r="X41" s="272">
        <f>IFERROR(X39/X36,"")</f>
        <v>0.36835856337192</v>
      </c>
      <c r="Y41" s="272">
        <f>IFERROR(Y39/Y36,"")</f>
        <v>0.380912632164719</v>
      </c>
      <c r="Z41" s="272">
        <f>IFERROR(Z39/Z36,"")</f>
        <v>0.371230845279288</v>
      </c>
      <c r="AA41" s="272">
        <f>IFERROR(AA39/AA36,"")</f>
        <v>0.295599393019727</v>
      </c>
      <c r="AB41" s="273">
        <f>IFERROR(AB39/AB36,"")</f>
        <v>0.355564876957494</v>
      </c>
      <c r="AC41" s="272">
        <f>IFERROR(AC39/AC36,"")</f>
        <v>0.366644310306282</v>
      </c>
      <c r="AD41" s="272">
        <f>IFERROR(AD39/AD36,"")</f>
        <v>0.414264597191426</v>
      </c>
      <c r="AE41" s="272">
        <f>IFERROR(AE39/AE36,"")</f>
        <v>0.417513938996392</v>
      </c>
      <c r="AF41" s="272">
        <f>IFERROR(AF39/AF36,"")</f>
        <v>0.421247683755405</v>
      </c>
      <c r="AG41" s="273">
        <f>IFERROR(AG39/AG36,"")</f>
        <v>0.407676209982635</v>
      </c>
      <c r="AH41" s="273">
        <f>IFERROR(AH39/AH36,"")</f>
        <v>0.416277423920736</v>
      </c>
      <c r="AI41" s="273">
        <f>IFERROR(AI39/AI36,"")</f>
        <v>0.492173693511739</v>
      </c>
    </row>
    <row r="42"/>
    <row r="43">
      <c r="C43" s="267" t="inlineStr">
        <is>
          <t>Receita por local de faturamento do cliente (USD milhões)</t>
        </is>
      </c>
      <c r="D43" s="267">
        <f>D7</f>
        <v>0</v>
      </c>
      <c r="E43" s="267">
        <f>E7</f>
        <v>0</v>
      </c>
      <c r="F43" s="267">
        <f>F7</f>
        <v>0</v>
      </c>
      <c r="G43" s="267">
        <f>G7</f>
        <v>0</v>
      </c>
      <c r="H43" s="267">
        <f>H7</f>
        <v>2020</v>
      </c>
      <c r="I43" s="267" t="str">
        <f>I7</f>
        <v>1Q21</v>
      </c>
      <c r="J43" s="267" t="str">
        <f>J7</f>
        <v>2Q21</v>
      </c>
      <c r="K43" s="267" t="str">
        <f>K7</f>
        <v>3Q21</v>
      </c>
      <c r="L43" s="267" t="str">
        <f>L7</f>
        <v>4Q21</v>
      </c>
      <c r="M43" s="267">
        <f>M7</f>
        <v>2021</v>
      </c>
      <c r="N43" s="267" t="str">
        <f>N7</f>
        <v>1Q22</v>
      </c>
      <c r="O43" s="267" t="str">
        <f>O7</f>
        <v>2Q22</v>
      </c>
      <c r="P43" s="267" t="str">
        <f>P7</f>
        <v>3Q22</v>
      </c>
      <c r="Q43" s="267" t="str">
        <f>Q7</f>
        <v>4Q22</v>
      </c>
      <c r="R43" s="267">
        <f>R7</f>
        <v>2022</v>
      </c>
      <c r="S43" s="267" t="str">
        <f>S7</f>
        <v>1Q23</v>
      </c>
      <c r="T43" s="267" t="str">
        <f>T7</f>
        <v>2Q23</v>
      </c>
      <c r="U43" s="267" t="str">
        <f>U7</f>
        <v>3Q23</v>
      </c>
      <c r="V43" s="267" t="str">
        <f>V7</f>
        <v>4Q23</v>
      </c>
      <c r="W43" s="267">
        <f>W7</f>
        <v>2023</v>
      </c>
      <c r="X43" s="267" t="str">
        <f>X7</f>
        <v>1Q24</v>
      </c>
      <c r="Y43" s="267" t="str">
        <f>Y7</f>
        <v>2Q24</v>
      </c>
      <c r="Z43" s="267" t="str">
        <f>Z7</f>
        <v>3Q24</v>
      </c>
      <c r="AA43" s="267" t="str">
        <f>AA7</f>
        <v>4Q24</v>
      </c>
      <c r="AB43" s="267">
        <f>AB7</f>
        <v>2024</v>
      </c>
      <c r="AC43" s="267" t="str">
        <f>AC7</f>
        <v>1Q25</v>
      </c>
      <c r="AD43" s="267" t="str">
        <f>AD7</f>
        <v>2Q25</v>
      </c>
      <c r="AE43" s="267" t="str">
        <f>AE7</f>
        <v>3Q25</v>
      </c>
      <c r="AF43" s="267" t="str">
        <f>AF7</f>
        <v>4Q25</v>
      </c>
      <c r="AG43" s="267">
        <f>AG7</f>
        <v>2025</v>
      </c>
      <c r="AH43" s="267" t="str">
        <f>AH7</f>
        <v>1Q26</v>
      </c>
      <c r="AI43" s="267" t="str">
        <f>AI7</f>
        <v>2Q26</v>
      </c>
    </row>
    <row r="44">
      <c r="C44" s="271" t="inlineStr">
        <is>
          <t xml:space="preserve">   Estados Unidos</t>
        </is>
      </c>
      <c r="D44" s="269" t="str">
        <f>IFERROR(INDEX('Inputs (2)'!$D$67:$AL$67,MATCH(D$7&amp;"",'Inputs (2)'!$D$2:$AL$2,0)),"")</f>
        <v/>
      </c>
      <c r="E44" s="269" t="str">
        <f>IFERROR(INDEX('Inputs (2)'!$D$67:$AL$67,MATCH(E$7&amp;"",'Inputs (2)'!$D$2:$AL$2,0)),"")</f>
        <v/>
      </c>
      <c r="F44" s="269" t="str">
        <f>IFERROR(INDEX('Inputs (2)'!$D$67:$AL$67,MATCH(F$7&amp;"",'Inputs (2)'!$D$2:$AL$2,0)),"")</f>
        <v/>
      </c>
      <c r="G44" s="269" t="str">
        <f>IFERROR(INDEX('Inputs (2)'!$D$67:$AL$67,MATCH(G$7&amp;"",'Inputs (2)'!$D$2:$AL$2,0)),"")</f>
        <v/>
      </c>
      <c r="H44" s="270" t="str">
        <f>IF(COUNT(D44:G44)=4,SUM(D44:G44),"")</f>
        <v/>
      </c>
      <c r="I44" s="269">
        <f>IFERROR(INDEX('Inputs (2)'!$D$67:$AL$67,MATCH(I$7&amp;"",'Inputs (2)'!$D$2:$AL$2,0)),"")</f>
        <v>768</v>
      </c>
      <c r="J44" s="269">
        <f>IFERROR(INDEX('Inputs (2)'!$D$67:$AL$67,MATCH(J$7&amp;"",'Inputs (2)'!$D$2:$AL$2,0)),"")</f>
        <v>996</v>
      </c>
      <c r="K44" s="269">
        <f>IFERROR(INDEX('Inputs (2)'!$D$67:$AL$67,MATCH(K$7&amp;"",'Inputs (2)'!$D$2:$AL$2,0)),"")</f>
        <v>1126</v>
      </c>
      <c r="L44" s="269">
        <f>IFERROR(INDEX('Inputs (2)'!$D$67:$AL$67,MATCH(L$7&amp;"",'Inputs (2)'!$D$2:$AL$2,0)),"")</f>
        <v>1459</v>
      </c>
      <c r="M44" s="270">
        <f>IF(COUNT(I44:L44)=4,SUM(I44:L44),"")</f>
        <v>4349</v>
      </c>
      <c r="N44" s="269">
        <f>IFERROR(INDEX('Inputs (2)'!$D$67:$AL$67,MATCH(N$7&amp;"",'Inputs (2)'!$D$2:$AL$2,0)),"")</f>
        <v>1932</v>
      </c>
      <c r="O44" s="269">
        <f>IFERROR(INDEX('Inputs (2)'!$D$67:$AL$67,MATCH(O$7&amp;"",'Inputs (2)'!$D$2:$AL$2,0)),"")</f>
        <v>1988</v>
      </c>
      <c r="P44" s="269">
        <f>IFERROR(INDEX('Inputs (2)'!$D$67:$AL$67,MATCH(P$7&amp;"",'Inputs (2)'!$D$2:$AL$2,0)),"")</f>
        <v>2148</v>
      </c>
      <c r="Q44" s="269">
        <f>IFERROR(INDEX('Inputs (2)'!$D$67:$AL$67,MATCH(Q$7&amp;"",'Inputs (2)'!$D$2:$AL$2,0)),"")</f>
        <v>2223</v>
      </c>
      <c r="R44" s="270">
        <f>IF(COUNT(N44:Q44)=4,SUM(N44:Q44),"")</f>
        <v>8291</v>
      </c>
      <c r="S44" s="269">
        <f>IFERROR(INDEX('Inputs (2)'!$D$67:$AL$67,MATCH(S$7&amp;"",'Inputs (2)'!$D$2:$AL$2,0)),"")</f>
        <v>2385</v>
      </c>
      <c r="T44" s="269">
        <f>IFERROR(INDEX('Inputs (2)'!$D$67:$AL$67,MATCH(T$7&amp;"",'Inputs (2)'!$D$2:$AL$2,0)),"")</f>
        <v>6043</v>
      </c>
      <c r="U44" s="269">
        <f>IFERROR(INDEX('Inputs (2)'!$D$67:$AL$67,MATCH(U$7&amp;"",'Inputs (2)'!$D$2:$AL$2,0)),"")</f>
        <v>6302</v>
      </c>
      <c r="V44" s="269">
        <f>IFERROR(INDEX('Inputs (2)'!$D$67:$AL$67,MATCH(V$7&amp;"",'Inputs (2)'!$D$2:$AL$2,0)),"")</f>
        <v>12236</v>
      </c>
      <c r="W44" s="270">
        <f>IF(COUNT(S44:V44)=4,SUM(S44:V44),"")</f>
        <v>26966</v>
      </c>
      <c r="X44" s="269">
        <f>IFERROR(INDEX('Inputs (2)'!$D$67:$AL$67,MATCH(X$7&amp;"",'Inputs (2)'!$D$2:$AL$2,0)),"")</f>
        <v>13496</v>
      </c>
      <c r="Y44" s="269">
        <f>IFERROR(INDEX('Inputs (2)'!$D$67:$AL$67,MATCH(Y$7&amp;"",'Inputs (2)'!$D$2:$AL$2,0)),"")</f>
        <v>13022</v>
      </c>
      <c r="Z44" s="269">
        <f>IFERROR(INDEX('Inputs (2)'!$D$67:$AL$67,MATCH(Z$7&amp;"",'Inputs (2)'!$D$2:$AL$2,0)),"")</f>
        <v>14800</v>
      </c>
      <c r="AA44" s="269">
        <f>IFERROR(INDEX('Inputs (2)'!$D$67:$AL$67,MATCH(AA$7&amp;"",'Inputs (2)'!$D$2:$AL$2,0)),"")</f>
        <v>19939</v>
      </c>
      <c r="AB44" s="270">
        <f>IF(COUNT(X44:AA44)=4,SUM(X44:AA44),"")</f>
        <v>61257</v>
      </c>
      <c r="AC44" s="269">
        <f>IFERROR(INDEX('Inputs (2)'!$D$67:$AL$67,MATCH(AC$7&amp;"",'Inputs (2)'!$D$2:$AL$2,0)),"")</f>
        <v>20739</v>
      </c>
      <c r="AD44" s="269">
        <f>IFERROR(INDEX('Inputs (2)'!$D$67:$AL$67,MATCH(AD$7&amp;"",'Inputs (2)'!$D$2:$AL$2,0)),"")</f>
        <v>23470</v>
      </c>
      <c r="AE44" s="269">
        <f>IFERROR(INDEX('Inputs (2)'!$D$67:$AL$67,MATCH(AE$7&amp;"",'Inputs (2)'!$D$2:$AL$2,0)),"")</f>
        <v>39177</v>
      </c>
      <c r="AF44" s="269">
        <f>IFERROR(INDEX('Inputs (2)'!$D$67:$AL$67,MATCH(AF$7&amp;"",'Inputs (2)'!$D$2:$AL$2,0)),"")</f>
        <v>51858</v>
      </c>
      <c r="AG44" s="270">
        <f>IF(COUNT(AC44:AF44)=4,SUM(AC44:AF44),"")</f>
        <v>135244</v>
      </c>
      <c r="AH44" s="270">
        <f>IFERROR(INDEX('Inputs (2)'!$D$67:$AL$67,MATCH(AH$7&amp;"",'Inputs (2)'!$D$2:$AL$2,0)),"")</f>
        <v>63769</v>
      </c>
      <c r="AI44" s="270">
        <f>IFERROR(INDEX('Inputs (2)'!$D$67:$AL$67,MATCH(AI$7&amp;"",'Inputs (2)'!$D$2:$AL$2,0)),"")</f>
        <v>60074</v>
      </c>
    </row>
    <row r="45">
      <c r="C45" s="271" t="inlineStr">
        <is>
          <t xml:space="preserve">   Taiwan</t>
        </is>
      </c>
      <c r="D45" s="269" t="str">
        <f>IFERROR(INDEX('Inputs (2)'!$D$68:$AL$68,MATCH(D$7&amp;"",'Inputs (2)'!$D$2:$AL$2,0)),"")</f>
        <v/>
      </c>
      <c r="E45" s="269" t="str">
        <f>IFERROR(INDEX('Inputs (2)'!$D$68:$AL$68,MATCH(E$7&amp;"",'Inputs (2)'!$D$2:$AL$2,0)),"")</f>
        <v/>
      </c>
      <c r="F45" s="269" t="str">
        <f>IFERROR(INDEX('Inputs (2)'!$D$68:$AL$68,MATCH(F$7&amp;"",'Inputs (2)'!$D$2:$AL$2,0)),"")</f>
        <v/>
      </c>
      <c r="G45" s="269" t="str">
        <f>IFERROR(INDEX('Inputs (2)'!$D$68:$AL$68,MATCH(G$7&amp;"",'Inputs (2)'!$D$2:$AL$2,0)),"")</f>
        <v/>
      </c>
      <c r="H45" s="270" t="str">
        <f>IF(COUNT(D45:G45)=4,SUM(D45:G45),"")</f>
        <v/>
      </c>
      <c r="I45" s="269">
        <f>IFERROR(INDEX('Inputs (2)'!$D$68:$AL$68,MATCH(I$7&amp;"",'Inputs (2)'!$D$2:$AL$2,0)),"")</f>
        <v>1784</v>
      </c>
      <c r="J45" s="269">
        <f>IFERROR(INDEX('Inputs (2)'!$D$68:$AL$68,MATCH(J$7&amp;"",'Inputs (2)'!$D$2:$AL$2,0)),"")</f>
        <v>1961</v>
      </c>
      <c r="K45" s="269">
        <f>IFERROR(INDEX('Inputs (2)'!$D$68:$AL$68,MATCH(K$7&amp;"",'Inputs (2)'!$D$2:$AL$2,0)),"")</f>
        <v>2187</v>
      </c>
      <c r="L45" s="269">
        <f>IFERROR(INDEX('Inputs (2)'!$D$68:$AL$68,MATCH(L$7&amp;"",'Inputs (2)'!$D$2:$AL$2,0)),"")</f>
        <v>2612</v>
      </c>
      <c r="M45" s="270">
        <f>IF(COUNT(I45:L45)=4,SUM(I45:L45),"")</f>
        <v>8544</v>
      </c>
      <c r="N45" s="269">
        <f>IFERROR(INDEX('Inputs (2)'!$D$68:$AL$68,MATCH(N$7&amp;"",'Inputs (2)'!$D$2:$AL$2,0)),"")</f>
        <v>2777</v>
      </c>
      <c r="O45" s="269">
        <f>IFERROR(INDEX('Inputs (2)'!$D$68:$AL$68,MATCH(O$7&amp;"",'Inputs (2)'!$D$2:$AL$2,0)),"")</f>
        <v>1204</v>
      </c>
      <c r="P45" s="269">
        <f>IFERROR(INDEX('Inputs (2)'!$D$68:$AL$68,MATCH(P$7&amp;"",'Inputs (2)'!$D$2:$AL$2,0)),"")</f>
        <v>1153</v>
      </c>
      <c r="Q45" s="269">
        <f>IFERROR(INDEX('Inputs (2)'!$D$68:$AL$68,MATCH(Q$7&amp;"",'Inputs (2)'!$D$2:$AL$2,0)),"")</f>
        <v>1852</v>
      </c>
      <c r="R45" s="270">
        <f>IF(COUNT(N45:Q45)=4,SUM(N45:Q45),"")</f>
        <v>6986</v>
      </c>
      <c r="S45" s="269">
        <f>IFERROR(INDEX('Inputs (2)'!$D$68:$AL$68,MATCH(S$7&amp;"",'Inputs (2)'!$D$2:$AL$2,0)),"")</f>
        <v>1796</v>
      </c>
      <c r="T45" s="269">
        <f>IFERROR(INDEX('Inputs (2)'!$D$68:$AL$68,MATCH(T$7&amp;"",'Inputs (2)'!$D$2:$AL$2,0)),"")</f>
        <v>2839</v>
      </c>
      <c r="U45" s="269">
        <f>IFERROR(INDEX('Inputs (2)'!$D$68:$AL$68,MATCH(U$7&amp;"",'Inputs (2)'!$D$2:$AL$2,0)),"")</f>
        <v>4333</v>
      </c>
      <c r="V45" s="269">
        <f>IFERROR(INDEX('Inputs (2)'!$D$68:$AL$68,MATCH(V$7&amp;"",'Inputs (2)'!$D$2:$AL$2,0)),"")</f>
        <v>4437</v>
      </c>
      <c r="W45" s="270">
        <f>IF(COUNT(S45:V45)=4,SUM(S45:V45),"")</f>
        <v>13405</v>
      </c>
      <c r="X45" s="269">
        <f>IFERROR(INDEX('Inputs (2)'!$D$68:$AL$68,MATCH(X$7&amp;"",'Inputs (2)'!$D$2:$AL$2,0)),"")</f>
        <v>4373</v>
      </c>
      <c r="Y45" s="269">
        <f>IFERROR(INDEX('Inputs (2)'!$D$68:$AL$68,MATCH(Y$7&amp;"",'Inputs (2)'!$D$2:$AL$2,0)),"")</f>
        <v>5740</v>
      </c>
      <c r="Z45" s="269">
        <f>IFERROR(INDEX('Inputs (2)'!$D$68:$AL$68,MATCH(Z$7&amp;"",'Inputs (2)'!$D$2:$AL$2,0)),"")</f>
        <v>5153</v>
      </c>
      <c r="AA45" s="269">
        <f>IFERROR(INDEX('Inputs (2)'!$D$68:$AL$68,MATCH(AA$7&amp;"",'Inputs (2)'!$D$2:$AL$2,0)),"")</f>
        <v>5307</v>
      </c>
      <c r="AB45" s="270">
        <f>IF(COUNT(X45:AA45)=4,SUM(X45:AA45),"")</f>
        <v>20573</v>
      </c>
      <c r="AC45" s="269">
        <f>IFERROR(INDEX('Inputs (2)'!$D$68:$AL$68,MATCH(AC$7&amp;"",'Inputs (2)'!$D$2:$AL$2,0)),"")</f>
        <v>7158</v>
      </c>
      <c r="AD45" s="269">
        <f>IFERROR(INDEX('Inputs (2)'!$D$68:$AL$68,MATCH(AD$7&amp;"",'Inputs (2)'!$D$2:$AL$2,0)),"")</f>
        <v>8529</v>
      </c>
      <c r="AE45" s="269">
        <f>IFERROR(INDEX('Inputs (2)'!$D$68:$AL$68,MATCH(AE$7&amp;"",'Inputs (2)'!$D$2:$AL$2,0)),"")</f>
        <v>13751</v>
      </c>
      <c r="AF45" s="269">
        <f>IFERROR(INDEX('Inputs (2)'!$D$68:$AL$68,MATCH(AF$7&amp;"",'Inputs (2)'!$D$2:$AL$2,0)),"")</f>
        <v>12044</v>
      </c>
      <c r="AG45" s="270">
        <f>IF(COUNT(AC45:AF45)=4,SUM(AC45:AF45),"")</f>
        <v>41482</v>
      </c>
      <c r="AH45" s="270">
        <f>IFERROR(INDEX('Inputs (2)'!$D$68:$AL$68,MATCH(AH$7&amp;"",'Inputs (2)'!$D$2:$AL$2,0)),"")</f>
        <v>12006</v>
      </c>
      <c r="AI45" s="270">
        <f>IFERROR(INDEX('Inputs (2)'!$D$68:$AL$68,MATCH(AI$7&amp;"",'Inputs (2)'!$D$2:$AL$2,0)),"")</f>
        <v>26985</v>
      </c>
    </row>
    <row r="46">
      <c r="C46" s="271" t="inlineStr">
        <is>
          <t xml:space="preserve">   China (inclui Hong Kong)</t>
        </is>
      </c>
      <c r="D46" s="269" t="str">
        <f>IFERROR(INDEX('Inputs (2)'!$D$69:$AL$69,MATCH(D$7&amp;"",'Inputs (2)'!$D$2:$AL$2,0)),"")</f>
        <v/>
      </c>
      <c r="E46" s="269" t="str">
        <f>IFERROR(INDEX('Inputs (2)'!$D$69:$AL$69,MATCH(E$7&amp;"",'Inputs (2)'!$D$2:$AL$2,0)),"")</f>
        <v/>
      </c>
      <c r="F46" s="269" t="str">
        <f>IFERROR(INDEX('Inputs (2)'!$D$69:$AL$69,MATCH(F$7&amp;"",'Inputs (2)'!$D$2:$AL$2,0)),"")</f>
        <v/>
      </c>
      <c r="G46" s="269" t="str">
        <f>IFERROR(INDEX('Inputs (2)'!$D$69:$AL$69,MATCH(G$7&amp;"",'Inputs (2)'!$D$2:$AL$2,0)),"")</f>
        <v/>
      </c>
      <c r="H46" s="270" t="str">
        <f>IF(COUNT(D46:G46)=4,SUM(D46:G46),"")</f>
        <v/>
      </c>
      <c r="I46" s="269">
        <f>IFERROR(INDEX('Inputs (2)'!$D$69:$AL$69,MATCH(I$7&amp;"",'Inputs (2)'!$D$2:$AL$2,0)),"")</f>
        <v>1391</v>
      </c>
      <c r="J46" s="269">
        <f>IFERROR(INDEX('Inputs (2)'!$D$69:$AL$69,MATCH(J$7&amp;"",'Inputs (2)'!$D$2:$AL$2,0)),"")</f>
        <v>1720</v>
      </c>
      <c r="K46" s="269">
        <f>IFERROR(INDEX('Inputs (2)'!$D$69:$AL$69,MATCH(K$7&amp;"",'Inputs (2)'!$D$2:$AL$2,0)),"")</f>
        <v>2017</v>
      </c>
      <c r="L46" s="269">
        <f>IFERROR(INDEX('Inputs (2)'!$D$69:$AL$69,MATCH(L$7&amp;"",'Inputs (2)'!$D$2:$AL$2,0)),"")</f>
        <v>1983</v>
      </c>
      <c r="M46" s="270">
        <f>IF(COUNT(I46:L46)=4,SUM(I46:L46),"")</f>
        <v>7111</v>
      </c>
      <c r="N46" s="269">
        <f>IFERROR(INDEX('Inputs (2)'!$D$69:$AL$69,MATCH(N$7&amp;"",'Inputs (2)'!$D$2:$AL$2,0)),"")</f>
        <v>2081</v>
      </c>
      <c r="O46" s="269">
        <f>IFERROR(INDEX('Inputs (2)'!$D$69:$AL$69,MATCH(O$7&amp;"",'Inputs (2)'!$D$2:$AL$2,0)),"")</f>
        <v>1602</v>
      </c>
      <c r="P46" s="269">
        <f>IFERROR(INDEX('Inputs (2)'!$D$69:$AL$69,MATCH(P$7&amp;"",'Inputs (2)'!$D$2:$AL$2,0)),"")</f>
        <v>1148</v>
      </c>
      <c r="Q46" s="269">
        <f>IFERROR(INDEX('Inputs (2)'!$D$69:$AL$69,MATCH(Q$7&amp;"",'Inputs (2)'!$D$2:$AL$2,0)),"")</f>
        <v>954</v>
      </c>
      <c r="R46" s="270">
        <f>IF(COUNT(N46:Q46)=4,SUM(N46:Q46),"")</f>
        <v>5785</v>
      </c>
      <c r="S46" s="269">
        <f>IFERROR(INDEX('Inputs (2)'!$D$69:$AL$69,MATCH(S$7&amp;"",'Inputs (2)'!$D$2:$AL$2,0)),"")</f>
        <v>1590</v>
      </c>
      <c r="T46" s="269">
        <f>IFERROR(INDEX('Inputs (2)'!$D$69:$AL$69,MATCH(T$7&amp;"",'Inputs (2)'!$D$2:$AL$2,0)),"")</f>
        <v>2740</v>
      </c>
      <c r="U46" s="269">
        <f>IFERROR(INDEX('Inputs (2)'!$D$69:$AL$69,MATCH(U$7&amp;"",'Inputs (2)'!$D$2:$AL$2,0)),"")</f>
        <v>4030</v>
      </c>
      <c r="V46" s="269">
        <f>IFERROR(INDEX('Inputs (2)'!$D$69:$AL$69,MATCH(V$7&amp;"",'Inputs (2)'!$D$2:$AL$2,0)),"")</f>
        <v>1946</v>
      </c>
      <c r="W46" s="270">
        <f>IF(COUNT(S46:V46)=4,SUM(S46:V46),"")</f>
        <v>10306</v>
      </c>
      <c r="X46" s="269">
        <f>IFERROR(INDEX('Inputs (2)'!$D$69:$AL$69,MATCH(X$7&amp;"",'Inputs (2)'!$D$2:$AL$2,0)),"")</f>
        <v>2491</v>
      </c>
      <c r="Y46" s="269">
        <f>IFERROR(INDEX('Inputs (2)'!$D$69:$AL$69,MATCH(Y$7&amp;"",'Inputs (2)'!$D$2:$AL$2,0)),"")</f>
        <v>3667</v>
      </c>
      <c r="Z46" s="269">
        <f>IFERROR(INDEX('Inputs (2)'!$D$69:$AL$69,MATCH(Z$7&amp;"",'Inputs (2)'!$D$2:$AL$2,0)),"")</f>
        <v>5416</v>
      </c>
      <c r="AA46" s="269">
        <f>IFERROR(INDEX('Inputs (2)'!$D$69:$AL$69,MATCH(AA$7&amp;"",'Inputs (2)'!$D$2:$AL$2,0)),"")</f>
        <v>5534</v>
      </c>
      <c r="AB46" s="270">
        <f>IF(COUNT(X46:AA46)=4,SUM(X46:AA46),"")</f>
        <v>17108</v>
      </c>
      <c r="AC46" s="269">
        <f>IFERROR(INDEX('Inputs (2)'!$D$69:$AL$69,MATCH(AC$7&amp;"",'Inputs (2)'!$D$2:$AL$2,0)),"")</f>
        <v>5522</v>
      </c>
      <c r="AD46" s="269">
        <f>IFERROR(INDEX('Inputs (2)'!$D$69:$AL$69,MATCH(AD$7&amp;"",'Inputs (2)'!$D$2:$AL$2,0)),"")</f>
        <v>2769</v>
      </c>
      <c r="AE46" s="269">
        <f>IFERROR(INDEX('Inputs (2)'!$D$69:$AL$69,MATCH(AE$7&amp;"",'Inputs (2)'!$D$2:$AL$2,0)),"")</f>
        <v>2973</v>
      </c>
      <c r="AF46" s="269">
        <f>IFERROR(INDEX('Inputs (2)'!$D$69:$AL$69,MATCH(AF$7&amp;"",'Inputs (2)'!$D$2:$AL$2,0)),"")</f>
        <v>3060</v>
      </c>
      <c r="AG46" s="270">
        <f>IF(COUNT(AC46:AF46)=4,SUM(AC46:AF46),"")</f>
        <v>14324</v>
      </c>
      <c r="AH46" s="270">
        <f>IFERROR(INDEX('Inputs (2)'!$D$69:$AL$69,MATCH(AH$7&amp;"",'Inputs (2)'!$D$2:$AL$2,0)),"")</f>
        <v>4550</v>
      </c>
      <c r="AI46" s="270">
        <f>IFERROR(INDEX('Inputs (2)'!$D$69:$AL$69,MATCH(AI$7&amp;"",'Inputs (2)'!$D$2:$AL$2,0)),"")</f>
        <v>7880</v>
      </c>
    </row>
    <row r="47">
      <c r="C47" s="271" t="inlineStr">
        <is>
          <t xml:space="preserve">   Outros países (receita total - os três)</t>
        </is>
      </c>
      <c r="D47" s="269" t="str">
        <f>IF(COUNT(D44)=0,"",D15-N(D44)-N(D45)-N(D46))</f>
        <v/>
      </c>
      <c r="E47" s="269" t="str">
        <f>IF(COUNT(E44)=0,"",E15-N(E44)-N(E45)-N(E46))</f>
        <v/>
      </c>
      <c r="F47" s="269" t="str">
        <f>IF(COUNT(F44)=0,"",F15-N(F44)-N(F45)-N(F46))</f>
        <v/>
      </c>
      <c r="G47" s="269" t="str">
        <f>IF(COUNT(G44)=0,"",G15-N(G44)-N(G45)-N(G46))</f>
        <v/>
      </c>
      <c r="H47" s="270" t="str">
        <f>IF(COUNT(H44)=0,"",H15-N(H44)-N(H45)-N(H46))</f>
        <v/>
      </c>
      <c r="I47" s="269">
        <f>IF(COUNT(I44)=0,"",I15-N(I44)-N(I45)-N(I46))</f>
        <v>1718</v>
      </c>
      <c r="J47" s="269">
        <f>IF(COUNT(J44)=0,"",J15-N(J44)-N(J45)-N(J46))</f>
        <v>1830</v>
      </c>
      <c r="K47" s="269">
        <f>IF(COUNT(K44)=0,"",K15-N(K44)-N(K45)-N(K46))</f>
        <v>1773</v>
      </c>
      <c r="L47" s="269">
        <f>IF(COUNT(L44)=0,"",L15-N(L44)-N(L45)-N(L46))</f>
        <v>1589</v>
      </c>
      <c r="M47" s="270">
        <f>IF(COUNT(M44)=0,"",M15-N(M44)-N(M45)-N(M46))</f>
        <v>6910</v>
      </c>
      <c r="N47" s="269">
        <f>IF(COUNT(N44)=0,"",N15-N(N44)-N(N45)-N(N46))</f>
        <v>1498</v>
      </c>
      <c r="O47" s="269">
        <f>IF(COUNT(O44)=0,"",O15-N(O44)-N(O45)-N(O46))</f>
        <v>1910</v>
      </c>
      <c r="P47" s="269">
        <f>IF(COUNT(P44)=0,"",P15-N(P44)-N(P45)-N(P46))</f>
        <v>1482</v>
      </c>
      <c r="Q47" s="269">
        <f>IF(COUNT(Q44)=0,"",Q15-N(Q44)-N(Q45)-N(Q46))</f>
        <v>1022</v>
      </c>
      <c r="R47" s="270">
        <f>IF(COUNT(R44)=0,"",R15-N(R44)-N(R45)-N(R46))</f>
        <v>5912</v>
      </c>
      <c r="S47" s="269">
        <f>IF(COUNT(S44)=0,"",S15-N(S44)-N(S45)-N(S46))</f>
        <v>1421</v>
      </c>
      <c r="T47" s="269">
        <f>IF(COUNT(T44)=0,"",T15-N(T44)-N(T45)-N(T46))</f>
        <v>1885</v>
      </c>
      <c r="U47" s="269">
        <f>IF(COUNT(U44)=0,"",U15-N(U44)-N(U45)-N(U46))</f>
        <v>3455</v>
      </c>
      <c r="V47" s="269">
        <f>IF(COUNT(V44)=0,"",V15-N(V44)-N(V45)-N(V46))</f>
        <v>3484</v>
      </c>
      <c r="W47" s="270">
        <f>IF(COUNT(W44)=0,"",W15-N(W44)-N(W45)-N(W46))</f>
        <v>10245</v>
      </c>
      <c r="X47" s="269">
        <f>IF(COUNT(X44)=0,"",X15-N(X44)-N(X45)-N(X46))</f>
        <v>5684</v>
      </c>
      <c r="Y47" s="269">
        <f>IF(COUNT(Y44)=0,"",Y15-N(Y44)-N(Y45)-N(Y46))</f>
        <v>7611</v>
      </c>
      <c r="Z47" s="269">
        <f>IF(COUNT(Z44)=0,"",Z15-N(Z44)-N(Z45)-N(Z46))</f>
        <v>9713</v>
      </c>
      <c r="AA47" s="269">
        <f>IF(COUNT(AA44)=0,"",AA15-N(AA44)-N(AA45)-N(AA46))</f>
        <v>8551</v>
      </c>
      <c r="AB47" s="270">
        <f>IF(COUNT(AB44)=0,"",AB15-N(AB44)-N(AB45)-N(AB46))</f>
        <v>31559</v>
      </c>
      <c r="AC47" s="269">
        <f>IF(COUNT(AC44)=0,"",AC15-N(AC44)-N(AC45)-N(AC46))</f>
        <v>10643</v>
      </c>
      <c r="AD47" s="269">
        <f>IF(COUNT(AD44)=0,"",AD15-N(AD44)-N(AD45)-N(AD46))</f>
        <v>11975</v>
      </c>
      <c r="AE47" s="269">
        <f>IF(COUNT(AE44)=0,"",AE15-N(AE44)-N(AE45)-N(AE46))</f>
        <v>1105</v>
      </c>
      <c r="AF47" s="269">
        <f>IF(COUNT(AF44)=0,"",AF15-N(AF44)-N(AF45)-N(AF46))</f>
        <v>1165</v>
      </c>
      <c r="AG47" s="270">
        <f>IF(COUNT(AG44)=0,"",AG15-N(AG44)-N(AG45)-N(AG46))</f>
        <v>24888</v>
      </c>
      <c r="AH47" s="270">
        <f>IF(COUNT(AH44)=0,"",AH15-N(AH44)-N(AH45)-N(AH46))</f>
        <v>1290</v>
      </c>
      <c r="AI47" s="270">
        <f>IF(COUNT(AI44)=0,"",AI15-N(AI44)-N(AI45)-N(AI46))</f>
        <v>1282</v>
      </c>
    </row>
    <row r="48">
      <c r="C48" s="271" t="inlineStr">
        <is>
          <t xml:space="preserve">   % YoY China</t>
        </is>
      </c>
      <c r="D48" s="272" t="str">
        <f>""</f>
        <v/>
      </c>
      <c r="E48" s="272" t="str">
        <f>""</f>
        <v/>
      </c>
      <c r="F48" s="272" t="str">
        <f>""</f>
        <v/>
      </c>
      <c r="G48" s="272" t="str">
        <f>""</f>
        <v/>
      </c>
      <c r="H48" s="273" t="str">
        <f>""</f>
        <v/>
      </c>
      <c r="I48" s="272" t="str">
        <f>IFERROR(I46/D46-1,"")</f>
        <v/>
      </c>
      <c r="J48" s="272" t="str">
        <f>IFERROR(J46/E46-1,"")</f>
        <v/>
      </c>
      <c r="K48" s="272" t="str">
        <f>IFERROR(K46/F46-1,"")</f>
        <v/>
      </c>
      <c r="L48" s="272" t="str">
        <f>IFERROR(L46/G46-1,"")</f>
        <v/>
      </c>
      <c r="M48" s="273" t="str">
        <f>IFERROR(M46/H46-1,"")</f>
        <v/>
      </c>
      <c r="N48" s="272">
        <f>IFERROR(N46/I46-1,"")</f>
        <v>0.496046010064702</v>
      </c>
      <c r="O48" s="272">
        <f>IFERROR(O46/J46-1,"")</f>
        <v>-0.0686046511627907</v>
      </c>
      <c r="P48" s="272">
        <f>IFERROR(P46/K46-1,"")</f>
        <v>-0.430837878036688</v>
      </c>
      <c r="Q48" s="272">
        <f>IFERROR(Q46/L46-1,"")</f>
        <v>-0.518910741301059</v>
      </c>
      <c r="R48" s="273">
        <f>IFERROR(R46/M46-1,"")</f>
        <v>-0.186471663619744</v>
      </c>
      <c r="S48" s="272">
        <f>IFERROR(S46/N46-1,"")</f>
        <v>-0.235944257568477</v>
      </c>
      <c r="T48" s="272">
        <f>IFERROR(T46/O46-1,"")</f>
        <v>0.710362047440699</v>
      </c>
      <c r="U48" s="272">
        <f>IFERROR(U46/P46-1,"")</f>
        <v>2.51045296167247</v>
      </c>
      <c r="V48" s="272">
        <f>IFERROR(V46/Q46-1,"")</f>
        <v>1.0398322851153</v>
      </c>
      <c r="W48" s="273">
        <f>IFERROR(W46/R46-1,"")</f>
        <v>0.781503889369058</v>
      </c>
      <c r="X48" s="272">
        <f>IFERROR(X46/S46-1,"")</f>
        <v>0.566666666666667</v>
      </c>
      <c r="Y48" s="272">
        <f>IFERROR(Y46/T46-1,"")</f>
        <v>0.338321167883212</v>
      </c>
      <c r="Z48" s="272">
        <f>IFERROR(Z46/U46-1,"")</f>
        <v>0.343920595533499</v>
      </c>
      <c r="AA48" s="272">
        <f>IFERROR(AA46/V46-1,"")</f>
        <v>1.84378211716341</v>
      </c>
      <c r="AB48" s="273">
        <f>IFERROR(AB46/W46-1,"")</f>
        <v>0.660003881234233</v>
      </c>
      <c r="AC48" s="272">
        <f>IFERROR(AC46/X46-1,"")</f>
        <v>1.21678040947411</v>
      </c>
      <c r="AD48" s="272">
        <f>IFERROR(AD46/Y46-1,"")</f>
        <v>-0.244886828470139</v>
      </c>
      <c r="AE48" s="272">
        <f>IFERROR(AE46/Z46-1,"")</f>
        <v>-0.451070901033973</v>
      </c>
      <c r="AF48" s="272">
        <f>IFERROR(AF46/AA46-1,"")</f>
        <v>-0.447054571738345</v>
      </c>
      <c r="AG48" s="273">
        <f>IFERROR(AG46/AB46-1,"")</f>
        <v>-0.162730886135141</v>
      </c>
      <c r="AH48" s="273">
        <f>IFERROR(AH46/AC46-1,"")</f>
        <v>-0.176023180007244</v>
      </c>
      <c r="AI48" s="273">
        <f>IFERROR(AI46/AD46-1,"")</f>
        <v>1.84579270494763</v>
      </c>
    </row>
    <row r="49">
      <c r="C49" s="271" t="inlineStr">
        <is>
          <t xml:space="preserve">   % China na receita</t>
        </is>
      </c>
      <c r="D49" s="272" t="str">
        <f>IFERROR(D46/D29,"")</f>
        <v/>
      </c>
      <c r="E49" s="272" t="str">
        <f>IFERROR(E46/E29,"")</f>
        <v/>
      </c>
      <c r="F49" s="272" t="str">
        <f>IFERROR(F46/F29,"")</f>
        <v/>
      </c>
      <c r="G49" s="272" t="str">
        <f>IFERROR(G46/G29,"")</f>
        <v/>
      </c>
      <c r="H49" s="273" t="str">
        <f>IFERROR(H46/H29,"")</f>
        <v/>
      </c>
      <c r="I49" s="272">
        <f>IFERROR(I46/I29,"")</f>
        <v>0.245716304539834</v>
      </c>
      <c r="J49" s="272">
        <f>IFERROR(J46/J29,"")</f>
        <v>0.264330720762256</v>
      </c>
      <c r="K49" s="272">
        <f>IFERROR(K46/K29,"")</f>
        <v>0.283964522032944</v>
      </c>
      <c r="L49" s="272">
        <f>IFERROR(L46/L29,"")</f>
        <v>0.259453094334685</v>
      </c>
      <c r="M49" s="273">
        <f>IFERROR(M46/M29,"")</f>
        <v>0.264211934309281</v>
      </c>
      <c r="N49" s="272">
        <f>IFERROR(N46/N29,"")</f>
        <v>0.251085907335907</v>
      </c>
      <c r="O49" s="272">
        <f>IFERROR(O46/O29,"")</f>
        <v>0.238961813842482</v>
      </c>
      <c r="P49" s="272">
        <f>IFERROR(P46/P29,"")</f>
        <v>0.193559264879447</v>
      </c>
      <c r="Q49" s="272">
        <f>IFERROR(Q46/Q29,"")</f>
        <v>0.15765989092712</v>
      </c>
      <c r="R49" s="273">
        <f>IFERROR(R46/R29,"")</f>
        <v>0.214465781864017</v>
      </c>
      <c r="S49" s="272">
        <f>IFERROR(S46/S29,"")</f>
        <v>0.221078976640712</v>
      </c>
      <c r="T49" s="272">
        <f>IFERROR(T46/T29,"")</f>
        <v>0.20285777744873</v>
      </c>
      <c r="U49" s="272">
        <f>IFERROR(U46/U29,"")</f>
        <v>0.222406181015453</v>
      </c>
      <c r="V49" s="272">
        <f>IFERROR(V46/V29,"")</f>
        <v>0.0880423471926888</v>
      </c>
      <c r="W49" s="273">
        <f>IFERROR(W46/W29,"")</f>
        <v>0.169167131742228</v>
      </c>
      <c r="X49" s="272">
        <f>IFERROR(X46/X29,"")</f>
        <v>0.09564583013362</v>
      </c>
      <c r="Y49" s="272">
        <f>IFERROR(Y46/Y29,"")</f>
        <v>0.122070572569907</v>
      </c>
      <c r="Z49" s="272">
        <f>IFERROR(Z46/Z29,"")</f>
        <v>0.154381164129753</v>
      </c>
      <c r="AA49" s="272">
        <f>IFERROR(AA46/AA29,"")</f>
        <v>0.140703262057919</v>
      </c>
      <c r="AB49" s="273">
        <f>IFERROR(AB46/AB29,"")</f>
        <v>0.131098799206112</v>
      </c>
      <c r="AC49" s="272">
        <f>IFERROR(AC46/AC29,"")</f>
        <v>0.125323407925196</v>
      </c>
      <c r="AD49" s="272">
        <f>IFERROR(AD46/AD29,"")</f>
        <v>0.0592388165072845</v>
      </c>
      <c r="AE49" s="272">
        <f>IFERROR(AE46/AE29,"")</f>
        <v>0.0521524050099989</v>
      </c>
      <c r="AF49" s="272">
        <f>IFERROR(AF46/AF29,"")</f>
        <v>0.0449161125544938</v>
      </c>
      <c r="AG49" s="273">
        <f>IFERROR(AG46/AG29,"")</f>
        <v>0.0663338550880345</v>
      </c>
      <c r="AH49" s="273">
        <f>IFERROR(AH46/AH29,"")</f>
        <v>0.0557495558414507</v>
      </c>
      <c r="AI49" s="273">
        <f>IFERROR(AI46/AI29,"")</f>
        <v>0.0818948046684196</v>
      </c>
    </row>
    <row r="50"/>
    <row r="51" hidden="1" outlineLevel="1" customFormat="1" s="43">
      <c r="A51" s="36" t="n"/>
      <c r="B51" s="37" t="n"/>
      <c r="C51" s="45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  <c r="BC51" s="39" t="n"/>
      <c r="BD51" s="39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39" t="n"/>
      <c r="BQ51" s="39" t="n"/>
      <c r="BR51" s="39" t="n"/>
      <c r="BS51" s="39" t="n"/>
      <c r="BT51" s="39" t="n"/>
      <c r="BU51" s="39" t="n"/>
      <c r="BV51" s="39" t="n"/>
      <c r="BW51" s="39" t="n"/>
      <c r="BX51" s="39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39" t="n"/>
      <c r="CH51" s="39" t="n"/>
      <c r="CI51" s="39" t="n"/>
      <c r="CJ51" s="39" t="n"/>
      <c r="CK51" s="39" t="n"/>
      <c r="CL51" s="39" t="n"/>
      <c r="CM51" s="39" t="n"/>
      <c r="CN51" s="39" t="n"/>
      <c r="CO51" s="39" t="n"/>
      <c r="CP51" s="39" t="n"/>
      <c r="CQ51" s="39" t="n"/>
      <c r="CR51" s="39" t="n"/>
      <c r="CS51" s="39" t="n"/>
      <c r="CT51" s="39" t="n"/>
      <c r="CU51" s="39" t="n"/>
      <c r="CV51" s="39" t="n"/>
      <c r="CW51" s="39" t="n"/>
      <c r="CX51" s="39" t="n"/>
      <c r="CY51" s="39" t="n"/>
    </row>
    <row r="52" hidden="1" outlineLevel="1" customFormat="1" s="43">
      <c r="A52" s="36" t="n"/>
      <c r="B52" s="37" t="n"/>
      <c r="C52" s="45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  <c r="BC52" s="39" t="n"/>
      <c r="BD52" s="39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39" t="n"/>
      <c r="BQ52" s="39" t="n"/>
      <c r="BR52" s="39" t="n"/>
      <c r="BS52" s="39" t="n"/>
      <c r="BT52" s="39" t="n"/>
      <c r="BU52" s="39" t="n"/>
      <c r="BV52" s="39" t="n"/>
      <c r="BW52" s="39" t="n"/>
      <c r="BX52" s="39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39" t="n"/>
      <c r="CH52" s="39" t="n"/>
      <c r="CI52" s="39" t="n"/>
      <c r="CJ52" s="39" t="n"/>
      <c r="CK52" s="39" t="n"/>
      <c r="CL52" s="39" t="n"/>
      <c r="CM52" s="39" t="n"/>
      <c r="CN52" s="39" t="n"/>
      <c r="CO52" s="39" t="n"/>
      <c r="CP52" s="39" t="n"/>
      <c r="CQ52" s="39" t="n"/>
      <c r="CR52" s="39" t="n"/>
      <c r="CS52" s="39" t="n"/>
      <c r="CT52" s="39" t="n"/>
      <c r="CU52" s="39" t="n"/>
      <c r="CV52" s="39" t="n"/>
      <c r="CW52" s="39" t="n"/>
      <c r="CX52" s="39" t="n"/>
      <c r="CY52" s="39" t="n"/>
    </row>
    <row r="53" collapsed="1">
      <c r="C53" s="13" t="inlineStr">
        <is>
          <t>COGS (cash)</t>
        </is>
      </c>
      <c r="D53" s="46" t="n"/>
      <c r="E53" s="46" t="n"/>
      <c r="F53" s="46" t="n"/>
      <c r="G53" s="46" t="n"/>
      <c r="H53" s="12" t="n"/>
      <c r="I53" s="46">
        <f>'Inputs (2)'!D5</f>
        <v>-2032</v>
      </c>
      <c r="J53" s="46">
        <f>'Inputs (2)'!E5</f>
        <v>-2292</v>
      </c>
      <c r="K53" s="46">
        <f>'Inputs (2)'!F5</f>
        <v>-2472</v>
      </c>
      <c r="L53" s="46">
        <f>'Inputs (2)'!G5</f>
        <v>-2644</v>
      </c>
      <c r="M53" s="12">
        <f>'Inputs (2)'!H5</f>
        <v>-9440</v>
      </c>
      <c r="N53" s="46">
        <f>'Inputs (2)'!I5</f>
        <v>-2857</v>
      </c>
      <c r="O53" s="46">
        <f>'Inputs (2)'!J5</f>
        <v>-3789</v>
      </c>
      <c r="P53" s="46">
        <f>'Inputs (2)'!K5</f>
        <v>-2754</v>
      </c>
      <c r="Q53" s="46">
        <f>'Inputs (2)'!L5</f>
        <v>-2218</v>
      </c>
      <c r="R53" s="12">
        <f>'Inputs (2)'!M5</f>
        <v>-11618</v>
      </c>
      <c r="S53" s="46">
        <f>'Inputs (2)'!N5</f>
        <v>-2544</v>
      </c>
      <c r="T53" s="46">
        <f>'Inputs (2)'!O5</f>
        <v>-4045</v>
      </c>
      <c r="U53" s="46">
        <f>'Inputs (2)'!P5</f>
        <v>-4720</v>
      </c>
      <c r="V53" s="46">
        <f>'Inputs (2)'!Q5</f>
        <v>-5312</v>
      </c>
      <c r="W53" s="12">
        <f>'Inputs (2)'!R5</f>
        <v>-16621</v>
      </c>
      <c r="X53" s="46">
        <f>'Inputs (2)'!S5</f>
        <v>-5638</v>
      </c>
      <c r="Y53" s="46">
        <f>'Inputs (2)'!T5</f>
        <v>-7466</v>
      </c>
      <c r="Z53" s="46">
        <f>'Inputs (2)'!U5</f>
        <v>-8926</v>
      </c>
      <c r="AA53" s="46">
        <f>'Inputs (2)'!V5</f>
        <v>-10608</v>
      </c>
      <c r="AB53" s="12">
        <f>'Inputs (2)'!W5</f>
        <v>-32638</v>
      </c>
      <c r="AC53" s="46">
        <f>'Inputs (2)'!X5</f>
        <v>-17394</v>
      </c>
      <c r="AD53" s="46">
        <f>'Inputs (2)'!Y5</f>
        <v>-12890</v>
      </c>
      <c r="AE53" s="46">
        <f>'Inputs (2)'!Z5</f>
        <v>-15157</v>
      </c>
      <c r="AF53" s="46">
        <f>'Inputs (2)'!AA5</f>
        <v>-17034</v>
      </c>
      <c r="AG53" s="12">
        <f>'Inputs (2)'!AB5</f>
        <v>-62475</v>
      </c>
      <c r="AH53" s="12">
        <f>'Inputs (2)'!AC5</f>
        <v>-20458</v>
      </c>
      <c r="AI53" s="12">
        <f>'Inputs (2)'!AD5</f>
        <v>-24079</v>
      </c>
      <c r="AJ53" s="12">
        <f>-(1-AJ54)*AJ15</f>
        <v>-28097.2244612775</v>
      </c>
      <c r="AK53" s="12">
        <f>-(1-AK54)*AK15</f>
        <v>-33578.5638507079</v>
      </c>
      <c r="AL53" s="12">
        <f>SUM(AH53:AK53)</f>
        <v>-106212.788311985</v>
      </c>
      <c r="AM53" s="12">
        <f>-(1-AM54)*AM15</f>
        <v>-40226.5546505133</v>
      </c>
      <c r="AN53" s="12">
        <f>-(1-AN54)*AN15</f>
        <v>-47425.5873923549</v>
      </c>
      <c r="AO53" s="12">
        <f>-(1-AO54)*AO15</f>
        <v>-49243.7728776129</v>
      </c>
      <c r="AP53" s="12">
        <f>-(1-AP54)*AP15</f>
        <v>-58850.4809113625</v>
      </c>
      <c r="AQ53" s="12">
        <f>SUM(AM53:AP53)</f>
        <v>-195746.395831844</v>
      </c>
      <c r="AR53" s="12">
        <f>-(1-AR54)*AR15</f>
        <v>-70300.7534037529</v>
      </c>
      <c r="AS53" s="12">
        <f>-(1-AS54)*AS15</f>
        <v>-82881.9309350304</v>
      </c>
      <c r="AT53" s="12">
        <f>-(1-AT54)*AT15</f>
        <v>-86059.4292455842</v>
      </c>
      <c r="AU53" s="12">
        <f>-(1-AU54)*AU15</f>
        <v>-102848.3095852</v>
      </c>
      <c r="AV53" s="12">
        <f>SUM(AR53:AU53)</f>
        <v>-342090.423169567</v>
      </c>
      <c r="AW53" s="12">
        <f>-(1-AW54)*AW15</f>
        <v>-122507.537283672</v>
      </c>
      <c r="AX53" s="12">
        <f>-(1-AX54)*AX15</f>
        <v>-144431.755743089</v>
      </c>
      <c r="AY53" s="12">
        <f>-(1-AY54)*AY15</f>
        <v>-149968.929584076</v>
      </c>
      <c r="AZ53" s="12">
        <f>-(1-AZ54)*AZ15</f>
        <v>-179225.577408946</v>
      </c>
      <c r="BA53" s="12">
        <f>SUM(AW53:AZ53)</f>
        <v>-596133.800019783</v>
      </c>
      <c r="BB53" s="12">
        <f>-(1-BB54)*BB15</f>
        <v>-212871.61382922</v>
      </c>
      <c r="BC53" s="12">
        <f>-(1-BC54)*BC15</f>
        <v>-250967.586280235</v>
      </c>
      <c r="BD53" s="12">
        <f>-(1-BD54)*BD15</f>
        <v>-260589.093313345</v>
      </c>
      <c r="BE53" s="12">
        <f>-(1-BE54)*BE15</f>
        <v>-311426.045682179</v>
      </c>
      <c r="BF53" s="12">
        <f>SUM(BB53:BE53)</f>
        <v>-1035854.33910498</v>
      </c>
      <c r="BG53" s="12" t="n"/>
      <c r="BH53" s="12" t="n"/>
      <c r="BI53" s="12" t="n"/>
      <c r="BJ53" s="12" t="n"/>
      <c r="BK53" s="12" t="n"/>
      <c r="BL53" s="12" t="n"/>
      <c r="BM53" s="12" t="n"/>
      <c r="BN53" s="12" t="n"/>
      <c r="BO53" s="12" t="n"/>
      <c r="BP53" s="12" t="n"/>
      <c r="BQ53" s="12" t="n"/>
      <c r="BR53" s="12" t="n"/>
      <c r="BS53" s="12" t="n"/>
      <c r="BT53" s="12" t="n"/>
      <c r="BU53" s="12" t="n"/>
      <c r="BV53" s="12" t="n"/>
      <c r="BW53" s="12" t="n"/>
      <c r="BX53" s="12" t="n"/>
      <c r="BY53" s="12" t="n"/>
      <c r="BZ53" s="12" t="n"/>
      <c r="CA53" s="12" t="n"/>
      <c r="CB53" s="12" t="n"/>
      <c r="CC53" s="12" t="n"/>
      <c r="CD53" s="12" t="n"/>
      <c r="CE53" s="12" t="n"/>
      <c r="CF53" s="12" t="n"/>
      <c r="CG53" s="12" t="n"/>
      <c r="CH53" s="12" t="n"/>
      <c r="CI53" s="12" t="n"/>
      <c r="CJ53" s="12" t="n"/>
      <c r="CK53" s="12" t="n"/>
      <c r="CL53" s="12" t="n"/>
      <c r="CM53" s="12" t="n"/>
      <c r="CN53" s="12" t="n"/>
      <c r="CO53" s="12" t="n"/>
      <c r="CP53" s="12" t="n"/>
      <c r="CQ53" s="12" t="n"/>
      <c r="CR53" s="12" t="n"/>
      <c r="CS53" s="12" t="n"/>
      <c r="CT53" s="12" t="n"/>
      <c r="CU53" s="12" t="n"/>
      <c r="CV53" s="12" t="n"/>
      <c r="CW53" s="12" t="n"/>
      <c r="CX53" s="12" t="n"/>
      <c r="CY53" s="12" t="n"/>
    </row>
    <row r="54" hidden="1" outlineLevel="1" customFormat="1" s="3">
      <c r="C54" s="47" t="inlineStr">
        <is>
          <t>% Gross Margin</t>
        </is>
      </c>
      <c r="D54" s="48" t="n"/>
      <c r="E54" s="48" t="n"/>
      <c r="F54" s="48" t="n"/>
      <c r="G54" s="48" t="n"/>
      <c r="H54" s="48" t="n"/>
      <c r="I54" s="48">
        <f>IFERROR((I15+I53)/I$15,"")</f>
        <v>0.641052817523406</v>
      </c>
      <c r="J54" s="48">
        <f>IFERROR((J15+J53)/J$15,"")</f>
        <v>0.647763946519133</v>
      </c>
      <c r="K54" s="48">
        <f>IFERROR((K15+K53)/K$15,"")</f>
        <v>0.651978037448965</v>
      </c>
      <c r="L54" s="48">
        <f>IFERROR((L15+L53)/L$15,"")</f>
        <v>0.654062540887086</v>
      </c>
      <c r="M54" s="48">
        <f>IFERROR((M15+M53)/M$15,"")</f>
        <v>0.649253176785316</v>
      </c>
      <c r="N54" s="48">
        <f>IFERROR((N15+N53)/N$15,"")</f>
        <v>0.655284749034749</v>
      </c>
      <c r="O54" s="48">
        <f>IFERROR((O15+O53)/O$15,"")</f>
        <v>0.434815035799523</v>
      </c>
      <c r="P54" s="48">
        <f>IFERROR((P15+P53)/P$15,"")</f>
        <v>0.535660091047041</v>
      </c>
      <c r="Q54" s="48">
        <f>IFERROR((Q15+Q53)/Q$15,"")</f>
        <v>0.633449016691456</v>
      </c>
      <c r="R54" s="48">
        <f>IFERROR((R15+R53)/R$15,"")</f>
        <v>0.569288944909913</v>
      </c>
      <c r="S54" s="48">
        <f>IFERROR((S15+S53)/S$15,"")</f>
        <v>0.646273637374861</v>
      </c>
      <c r="T54" s="48">
        <f>IFERROR((T15+T53)/T$15,"")</f>
        <v>0.700525653364922</v>
      </c>
      <c r="U54" s="48">
        <f>IFERROR((U15+U53)/U$15,"")</f>
        <v>0.739514348785872</v>
      </c>
      <c r="V54" s="48">
        <f>IFERROR((V15+V53)/V$15,"")</f>
        <v>0.759670632945754</v>
      </c>
      <c r="W54" s="48">
        <f>IFERROR((W15+W53)/W$15,"")</f>
        <v>0.72717573290437</v>
      </c>
      <c r="X54" s="48">
        <f>IFERROR((X15+X53)/X$15,"")</f>
        <v>0.783520196590386</v>
      </c>
      <c r="Y54" s="48">
        <f>IFERROR((Y15+Y53)/Y$15,"")</f>
        <v>0.751464713715047</v>
      </c>
      <c r="Z54" s="48">
        <f>IFERROR((Z15+Z53)/Z$15,"")</f>
        <v>0.745567527506984</v>
      </c>
      <c r="AA54" s="48">
        <f>IFERROR((AA15+AA53)/AA$15,"")</f>
        <v>0.730289084945717</v>
      </c>
      <c r="AB54" s="48">
        <f>IFERROR((AB15+AB53)/AB$15,"")</f>
        <v>0.749894633593109</v>
      </c>
      <c r="AC54" s="48">
        <f>IFERROR((AC15+AC53)/AC$15,"")</f>
        <v>0.60523807362353</v>
      </c>
      <c r="AD54" s="48">
        <f>IFERROR((AD15+AD53)/AD$15,"")</f>
        <v>0.724236784117408</v>
      </c>
      <c r="AE54" s="48">
        <f>IFERROR((AE15+AE53)/AE$15,"")</f>
        <v>0.734115707118549</v>
      </c>
      <c r="AF54" s="41">
        <f>IFERROR((AF15+AF53)/AF$15,"")</f>
        <v>0.749966973446651</v>
      </c>
      <c r="AG54" s="48">
        <f>IFERROR((AG15+AG53)/AG$15,"")</f>
        <v>0.710680843575471</v>
      </c>
      <c r="AH54" s="49">
        <f>IFERROR((AH15+AH53)/AH$15,"")</f>
        <v>0.749335293757275</v>
      </c>
      <c r="AI54" s="49">
        <f>IFERROR((AI15+AI53)/AI$15,"")</f>
        <v>0.749753172384407</v>
      </c>
      <c r="AJ54" s="49">
        <f>Control!$B$19</f>
        <v>0.718774334074637</v>
      </c>
      <c r="AK54" s="49">
        <f>Control!$B$19</f>
        <v>0.718774334074637</v>
      </c>
      <c r="AL54" s="48">
        <f>IFERROR((AL15+AL53)/AL$15,"")</f>
        <v>0.732560292722568</v>
      </c>
      <c r="AM54" s="49">
        <f>Control!$C$19</f>
        <v>0.718774334074637</v>
      </c>
      <c r="AN54" s="49">
        <f>Control!$C$19</f>
        <v>0.718774334074637</v>
      </c>
      <c r="AO54" s="49">
        <f>Control!$C$19</f>
        <v>0.718774334074637</v>
      </c>
      <c r="AP54" s="49">
        <f>Control!$C$19</f>
        <v>0.718774334074637</v>
      </c>
      <c r="AQ54" s="48">
        <f>IFERROR((AQ15+AQ53)/AQ$15,"")</f>
        <v>0.718774334074637</v>
      </c>
      <c r="AR54" s="49">
        <f>Control!$D$19</f>
        <v>0.718774334074637</v>
      </c>
      <c r="AS54" s="49">
        <f>Control!$D$19</f>
        <v>0.718774334074637</v>
      </c>
      <c r="AT54" s="49">
        <f>Control!$D$19</f>
        <v>0.718774334074637</v>
      </c>
      <c r="AU54" s="49">
        <f>Control!$D$19</f>
        <v>0.718774334074637</v>
      </c>
      <c r="AV54" s="48">
        <f>IFERROR((AV15+AV53)/AV$15,"")</f>
        <v>0.718774334074637</v>
      </c>
      <c r="AW54" s="49">
        <f>Control!$E$19</f>
        <v>0.718774334074637</v>
      </c>
      <c r="AX54" s="49">
        <f>Control!$E$19</f>
        <v>0.718774334074637</v>
      </c>
      <c r="AY54" s="49">
        <f>Control!$E$19</f>
        <v>0.718774334074637</v>
      </c>
      <c r="AZ54" s="49">
        <f>Control!$E$19</f>
        <v>0.718774334074637</v>
      </c>
      <c r="BA54" s="48">
        <f>IFERROR((BA15+BA53)/BA$15,"")</f>
        <v>0.718774334074637</v>
      </c>
      <c r="BB54" s="49">
        <f>Control!$F$19</f>
        <v>0.718774334074637</v>
      </c>
      <c r="BC54" s="49">
        <f>Control!$F$19</f>
        <v>0.718774334074637</v>
      </c>
      <c r="BD54" s="49">
        <f>Control!$F$19</f>
        <v>0.718774334074637</v>
      </c>
      <c r="BE54" s="49">
        <f>Control!$F$19</f>
        <v>0.718774334074637</v>
      </c>
      <c r="BF54" s="48">
        <f>IFERROR((BF15+BF53)/BF$15,"")</f>
        <v>0.718774334074637</v>
      </c>
      <c r="BG54" s="49" t="n"/>
      <c r="BH54" s="49" t="n"/>
      <c r="BI54" s="49" t="n"/>
      <c r="BJ54" s="49" t="n"/>
      <c r="BK54" s="48" t="n"/>
      <c r="BL54" s="49" t="n"/>
      <c r="BM54" s="49" t="n"/>
      <c r="BN54" s="49" t="n"/>
      <c r="BO54" s="49" t="n"/>
      <c r="BP54" s="48" t="n"/>
      <c r="BQ54" s="49" t="n"/>
      <c r="BR54" s="49" t="n"/>
      <c r="BS54" s="49" t="n"/>
      <c r="BT54" s="49" t="n"/>
      <c r="BU54" s="48" t="n"/>
      <c r="BV54" s="49" t="n"/>
      <c r="BW54" s="49" t="n"/>
      <c r="BX54" s="49" t="n"/>
      <c r="BY54" s="49" t="n"/>
      <c r="BZ54" s="48" t="n"/>
      <c r="CA54" s="49" t="n"/>
      <c r="CB54" s="49" t="n"/>
      <c r="CC54" s="49" t="n"/>
      <c r="CD54" s="49" t="n"/>
      <c r="CE54" s="48" t="n"/>
      <c r="CF54" s="49" t="n"/>
      <c r="CG54" s="49" t="n"/>
      <c r="CH54" s="49" t="n"/>
      <c r="CI54" s="49" t="n"/>
      <c r="CJ54" s="48" t="n"/>
      <c r="CK54" s="49" t="n"/>
      <c r="CL54" s="49" t="n"/>
      <c r="CM54" s="49" t="n"/>
      <c r="CN54" s="49" t="n"/>
      <c r="CO54" s="48" t="n"/>
      <c r="CP54" s="49" t="n"/>
      <c r="CQ54" s="49" t="n"/>
      <c r="CR54" s="49" t="n"/>
      <c r="CS54" s="49" t="n"/>
      <c r="CT54" s="48" t="n"/>
      <c r="CU54" s="49" t="n"/>
      <c r="CV54" s="49" t="n"/>
      <c r="CW54" s="49" t="n"/>
      <c r="CX54" s="49" t="n"/>
      <c r="CY54" s="48" t="n"/>
    </row>
    <row r="55" hidden="1" outlineLevel="1"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hidden="1" outlineLevel="1"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collapsed="1">
      <c r="C57" s="13" t="inlineStr">
        <is>
          <t>SG&amp;A and Other (cash)</t>
        </is>
      </c>
      <c r="D57" s="46" t="n"/>
      <c r="E57" s="46" t="n"/>
      <c r="F57" s="46" t="n"/>
      <c r="G57" s="46" t="n"/>
      <c r="H57" s="12" t="n"/>
      <c r="I57" s="46">
        <f>'Inputs (2)'!D6</f>
        <v>-1392</v>
      </c>
      <c r="J57" s="46">
        <f>'Inputs (2)'!E6</f>
        <v>-1485</v>
      </c>
      <c r="K57" s="46">
        <f>'Inputs (2)'!F6</f>
        <v>-1662</v>
      </c>
      <c r="L57" s="46">
        <f>'Inputs (2)'!G6</f>
        <v>-1720</v>
      </c>
      <c r="M57" s="12">
        <f>'Inputs (2)'!H6</f>
        <v>-6259</v>
      </c>
      <c r="N57" s="46">
        <f>'Inputs (2)'!I6</f>
        <v>-3229</v>
      </c>
      <c r="O57" s="46">
        <f>'Inputs (2)'!J6</f>
        <v>-2038</v>
      </c>
      <c r="P57" s="46">
        <f>'Inputs (2)'!K6</f>
        <v>-2170</v>
      </c>
      <c r="Q57" s="46">
        <f>'Inputs (2)'!L6</f>
        <v>-2151</v>
      </c>
      <c r="R57" s="12">
        <f>'Inputs (2)'!M6</f>
        <v>-9588</v>
      </c>
      <c r="S57" s="46">
        <f>'Inputs (2)'!N6</f>
        <v>-2124</v>
      </c>
      <c r="T57" s="46">
        <f>'Inputs (2)'!O6</f>
        <v>-2297</v>
      </c>
      <c r="U57" s="46">
        <f>'Inputs (2)'!P6</f>
        <v>-2611</v>
      </c>
      <c r="V57" s="46">
        <f>'Inputs (2)'!Q6</f>
        <v>-2790</v>
      </c>
      <c r="W57" s="12">
        <f>'Inputs (2)'!R6</f>
        <v>-9822</v>
      </c>
      <c r="X57" s="46">
        <f>'Inputs (2)'!S6</f>
        <v>-3087</v>
      </c>
      <c r="Y57" s="46">
        <f>'Inputs (2)'!T6</f>
        <v>-3499</v>
      </c>
      <c r="Z57" s="46">
        <f>'Inputs (2)'!U6</f>
        <v>-3809</v>
      </c>
      <c r="AA57" s="46">
        <f>'Inputs (2)'!V6</f>
        <v>-4146</v>
      </c>
      <c r="AB57" s="12">
        <f>'Inputs (2)'!W6</f>
        <v>-14541</v>
      </c>
      <c r="AC57" s="46">
        <f>'Inputs (2)'!X6</f>
        <v>-4419</v>
      </c>
      <c r="AD57" s="46">
        <f>'Inputs (2)'!Y6</f>
        <v>-4744</v>
      </c>
      <c r="AE57" s="46">
        <f>'Inputs (2)'!Z6</f>
        <v>-5088</v>
      </c>
      <c r="AF57" s="46">
        <f>'Inputs (2)'!AA6</f>
        <v>-5982</v>
      </c>
      <c r="AG57" s="12">
        <f>'Inputs (2)'!AB6</f>
        <v>-20233</v>
      </c>
      <c r="AH57" s="12">
        <f>'Inputs (2)'!AC6</f>
        <v>-6624</v>
      </c>
      <c r="AI57" s="12">
        <f>'Inputs (2)'!AD6</f>
        <v>-7281</v>
      </c>
      <c r="AJ57" s="12">
        <f>-AJ15*AJ58</f>
        <v>-8919.83971726833</v>
      </c>
      <c r="AK57" s="12">
        <f>-AK15*AK58</f>
        <v>-10659.9642216318</v>
      </c>
      <c r="AL57" s="12">
        <f>SUM(AH57:AK57)</f>
        <v>-33484.8039389001</v>
      </c>
      <c r="AM57" s="12">
        <f>-AM15*AM58</f>
        <v>-12770.4578206655</v>
      </c>
      <c r="AN57" s="12">
        <f>-AN15*AN58</f>
        <v>-15055.8870546131</v>
      </c>
      <c r="AO57" s="12">
        <f>-AO15*AO58</f>
        <v>-15633.0943558936</v>
      </c>
      <c r="AP57" s="12">
        <f>-AP15*AP58</f>
        <v>-18682.8723149136</v>
      </c>
      <c r="AQ57" s="12">
        <f>SUM(AM57:AP57)</f>
        <v>-62142.3115460857</v>
      </c>
      <c r="AR57" s="12">
        <f>-AR15*AR58</f>
        <v>-22317.9144697686</v>
      </c>
      <c r="AS57" s="12">
        <f>-AS15*AS58</f>
        <v>-26311.9775555426</v>
      </c>
      <c r="AT57" s="12">
        <f>-AT15*AT58</f>
        <v>-27320.7168945862</v>
      </c>
      <c r="AU57" s="12">
        <f>-AU15*AU58</f>
        <v>-32650.5715166382</v>
      </c>
      <c r="AV57" s="12">
        <f>SUM(AR57:AU57)</f>
        <v>-108601.180436536</v>
      </c>
      <c r="AW57" s="12">
        <f>-AW15*AW58</f>
        <v>-38891.656299846</v>
      </c>
      <c r="AX57" s="12">
        <f>-AX15*AX58</f>
        <v>-45851.792695307</v>
      </c>
      <c r="AY57" s="12">
        <f>-AY15*AY58</f>
        <v>-47609.6425931262</v>
      </c>
      <c r="AZ57" s="12">
        <f>-AZ15*AZ58</f>
        <v>-56897.5567649353</v>
      </c>
      <c r="BA57" s="12">
        <f>SUM(AW57:AZ57)</f>
        <v>-189250.648353214</v>
      </c>
      <c r="BB57" s="12">
        <f>-BB15*BB58</f>
        <v>-67578.9410562494</v>
      </c>
      <c r="BC57" s="12">
        <f>-BC15*BC58</f>
        <v>-79673.0170602631</v>
      </c>
      <c r="BD57" s="12">
        <f>-BD15*BD58</f>
        <v>-82727.4931595731</v>
      </c>
      <c r="BE57" s="12">
        <f>-BE15*BE58</f>
        <v>-98866.3636543914</v>
      </c>
      <c r="BF57" s="12">
        <f>SUM(BB57:BE57)</f>
        <v>-328845.814930477</v>
      </c>
      <c r="BG57" s="12" t="n"/>
      <c r="BH57" s="12" t="n"/>
      <c r="BI57" s="12" t="n"/>
      <c r="BJ57" s="12" t="n"/>
      <c r="BK57" s="12" t="n"/>
      <c r="BL57" s="12" t="n"/>
      <c r="BM57" s="12" t="n"/>
      <c r="BN57" s="12" t="n"/>
      <c r="BO57" s="12" t="n"/>
      <c r="BP57" s="12" t="n"/>
      <c r="BQ57" s="12" t="n"/>
      <c r="BR57" s="12" t="n"/>
      <c r="BS57" s="12" t="n"/>
      <c r="BT57" s="12" t="n"/>
      <c r="BU57" s="12" t="n"/>
      <c r="BV57" s="12" t="n"/>
      <c r="BW57" s="12" t="n"/>
      <c r="BX57" s="12" t="n"/>
      <c r="BY57" s="12" t="n"/>
      <c r="BZ57" s="12" t="n"/>
      <c r="CA57" s="12" t="n"/>
      <c r="CB57" s="12" t="n"/>
      <c r="CC57" s="12" t="n"/>
      <c r="CD57" s="12" t="n"/>
      <c r="CE57" s="12" t="n"/>
      <c r="CF57" s="12" t="n"/>
      <c r="CG57" s="12" t="n"/>
      <c r="CH57" s="12" t="n"/>
      <c r="CI57" s="12" t="n"/>
      <c r="CJ57" s="12" t="n"/>
      <c r="CK57" s="12" t="n"/>
      <c r="CL57" s="12" t="n"/>
      <c r="CM57" s="12" t="n"/>
      <c r="CN57" s="12" t="n"/>
      <c r="CO57" s="12" t="n"/>
      <c r="CP57" s="12" t="n"/>
      <c r="CQ57" s="12" t="n"/>
      <c r="CR57" s="12" t="n"/>
      <c r="CS57" s="12" t="n"/>
      <c r="CT57" s="12" t="n"/>
      <c r="CU57" s="12" t="n"/>
      <c r="CV57" s="12" t="n"/>
      <c r="CW57" s="12" t="n"/>
      <c r="CX57" s="12" t="n"/>
      <c r="CY57" s="12" t="n"/>
    </row>
    <row r="58" hidden="1" outlineLevel="1">
      <c r="C58" s="38" t="inlineStr">
        <is>
          <t>% SG&amp;A and Other Margin</t>
        </is>
      </c>
      <c r="D58" s="51" t="n"/>
      <c r="E58" s="51" t="n"/>
      <c r="F58" s="51" t="n"/>
      <c r="G58" s="51" t="n"/>
      <c r="H58" s="51" t="n"/>
      <c r="I58" s="51">
        <f>IFERROR(-(I57/I$15),"")</f>
        <v>0.245892951775305</v>
      </c>
      <c r="J58" s="51">
        <f>IFERROR(-(J57/J$15),"")</f>
        <v>0.228215767634855</v>
      </c>
      <c r="K58" s="51">
        <f>IFERROR(-(K57/K$15),"")</f>
        <v>0.233985639870477</v>
      </c>
      <c r="L58" s="51">
        <f>IFERROR(-(L57/L$15),"")</f>
        <v>0.225042522569672</v>
      </c>
      <c r="M58" s="51">
        <f>IFERROR(-(M57/M$15),"")</f>
        <v>0.232555547298804</v>
      </c>
      <c r="N58" s="51">
        <f>IFERROR(-(N57/N$15),"")</f>
        <v>0.389599420849421</v>
      </c>
      <c r="O58" s="51">
        <f>IFERROR(-(O57/O$15),"")</f>
        <v>0.303997613365155</v>
      </c>
      <c r="P58" s="51">
        <f>IFERROR(-(P57/P$15),"")</f>
        <v>0.365874220198955</v>
      </c>
      <c r="Q58" s="51">
        <f>IFERROR(-(Q57/Q$15),"")</f>
        <v>0.355478433316807</v>
      </c>
      <c r="R58" s="51">
        <f>IFERROR(-(R57/R$15),"")</f>
        <v>0.355453399569956</v>
      </c>
      <c r="S58" s="51">
        <f>IFERROR(-(S57/S$15),"")</f>
        <v>0.295328142380423</v>
      </c>
      <c r="T58" s="51">
        <f>IFERROR(-(T57/T$15),"")</f>
        <v>0.170059968905012</v>
      </c>
      <c r="U58" s="51">
        <f>IFERROR(-(U57/U$15),"")</f>
        <v>0.144094922737307</v>
      </c>
      <c r="V58" s="51">
        <f>IFERROR(-(V57/V$15),"")</f>
        <v>0.126227208976157</v>
      </c>
      <c r="W58" s="51">
        <f>IFERROR(-(W57/W$15),"")</f>
        <v>0.161222546863202</v>
      </c>
      <c r="X58" s="51">
        <f>IFERROR(-(X57/X$15),"")</f>
        <v>0.118530179695899</v>
      </c>
      <c r="Y58" s="51">
        <f>IFERROR(-(Y57/Y$15),"")</f>
        <v>0.116478029294274</v>
      </c>
      <c r="Z58" s="51">
        <f>IFERROR(-(Z57/Z$15),"")</f>
        <v>0.108574197594208</v>
      </c>
      <c r="AA58" s="51">
        <f>IFERROR(-(AA57/AA$15),"")</f>
        <v>0.105413032976533</v>
      </c>
      <c r="AB58" s="51">
        <f>IFERROR(-(AB57/AB$15),"")</f>
        <v>0.111427848916067</v>
      </c>
      <c r="AC58" s="51">
        <f>IFERROR(-(AC57/AC$15),"")</f>
        <v>0.100290499750352</v>
      </c>
      <c r="AD58" s="51">
        <f>IFERROR(-(AD57/AD$15),"")</f>
        <v>0.101491132362065</v>
      </c>
      <c r="AE58" s="51">
        <f>IFERROR(-(AE57/AE$15),"")</f>
        <v>0.0892537627618145</v>
      </c>
      <c r="AF58" s="41">
        <f>IFERROR(-(AF57/AF$15),"")</f>
        <v>0.0878065965035889</v>
      </c>
      <c r="AG58" s="51">
        <f>IFERROR(-(AG57/AG$15),"")</f>
        <v>0.093698191147459</v>
      </c>
      <c r="AH58" s="52">
        <f>IFERROR(-(AH57/AH$15),"")</f>
        <v>0.0811615511854439</v>
      </c>
      <c r="AI58" s="52">
        <f>IFERROR(-(AI57/AI$15),"")</f>
        <v>0.0756695523846146</v>
      </c>
      <c r="AJ58" s="52">
        <f>Control!$B$20</f>
        <v>0.0892788491579798</v>
      </c>
      <c r="AK58" s="52">
        <f>Control!$B$20</f>
        <v>0.0892788491579798</v>
      </c>
      <c r="AL58" s="51">
        <f>IFERROR(-(AL57/AL$15),"")</f>
        <v>0.0843134457345859</v>
      </c>
      <c r="AM58" s="52">
        <f>Control!$C$20</f>
        <v>0.0892788491579798</v>
      </c>
      <c r="AN58" s="52">
        <f>Control!$C$20</f>
        <v>0.0892788491579798</v>
      </c>
      <c r="AO58" s="52">
        <f>Control!$C$20</f>
        <v>0.0892788491579798</v>
      </c>
      <c r="AP58" s="52">
        <f>Control!$C$20</f>
        <v>0.0892788491579798</v>
      </c>
      <c r="AQ58" s="51">
        <f>IFERROR(-(AQ57/AQ$15),"")</f>
        <v>0.0892788491579798</v>
      </c>
      <c r="AR58" s="52">
        <f>Control!$D$20</f>
        <v>0.0892788491579798</v>
      </c>
      <c r="AS58" s="52">
        <f>Control!$D$20</f>
        <v>0.0892788491579798</v>
      </c>
      <c r="AT58" s="52">
        <f>Control!$D$20</f>
        <v>0.0892788491579798</v>
      </c>
      <c r="AU58" s="52">
        <f>Control!$D$20</f>
        <v>0.0892788491579798</v>
      </c>
      <c r="AV58" s="51">
        <f>IFERROR(-(AV57/AV$15),"")</f>
        <v>0.0892788491579798</v>
      </c>
      <c r="AW58" s="52">
        <f>Control!$E$20</f>
        <v>0.0892788491579798</v>
      </c>
      <c r="AX58" s="52">
        <f>Control!$E$20</f>
        <v>0.0892788491579798</v>
      </c>
      <c r="AY58" s="52">
        <f>Control!$E$20</f>
        <v>0.0892788491579798</v>
      </c>
      <c r="AZ58" s="52">
        <f>Control!$E$20</f>
        <v>0.0892788491579798</v>
      </c>
      <c r="BA58" s="51">
        <f>IFERROR(-(BA57/BA$15),"")</f>
        <v>0.0892788491579798</v>
      </c>
      <c r="BB58" s="52">
        <f>Control!$F$20</f>
        <v>0.0892788491579798</v>
      </c>
      <c r="BC58" s="52">
        <f>Control!$F$20</f>
        <v>0.0892788491579798</v>
      </c>
      <c r="BD58" s="52">
        <f>Control!$F$20</f>
        <v>0.0892788491579798</v>
      </c>
      <c r="BE58" s="52">
        <f>Control!$F$20</f>
        <v>0.0892788491579798</v>
      </c>
      <c r="BF58" s="51">
        <f>IFERROR(-(BF57/BF$15),"")</f>
        <v>0.0892788491579798</v>
      </c>
      <c r="BG58" s="52" t="n"/>
      <c r="BH58" s="52" t="n"/>
      <c r="BI58" s="52" t="n"/>
      <c r="BJ58" s="52" t="n"/>
      <c r="BK58" s="51" t="n"/>
      <c r="BL58" s="52" t="n"/>
      <c r="BM58" s="52" t="n"/>
      <c r="BN58" s="52" t="n"/>
      <c r="BO58" s="52" t="n"/>
      <c r="BP58" s="51" t="n"/>
      <c r="BQ58" s="52" t="n"/>
      <c r="BR58" s="52" t="n"/>
      <c r="BS58" s="52" t="n"/>
      <c r="BT58" s="52" t="n"/>
      <c r="BU58" s="51" t="n"/>
      <c r="BV58" s="52" t="n"/>
      <c r="BW58" s="52" t="n"/>
      <c r="BX58" s="52" t="n"/>
      <c r="BY58" s="52" t="n"/>
      <c r="BZ58" s="51" t="n"/>
      <c r="CA58" s="52" t="n"/>
      <c r="CB58" s="52" t="n"/>
      <c r="CC58" s="52" t="n"/>
      <c r="CD58" s="52" t="n"/>
      <c r="CE58" s="51" t="n"/>
      <c r="CF58" s="52" t="n"/>
      <c r="CG58" s="52" t="n"/>
      <c r="CH58" s="52" t="n"/>
      <c r="CI58" s="52" t="n"/>
      <c r="CJ58" s="51" t="n"/>
      <c r="CK58" s="52" t="n"/>
      <c r="CL58" s="52" t="n"/>
      <c r="CM58" s="52" t="n"/>
      <c r="CN58" s="52" t="n"/>
      <c r="CO58" s="51" t="n"/>
      <c r="CP58" s="52" t="n"/>
      <c r="CQ58" s="52" t="n"/>
      <c r="CR58" s="52" t="n"/>
      <c r="CS58" s="52" t="n"/>
      <c r="CT58" s="51" t="n"/>
      <c r="CU58" s="52" t="n"/>
      <c r="CV58" s="52" t="n"/>
      <c r="CW58" s="52" t="n"/>
      <c r="CX58" s="52" t="n"/>
      <c r="CY58" s="51" t="n"/>
    </row>
    <row r="59" hidden="1" outlineLevel="1"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hidden="1" outlineLevel="1">
      <c r="C60" s="50" t="inlineStr">
        <is>
          <t>Com Vendas</t>
        </is>
      </c>
      <c r="D60" s="11" t="n"/>
      <c r="E60" s="11" t="n"/>
      <c r="F60" s="11" t="n"/>
      <c r="G60" s="11" t="n"/>
      <c r="H60" s="50" t="n"/>
      <c r="I60" s="11" t="n"/>
      <c r="J60" s="11" t="n"/>
      <c r="K60" s="11" t="n"/>
      <c r="L60" s="11" t="n"/>
      <c r="M60" s="50" t="n"/>
      <c r="N60" s="11" t="n"/>
      <c r="O60" s="11" t="n"/>
      <c r="P60" s="11" t="n"/>
      <c r="Q60" s="11" t="n"/>
      <c r="R60" s="50" t="n"/>
      <c r="S60" s="11" t="n"/>
      <c r="T60" s="11" t="n"/>
      <c r="U60" s="11" t="n"/>
      <c r="V60" s="11" t="n"/>
      <c r="W60" s="50" t="n"/>
      <c r="X60" s="11" t="n"/>
      <c r="Y60" s="11" t="n"/>
      <c r="Z60" s="11" t="n"/>
      <c r="AA60" s="11" t="n"/>
      <c r="AB60" s="50" t="n"/>
      <c r="AC60" s="11" t="n"/>
      <c r="AD60" s="11" t="n"/>
      <c r="AE60" s="11" t="n"/>
      <c r="AF60" s="11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hidden="1" outlineLevel="1">
      <c r="C61" s="50" t="inlineStr">
        <is>
          <t>Gerais &amp; Administrativas</t>
        </is>
      </c>
      <c r="D61" s="11" t="n"/>
      <c r="E61" s="11" t="n"/>
      <c r="F61" s="11" t="n"/>
      <c r="G61" s="11" t="n"/>
      <c r="H61" s="50" t="n"/>
      <c r="I61" s="11" t="n"/>
      <c r="J61" s="11" t="n"/>
      <c r="K61" s="11" t="n"/>
      <c r="L61" s="11" t="n"/>
      <c r="M61" s="50" t="n"/>
      <c r="N61" s="11" t="n"/>
      <c r="O61" s="11" t="n"/>
      <c r="P61" s="11" t="n"/>
      <c r="Q61" s="11" t="n"/>
      <c r="R61" s="50" t="n"/>
      <c r="S61" s="11" t="n"/>
      <c r="T61" s="11" t="n"/>
      <c r="U61" s="11" t="n"/>
      <c r="V61" s="11" t="n"/>
      <c r="W61" s="50" t="n"/>
      <c r="X61" s="11" t="n"/>
      <c r="Y61" s="11" t="n"/>
      <c r="Z61" s="11" t="n"/>
      <c r="AA61" s="11" t="n"/>
      <c r="AB61" s="50" t="n"/>
      <c r="AC61" s="11" t="n"/>
      <c r="AD61" s="11" t="n"/>
      <c r="AE61" s="11" t="n"/>
      <c r="AF61" s="11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50" t="n"/>
      <c r="BE61" s="50" t="n"/>
      <c r="BF61" s="50" t="n"/>
      <c r="BG61" s="50" t="n"/>
      <c r="BH61" s="50" t="n"/>
      <c r="BI61" s="50" t="n"/>
      <c r="BJ61" s="50" t="n"/>
      <c r="BK61" s="50" t="n"/>
      <c r="BL61" s="50" t="n"/>
      <c r="BM61" s="50" t="n"/>
      <c r="BN61" s="50" t="n"/>
      <c r="BO61" s="50" t="n"/>
      <c r="BP61" s="50" t="n"/>
      <c r="BQ61" s="50" t="n"/>
      <c r="BR61" s="50" t="n"/>
      <c r="BS61" s="50" t="n"/>
      <c r="BT61" s="50" t="n"/>
      <c r="BU61" s="50" t="n"/>
      <c r="BV61" s="50" t="n"/>
      <c r="BW61" s="50" t="n"/>
      <c r="BX61" s="50" t="n"/>
      <c r="BY61" s="50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</row>
    <row r="62" hidden="1" outlineLevel="1">
      <c r="C62" s="50" t="inlineStr">
        <is>
          <t>Outras Receitas (Despesas) Operacionais, Líquidas</t>
        </is>
      </c>
      <c r="D62" s="11" t="n"/>
      <c r="E62" s="11" t="n"/>
      <c r="F62" s="11" t="n"/>
      <c r="G62" s="11" t="n"/>
      <c r="H62" s="50" t="n"/>
      <c r="I62" s="11" t="n"/>
      <c r="J62" s="11" t="n"/>
      <c r="K62" s="11" t="n"/>
      <c r="L62" s="11" t="n"/>
      <c r="M62" s="50" t="n"/>
      <c r="N62" s="11" t="n"/>
      <c r="O62" s="11" t="n"/>
      <c r="P62" s="11" t="n"/>
      <c r="Q62" s="11" t="n"/>
      <c r="R62" s="50" t="n"/>
      <c r="S62" s="11" t="n"/>
      <c r="T62" s="11" t="n"/>
      <c r="U62" s="11" t="n"/>
      <c r="V62" s="11" t="n"/>
      <c r="W62" s="50" t="n"/>
      <c r="X62" s="11" t="n"/>
      <c r="Y62" s="11" t="n"/>
      <c r="Z62" s="11" t="n"/>
      <c r="AA62" s="11" t="n"/>
      <c r="AB62" s="50" t="n"/>
      <c r="AC62" s="11" t="n"/>
      <c r="AD62" s="11" t="n"/>
      <c r="AE62" s="11" t="n"/>
      <c r="AF62" s="11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hidden="1" outlineLevel="1"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</row>
    <row r="64" hidden="1" outlineLevel="1">
      <c r="C64" s="50" t="inlineStr">
        <is>
          <t>Com Vendas (%)</t>
        </is>
      </c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  <c r="BF64" s="50" t="n"/>
      <c r="BG64" s="50" t="n"/>
      <c r="BH64" s="50" t="n"/>
      <c r="BI64" s="50" t="n"/>
      <c r="BJ64" s="50" t="n"/>
      <c r="BK64" s="50" t="n"/>
      <c r="BL64" s="50" t="n"/>
      <c r="BM64" s="50" t="n"/>
      <c r="BN64" s="50" t="n"/>
      <c r="BO64" s="50" t="n"/>
      <c r="BP64" s="50" t="n"/>
      <c r="BQ64" s="50" t="n"/>
      <c r="BR64" s="50" t="n"/>
      <c r="BS64" s="50" t="n"/>
      <c r="BT64" s="50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</row>
    <row r="65" hidden="1" outlineLevel="1">
      <c r="C65" s="50" t="inlineStr">
        <is>
          <t>Gerais &amp; Administrativas (%)</t>
        </is>
      </c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  <c r="BF65" s="50" t="n"/>
      <c r="BG65" s="50" t="n"/>
      <c r="BH65" s="50" t="n"/>
      <c r="BI65" s="50" t="n"/>
      <c r="BJ65" s="50" t="n"/>
      <c r="BK65" s="50" t="n"/>
      <c r="BL65" s="50" t="n"/>
      <c r="BM65" s="50" t="n"/>
      <c r="BN65" s="50" t="n"/>
      <c r="BO65" s="50" t="n"/>
      <c r="BP65" s="50" t="n"/>
      <c r="BQ65" s="50" t="n"/>
      <c r="BR65" s="50" t="n"/>
      <c r="BS65" s="50" t="n"/>
      <c r="BT65" s="50" t="n"/>
      <c r="BU65" s="50" t="n"/>
      <c r="BV65" s="50" t="n"/>
      <c r="BW65" s="50" t="n"/>
      <c r="BX65" s="50" t="n"/>
      <c r="BY65" s="50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</row>
    <row r="66" hidden="1" outlineLevel="1">
      <c r="C66" s="50" t="inlineStr">
        <is>
          <t>Outras Receitas (Despesas) Operacionais, Líquidas (%)</t>
        </is>
      </c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  <c r="BF66" s="50" t="n"/>
      <c r="BG66" s="50" t="n"/>
      <c r="BH66" s="50" t="n"/>
      <c r="BI66" s="50" t="n"/>
      <c r="BJ66" s="50" t="n"/>
      <c r="BK66" s="50" t="n"/>
      <c r="BL66" s="50" t="n"/>
      <c r="BM66" s="50" t="n"/>
      <c r="BN66" s="50" t="n"/>
      <c r="BO66" s="50" t="n"/>
      <c r="BP66" s="50" t="n"/>
      <c r="BQ66" s="50" t="n"/>
      <c r="BR66" s="50" t="n"/>
      <c r="BS66" s="50" t="n"/>
      <c r="BT66" s="50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</row>
    <row r="67" hidden="1" outlineLevel="1"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50" t="n"/>
      <c r="BE67" s="50" t="n"/>
      <c r="BF67" s="50" t="n"/>
      <c r="BG67" s="50" t="n"/>
      <c r="BH67" s="50" t="n"/>
      <c r="BI67" s="50" t="n"/>
      <c r="BJ67" s="50" t="n"/>
      <c r="BK67" s="50" t="n"/>
      <c r="BL67" s="50" t="n"/>
      <c r="BM67" s="50" t="n"/>
      <c r="BN67" s="50" t="n"/>
      <c r="BO67" s="50" t="n"/>
      <c r="BP67" s="50" t="n"/>
      <c r="BQ67" s="50" t="n"/>
      <c r="BR67" s="50" t="n"/>
      <c r="BS67" s="50" t="n"/>
      <c r="BT67" s="50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</row>
    <row r="68" collapsed="1" customFormat="1" s="32">
      <c r="A68" s="30" t="n"/>
      <c r="B68" s="3" t="n"/>
      <c r="C68" s="33" t="inlineStr">
        <is>
          <t>EBITDA</t>
        </is>
      </c>
      <c r="D68" s="35" t="n"/>
      <c r="E68" s="35" t="n"/>
      <c r="F68" s="35" t="n"/>
      <c r="G68" s="35" t="n"/>
      <c r="H68" s="35" t="n"/>
      <c r="I68" s="35">
        <f>SUM(I15,I53,I57)</f>
        <v>2237</v>
      </c>
      <c r="J68" s="35">
        <f>SUM(J15,J53,J57)</f>
        <v>2730</v>
      </c>
      <c r="K68" s="35">
        <f>SUM(K15,K53,K57)</f>
        <v>2969</v>
      </c>
      <c r="L68" s="35">
        <f>SUM(L15,L53,L57)</f>
        <v>3279</v>
      </c>
      <c r="M68" s="35">
        <f>SUM(I68:L68)</f>
        <v>11215</v>
      </c>
      <c r="N68" s="35">
        <f>SUM(N15,N53,N57)</f>
        <v>2202</v>
      </c>
      <c r="O68" s="35">
        <f>SUM(O15,O53,O57)</f>
        <v>877</v>
      </c>
      <c r="P68" s="35">
        <f>SUM(P15,P53,P57)</f>
        <v>1007</v>
      </c>
      <c r="Q68" s="35">
        <f>SUM(Q15,Q53,Q57)</f>
        <v>1682</v>
      </c>
      <c r="R68" s="35">
        <f>SUM(N68:Q68)</f>
        <v>5768</v>
      </c>
      <c r="S68" s="35">
        <f>SUM(S15,S53,S57)</f>
        <v>2524</v>
      </c>
      <c r="T68" s="35">
        <f>SUM(T15,T53,T57)</f>
        <v>7165</v>
      </c>
      <c r="U68" s="35">
        <f>SUM(U15,U53,U57)</f>
        <v>10789</v>
      </c>
      <c r="V68" s="35">
        <f>SUM(V15,V53,V57)</f>
        <v>14001</v>
      </c>
      <c r="W68" s="35">
        <f>SUM(S68:V68)</f>
        <v>34479</v>
      </c>
      <c r="X68" s="35">
        <f>SUM(X15,X53,X57)</f>
        <v>17319</v>
      </c>
      <c r="Y68" s="35">
        <f>SUM(Y15,Y53,Y57)</f>
        <v>19075</v>
      </c>
      <c r="Z68" s="35">
        <f>SUM(Z15,Z53,Z57)</f>
        <v>22347</v>
      </c>
      <c r="AA68" s="35">
        <f>SUM(AA15,AA53,AA57)</f>
        <v>24577</v>
      </c>
      <c r="AB68" s="35">
        <f>SUM(X68:AA68)</f>
        <v>83318</v>
      </c>
      <c r="AC68" s="35">
        <f>SUM(AC15,AC53,AC57)</f>
        <v>22249</v>
      </c>
      <c r="AD68" s="35">
        <f>SUM(AD15,AD53,AD57)</f>
        <v>29109</v>
      </c>
      <c r="AE68" s="35">
        <f>SUM(AE15,AE53,AE57)</f>
        <v>36761</v>
      </c>
      <c r="AF68" s="35">
        <f>SUM(AF15,AF53,AF57)</f>
        <v>45111</v>
      </c>
      <c r="AG68" s="35">
        <f>SUM(AC68:AF68)</f>
        <v>133230</v>
      </c>
      <c r="AH68" s="35">
        <f>SUM(AH15,AH53,AH57)</f>
        <v>54533</v>
      </c>
      <c r="AI68" s="35">
        <f>SUM(AI15,AI53,AI57)</f>
        <v>64861</v>
      </c>
      <c r="AJ68" s="35">
        <f>SUM(AJ15,AJ53,AJ57)</f>
        <v>62892.8226691732</v>
      </c>
      <c r="AK68" s="35">
        <f>SUM(AK15,AK53,AK57)</f>
        <v>75162.2518679221</v>
      </c>
      <c r="AL68" s="35">
        <f>SUM(AH68:AK68)</f>
        <v>257449.074537095</v>
      </c>
      <c r="AM68" s="35">
        <f>SUM(AM15,AM53,AM57)</f>
        <v>90043.1133941089</v>
      </c>
      <c r="AN68" s="35">
        <f>SUM(AN15,AN53,AN57)</f>
        <v>106157.427113822</v>
      </c>
      <c r="AO68" s="35">
        <f>SUM(AO15,AO53,AO57)</f>
        <v>110227.253208623</v>
      </c>
      <c r="AP68" s="35">
        <f>SUM(AP15,AP53,AP57)</f>
        <v>131730.906910568</v>
      </c>
      <c r="AQ68" s="35">
        <f>SUM(AM68:AP68)</f>
        <v>438158.700627122</v>
      </c>
      <c r="AR68" s="35">
        <f>SUM(AR15,AR53,AR57)</f>
        <v>157361.194997211</v>
      </c>
      <c r="AS68" s="35">
        <f>SUM(AS15,AS53,AS57)</f>
        <v>185522.900739162</v>
      </c>
      <c r="AT68" s="35">
        <f>SUM(AT15,AT53,AT57)</f>
        <v>192635.412441258</v>
      </c>
      <c r="AU68" s="35">
        <f>SUM(AU15,AU53,AU57)</f>
        <v>230215.639465768</v>
      </c>
      <c r="AV68" s="35">
        <f>SUM(AR68:AU68)</f>
        <v>765735.147643399</v>
      </c>
      <c r="AW68" s="35">
        <f>SUM(AW15,AW53,AW57)</f>
        <v>274220.851551997</v>
      </c>
      <c r="AX68" s="35">
        <f>SUM(AX15,AX53,AX57)</f>
        <v>323296.018589532</v>
      </c>
      <c r="AY68" s="35">
        <f>SUM(AY15,AY53,AY57)</f>
        <v>335690.427615575</v>
      </c>
      <c r="AZ68" s="35">
        <f>SUM(AZ15,AZ53,AZ57)</f>
        <v>401178.503353442</v>
      </c>
      <c r="BA68" s="35">
        <f>SUM(AW68:AZ68)</f>
        <v>1334385.80111055</v>
      </c>
      <c r="BB68" s="35">
        <f>SUM(BB15,BB53,BB57)</f>
        <v>476491.785810118</v>
      </c>
      <c r="BC68" s="35">
        <f>SUM(BC15,BC53,BC57)</f>
        <v>561765.804355025</v>
      </c>
      <c r="BD68" s="35">
        <f>SUM(BD15,BD53,BD57)</f>
        <v>583302.584134736</v>
      </c>
      <c r="BE68" s="35">
        <f>SUM(BE15,BE53,BE57)</f>
        <v>697096.010057663</v>
      </c>
      <c r="BF68" s="35">
        <f>SUM(BB68:BE68)</f>
        <v>2318656.18435754</v>
      </c>
      <c r="BG68" s="35" t="n"/>
      <c r="BH68" s="35" t="n"/>
      <c r="BI68" s="35" t="n"/>
      <c r="BJ68" s="35" t="n"/>
      <c r="BK68" s="35" t="n"/>
      <c r="BL68" s="35" t="n"/>
      <c r="BM68" s="35" t="n"/>
      <c r="BN68" s="35" t="n"/>
      <c r="BO68" s="35" t="n"/>
      <c r="BP68" s="35" t="n"/>
      <c r="BQ68" s="35" t="n"/>
      <c r="BR68" s="35" t="n"/>
      <c r="BS68" s="35" t="n"/>
      <c r="BT68" s="35" t="n"/>
      <c r="BU68" s="35" t="n"/>
      <c r="BV68" s="35" t="n"/>
      <c r="BW68" s="35" t="n"/>
      <c r="BX68" s="35" t="n"/>
      <c r="BY68" s="35" t="n"/>
      <c r="BZ68" s="35" t="n"/>
      <c r="CA68" s="35" t="n"/>
      <c r="CB68" s="35" t="n"/>
      <c r="CC68" s="35" t="n"/>
      <c r="CD68" s="35" t="n"/>
      <c r="CE68" s="35" t="n"/>
      <c r="CF68" s="35" t="n"/>
      <c r="CG68" s="35" t="n"/>
      <c r="CH68" s="35" t="n"/>
      <c r="CI68" s="35" t="n"/>
      <c r="CJ68" s="35" t="n"/>
      <c r="CK68" s="35" t="n"/>
      <c r="CL68" s="35" t="n"/>
      <c r="CM68" s="35" t="n"/>
      <c r="CN68" s="35" t="n"/>
      <c r="CO68" s="35" t="n"/>
      <c r="CP68" s="35" t="n"/>
      <c r="CQ68" s="35" t="n"/>
      <c r="CR68" s="35" t="n"/>
      <c r="CS68" s="35" t="n"/>
      <c r="CT68" s="35" t="n"/>
      <c r="CU68" s="35" t="n"/>
      <c r="CV68" s="35" t="n"/>
      <c r="CW68" s="35" t="n"/>
      <c r="CX68" s="35" t="n"/>
      <c r="CY68" s="35" t="n"/>
    </row>
    <row r="69" ht="13.5" customHeight="1">
      <c r="C69" s="13" t="inlineStr">
        <is>
          <t>D&amp;A</t>
        </is>
      </c>
      <c r="D69" s="46" t="n"/>
      <c r="E69" s="46" t="n"/>
      <c r="F69" s="46" t="n"/>
      <c r="G69" s="46" t="n"/>
      <c r="H69" s="12" t="n"/>
      <c r="I69" s="46">
        <f>'Inputs (2)'!D7</f>
        <v>-281</v>
      </c>
      <c r="J69" s="46">
        <f>'Inputs (2)'!E7</f>
        <v>-286</v>
      </c>
      <c r="K69" s="46">
        <f>'Inputs (2)'!F7</f>
        <v>-298</v>
      </c>
      <c r="L69" s="46">
        <f>'Inputs (2)'!G7</f>
        <v>-309</v>
      </c>
      <c r="M69" s="12">
        <f>'Inputs (2)'!H7</f>
        <v>-1174</v>
      </c>
      <c r="N69" s="46">
        <f>'Inputs (2)'!I7</f>
        <v>-334</v>
      </c>
      <c r="O69" s="46">
        <f>'Inputs (2)'!J7</f>
        <v>-378</v>
      </c>
      <c r="P69" s="46">
        <f>'Inputs (2)'!K7</f>
        <v>-406</v>
      </c>
      <c r="Q69" s="46">
        <f>'Inputs (2)'!L7</f>
        <v>-426</v>
      </c>
      <c r="R69" s="12">
        <f>'Inputs (2)'!M7</f>
        <v>-1544</v>
      </c>
      <c r="S69" s="46">
        <f>'Inputs (2)'!N7</f>
        <v>-384</v>
      </c>
      <c r="T69" s="46">
        <f>'Inputs (2)'!O7</f>
        <v>-365</v>
      </c>
      <c r="U69" s="46">
        <f>'Inputs (2)'!P7</f>
        <v>-372</v>
      </c>
      <c r="V69" s="46">
        <f>'Inputs (2)'!Q7</f>
        <v>-387</v>
      </c>
      <c r="W69" s="12">
        <f>'Inputs (2)'!R7</f>
        <v>-1508</v>
      </c>
      <c r="X69" s="46">
        <f>'Inputs (2)'!S7</f>
        <v>-410</v>
      </c>
      <c r="Y69" s="46">
        <f>'Inputs (2)'!T7</f>
        <v>-433</v>
      </c>
      <c r="Z69" s="46">
        <f>'Inputs (2)'!U7</f>
        <v>-478</v>
      </c>
      <c r="AA69" s="46">
        <f>'Inputs (2)'!V7</f>
        <v>-543</v>
      </c>
      <c r="AB69" s="12">
        <f>'Inputs (2)'!W7</f>
        <v>-1864</v>
      </c>
      <c r="AC69" s="46">
        <f>'Inputs (2)'!X7</f>
        <v>-611</v>
      </c>
      <c r="AD69" s="46">
        <f>'Inputs (2)'!Y7</f>
        <v>-669</v>
      </c>
      <c r="AE69" s="46">
        <f>'Inputs (2)'!Z7</f>
        <v>-751</v>
      </c>
      <c r="AF69" s="46">
        <f>'Inputs (2)'!AA7</f>
        <v>-812</v>
      </c>
      <c r="AG69" s="12">
        <f>'Inputs (2)'!AB7</f>
        <v>-2843</v>
      </c>
      <c r="AH69" s="12">
        <f>'Inputs (2)'!AC7</f>
        <v>-997</v>
      </c>
      <c r="AI69" s="12">
        <f>'Inputs (2)'!AD7</f>
        <v>-1127</v>
      </c>
      <c r="AJ69" s="12">
        <f>-AJ70*AJ15</f>
        <v>-1285.51731925903</v>
      </c>
      <c r="AK69" s="12">
        <f>-AK70*AK15</f>
        <v>-1536.30211572747</v>
      </c>
      <c r="AL69" s="12">
        <f>SUM(AH69:AK69)</f>
        <v>-4945.81943498651</v>
      </c>
      <c r="AM69" s="12">
        <f>-AM70*AM15</f>
        <v>-1840.46409169782</v>
      </c>
      <c r="AN69" s="12">
        <f>-AN70*AN15</f>
        <v>-2169.83759562894</v>
      </c>
      <c r="AO69" s="12">
        <f>-AO70*AO15</f>
        <v>-2253.02406602732</v>
      </c>
      <c r="AP69" s="12">
        <f>-AP70*AP15</f>
        <v>-2692.55465295308</v>
      </c>
      <c r="AQ69" s="12">
        <f>SUM(AM69:AP69)</f>
        <v>-8955.88040630716</v>
      </c>
      <c r="AR69" s="12">
        <f>-AR70*AR15</f>
        <v>-3216.43286090522</v>
      </c>
      <c r="AS69" s="12">
        <f>-AS70*AS15</f>
        <v>-3792.05276369737</v>
      </c>
      <c r="AT69" s="12">
        <f>-AT70*AT15</f>
        <v>-3937.43114851836</v>
      </c>
      <c r="AU69" s="12">
        <f>-AU70*AU15</f>
        <v>-4705.56383284409</v>
      </c>
      <c r="AV69" s="12">
        <f>SUM(AR69:AU69)</f>
        <v>-15651.480605965</v>
      </c>
      <c r="AW69" s="12">
        <f>-AW70*AW15</f>
        <v>-5605.02198838084</v>
      </c>
      <c r="AX69" s="12">
        <f>-AX70*AX15</f>
        <v>-6608.10905769764</v>
      </c>
      <c r="AY69" s="12">
        <f>-AY70*AY15</f>
        <v>-6861.44841803721</v>
      </c>
      <c r="AZ69" s="12">
        <f>-AZ70*AZ15</f>
        <v>-8200.01221583028</v>
      </c>
      <c r="BA69" s="12">
        <f>SUM(AW69:AZ69)</f>
        <v>-27274.591679946</v>
      </c>
      <c r="BB69" s="12">
        <f>-BB70*BB15</f>
        <v>-9739.40136803252</v>
      </c>
      <c r="BC69" s="12">
        <f>-BC70*BC15</f>
        <v>-11482.3860691473</v>
      </c>
      <c r="BD69" s="12">
        <f>-BD70*BD15</f>
        <v>-11922.5937467947</v>
      </c>
      <c r="BE69" s="12">
        <f>-BE70*BE15</f>
        <v>-14248.5097040291</v>
      </c>
      <c r="BF69" s="12">
        <f>SUM(BB69:BE69)</f>
        <v>-47392.8908880036</v>
      </c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 customFormat="1" s="56">
      <c r="A70" s="53" t="n"/>
      <c r="B70" s="53" t="n"/>
      <c r="C70" s="54" t="inlineStr">
        <is>
          <t>% of Revenue</t>
        </is>
      </c>
      <c r="D70" s="53" t="n"/>
      <c r="E70" s="53" t="n"/>
      <c r="F70" s="53" t="n"/>
      <c r="G70" s="53" t="n"/>
      <c r="H70" s="53" t="n"/>
      <c r="I70" s="53">
        <f>IFERROR(-I69/I15,"")</f>
        <v>0.0496378731672849</v>
      </c>
      <c r="J70" s="53">
        <f>IFERROR(-J69/J15,"")</f>
        <v>0.0439526663593054</v>
      </c>
      <c r="K70" s="53">
        <f>IFERROR(-K69/K15,"")</f>
        <v>0.0419541038997607</v>
      </c>
      <c r="L70" s="53">
        <f>IFERROR(-L69/L15,"")</f>
        <v>0.0404291508569933</v>
      </c>
      <c r="M70" s="53" t="n"/>
      <c r="N70" s="53">
        <f>IFERROR(-N69/N15,"")</f>
        <v>0.0402992277992278</v>
      </c>
      <c r="O70" s="53">
        <f>IFERROR(-O69/O15,"")</f>
        <v>0.0563842482100239</v>
      </c>
      <c r="P70" s="53">
        <f>IFERROR(-P69/P15,"")</f>
        <v>0.0684538863598044</v>
      </c>
      <c r="Q70" s="53">
        <f>IFERROR(-Q69/Q15,"")</f>
        <v>0.0704015865146257</v>
      </c>
      <c r="R70" s="53" t="n"/>
      <c r="S70" s="53">
        <f>IFERROR(-S69/S15,"")</f>
        <v>0.053392658509455</v>
      </c>
      <c r="T70" s="53">
        <f>IFERROR(-T69/T15,"")</f>
        <v>0.0270230250980973</v>
      </c>
      <c r="U70" s="53">
        <f>IFERROR(-U69/U15,"")</f>
        <v>0.0205298013245033</v>
      </c>
      <c r="V70" s="53">
        <f>IFERROR(-V69/V15,"")</f>
        <v>0.0175089354386282</v>
      </c>
      <c r="W70" s="53" t="n"/>
      <c r="X70" s="53">
        <f>IFERROR(-X69/X15,"")</f>
        <v>0.015742589463984</v>
      </c>
      <c r="Y70" s="53">
        <f>IFERROR(-Y69/Y15,"")</f>
        <v>0.0144141145139814</v>
      </c>
      <c r="Z70" s="53">
        <f>IFERROR(-Z69/Z15,"")</f>
        <v>0.0136252209110085</v>
      </c>
      <c r="AA70" s="53">
        <f>IFERROR(-AA69/AA15,"")</f>
        <v>0.0138059037400524</v>
      </c>
      <c r="AB70" s="53" t="n"/>
      <c r="AC70" s="53">
        <f>IFERROR(-AC69/AC15,"")</f>
        <v>0.0138668240206981</v>
      </c>
      <c r="AD70" s="53">
        <f>IFERROR(-AD69/AD15,"")</f>
        <v>0.0143123034465054</v>
      </c>
      <c r="AE70" s="53">
        <f>IFERROR(-AE69/AE15,"")</f>
        <v>0.0131740518541908</v>
      </c>
      <c r="AF70" s="55">
        <f>IFERROR(-AF69/AF15,"")</f>
        <v>0.0119189161419114</v>
      </c>
      <c r="AG70" s="53" t="n"/>
      <c r="AH70" s="55">
        <f>IFERROR(-AH69/AH15,"")</f>
        <v>0.0122158916865772</v>
      </c>
      <c r="AI70" s="55">
        <f>IFERROR(-AI69/AI15,"")</f>
        <v>0.0117126199062575</v>
      </c>
      <c r="AJ70" s="55">
        <f>Control!$B$21</f>
        <v>0.0128667678426901</v>
      </c>
      <c r="AK70" s="55">
        <f>Control!$B$21</f>
        <v>0.0128667678426901</v>
      </c>
      <c r="AL70" s="53" t="n"/>
      <c r="AM70" s="55">
        <f>Control!$C$21</f>
        <v>0.0128667678426901</v>
      </c>
      <c r="AN70" s="55">
        <f>Control!$C$21</f>
        <v>0.0128667678426901</v>
      </c>
      <c r="AO70" s="55">
        <f>Control!$C$21</f>
        <v>0.0128667678426901</v>
      </c>
      <c r="AP70" s="55">
        <f>Control!$C$21</f>
        <v>0.0128667678426901</v>
      </c>
      <c r="AQ70" s="53" t="n"/>
      <c r="AR70" s="55">
        <f>Control!$D$21</f>
        <v>0.0128667678426901</v>
      </c>
      <c r="AS70" s="55">
        <f>Control!$D$21</f>
        <v>0.0128667678426901</v>
      </c>
      <c r="AT70" s="55">
        <f>Control!$D$21</f>
        <v>0.0128667678426901</v>
      </c>
      <c r="AU70" s="55">
        <f>Control!$D$21</f>
        <v>0.0128667678426901</v>
      </c>
      <c r="AV70" s="53" t="n"/>
      <c r="AW70" s="55">
        <f>Control!$E$21</f>
        <v>0.0128667678426901</v>
      </c>
      <c r="AX70" s="55">
        <f>Control!$E$21</f>
        <v>0.0128667678426901</v>
      </c>
      <c r="AY70" s="55">
        <f>Control!$E$21</f>
        <v>0.0128667678426901</v>
      </c>
      <c r="AZ70" s="55">
        <f>Control!$E$21</f>
        <v>0.0128667678426901</v>
      </c>
      <c r="BA70" s="53" t="n"/>
      <c r="BB70" s="55">
        <f>Control!$F$21</f>
        <v>0.0128667678426901</v>
      </c>
      <c r="BC70" s="55">
        <f>Control!$F$21</f>
        <v>0.0128667678426901</v>
      </c>
      <c r="BD70" s="55">
        <f>Control!$F$21</f>
        <v>0.0128667678426901</v>
      </c>
      <c r="BE70" s="55">
        <f>Control!$F$21</f>
        <v>0.0128667678426901</v>
      </c>
      <c r="BF70" s="53" t="n"/>
      <c r="BG70" s="55" t="n"/>
      <c r="BH70" s="55" t="n"/>
      <c r="BI70" s="55" t="n"/>
      <c r="BJ70" s="55" t="n"/>
      <c r="BK70" s="53" t="n"/>
      <c r="BL70" s="55" t="n"/>
      <c r="BM70" s="55" t="n"/>
      <c r="BN70" s="55" t="n"/>
      <c r="BO70" s="55" t="n"/>
      <c r="BP70" s="53" t="n"/>
      <c r="BQ70" s="55" t="n"/>
      <c r="BR70" s="55" t="n"/>
      <c r="BS70" s="55" t="n"/>
      <c r="BT70" s="55" t="n"/>
      <c r="BU70" s="53" t="n"/>
      <c r="BV70" s="55" t="n"/>
      <c r="BW70" s="55" t="n"/>
      <c r="BX70" s="55" t="n"/>
      <c r="BY70" s="55" t="n"/>
      <c r="BZ70" s="53" t="n"/>
      <c r="CA70" s="55" t="n"/>
      <c r="CB70" s="55" t="n"/>
      <c r="CC70" s="55" t="n"/>
      <c r="CD70" s="55" t="n"/>
      <c r="CE70" s="53" t="n"/>
      <c r="CF70" s="55" t="n"/>
      <c r="CG70" s="55" t="n"/>
      <c r="CH70" s="55" t="n"/>
      <c r="CI70" s="55" t="n"/>
      <c r="CJ70" s="53" t="n"/>
      <c r="CK70" s="55" t="n"/>
      <c r="CL70" s="55" t="n"/>
      <c r="CM70" s="55" t="n"/>
      <c r="CN70" s="55" t="n"/>
      <c r="CO70" s="53" t="n"/>
      <c r="CP70" s="55" t="n"/>
      <c r="CQ70" s="55" t="n"/>
      <c r="CR70" s="55" t="n"/>
      <c r="CS70" s="55" t="n"/>
      <c r="CT70" s="53" t="n"/>
      <c r="CU70" s="55" t="n"/>
      <c r="CV70" s="55" t="n"/>
      <c r="CW70" s="55" t="n"/>
      <c r="CX70" s="55" t="n"/>
      <c r="CY70" s="53" t="n"/>
    </row>
    <row r="71" hidden="1" outlineLevel="1">
      <c r="C71" s="50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collapsed="1" customFormat="1" s="32">
      <c r="A72" s="30" t="n"/>
      <c r="B72" s="3" t="n"/>
      <c r="C72" s="33" t="inlineStr">
        <is>
          <t>Operating Profit - EBIT</t>
        </is>
      </c>
      <c r="D72" s="35" t="n"/>
      <c r="E72" s="35" t="n"/>
      <c r="F72" s="35" t="n"/>
      <c r="G72" s="35" t="n"/>
      <c r="H72" s="35" t="n"/>
      <c r="I72" s="35">
        <f>SUM(I68,I69)</f>
        <v>1956</v>
      </c>
      <c r="J72" s="35">
        <f>SUM(J68,J69)</f>
        <v>2444</v>
      </c>
      <c r="K72" s="35">
        <f>SUM(K68,K69)</f>
        <v>2671</v>
      </c>
      <c r="L72" s="35">
        <f>SUM(L68,L69)</f>
        <v>2970</v>
      </c>
      <c r="M72" s="35">
        <f>SUM(I72:L72)</f>
        <v>10041</v>
      </c>
      <c r="N72" s="35">
        <f>SUM(N68,N69)</f>
        <v>1868</v>
      </c>
      <c r="O72" s="35">
        <f>SUM(O68,O69)</f>
        <v>499</v>
      </c>
      <c r="P72" s="35">
        <f>SUM(P68,P69)</f>
        <v>601</v>
      </c>
      <c r="Q72" s="35">
        <f>SUM(Q68,Q69)</f>
        <v>1256</v>
      </c>
      <c r="R72" s="35">
        <f>SUM(N72:Q72)</f>
        <v>4224</v>
      </c>
      <c r="S72" s="35">
        <f>SUM(S68,S69)</f>
        <v>2140</v>
      </c>
      <c r="T72" s="35">
        <f>SUM(T68,T69)</f>
        <v>6800</v>
      </c>
      <c r="U72" s="35">
        <f>SUM(U68,U69)</f>
        <v>10417</v>
      </c>
      <c r="V72" s="35">
        <f>SUM(V68,V69)</f>
        <v>13614</v>
      </c>
      <c r="W72" s="35">
        <f>SUM(S72:V72)</f>
        <v>32971</v>
      </c>
      <c r="X72" s="35">
        <f>SUM(X68,X69)</f>
        <v>16909</v>
      </c>
      <c r="Y72" s="35">
        <f>SUM(Y68,Y69)</f>
        <v>18642</v>
      </c>
      <c r="Z72" s="35">
        <f>SUM(Z68,Z69)</f>
        <v>21869</v>
      </c>
      <c r="AA72" s="35">
        <f>SUM(AA68,AA69)</f>
        <v>24034</v>
      </c>
      <c r="AB72" s="35">
        <f>SUM(X72:AA72)</f>
        <v>81454</v>
      </c>
      <c r="AC72" s="35">
        <f>SUM(AC68,AC69)</f>
        <v>21638</v>
      </c>
      <c r="AD72" s="35">
        <f>SUM(AD68,AD69)</f>
        <v>28440</v>
      </c>
      <c r="AE72" s="35">
        <f>SUM(AE68,AE69)</f>
        <v>36010</v>
      </c>
      <c r="AF72" s="35">
        <f>SUM(AF68,AF69)</f>
        <v>44299</v>
      </c>
      <c r="AG72" s="35">
        <f>SUM(AC72:AF72)</f>
        <v>130387</v>
      </c>
      <c r="AH72" s="35">
        <f>SUM(AH68,AH69)</f>
        <v>53536</v>
      </c>
      <c r="AI72" s="35">
        <f>SUM(AI68,AI69)</f>
        <v>63734</v>
      </c>
      <c r="AJ72" s="35">
        <f>SUM(AJ68,AJ69)</f>
        <v>61607.3053499142</v>
      </c>
      <c r="AK72" s="35">
        <f>SUM(AK68,AK69)</f>
        <v>73625.9497521946</v>
      </c>
      <c r="AL72" s="35">
        <f>SUM(AL68,AL69)</f>
        <v>252503.255102109</v>
      </c>
      <c r="AM72" s="35">
        <f>SUM(AM68,AM69)</f>
        <v>88202.6493024111</v>
      </c>
      <c r="AN72" s="35">
        <f>SUM(AN68,AN69)</f>
        <v>103987.589518193</v>
      </c>
      <c r="AO72" s="35">
        <f>SUM(AO68,AO69)</f>
        <v>107974.229142596</v>
      </c>
      <c r="AP72" s="35">
        <f>SUM(AP68,AP69)</f>
        <v>129038.352257615</v>
      </c>
      <c r="AQ72" s="35">
        <f>SUM(AQ68,AQ69)</f>
        <v>429202.820220815</v>
      </c>
      <c r="AR72" s="35">
        <f>SUM(AR68,AR69)</f>
        <v>154144.762136306</v>
      </c>
      <c r="AS72" s="35">
        <f>SUM(AS68,AS69)</f>
        <v>181730.847975464</v>
      </c>
      <c r="AT72" s="35">
        <f>SUM(AT68,AT69)</f>
        <v>188697.981292739</v>
      </c>
      <c r="AU72" s="35">
        <f>SUM(AU68,AU69)</f>
        <v>225510.075632924</v>
      </c>
      <c r="AV72" s="35">
        <f>SUM(AV68,AV69)</f>
        <v>750083.667037434</v>
      </c>
      <c r="AW72" s="35">
        <f>SUM(AW68,AW69)</f>
        <v>268615.829563616</v>
      </c>
      <c r="AX72" s="35">
        <f>SUM(AX68,AX69)</f>
        <v>316687.909531835</v>
      </c>
      <c r="AY72" s="35">
        <f>SUM(AY68,AY69)</f>
        <v>328828.979197538</v>
      </c>
      <c r="AZ72" s="35">
        <f>SUM(AZ68,AZ69)</f>
        <v>392978.491137611</v>
      </c>
      <c r="BA72" s="35">
        <f>SUM(BA68,BA69)</f>
        <v>1307111.2094306</v>
      </c>
      <c r="BB72" s="35">
        <f>SUM(BB68,BB69)</f>
        <v>466752.384442085</v>
      </c>
      <c r="BC72" s="35">
        <f>SUM(BC68,BC69)</f>
        <v>550283.418285877</v>
      </c>
      <c r="BD72" s="35">
        <f>SUM(BD68,BD69)</f>
        <v>571379.990387941</v>
      </c>
      <c r="BE72" s="35">
        <f>SUM(BE68,BE69)</f>
        <v>682847.500353634</v>
      </c>
      <c r="BF72" s="35">
        <f>SUM(BF68,BF69)</f>
        <v>2271263.29346954</v>
      </c>
      <c r="BG72" s="35" t="n"/>
      <c r="BH72" s="35" t="n"/>
      <c r="BI72" s="35" t="n"/>
      <c r="BJ72" s="35" t="n"/>
      <c r="BK72" s="35" t="n"/>
      <c r="BL72" s="35" t="n"/>
      <c r="BM72" s="35" t="n"/>
      <c r="BN72" s="35" t="n"/>
      <c r="BO72" s="35" t="n"/>
      <c r="BP72" s="35" t="n"/>
      <c r="BQ72" s="35" t="n"/>
      <c r="BR72" s="35" t="n"/>
      <c r="BS72" s="35" t="n"/>
      <c r="BT72" s="35" t="n"/>
      <c r="BU72" s="35" t="n"/>
      <c r="BV72" s="35" t="n"/>
      <c r="BW72" s="35" t="n"/>
      <c r="BX72" s="35" t="n"/>
      <c r="BY72" s="35" t="n"/>
      <c r="BZ72" s="35" t="n"/>
      <c r="CA72" s="35" t="n"/>
      <c r="CB72" s="35" t="n"/>
      <c r="CC72" s="35" t="n"/>
      <c r="CD72" s="35" t="n"/>
      <c r="CE72" s="35" t="n"/>
      <c r="CF72" s="35" t="n"/>
      <c r="CG72" s="35" t="n"/>
      <c r="CH72" s="35" t="n"/>
      <c r="CI72" s="35" t="n"/>
      <c r="CJ72" s="35" t="n"/>
      <c r="CK72" s="35" t="n"/>
      <c r="CL72" s="35" t="n"/>
      <c r="CM72" s="35" t="n"/>
      <c r="CN72" s="35" t="n"/>
      <c r="CO72" s="35" t="n"/>
      <c r="CP72" s="35" t="n"/>
      <c r="CQ72" s="35" t="n"/>
      <c r="CR72" s="35" t="n"/>
      <c r="CS72" s="35" t="n"/>
      <c r="CT72" s="35" t="n"/>
      <c r="CU72" s="35" t="n"/>
      <c r="CV72" s="35" t="n"/>
      <c r="CW72" s="35" t="n"/>
      <c r="CX72" s="35" t="n"/>
      <c r="CY72" s="35" t="n"/>
    </row>
    <row r="73">
      <c r="C73" s="14" t="inlineStr">
        <is>
          <t>Interest Expense</t>
        </is>
      </c>
      <c r="D73" s="46" t="n"/>
      <c r="E73" s="46" t="n"/>
      <c r="F73" s="46" t="n"/>
      <c r="G73" s="46" t="n"/>
      <c r="H73" s="12" t="n"/>
      <c r="I73" s="46">
        <f>'Inputs (2)'!D8</f>
        <v>-53</v>
      </c>
      <c r="J73" s="46">
        <f>'Inputs (2)'!E8</f>
        <v>-60</v>
      </c>
      <c r="K73" s="46">
        <f>'Inputs (2)'!F8</f>
        <v>-62</v>
      </c>
      <c r="L73" s="46">
        <f>'Inputs (2)'!G8</f>
        <v>-61</v>
      </c>
      <c r="M73" s="12">
        <f>'Inputs (2)'!H8</f>
        <v>-236</v>
      </c>
      <c r="N73" s="46">
        <f>'Inputs (2)'!I8</f>
        <v>-68</v>
      </c>
      <c r="O73" s="46">
        <f>'Inputs (2)'!J8</f>
        <v>-65</v>
      </c>
      <c r="P73" s="46">
        <f>'Inputs (2)'!K8</f>
        <v>-65</v>
      </c>
      <c r="Q73" s="46">
        <f>'Inputs (2)'!L8</f>
        <v>-64</v>
      </c>
      <c r="R73" s="12">
        <f>'Inputs (2)'!M8</f>
        <v>-262</v>
      </c>
      <c r="S73" s="46">
        <f>'Inputs (2)'!N8</f>
        <v>-66</v>
      </c>
      <c r="T73" s="46">
        <f>'Inputs (2)'!O8</f>
        <v>-65</v>
      </c>
      <c r="U73" s="46">
        <f>'Inputs (2)'!P8</f>
        <v>-63</v>
      </c>
      <c r="V73" s="46">
        <f>'Inputs (2)'!Q8</f>
        <v>-63</v>
      </c>
      <c r="W73" s="12">
        <f>'Inputs (2)'!R8</f>
        <v>-257</v>
      </c>
      <c r="X73" s="46">
        <f>'Inputs (2)'!S8</f>
        <v>-64</v>
      </c>
      <c r="Y73" s="46">
        <f>'Inputs (2)'!T8</f>
        <v>-61</v>
      </c>
      <c r="Z73" s="46">
        <f>'Inputs (2)'!U8</f>
        <v>-61</v>
      </c>
      <c r="AA73" s="46">
        <f>'Inputs (2)'!V8</f>
        <v>-61</v>
      </c>
      <c r="AB73" s="12">
        <f>'Inputs (2)'!W8</f>
        <v>-247</v>
      </c>
      <c r="AC73" s="46">
        <f>'Inputs (2)'!X8</f>
        <v>-63</v>
      </c>
      <c r="AD73" s="46">
        <f>'Inputs (2)'!Y8</f>
        <v>-62</v>
      </c>
      <c r="AE73" s="46">
        <f>'Inputs (2)'!Z8</f>
        <v>-61</v>
      </c>
      <c r="AF73" s="46">
        <f>'Inputs (2)'!AA8</f>
        <v>-73</v>
      </c>
      <c r="AG73" s="12">
        <f>'Inputs (2)'!AB8</f>
        <v>-259</v>
      </c>
      <c r="AH73" s="12">
        <f>'Inputs (2)'!AC8</f>
        <v>-102</v>
      </c>
      <c r="AI73" s="12">
        <f>'Inputs (2)'!AD8</f>
        <v>-227</v>
      </c>
      <c r="AJ73" s="12" t="str">
        <f>IF(Control!$E$9="","",-AI91*Control!$E$9/4)</f>
        <v/>
      </c>
      <c r="AK73" s="12" t="str">
        <f>IF(Control!$E$9="","",-AJ91*Control!$E$9/4)</f>
        <v/>
      </c>
      <c r="AL73" s="12">
        <f>SUM(AH73:AK73)</f>
        <v>-329</v>
      </c>
      <c r="AM73" s="12" t="str">
        <f>IF(Control!$E$9="","",-AL91*Control!$E$9/4)</f>
        <v/>
      </c>
      <c r="AN73" s="12" t="str">
        <f>IF(Control!$E$9="","",-AM91*Control!$E$9/4)</f>
        <v/>
      </c>
      <c r="AO73" s="12" t="str">
        <f>IF(Control!$E$9="","",-AN91*Control!$E$9/4)</f>
        <v/>
      </c>
      <c r="AP73" s="12" t="str">
        <f>IF(Control!$E$9="","",-AO91*Control!$E$9/4)</f>
        <v/>
      </c>
      <c r="AQ73" s="12">
        <f>SUM(AM73:AP73)</f>
        <v>0</v>
      </c>
      <c r="AR73" s="12" t="str">
        <f>IF(Control!$E$9="","",-AQ91*Control!$E$9/4)</f>
        <v/>
      </c>
      <c r="AS73" s="12" t="str">
        <f>IF(Control!$E$9="","",-AR91*Control!$E$9/4)</f>
        <v/>
      </c>
      <c r="AT73" s="12" t="str">
        <f>IF(Control!$E$9="","",-AS91*Control!$E$9/4)</f>
        <v/>
      </c>
      <c r="AU73" s="12" t="str">
        <f>IF(Control!$E$9="","",-AT91*Control!$E$9/4)</f>
        <v/>
      </c>
      <c r="AV73" s="12">
        <f>SUM(AR73:AU73)</f>
        <v>0</v>
      </c>
      <c r="AW73" s="12" t="str">
        <f>IF(Control!$E$9="","",-AV91*Control!$E$9/4)</f>
        <v/>
      </c>
      <c r="AX73" s="12" t="str">
        <f>IF(Control!$E$9="","",-AW91*Control!$E$9/4)</f>
        <v/>
      </c>
      <c r="AY73" s="12" t="str">
        <f>IF(Control!$E$9="","",-AX91*Control!$E$9/4)</f>
        <v/>
      </c>
      <c r="AZ73" s="12" t="str">
        <f>IF(Control!$E$9="","",-AY91*Control!$E$9/4)</f>
        <v/>
      </c>
      <c r="BA73" s="12">
        <f>SUM(AW73:AZ73)</f>
        <v>0</v>
      </c>
      <c r="BB73" s="12" t="str">
        <f>IF(Control!$E$9="","",-BA91*Control!$E$9/4)</f>
        <v/>
      </c>
      <c r="BC73" s="12" t="str">
        <f>IF(Control!$E$9="","",-BB91*Control!$E$9/4)</f>
        <v/>
      </c>
      <c r="BD73" s="12" t="str">
        <f>IF(Control!$E$9="","",-BC91*Control!$E$9/4)</f>
        <v/>
      </c>
      <c r="BE73" s="12" t="str">
        <f>IF(Control!$E$9="","",-BD91*Control!$E$9/4)</f>
        <v/>
      </c>
      <c r="BF73" s="12">
        <f>SUM(BB73:BE73)</f>
        <v>0</v>
      </c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0" t="inlineStr">
        <is>
          <t>% of Debt</t>
        </is>
      </c>
      <c r="D74" s="53" t="n"/>
      <c r="E74" s="53" t="n"/>
      <c r="F74" s="53" t="n"/>
      <c r="G74" s="53" t="n"/>
      <c r="H74" s="12" t="n"/>
      <c r="I74" s="53">
        <f>IFERROR(-I73/SUM(I211+I216),"")</f>
        <v>0.00761166164009766</v>
      </c>
      <c r="J74" s="53">
        <f>IFERROR(-J73/SUM(J211+J216),"")</f>
        <v>0.00502386335091686</v>
      </c>
      <c r="K74" s="53">
        <f>IFERROR(-K73/SUM(K211+K216),"")</f>
        <v>0.00566520467836257</v>
      </c>
      <c r="L74" s="53">
        <f>IFERROR(-L73/SUM(L211+L216),"")</f>
        <v>0.00557281198611365</v>
      </c>
      <c r="M74" s="12" t="n"/>
      <c r="N74" s="53">
        <f>IFERROR(-N73/SUM(N211+N216),"")</f>
        <v>0.00621174751073353</v>
      </c>
      <c r="O74" s="53">
        <f>IFERROR(-O73/SUM(O211+O216),"")</f>
        <v>0.00593661521600146</v>
      </c>
      <c r="P74" s="53">
        <f>IFERROR(-P73/SUM(P211+P216),"")</f>
        <v>0.00593607305936073</v>
      </c>
      <c r="Q74" s="53">
        <f>IFERROR(-Q73/SUM(Q211+Q216),"")</f>
        <v>0.00584314799598284</v>
      </c>
      <c r="R74" s="12" t="n"/>
      <c r="S74" s="53">
        <f>IFERROR(-S73/SUM(S211+S216),"")</f>
        <v>0.00602519627533321</v>
      </c>
      <c r="T74" s="53">
        <f>IFERROR(-T73/SUM(T211+T216),"")</f>
        <v>0.00669757856774858</v>
      </c>
      <c r="U74" s="53">
        <f>IFERROR(-U73/SUM(U211+U216),"")</f>
        <v>0.0064908304141768</v>
      </c>
      <c r="V74" s="53">
        <f>IFERROR(-V73/SUM(V211+V216),"")</f>
        <v>0.00648882480173035</v>
      </c>
      <c r="W74" s="12" t="n"/>
      <c r="X74" s="53">
        <f>IFERROR(-X73/SUM(X211+X216),"")</f>
        <v>0.00659114315139032</v>
      </c>
      <c r="Y74" s="53">
        <f>IFERROR(-Y73/SUM(Y211+Y216),"")</f>
        <v>0.00720954969861719</v>
      </c>
      <c r="Z74" s="53">
        <f>IFERROR(-Z73/SUM(Z211+Z216),"")</f>
        <v>0.00720869770739778</v>
      </c>
      <c r="AA74" s="53">
        <f>IFERROR(-AA73/SUM(AA211+AA216),"")</f>
        <v>0.00720784591752334</v>
      </c>
      <c r="AB74" s="12" t="n"/>
      <c r="AC74" s="53">
        <f>IFERROR(-AC73/SUM(AC211+AC216),"")</f>
        <v>0.00744328922495274</v>
      </c>
      <c r="AD74" s="53">
        <f>IFERROR(-AD73/SUM(AD211+AD216),"")</f>
        <v>0.00732341129222773</v>
      </c>
      <c r="AE74" s="53">
        <f>IFERROR(-AE73/SUM(AE211+AE216),"")</f>
        <v>0.00720444077004842</v>
      </c>
      <c r="AF74" s="55">
        <f>IFERROR(-AF73/SUM(AF211+AF216),"")</f>
        <v>0.00862068965517241</v>
      </c>
      <c r="AG74" s="12" t="n"/>
      <c r="AH74" s="11">
        <f>IFERROR(-AH73/SUM(AH211+AH216),"")</f>
        <v>0.0120425029515939</v>
      </c>
      <c r="AI74" s="11">
        <f>IFERROR(-AI73/SUM(AI211+AI216),"")</f>
        <v>0.00680333273392076</v>
      </c>
      <c r="AJ74" s="11" t="str">
        <f>IFERROR(Control!$E$9,0)</f>
        <v/>
      </c>
      <c r="AK74" s="11" t="str">
        <f>IFERROR(Control!$E$9,0)</f>
        <v/>
      </c>
      <c r="AL74" s="12" t="n"/>
      <c r="AM74" s="11" t="str">
        <f>IFERROR(Control!$E$9,0)</f>
        <v/>
      </c>
      <c r="AN74" s="11" t="str">
        <f>IFERROR(Control!$E$9,0)</f>
        <v/>
      </c>
      <c r="AO74" s="11" t="str">
        <f>IFERROR(Control!$E$9,0)</f>
        <v/>
      </c>
      <c r="AP74" s="11" t="str">
        <f>IFERROR(Control!$E$9,0)</f>
        <v/>
      </c>
      <c r="AQ74" s="12" t="n"/>
      <c r="AR74" s="11" t="str">
        <f>IFERROR(Control!$E$9,0)</f>
        <v/>
      </c>
      <c r="AS74" s="11" t="str">
        <f>IFERROR(Control!$E$9,0)</f>
        <v/>
      </c>
      <c r="AT74" s="11" t="str">
        <f>IFERROR(Control!$E$9,0)</f>
        <v/>
      </c>
      <c r="AU74" s="11" t="str">
        <f>IFERROR(Control!$E$9,0)</f>
        <v/>
      </c>
      <c r="AV74" s="12" t="n"/>
      <c r="AW74" s="11" t="str">
        <f>IFERROR(Control!$E$9,0)</f>
        <v/>
      </c>
      <c r="AX74" s="11" t="str">
        <f>IFERROR(Control!$E$9,0)</f>
        <v/>
      </c>
      <c r="AY74" s="11" t="str">
        <f>IFERROR(Control!$E$9,0)</f>
        <v/>
      </c>
      <c r="AZ74" s="11" t="str">
        <f>IFERROR(Control!$E$9,0)</f>
        <v/>
      </c>
      <c r="BA74" s="12" t="n"/>
      <c r="BB74" s="11" t="str">
        <f>IFERROR(Control!$E$9,0)</f>
        <v/>
      </c>
      <c r="BC74" s="11" t="str">
        <f>IFERROR(Control!$E$9,0)</f>
        <v/>
      </c>
      <c r="BD74" s="11" t="str">
        <f>IFERROR(Control!$E$9,0)</f>
        <v/>
      </c>
      <c r="BE74" s="11" t="str">
        <f>IFERROR(Control!$E$9,0)</f>
        <v/>
      </c>
      <c r="BF74" s="12" t="n"/>
      <c r="BG74" s="11" t="n"/>
      <c r="BH74" s="11" t="n"/>
      <c r="BI74" s="11" t="n"/>
      <c r="BJ74" s="11" t="n"/>
      <c r="BK74" s="12" t="n"/>
      <c r="BL74" s="11" t="n"/>
      <c r="BM74" s="11" t="n"/>
      <c r="BN74" s="11" t="n"/>
      <c r="BO74" s="11" t="n"/>
      <c r="BP74" s="12" t="n"/>
      <c r="BQ74" s="11" t="n"/>
      <c r="BR74" s="11" t="n"/>
      <c r="BS74" s="11" t="n"/>
      <c r="BT74" s="11" t="n"/>
      <c r="BU74" s="12" t="n"/>
      <c r="BV74" s="11" t="n"/>
      <c r="BW74" s="11" t="n"/>
      <c r="BX74" s="11" t="n"/>
      <c r="BY74" s="11" t="n"/>
      <c r="BZ74" s="12" t="n"/>
      <c r="CA74" s="11" t="n"/>
      <c r="CB74" s="11" t="n"/>
      <c r="CC74" s="11" t="n"/>
      <c r="CD74" s="11" t="n"/>
      <c r="CE74" s="12" t="n"/>
      <c r="CF74" s="11" t="n"/>
      <c r="CG74" s="11" t="n"/>
      <c r="CH74" s="11" t="n"/>
      <c r="CI74" s="11" t="n"/>
      <c r="CJ74" s="12" t="n"/>
      <c r="CK74" s="11" t="n"/>
      <c r="CL74" s="11" t="n"/>
      <c r="CM74" s="11" t="n"/>
      <c r="CN74" s="11" t="n"/>
      <c r="CO74" s="12" t="n"/>
      <c r="CP74" s="11" t="n"/>
      <c r="CQ74" s="11" t="n"/>
      <c r="CR74" s="11" t="n"/>
      <c r="CS74" s="11" t="n"/>
      <c r="CT74" s="12" t="n"/>
      <c r="CU74" s="11" t="n"/>
      <c r="CV74" s="11" t="n"/>
      <c r="CW74" s="11" t="n"/>
      <c r="CX74" s="11" t="n"/>
      <c r="CY74" s="12" t="n"/>
    </row>
    <row r="75" hidden="1" outlineLevel="1">
      <c r="C75" s="50" t="inlineStr">
        <is>
          <t>%CDI</t>
        </is>
      </c>
      <c r="D75" s="11" t="n"/>
      <c r="E75" s="11" t="n"/>
      <c r="F75" s="11" t="n"/>
      <c r="G75" s="11" t="n"/>
      <c r="H75" s="12" t="n"/>
      <c r="I75" s="11" t="n"/>
      <c r="J75" s="11" t="n"/>
      <c r="K75" s="11" t="n"/>
      <c r="L75" s="11" t="n"/>
      <c r="M75" s="12" t="n"/>
      <c r="N75" s="11" t="n"/>
      <c r="O75" s="11" t="n"/>
      <c r="P75" s="11" t="n"/>
      <c r="Q75" s="11" t="n"/>
      <c r="R75" s="12" t="n"/>
      <c r="S75" s="11" t="n"/>
      <c r="T75" s="11" t="n"/>
      <c r="U75" s="11" t="n"/>
      <c r="V75" s="11" t="n"/>
      <c r="W75" s="12" t="n"/>
      <c r="X75" s="11" t="n"/>
      <c r="Y75" s="11" t="n"/>
      <c r="Z75" s="11" t="n"/>
      <c r="AA75" s="11" t="n"/>
      <c r="AB75" s="12" t="n"/>
      <c r="AC75" s="11" t="n"/>
      <c r="AD75" s="11" t="n"/>
      <c r="AE75" s="11" t="n"/>
      <c r="AF75" s="11" t="n"/>
      <c r="AG75" s="12" t="n"/>
      <c r="AH75" s="11" t="n"/>
      <c r="AI75" s="11" t="n"/>
      <c r="AJ75" s="11" t="n"/>
      <c r="AK75" s="11" t="n"/>
      <c r="AL75" s="12" t="n"/>
      <c r="AM75" s="11" t="n"/>
      <c r="AN75" s="11" t="n"/>
      <c r="AO75" s="11" t="n"/>
      <c r="AP75" s="11" t="n"/>
      <c r="AQ75" s="12" t="n"/>
      <c r="AR75" s="11" t="n"/>
      <c r="AS75" s="11" t="n"/>
      <c r="AT75" s="11" t="n"/>
      <c r="AU75" s="11" t="n"/>
      <c r="AV75" s="12" t="n"/>
      <c r="AW75" s="11" t="n"/>
      <c r="AX75" s="11" t="n"/>
      <c r="AY75" s="11" t="n"/>
      <c r="AZ75" s="11" t="n"/>
      <c r="BA75" s="12" t="n"/>
      <c r="BB75" s="11" t="n"/>
      <c r="BC75" s="11" t="n"/>
      <c r="BD75" s="11" t="n"/>
      <c r="BE75" s="11" t="n"/>
      <c r="BF75" s="12" t="n"/>
      <c r="BG75" s="11" t="n"/>
      <c r="BH75" s="11" t="n"/>
      <c r="BI75" s="11" t="n"/>
      <c r="BJ75" s="11" t="n"/>
      <c r="BK75" s="12" t="n"/>
      <c r="BL75" s="11" t="n"/>
      <c r="BM75" s="11" t="n"/>
      <c r="BN75" s="11" t="n"/>
      <c r="BO75" s="11" t="n"/>
      <c r="BP75" s="12" t="n"/>
      <c r="BQ75" s="11" t="n"/>
      <c r="BR75" s="11" t="n"/>
      <c r="BS75" s="11" t="n"/>
      <c r="BT75" s="11" t="n"/>
      <c r="BU75" s="12" t="n"/>
      <c r="BV75" s="11" t="n"/>
      <c r="BW75" s="11" t="n"/>
      <c r="BX75" s="11" t="n"/>
      <c r="BY75" s="11" t="n"/>
      <c r="BZ75" s="12" t="n"/>
      <c r="CA75" s="11" t="n"/>
      <c r="CB75" s="11" t="n"/>
      <c r="CC75" s="11" t="n"/>
      <c r="CD75" s="11" t="n"/>
      <c r="CE75" s="12" t="n"/>
      <c r="CF75" s="11" t="n"/>
      <c r="CG75" s="11" t="n"/>
      <c r="CH75" s="11" t="n"/>
      <c r="CI75" s="11" t="n"/>
      <c r="CJ75" s="12" t="n"/>
      <c r="CK75" s="11" t="n"/>
      <c r="CL75" s="11" t="n"/>
      <c r="CM75" s="11" t="n"/>
      <c r="CN75" s="11" t="n"/>
      <c r="CO75" s="12" t="n"/>
      <c r="CP75" s="11" t="n"/>
      <c r="CQ75" s="11" t="n"/>
      <c r="CR75" s="11" t="n"/>
      <c r="CS75" s="11" t="n"/>
      <c r="CT75" s="12" t="n"/>
      <c r="CU75" s="11" t="n"/>
      <c r="CV75" s="11" t="n"/>
      <c r="CW75" s="11" t="n"/>
      <c r="CX75" s="11" t="n"/>
      <c r="CY75" s="12" t="n"/>
    </row>
    <row r="76" hidden="1" outlineLevel="1">
      <c r="C76" s="57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RECEITA FINANCEIRA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DESPESA FINANCEIRA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OUTROS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Cash and equivalents (inc. investment securities)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Interest on cash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Average interest rate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% CDI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Current portion of long-term debt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Short term debt (Revolving credit facility)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Long term debt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Convertible debt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Total debt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Interest expense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Average interest rate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Stake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PRE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CDI+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Spread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PRE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CDI+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RECEITAS FINANCEIRAS - Rendimentos de aplicações financeiras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RECEITAS FINANCEIRAS - Variação cambial ativa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RECEITAS FINANCEIRAS - Atualização de contas a pagar por aquisição de empresas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RECEITAS FINANCEIRAS - Resultado positivo com instrumentos derivativos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RECEITAS FINANCEIRAS - Descontos obtidos de fornecedores por antecipação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RECEITAS FINANCEIRAS - Atualização monetária sobre Exclusão ICMS da base de PIS/COFINS (nota explicativa nº 7)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RECEITAS FINANCEIRAS - Outras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DESPESAS FINANCEIRAS - Encargos sobre empréstimos, financiamentos e debêntures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DESPESAS FINANCEIRAS - Variação cambial passiva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DESPESAS FINANCEIRAS - Resultado negativo com instrumentos derivativos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DESPESAS FINANCEIRAS - Juros sobre arrendamento - IFRS16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DESPESAS FINANCEIRAS - Despesas bancárias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DESPESAS FINANCEIRAS - Despesas com obtenção de empréstimos e financiamentos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inlineStr">
        <is>
          <t>DESPESAS FINANCEIRAS - Atualização de contas a pagar por aquisição de empresas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inlineStr">
        <is>
          <t>DESPESAS FINANCEIRAS - Outras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inlineStr">
        <is>
          <t>CHECK [EX IFRS-16]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collapsed="1">
      <c r="C122" s="14" t="inlineStr">
        <is>
          <t>Nonoperating Income / (Loss)</t>
        </is>
      </c>
      <c r="D122" s="46" t="n"/>
      <c r="E122" s="46" t="n"/>
      <c r="F122" s="46" t="n"/>
      <c r="G122" s="46" t="n"/>
      <c r="H122" s="12" t="n"/>
      <c r="I122" s="46">
        <f>'Inputs (2)'!D9</f>
        <v>141</v>
      </c>
      <c r="J122" s="46">
        <f>'Inputs (2)'!E9</f>
        <v>10</v>
      </c>
      <c r="K122" s="46">
        <f>'Inputs (2)'!F9</f>
        <v>29</v>
      </c>
      <c r="L122" s="46">
        <f>'Inputs (2)'!G9</f>
        <v>-44</v>
      </c>
      <c r="M122" s="12">
        <f>'Inputs (2)'!H9</f>
        <v>136</v>
      </c>
      <c r="N122" s="46">
        <f>'Inputs (2)'!I9</f>
        <v>5</v>
      </c>
      <c r="O122" s="46">
        <f>'Inputs (2)'!J9</f>
        <v>41</v>
      </c>
      <c r="P122" s="46">
        <f>'Inputs (2)'!K9</f>
        <v>77</v>
      </c>
      <c r="Q122" s="46">
        <f>'Inputs (2)'!L9</f>
        <v>96</v>
      </c>
      <c r="R122" s="12">
        <f>'Inputs (2)'!M9</f>
        <v>219</v>
      </c>
      <c r="S122" s="46">
        <f>'Inputs (2)'!N9</f>
        <v>135</v>
      </c>
      <c r="T122" s="46">
        <f>'Inputs (2)'!O9</f>
        <v>246</v>
      </c>
      <c r="U122" s="46">
        <f>'Inputs (2)'!P9</f>
        <v>168</v>
      </c>
      <c r="V122" s="46">
        <f>'Inputs (2)'!Q9</f>
        <v>555</v>
      </c>
      <c r="W122" s="12">
        <f>'Inputs (2)'!R9</f>
        <v>1104</v>
      </c>
      <c r="X122" s="46">
        <f>'Inputs (2)'!S9</f>
        <v>434</v>
      </c>
      <c r="Y122" s="46">
        <f>'Inputs (2)'!T9</f>
        <v>633</v>
      </c>
      <c r="Z122" s="46">
        <f>'Inputs (2)'!U9</f>
        <v>508</v>
      </c>
      <c r="AA122" s="46">
        <f>'Inputs (2)'!V9</f>
        <v>1244</v>
      </c>
      <c r="AB122" s="12">
        <f>'Inputs (2)'!W9</f>
        <v>2819</v>
      </c>
      <c r="AC122" s="46">
        <f>'Inputs (2)'!X9</f>
        <v>335</v>
      </c>
      <c r="AD122" s="46">
        <f>'Inputs (2)'!Y9</f>
        <v>2828</v>
      </c>
      <c r="AE122" s="46">
        <f>'Inputs (2)'!Z9</f>
        <v>1987</v>
      </c>
      <c r="AF122" s="46">
        <f>'Inputs (2)'!AA9</f>
        <v>6172</v>
      </c>
      <c r="AG122" s="12">
        <f>'Inputs (2)'!AB9</f>
        <v>11322</v>
      </c>
      <c r="AH122" s="12">
        <f>'Inputs (2)'!AC9</f>
        <v>16469</v>
      </c>
      <c r="AI122" s="12">
        <f>'Inputs (2)'!AD9</f>
        <v>8000</v>
      </c>
      <c r="AJ122" s="12">
        <f>AJ15*Control!$B$23</f>
        <v>9081.03318189295</v>
      </c>
      <c r="AK122" s="12">
        <f>AK15*Control!$B$23</f>
        <v>10852.6040694457</v>
      </c>
      <c r="AL122" s="12">
        <f>SUM(AH122:AK122)</f>
        <v>44402.6372513386</v>
      </c>
      <c r="AM122" s="12">
        <f>AM15*Control!$C$23</f>
        <v>13001.2371178506</v>
      </c>
      <c r="AN122" s="12">
        <f>AN15*Control!$C$23</f>
        <v>15327.9671226699</v>
      </c>
      <c r="AO122" s="12">
        <f>AO15*Control!$C$23</f>
        <v>15915.6053338825</v>
      </c>
      <c r="AP122" s="12">
        <f>AP15*Control!$C$23</f>
        <v>19020.4968701788</v>
      </c>
      <c r="AQ122" s="12">
        <f>SUM(AM122:AP122)</f>
        <v>63265.3064445819</v>
      </c>
      <c r="AR122" s="12">
        <f>AR15*Control!$D$23</f>
        <v>22721.2291111308</v>
      </c>
      <c r="AS122" s="12">
        <f>AS15*Control!$D$23</f>
        <v>26787.4702726473</v>
      </c>
      <c r="AT122" s="12">
        <f>AT15*Control!$D$23</f>
        <v>27814.4388842023</v>
      </c>
      <c r="AU122" s="12">
        <f>AU15*Control!$D$23</f>
        <v>33240.6111262683</v>
      </c>
      <c r="AV122" s="12">
        <f>SUM(AR122:AU122)</f>
        <v>110563.749394249</v>
      </c>
      <c r="AW122" s="12">
        <f>AW15*Control!$E$23</f>
        <v>39594.4806804035</v>
      </c>
      <c r="AX122" s="12">
        <f>AX15*Control!$E$23</f>
        <v>46680.3960736275</v>
      </c>
      <c r="AY122" s="12">
        <f>AY15*Control!$E$23</f>
        <v>48470.0126762643</v>
      </c>
      <c r="AZ122" s="12">
        <f>AZ15*Control!$E$23</f>
        <v>57925.771911656</v>
      </c>
      <c r="BA122" s="12">
        <f>SUM(AW122:AZ122)</f>
        <v>192670.661341951</v>
      </c>
      <c r="BB122" s="12">
        <f>BB15*Control!$F$23</f>
        <v>68800.1831401661</v>
      </c>
      <c r="BC122" s="12">
        <f>BC15*Control!$F$23</f>
        <v>81112.8153149534</v>
      </c>
      <c r="BD122" s="12">
        <f>BD15*Control!$F$23</f>
        <v>84222.4898932346</v>
      </c>
      <c r="BE122" s="12">
        <f>BE15*Control!$F$23</f>
        <v>100653.011419086</v>
      </c>
      <c r="BF122" s="12">
        <f>SUM(BB122:BE122)</f>
        <v>334788.49976744</v>
      </c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0" t="inlineStr">
        <is>
          <t>Resultado Não Recorrente</t>
        </is>
      </c>
      <c r="D124" s="11" t="n"/>
      <c r="E124" s="11" t="n"/>
      <c r="F124" s="11" t="n"/>
      <c r="G124" s="11" t="n"/>
      <c r="H124" s="12" t="n"/>
      <c r="I124" s="11" t="n"/>
      <c r="J124" s="11" t="n"/>
      <c r="K124" s="11" t="n"/>
      <c r="L124" s="11" t="n"/>
      <c r="M124" s="12" t="n"/>
      <c r="N124" s="11" t="n"/>
      <c r="O124" s="11" t="n"/>
      <c r="P124" s="11" t="n"/>
      <c r="Q124" s="11" t="n"/>
      <c r="R124" s="12" t="n"/>
      <c r="S124" s="11" t="n"/>
      <c r="T124" s="11" t="n"/>
      <c r="U124" s="11" t="n"/>
      <c r="V124" s="11" t="n"/>
      <c r="W124" s="12" t="n"/>
      <c r="X124" s="11" t="n"/>
      <c r="Y124" s="11" t="n"/>
      <c r="Z124" s="11" t="n"/>
      <c r="AA124" s="11" t="n"/>
      <c r="AB124" s="12" t="n"/>
      <c r="AC124" s="11" t="n"/>
      <c r="AD124" s="11" t="n"/>
      <c r="AE124" s="11" t="n"/>
      <c r="AF124" s="11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50" t="inlineStr">
        <is>
          <t>Plano de Opção de Compra de Ações</t>
        </is>
      </c>
      <c r="D125" s="11" t="n"/>
      <c r="E125" s="11" t="n"/>
      <c r="F125" s="11" t="n"/>
      <c r="G125" s="11" t="n"/>
      <c r="H125" s="12" t="n"/>
      <c r="I125" s="11" t="n"/>
      <c r="J125" s="11" t="n"/>
      <c r="K125" s="11" t="n"/>
      <c r="L125" s="11" t="n"/>
      <c r="M125" s="12" t="n"/>
      <c r="N125" s="11" t="n"/>
      <c r="O125" s="11" t="n"/>
      <c r="P125" s="11" t="n"/>
      <c r="Q125" s="11" t="n"/>
      <c r="R125" s="12" t="n"/>
      <c r="S125" s="11" t="n"/>
      <c r="T125" s="11" t="n"/>
      <c r="U125" s="11" t="n"/>
      <c r="V125" s="11" t="n"/>
      <c r="W125" s="12" t="n"/>
      <c r="X125" s="11" t="n"/>
      <c r="Y125" s="11" t="n"/>
      <c r="Z125" s="11" t="n"/>
      <c r="AA125" s="11" t="n"/>
      <c r="AB125" s="12" t="n"/>
      <c r="AC125" s="11" t="n"/>
      <c r="AD125" s="11" t="n"/>
      <c r="AE125" s="11" t="n"/>
      <c r="AF125" s="11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0" t="inlineStr">
        <is>
          <t>Baixa Imobilizado</t>
        </is>
      </c>
      <c r="D126" s="11" t="n"/>
      <c r="E126" s="11" t="n"/>
      <c r="F126" s="11" t="n"/>
      <c r="G126" s="11" t="n"/>
      <c r="H126" s="12" t="n"/>
      <c r="I126" s="11" t="n"/>
      <c r="J126" s="11" t="n"/>
      <c r="K126" s="11" t="n"/>
      <c r="L126" s="11" t="n"/>
      <c r="M126" s="12" t="n"/>
      <c r="N126" s="11" t="n"/>
      <c r="O126" s="11" t="n"/>
      <c r="P126" s="11" t="n"/>
      <c r="Q126" s="11" t="n"/>
      <c r="R126" s="12" t="n"/>
      <c r="S126" s="11" t="n"/>
      <c r="T126" s="11" t="n"/>
      <c r="U126" s="11" t="n"/>
      <c r="V126" s="11" t="n"/>
      <c r="W126" s="12" t="n"/>
      <c r="X126" s="11" t="n"/>
      <c r="Y126" s="11" t="n"/>
      <c r="Z126" s="11" t="n"/>
      <c r="AA126" s="11" t="n"/>
      <c r="AB126" s="12" t="n"/>
      <c r="AC126" s="11" t="n"/>
      <c r="AD126" s="11" t="n"/>
      <c r="AE126" s="11" t="n"/>
      <c r="AF126" s="11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hidden="1" outlineLevel="1">
      <c r="C127" s="57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7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collapsed="1" customFormat="1" s="32">
      <c r="A129" s="30" t="n"/>
      <c r="B129" s="3" t="n"/>
      <c r="C129" s="33" t="inlineStr">
        <is>
          <t>Pretax Income - EBT</t>
        </is>
      </c>
      <c r="D129" s="35" t="n"/>
      <c r="E129" s="35" t="n"/>
      <c r="F129" s="35" t="n"/>
      <c r="G129" s="35" t="n"/>
      <c r="H129" s="35" t="n"/>
      <c r="I129" s="35">
        <f>SUM(I72,I73,I122)</f>
        <v>2044</v>
      </c>
      <c r="J129" s="35">
        <f>SUM(J72,J73,J122)</f>
        <v>2394</v>
      </c>
      <c r="K129" s="35">
        <f>SUM(K72,K73,K122)</f>
        <v>2638</v>
      </c>
      <c r="L129" s="35">
        <f>SUM(L72,L73,L122)</f>
        <v>2865</v>
      </c>
      <c r="M129" s="35">
        <f>SUM(I129:L129)</f>
        <v>9941</v>
      </c>
      <c r="N129" s="35">
        <f>SUM(N72,N73,N122)</f>
        <v>1805</v>
      </c>
      <c r="O129" s="35">
        <f>SUM(O72,O73,O122)</f>
        <v>475</v>
      </c>
      <c r="P129" s="35">
        <f>SUM(P72,P73,P122)</f>
        <v>613</v>
      </c>
      <c r="Q129" s="35">
        <f>SUM(Q72,Q73,Q122)</f>
        <v>1288</v>
      </c>
      <c r="R129" s="35">
        <f>SUM(N129:Q129)</f>
        <v>4181</v>
      </c>
      <c r="S129" s="35">
        <f>SUM(S72,S73,S122)</f>
        <v>2209</v>
      </c>
      <c r="T129" s="35">
        <f>SUM(T72,T73,T122)</f>
        <v>6981</v>
      </c>
      <c r="U129" s="35">
        <f>SUM(U72,U73,U122)</f>
        <v>10522</v>
      </c>
      <c r="V129" s="35">
        <f>SUM(V72,V73,V122)</f>
        <v>14106</v>
      </c>
      <c r="W129" s="35">
        <f>SUM(S129:V129)</f>
        <v>33818</v>
      </c>
      <c r="X129" s="35">
        <f>SUM(X72,X73,X122)</f>
        <v>17279</v>
      </c>
      <c r="Y129" s="35">
        <f>SUM(Y72,Y73,Y122)</f>
        <v>19214</v>
      </c>
      <c r="Z129" s="35">
        <f>SUM(Z72,Z73,Z122)</f>
        <v>22316</v>
      </c>
      <c r="AA129" s="35">
        <f>SUM(AA72,AA73,AA122)</f>
        <v>25217</v>
      </c>
      <c r="AB129" s="35">
        <f>SUM(X129:AA129)</f>
        <v>84026</v>
      </c>
      <c r="AC129" s="35">
        <f>SUM(AC72,AC73,AC122)</f>
        <v>21910</v>
      </c>
      <c r="AD129" s="35">
        <f>SUM(AD72,AD73,AD122)</f>
        <v>31206</v>
      </c>
      <c r="AE129" s="35">
        <f>SUM(AE72,AE73,AE122)</f>
        <v>37936</v>
      </c>
      <c r="AF129" s="35">
        <f>SUM(AF72,AF73,AF122)</f>
        <v>50398</v>
      </c>
      <c r="AG129" s="35">
        <f>SUM(AC129:AF129)</f>
        <v>141450</v>
      </c>
      <c r="AH129" s="35">
        <f>SUM(AH72,AH73,AH122)</f>
        <v>69903</v>
      </c>
      <c r="AI129" s="35">
        <f>SUM(AI72,AI73,AI122)</f>
        <v>71507</v>
      </c>
      <c r="AJ129" s="35">
        <f>SUM(AJ72,AJ73,AJ122:AJ127)</f>
        <v>70688.3385318071</v>
      </c>
      <c r="AK129" s="35">
        <f>SUM(AK72,AK73,AK122:AK127)</f>
        <v>84478.5538216403</v>
      </c>
      <c r="AL129" s="35">
        <f>SUM(AH129:AK129)</f>
        <v>296576.892353447</v>
      </c>
      <c r="AM129" s="35">
        <f>SUM(AM72,AM73,AM122:AM127)</f>
        <v>101203.886420262</v>
      </c>
      <c r="AN129" s="35">
        <f>SUM(AN72,AN73,AN122:AN127)</f>
        <v>119315.556640863</v>
      </c>
      <c r="AO129" s="35">
        <f>SUM(AO72,AO73,AO122:AO127)</f>
        <v>123889.834476478</v>
      </c>
      <c r="AP129" s="35">
        <f>SUM(AP72,AP73,AP122:AP127)</f>
        <v>148058.849127794</v>
      </c>
      <c r="AQ129" s="35">
        <f>SUM(AM129:AP129)</f>
        <v>492468.126665396</v>
      </c>
      <c r="AR129" s="35">
        <f>SUM(AR72,AR73,AR122:AR127)</f>
        <v>176865.991247437</v>
      </c>
      <c r="AS129" s="35">
        <f>SUM(AS72,AS73,AS122:AS127)</f>
        <v>208518.318248112</v>
      </c>
      <c r="AT129" s="35">
        <f>SUM(AT72,AT73,AT122:AT127)</f>
        <v>216512.420176942</v>
      </c>
      <c r="AU129" s="35">
        <f>SUM(AU72,AU73,AU122:AU127)</f>
        <v>258750.686759192</v>
      </c>
      <c r="AV129" s="35">
        <f>SUM(AR129:AU129)</f>
        <v>860647.416431683</v>
      </c>
      <c r="AW129" s="35">
        <f>SUM(AW72,AW73,AW122:AW127)</f>
        <v>308210.31024402</v>
      </c>
      <c r="AX129" s="35">
        <f>SUM(AX72,AX73,AX122:AX127)</f>
        <v>363368.305605462</v>
      </c>
      <c r="AY129" s="35">
        <f>SUM(AY72,AY73,AY122:AY127)</f>
        <v>377298.991873802</v>
      </c>
      <c r="AZ129" s="35">
        <f>SUM(AZ72,AZ73,AZ122:AZ127)</f>
        <v>450904.263049267</v>
      </c>
      <c r="BA129" s="35">
        <f>SUM(AW129:AZ129)</f>
        <v>1499781.87077255</v>
      </c>
      <c r="BB129" s="35">
        <f>SUM(BB72,BB73,BB122:BB127)</f>
        <v>535552.567582251</v>
      </c>
      <c r="BC129" s="35">
        <f>SUM(BC72,BC73,BC122:BC127)</f>
        <v>631396.233600831</v>
      </c>
      <c r="BD129" s="35">
        <f>SUM(BD72,BD73,BD122:BD127)</f>
        <v>655602.480281176</v>
      </c>
      <c r="BE129" s="35">
        <f>SUM(BE72,BE73,BE122:BE127)</f>
        <v>783500.511772719</v>
      </c>
      <c r="BF129" s="35">
        <f>SUM(BB129:BE129)</f>
        <v>2606051.79323698</v>
      </c>
      <c r="BG129" s="35" t="n"/>
      <c r="BH129" s="35" t="n"/>
      <c r="BI129" s="35" t="n"/>
      <c r="BJ129" s="35" t="n"/>
      <c r="BK129" s="35" t="n"/>
      <c r="BL129" s="35" t="n"/>
      <c r="BM129" s="35" t="n"/>
      <c r="BN129" s="35" t="n"/>
      <c r="BO129" s="35" t="n"/>
      <c r="BP129" s="35" t="n"/>
      <c r="BQ129" s="35" t="n"/>
      <c r="BR129" s="35" t="n"/>
      <c r="BS129" s="35" t="n"/>
      <c r="BT129" s="35" t="n"/>
      <c r="BU129" s="35" t="n"/>
      <c r="BV129" s="35" t="n"/>
      <c r="BW129" s="35" t="n"/>
      <c r="BX129" s="35" t="n"/>
      <c r="BY129" s="35" t="n"/>
      <c r="BZ129" s="35" t="n"/>
      <c r="CA129" s="35" t="n"/>
      <c r="CB129" s="35" t="n"/>
      <c r="CC129" s="35" t="n"/>
      <c r="CD129" s="35" t="n"/>
      <c r="CE129" s="35" t="n"/>
      <c r="CF129" s="35" t="n"/>
      <c r="CG129" s="35" t="n"/>
      <c r="CH129" s="35" t="n"/>
      <c r="CI129" s="35" t="n"/>
      <c r="CJ129" s="35" t="n"/>
      <c r="CK129" s="35" t="n"/>
      <c r="CL129" s="35" t="n"/>
      <c r="CM129" s="35" t="n"/>
      <c r="CN129" s="35" t="n"/>
      <c r="CO129" s="35" t="n"/>
      <c r="CP129" s="35" t="n"/>
      <c r="CQ129" s="35" t="n"/>
      <c r="CR129" s="35" t="n"/>
      <c r="CS129" s="35" t="n"/>
      <c r="CT129" s="35" t="n"/>
      <c r="CU129" s="35" t="n"/>
      <c r="CV129" s="35" t="n"/>
      <c r="CW129" s="35" t="n"/>
      <c r="CX129" s="35" t="n"/>
      <c r="CY129" s="35" t="n"/>
    </row>
    <row r="130">
      <c r="C130" s="14" t="inlineStr">
        <is>
          <t>Taxes</t>
        </is>
      </c>
      <c r="D130" s="46" t="n"/>
      <c r="E130" s="46" t="n"/>
      <c r="F130" s="46" t="n"/>
      <c r="G130" s="46" t="n"/>
      <c r="H130" s="12" t="n"/>
      <c r="I130" s="46">
        <f>'Inputs (2)'!D10</f>
        <v>-132</v>
      </c>
      <c r="J130" s="46">
        <f>'Inputs (2)'!E10</f>
        <v>-20</v>
      </c>
      <c r="K130" s="46">
        <f>'Inputs (2)'!F10</f>
        <v>-174</v>
      </c>
      <c r="L130" s="46">
        <f>'Inputs (2)'!G10</f>
        <v>138</v>
      </c>
      <c r="M130" s="12">
        <f>'Inputs (2)'!H10</f>
        <v>-188</v>
      </c>
      <c r="N130" s="46">
        <f>'Inputs (2)'!I10</f>
        <v>-187</v>
      </c>
      <c r="O130" s="46">
        <f>'Inputs (2)'!J10</f>
        <v>181</v>
      </c>
      <c r="P130" s="46">
        <f>'Inputs (2)'!K10</f>
        <v>67</v>
      </c>
      <c r="Q130" s="46">
        <f>'Inputs (2)'!L10</f>
        <v>126</v>
      </c>
      <c r="R130" s="12">
        <f>'Inputs (2)'!M10</f>
        <v>187</v>
      </c>
      <c r="S130" s="46">
        <f>'Inputs (2)'!N10</f>
        <v>-166</v>
      </c>
      <c r="T130" s="46">
        <f>'Inputs (2)'!O10</f>
        <v>-793</v>
      </c>
      <c r="U130" s="46">
        <f>'Inputs (2)'!P10</f>
        <v>-1279</v>
      </c>
      <c r="V130" s="46">
        <f>'Inputs (2)'!Q10</f>
        <v>-1821</v>
      </c>
      <c r="W130" s="12">
        <f>'Inputs (2)'!R10</f>
        <v>-4059</v>
      </c>
      <c r="X130" s="46">
        <f>'Inputs (2)'!S10</f>
        <v>-2398</v>
      </c>
      <c r="Y130" s="46">
        <f>'Inputs (2)'!T10</f>
        <v>-2615</v>
      </c>
      <c r="Z130" s="46">
        <f>'Inputs (2)'!U10</f>
        <v>-3007</v>
      </c>
      <c r="AA130" s="46">
        <f>'Inputs (2)'!V10</f>
        <v>-3126</v>
      </c>
      <c r="AB130" s="12">
        <f>'Inputs (2)'!W10</f>
        <v>-11146</v>
      </c>
      <c r="AC130" s="46">
        <f>'Inputs (2)'!X10</f>
        <v>-3135</v>
      </c>
      <c r="AD130" s="46">
        <f>'Inputs (2)'!Y10</f>
        <v>-4784</v>
      </c>
      <c r="AE130" s="46">
        <f>'Inputs (2)'!Z10</f>
        <v>-6026</v>
      </c>
      <c r="AF130" s="46">
        <f>'Inputs (2)'!AA10</f>
        <v>-7438</v>
      </c>
      <c r="AG130" s="12">
        <f>'Inputs (2)'!AB10</f>
        <v>-21383</v>
      </c>
      <c r="AH130" s="12">
        <f>'Inputs (2)'!AC10</f>
        <v>-11582</v>
      </c>
      <c r="AI130" s="12">
        <f>'Inputs (2)'!AD10</f>
        <v>-11819</v>
      </c>
      <c r="AJ130" s="12">
        <f>-AJ129*AJ131</f>
        <v>-11001.3693382725</v>
      </c>
      <c r="AK130" s="12">
        <f>-AK129*AK131</f>
        <v>-13147.568482414</v>
      </c>
      <c r="AL130" s="12">
        <f>SUM(AH130:AK130)</f>
        <v>-47549.9378206865</v>
      </c>
      <c r="AM130" s="12">
        <f>-AM129*AM131</f>
        <v>-15750.5658797865</v>
      </c>
      <c r="AN130" s="12">
        <f>-AN129*AN131</f>
        <v>-18569.3218099484</v>
      </c>
      <c r="AO130" s="12">
        <f>-AO129*AO131</f>
        <v>-19281.2259368623</v>
      </c>
      <c r="AP130" s="12">
        <f>-AP129*AP131</f>
        <v>-23042.6986527842</v>
      </c>
      <c r="AQ130" s="12">
        <f>SUM(AM130:AP130)</f>
        <v>-76643.8122793814</v>
      </c>
      <c r="AR130" s="12">
        <f>-AR129*AR131</f>
        <v>-27526.0125433165</v>
      </c>
      <c r="AS130" s="12">
        <f>-AS129*AS131</f>
        <v>-32452.1283211475</v>
      </c>
      <c r="AT130" s="12">
        <f>-AT129*AT131</f>
        <v>-33696.266600155</v>
      </c>
      <c r="AU130" s="12">
        <f>-AU129*AU131</f>
        <v>-40269.8936018798</v>
      </c>
      <c r="AV130" s="12">
        <f>SUM(AR130:AU130)</f>
        <v>-133944.301066499</v>
      </c>
      <c r="AW130" s="12">
        <f>-AW129*AW131</f>
        <v>-47967.3950086167</v>
      </c>
      <c r="AX130" s="12">
        <f>-AX129*AX131</f>
        <v>-56551.745575251</v>
      </c>
      <c r="AY130" s="12">
        <f>-AY129*AY131</f>
        <v>-58719.8065023677</v>
      </c>
      <c r="AZ130" s="12">
        <f>-AZ129*AZ131</f>
        <v>-70175.1439775954</v>
      </c>
      <c r="BA130" s="12">
        <f>SUM(AW130:AZ130)</f>
        <v>-233414.091063831</v>
      </c>
      <c r="BB130" s="12">
        <f>-BB129*BB131</f>
        <v>-83349.1311071259</v>
      </c>
      <c r="BC130" s="12">
        <f>-BC129*BC131</f>
        <v>-98265.4750261442</v>
      </c>
      <c r="BD130" s="12">
        <f>-BD129*BD131</f>
        <v>-102032.742238175</v>
      </c>
      <c r="BE130" s="12">
        <f>-BE129*BE131</f>
        <v>-121937.771996985</v>
      </c>
      <c r="BF130" s="12">
        <f>SUM(BB130:BE130)</f>
        <v>-405585.120368431</v>
      </c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7" t="inlineStr">
        <is>
          <t>% ETR</t>
        </is>
      </c>
      <c r="D131" s="53" t="n"/>
      <c r="E131" s="53" t="n"/>
      <c r="F131" s="53" t="n"/>
      <c r="G131" s="53" t="n"/>
      <c r="H131" s="53" t="n"/>
      <c r="I131" s="53">
        <f>IFERROR(-I130/I129,"")</f>
        <v>0.0645792563600783</v>
      </c>
      <c r="J131" s="53">
        <f>IFERROR(-J130/J129,"")</f>
        <v>0.00835421888053467</v>
      </c>
      <c r="K131" s="53">
        <f>IFERROR(-K130/K129,"")</f>
        <v>0.065959059893859</v>
      </c>
      <c r="L131" s="53">
        <f>IFERROR(-L130/L129,"")</f>
        <v>-0.0481675392670157</v>
      </c>
      <c r="M131" s="53">
        <f>IFERROR(-M130/M129,"")</f>
        <v>0.018911578312041</v>
      </c>
      <c r="N131" s="53">
        <f>IFERROR(-N130/N129,"")</f>
        <v>0.103601108033241</v>
      </c>
      <c r="O131" s="53">
        <f>IFERROR(-O130/O129,"")</f>
        <v>-0.381052631578947</v>
      </c>
      <c r="P131" s="53">
        <f>IFERROR(-P130/P129,"")</f>
        <v>-0.109298531810767</v>
      </c>
      <c r="Q131" s="53">
        <f>IFERROR(-Q130/Q129,"")</f>
        <v>-0.0978260869565217</v>
      </c>
      <c r="R131" s="53">
        <f>IFERROR(-R130/R129,"")</f>
        <v>-0.0447261420712748</v>
      </c>
      <c r="S131" s="53">
        <f>IFERROR(-S130/S129,"")</f>
        <v>0.0751471253961068</v>
      </c>
      <c r="T131" s="53">
        <f>IFERROR(-T130/T129,"")</f>
        <v>0.113594040968343</v>
      </c>
      <c r="U131" s="53">
        <f>IFERROR(-U130/U129,"")</f>
        <v>0.121554837483368</v>
      </c>
      <c r="V131" s="53">
        <f>IFERROR(-V130/V129,"")</f>
        <v>0.129094002552105</v>
      </c>
      <c r="W131" s="53">
        <f>IFERROR(-W130/W129,"")</f>
        <v>0.12002483884322</v>
      </c>
      <c r="X131" s="53">
        <f>IFERROR(-X130/X129,"")</f>
        <v>0.138781179466404</v>
      </c>
      <c r="Y131" s="53">
        <f>IFERROR(-Y130/Y129,"")</f>
        <v>0.136098678047257</v>
      </c>
      <c r="Z131" s="53">
        <f>IFERROR(-Z130/Z129,"")</f>
        <v>0.134746370317261</v>
      </c>
      <c r="AA131" s="53">
        <f>IFERROR(-AA130/AA129,"")</f>
        <v>0.123963992544712</v>
      </c>
      <c r="AB131" s="53">
        <f>IFERROR(-AB130/AB129,"")</f>
        <v>0.132649418037274</v>
      </c>
      <c r="AC131" s="53">
        <f>IFERROR(-AC130/AC129,"")</f>
        <v>0.143085349155637</v>
      </c>
      <c r="AD131" s="53">
        <f>IFERROR(-AD130/AD129,"")</f>
        <v>0.153303851823367</v>
      </c>
      <c r="AE131" s="53">
        <f>IFERROR(-AE130/AE129,"")</f>
        <v>0.158846478279207</v>
      </c>
      <c r="AF131" s="41">
        <f>IFERROR(-AF130/AF129,"")</f>
        <v>0.147585221635779</v>
      </c>
      <c r="AG131" s="53">
        <f>IFERROR(-AG130/AG129,"")</f>
        <v>0.151170024743726</v>
      </c>
      <c r="AH131" s="41">
        <f>IFERROR(-AH130/AH129,"")</f>
        <v>0.165686737336023</v>
      </c>
      <c r="AI131" s="41">
        <f>IFERROR(-AI130/AI129,"")</f>
        <v>0.165284517599676</v>
      </c>
      <c r="AJ131" s="41">
        <f>Control!$B$22</f>
        <v>0.155632025971615</v>
      </c>
      <c r="AK131" s="41">
        <f>Control!$B$22</f>
        <v>0.155632025971615</v>
      </c>
      <c r="AL131" s="53">
        <f>IFERROR(-AL130/AL129,"")</f>
        <v>0.160329206511539</v>
      </c>
      <c r="AM131" s="41">
        <f>Control!$C$22</f>
        <v>0.155632025971615</v>
      </c>
      <c r="AN131" s="41">
        <f>Control!$C$22</f>
        <v>0.155632025971615</v>
      </c>
      <c r="AO131" s="41">
        <f>Control!$C$22</f>
        <v>0.155632025971615</v>
      </c>
      <c r="AP131" s="41">
        <f>Control!$C$22</f>
        <v>0.155632025971615</v>
      </c>
      <c r="AQ131" s="53">
        <f>IFERROR(-AQ130/AQ129,"")</f>
        <v>0.155632025971615</v>
      </c>
      <c r="AR131" s="41">
        <f>Control!$D$22</f>
        <v>0.155632025971615</v>
      </c>
      <c r="AS131" s="41">
        <f>Control!$D$22</f>
        <v>0.155632025971615</v>
      </c>
      <c r="AT131" s="41">
        <f>Control!$D$22</f>
        <v>0.155632025971615</v>
      </c>
      <c r="AU131" s="41">
        <f>Control!$D$22</f>
        <v>0.155632025971615</v>
      </c>
      <c r="AV131" s="53">
        <f>IFERROR(-AV130/AV129,"")</f>
        <v>0.155632025971615</v>
      </c>
      <c r="AW131" s="41">
        <f>Control!$E$22</f>
        <v>0.155632025971615</v>
      </c>
      <c r="AX131" s="41">
        <f>Control!$E$22</f>
        <v>0.155632025971615</v>
      </c>
      <c r="AY131" s="41">
        <f>Control!$E$22</f>
        <v>0.155632025971615</v>
      </c>
      <c r="AZ131" s="41">
        <f>Control!$E$22</f>
        <v>0.155632025971615</v>
      </c>
      <c r="BA131" s="53">
        <f>IFERROR(-BA130/BA129,"")</f>
        <v>0.155632025971615</v>
      </c>
      <c r="BB131" s="41">
        <f>Control!$F$22</f>
        <v>0.155632025971615</v>
      </c>
      <c r="BC131" s="41">
        <f>Control!$F$22</f>
        <v>0.155632025971615</v>
      </c>
      <c r="BD131" s="41">
        <f>Control!$F$22</f>
        <v>0.155632025971615</v>
      </c>
      <c r="BE131" s="41">
        <f>Control!$F$22</f>
        <v>0.155632025971615</v>
      </c>
      <c r="BF131" s="53">
        <f>IFERROR(-BF130/BF129,"")</f>
        <v>0.155632025971615</v>
      </c>
      <c r="BG131" s="41" t="n"/>
      <c r="BH131" s="41" t="n"/>
      <c r="BI131" s="41" t="n"/>
      <c r="BJ131" s="41" t="n"/>
      <c r="BK131" s="53" t="n"/>
      <c r="BL131" s="41" t="n"/>
      <c r="BM131" s="41" t="n"/>
      <c r="BN131" s="41" t="n"/>
      <c r="BO131" s="41" t="n"/>
      <c r="BP131" s="53" t="n"/>
      <c r="BQ131" s="41" t="n"/>
      <c r="BR131" s="41" t="n"/>
      <c r="BS131" s="41" t="n"/>
      <c r="BT131" s="41" t="n"/>
      <c r="BU131" s="53" t="n"/>
      <c r="BV131" s="41" t="n"/>
      <c r="BW131" s="41" t="n"/>
      <c r="BX131" s="41" t="n"/>
      <c r="BY131" s="41" t="n"/>
      <c r="BZ131" s="53" t="n"/>
      <c r="CA131" s="41" t="n"/>
      <c r="CB131" s="41" t="n"/>
      <c r="CC131" s="41" t="n"/>
      <c r="CD131" s="41" t="n"/>
      <c r="CE131" s="53" t="n"/>
      <c r="CF131" s="41" t="n"/>
      <c r="CG131" s="41" t="n"/>
      <c r="CH131" s="41" t="n"/>
      <c r="CI131" s="41" t="n"/>
      <c r="CJ131" s="53" t="n"/>
      <c r="CK131" s="41" t="n"/>
      <c r="CL131" s="41" t="n"/>
      <c r="CM131" s="41" t="n"/>
      <c r="CN131" s="41" t="n"/>
      <c r="CO131" s="53" t="n"/>
      <c r="CP131" s="41" t="n"/>
      <c r="CQ131" s="41" t="n"/>
      <c r="CR131" s="41" t="n"/>
      <c r="CS131" s="41" t="n"/>
      <c r="CT131" s="53" t="n"/>
      <c r="CU131" s="41" t="n"/>
      <c r="CV131" s="41" t="n"/>
      <c r="CW131" s="41" t="n"/>
      <c r="CX131" s="41" t="n"/>
      <c r="CY131" s="53" t="n"/>
    </row>
    <row r="132" hidden="1" outlineLevel="1">
      <c r="C132" s="57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hidden="1" outlineLevel="1">
      <c r="C133" s="57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collapsed="1">
      <c r="C134" s="14" t="inlineStr">
        <is>
          <t>Equity in Income of Affiliates, after tax (enter as +)</t>
        </is>
      </c>
      <c r="D134" s="46" t="n"/>
      <c r="E134" s="46" t="n"/>
      <c r="F134" s="46" t="n"/>
      <c r="G134" s="46" t="n"/>
      <c r="H134" s="12" t="n"/>
      <c r="I134" s="46">
        <f>'Inputs (2)'!D11</f>
        <v>0</v>
      </c>
      <c r="J134" s="46">
        <f>'Inputs (2)'!E11</f>
        <v>0</v>
      </c>
      <c r="K134" s="46">
        <f>'Inputs (2)'!F11</f>
        <v>0</v>
      </c>
      <c r="L134" s="46">
        <f>'Inputs (2)'!G11</f>
        <v>0</v>
      </c>
      <c r="M134" s="12">
        <f>'Inputs (2)'!H11</f>
        <v>0</v>
      </c>
      <c r="N134" s="46">
        <f>'Inputs (2)'!I11</f>
        <v>0</v>
      </c>
      <c r="O134" s="46">
        <f>'Inputs (2)'!J11</f>
        <v>0</v>
      </c>
      <c r="P134" s="46">
        <f>'Inputs (2)'!K11</f>
        <v>0</v>
      </c>
      <c r="Q134" s="46">
        <f>'Inputs (2)'!L11</f>
        <v>0</v>
      </c>
      <c r="R134" s="12">
        <f>'Inputs (2)'!M11</f>
        <v>0</v>
      </c>
      <c r="S134" s="46">
        <f>'Inputs (2)'!N11</f>
        <v>0</v>
      </c>
      <c r="T134" s="46">
        <f>'Inputs (2)'!O11</f>
        <v>0</v>
      </c>
      <c r="U134" s="46">
        <f>'Inputs (2)'!P11</f>
        <v>0</v>
      </c>
      <c r="V134" s="46">
        <f>'Inputs (2)'!Q11</f>
        <v>0</v>
      </c>
      <c r="W134" s="12">
        <f>'Inputs (2)'!R11</f>
        <v>0</v>
      </c>
      <c r="X134" s="46">
        <f>'Inputs (2)'!S11</f>
        <v>0</v>
      </c>
      <c r="Y134" s="46">
        <f>'Inputs (2)'!T11</f>
        <v>0</v>
      </c>
      <c r="Z134" s="46">
        <f>'Inputs (2)'!U11</f>
        <v>0</v>
      </c>
      <c r="AA134" s="46">
        <f>'Inputs (2)'!V11</f>
        <v>0</v>
      </c>
      <c r="AB134" s="12">
        <f>'Inputs (2)'!W11</f>
        <v>0</v>
      </c>
      <c r="AC134" s="46">
        <f>'Inputs (2)'!X11</f>
        <v>0</v>
      </c>
      <c r="AD134" s="46">
        <f>'Inputs (2)'!Y11</f>
        <v>0</v>
      </c>
      <c r="AE134" s="46">
        <f>'Inputs (2)'!Z11</f>
        <v>0</v>
      </c>
      <c r="AF134" s="46">
        <f>'Inputs (2)'!AA11</f>
        <v>0</v>
      </c>
      <c r="AG134" s="12">
        <f>'Inputs (2)'!AB11</f>
        <v>0</v>
      </c>
      <c r="AH134" s="12">
        <f>'Inputs (2)'!AC11</f>
        <v>0</v>
      </c>
      <c r="AI134" s="12">
        <f>'Inputs (2)'!AD11</f>
        <v>0</v>
      </c>
      <c r="AJ134" s="12">
        <f>0</f>
        <v>0</v>
      </c>
      <c r="AK134" s="12">
        <f>0</f>
        <v>0</v>
      </c>
      <c r="AL134" s="12">
        <f>SUM(AH134:AK134)</f>
        <v>0</v>
      </c>
      <c r="AM134" s="12">
        <f>0</f>
        <v>0</v>
      </c>
      <c r="AN134" s="12">
        <f>0</f>
        <v>0</v>
      </c>
      <c r="AO134" s="12">
        <f>0</f>
        <v>0</v>
      </c>
      <c r="AP134" s="12">
        <f>0</f>
        <v>0</v>
      </c>
      <c r="AQ134" s="12">
        <f>SUM(AM134:AP134)</f>
        <v>0</v>
      </c>
      <c r="AR134" s="12">
        <f>0</f>
        <v>0</v>
      </c>
      <c r="AS134" s="12">
        <f>0</f>
        <v>0</v>
      </c>
      <c r="AT134" s="12">
        <f>0</f>
        <v>0</v>
      </c>
      <c r="AU134" s="12">
        <f>0</f>
        <v>0</v>
      </c>
      <c r="AV134" s="12">
        <f>SUM(AR134:AU134)</f>
        <v>0</v>
      </c>
      <c r="AW134" s="12">
        <f>0</f>
        <v>0</v>
      </c>
      <c r="AX134" s="12">
        <f>0</f>
        <v>0</v>
      </c>
      <c r="AY134" s="12">
        <f>0</f>
        <v>0</v>
      </c>
      <c r="AZ134" s="12">
        <f>0</f>
        <v>0</v>
      </c>
      <c r="BA134" s="12">
        <f>SUM(AW134:AZ134)</f>
        <v>0</v>
      </c>
      <c r="BB134" s="12">
        <f>0</f>
        <v>0</v>
      </c>
      <c r="BC134" s="12">
        <f>0</f>
        <v>0</v>
      </c>
      <c r="BD134" s="12">
        <f>0</f>
        <v>0</v>
      </c>
      <c r="BE134" s="12">
        <f>0</f>
        <v>0</v>
      </c>
      <c r="BF134" s="12">
        <f>SUM(BB134:BE134)</f>
        <v>0</v>
      </c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>
      <c r="C135" s="14" t="inlineStr">
        <is>
          <t>Minority Interest Expense, after tax (enter as - )</t>
        </is>
      </c>
      <c r="D135" s="46" t="n"/>
      <c r="E135" s="46" t="n"/>
      <c r="F135" s="46" t="n"/>
      <c r="G135" s="46" t="n"/>
      <c r="H135" s="12" t="n"/>
      <c r="I135" s="46">
        <f>'Inputs (2)'!D12</f>
        <v>0</v>
      </c>
      <c r="J135" s="46">
        <f>'Inputs (2)'!E12</f>
        <v>0</v>
      </c>
      <c r="K135" s="46">
        <f>'Inputs (2)'!F12</f>
        <v>0</v>
      </c>
      <c r="L135" s="46">
        <f>'Inputs (2)'!G12</f>
        <v>0</v>
      </c>
      <c r="M135" s="12">
        <f>'Inputs (2)'!H12</f>
        <v>0</v>
      </c>
      <c r="N135" s="46">
        <f>'Inputs (2)'!I12</f>
        <v>0</v>
      </c>
      <c r="O135" s="46">
        <f>'Inputs (2)'!J12</f>
        <v>0</v>
      </c>
      <c r="P135" s="46">
        <f>'Inputs (2)'!K12</f>
        <v>0</v>
      </c>
      <c r="Q135" s="46">
        <f>'Inputs (2)'!L12</f>
        <v>0</v>
      </c>
      <c r="R135" s="12">
        <f>'Inputs (2)'!M12</f>
        <v>0</v>
      </c>
      <c r="S135" s="46">
        <f>'Inputs (2)'!N12</f>
        <v>0</v>
      </c>
      <c r="T135" s="46">
        <f>'Inputs (2)'!O12</f>
        <v>0</v>
      </c>
      <c r="U135" s="46">
        <f>'Inputs (2)'!P12</f>
        <v>0</v>
      </c>
      <c r="V135" s="46">
        <f>'Inputs (2)'!Q12</f>
        <v>0</v>
      </c>
      <c r="W135" s="12">
        <f>'Inputs (2)'!R12</f>
        <v>0</v>
      </c>
      <c r="X135" s="46">
        <f>'Inputs (2)'!S12</f>
        <v>0</v>
      </c>
      <c r="Y135" s="46">
        <f>'Inputs (2)'!T12</f>
        <v>0</v>
      </c>
      <c r="Z135" s="46">
        <f>'Inputs (2)'!U12</f>
        <v>0</v>
      </c>
      <c r="AA135" s="46">
        <f>'Inputs (2)'!V12</f>
        <v>0</v>
      </c>
      <c r="AB135" s="12">
        <f>'Inputs (2)'!W12</f>
        <v>0</v>
      </c>
      <c r="AC135" s="46">
        <f>'Inputs (2)'!X12</f>
        <v>0</v>
      </c>
      <c r="AD135" s="46">
        <f>'Inputs (2)'!Y12</f>
        <v>0</v>
      </c>
      <c r="AE135" s="46">
        <f>'Inputs (2)'!Z12</f>
        <v>0</v>
      </c>
      <c r="AF135" s="46">
        <f>'Inputs (2)'!AA12</f>
        <v>0</v>
      </c>
      <c r="AG135" s="12">
        <f>'Inputs (2)'!AB12</f>
        <v>0</v>
      </c>
      <c r="AH135" s="12">
        <f>'Inputs (2)'!AC12</f>
        <v>0</v>
      </c>
      <c r="AI135" s="12">
        <f>'Inputs (2)'!AD12</f>
        <v>0</v>
      </c>
      <c r="AJ135" s="12">
        <f>0</f>
        <v>0</v>
      </c>
      <c r="AK135" s="12">
        <f>0</f>
        <v>0</v>
      </c>
      <c r="AL135" s="12">
        <f>SUM(AH135:AK135)</f>
        <v>0</v>
      </c>
      <c r="AM135" s="12">
        <f>0</f>
        <v>0</v>
      </c>
      <c r="AN135" s="12">
        <f>0</f>
        <v>0</v>
      </c>
      <c r="AO135" s="12">
        <f>0</f>
        <v>0</v>
      </c>
      <c r="AP135" s="12">
        <f>0</f>
        <v>0</v>
      </c>
      <c r="AQ135" s="12">
        <f>SUM(AM135:AP135)</f>
        <v>0</v>
      </c>
      <c r="AR135" s="12">
        <f>0</f>
        <v>0</v>
      </c>
      <c r="AS135" s="12">
        <f>0</f>
        <v>0</v>
      </c>
      <c r="AT135" s="12">
        <f>0</f>
        <v>0</v>
      </c>
      <c r="AU135" s="12">
        <f>0</f>
        <v>0</v>
      </c>
      <c r="AV135" s="12">
        <f>SUM(AR135:AU135)</f>
        <v>0</v>
      </c>
      <c r="AW135" s="12">
        <f>0</f>
        <v>0</v>
      </c>
      <c r="AX135" s="12">
        <f>0</f>
        <v>0</v>
      </c>
      <c r="AY135" s="12">
        <f>0</f>
        <v>0</v>
      </c>
      <c r="AZ135" s="12">
        <f>0</f>
        <v>0</v>
      </c>
      <c r="BA135" s="12">
        <f>SUM(AW135:AZ135)</f>
        <v>0</v>
      </c>
      <c r="BB135" s="12">
        <f>0</f>
        <v>0</v>
      </c>
      <c r="BC135" s="12">
        <f>0</f>
        <v>0</v>
      </c>
      <c r="BD135" s="12">
        <f>0</f>
        <v>0</v>
      </c>
      <c r="BE135" s="12">
        <f>0</f>
        <v>0</v>
      </c>
      <c r="BF135" s="12">
        <f>SUM(BB135:BE135)</f>
        <v>0</v>
      </c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customFormat="1" s="32">
      <c r="A136" s="30" t="n"/>
      <c r="B136" s="3" t="n"/>
      <c r="C136" s="33" t="inlineStr">
        <is>
          <t>Net Income</t>
        </is>
      </c>
      <c r="D136" s="35" t="n"/>
      <c r="E136" s="35" t="n"/>
      <c r="F136" s="35" t="n"/>
      <c r="G136" s="35" t="n"/>
      <c r="H136" s="35" t="n"/>
      <c r="I136" s="35">
        <f>SUM(I129,I130,I134,I135)</f>
        <v>1912</v>
      </c>
      <c r="J136" s="35">
        <f>SUM(J129,J130,J134,J135)</f>
        <v>2374</v>
      </c>
      <c r="K136" s="35">
        <f>SUM(K129,K130,K134,K135)</f>
        <v>2464</v>
      </c>
      <c r="L136" s="35">
        <f>SUM(L129,L130,L134,L135)</f>
        <v>3003</v>
      </c>
      <c r="M136" s="35">
        <f>SUM(I136:L136)</f>
        <v>9753</v>
      </c>
      <c r="N136" s="35">
        <f>SUM(N129,N130,N134,N135)</f>
        <v>1618</v>
      </c>
      <c r="O136" s="35">
        <f>SUM(O129,O130,O134,O135)</f>
        <v>656</v>
      </c>
      <c r="P136" s="35">
        <f>SUM(P129,P130,P134,P135)</f>
        <v>680</v>
      </c>
      <c r="Q136" s="35">
        <f>SUM(Q129,Q130,Q134,Q135)</f>
        <v>1414</v>
      </c>
      <c r="R136" s="35">
        <f>SUM(N136:Q136)</f>
        <v>4368</v>
      </c>
      <c r="S136" s="35">
        <f>SUM(S129,S130,S134,S135)</f>
        <v>2043</v>
      </c>
      <c r="T136" s="35">
        <f>SUM(T129,T130,T134,T135)</f>
        <v>6188</v>
      </c>
      <c r="U136" s="35">
        <f>SUM(U129,U130,U134,U135)</f>
        <v>9243</v>
      </c>
      <c r="V136" s="35">
        <f>SUM(V129,V130,V134,V135)</f>
        <v>12285</v>
      </c>
      <c r="W136" s="35">
        <f>SUM(S136:V136)</f>
        <v>29759</v>
      </c>
      <c r="X136" s="35">
        <f>SUM(X129,X130,X134,X135)</f>
        <v>14881</v>
      </c>
      <c r="Y136" s="35">
        <f>SUM(Y129,Y130,Y134,Y135)</f>
        <v>16599</v>
      </c>
      <c r="Z136" s="35">
        <f>SUM(Z129,Z130,Z134,Z135)</f>
        <v>19309</v>
      </c>
      <c r="AA136" s="35">
        <f>SUM(AA129,AA130,AA134,AA135)</f>
        <v>22091</v>
      </c>
      <c r="AB136" s="35">
        <f>SUM(X136:AA136)</f>
        <v>72880</v>
      </c>
      <c r="AC136" s="35">
        <f>SUM(AC129,AC130,AC134,AC135)</f>
        <v>18775</v>
      </c>
      <c r="AD136" s="35">
        <f>SUM(AD129,AD130,AD134,AD135)</f>
        <v>26422</v>
      </c>
      <c r="AE136" s="35">
        <f>SUM(AE129,AE130,AE134,AE135)</f>
        <v>31910</v>
      </c>
      <c r="AF136" s="35">
        <f>SUM(AF129,AF130,AF134,AF135)</f>
        <v>42960</v>
      </c>
      <c r="AG136" s="35">
        <f>SUM(AC136:AF136)</f>
        <v>120067</v>
      </c>
      <c r="AH136" s="35">
        <f>SUM(AH129,AH130,AH134,AH135)</f>
        <v>58321</v>
      </c>
      <c r="AI136" s="35">
        <f>SUM(AI129,AI130,AI134,AI135)</f>
        <v>59688</v>
      </c>
      <c r="AJ136" s="35">
        <f>SUM(AJ129,AJ130,AJ134,AJ135)</f>
        <v>59686.9691935346</v>
      </c>
      <c r="AK136" s="35">
        <f>SUM(AK129,AK130,AK134,AK135)</f>
        <v>71330.9853392263</v>
      </c>
      <c r="AL136" s="35">
        <f>SUM(AH136:AK136)</f>
        <v>249026.954532761</v>
      </c>
      <c r="AM136" s="35">
        <f>SUM(AM129,AM130,AM134,AM135)</f>
        <v>85453.3205404752</v>
      </c>
      <c r="AN136" s="35">
        <f>SUM(AN129,AN130,AN134,AN135)</f>
        <v>100746.234830914</v>
      </c>
      <c r="AO136" s="35">
        <f>SUM(AO129,AO130,AO134,AO135)</f>
        <v>104608.608539616</v>
      </c>
      <c r="AP136" s="35">
        <f>SUM(AP129,AP130,AP134,AP135)</f>
        <v>125016.15047501</v>
      </c>
      <c r="AQ136" s="35">
        <f>SUM(AM136:AP136)</f>
        <v>415824.314386015</v>
      </c>
      <c r="AR136" s="35">
        <f>SUM(AR129,AR130,AR134,AR135)</f>
        <v>149339.97870412</v>
      </c>
      <c r="AS136" s="35">
        <f>SUM(AS129,AS130,AS134,AS135)</f>
        <v>176066.189926964</v>
      </c>
      <c r="AT136" s="35">
        <f>SUM(AT129,AT130,AT134,AT135)</f>
        <v>182816.153576787</v>
      </c>
      <c r="AU136" s="35">
        <f>SUM(AU129,AU130,AU134,AU135)</f>
        <v>218480.793157312</v>
      </c>
      <c r="AV136" s="35">
        <f>SUM(AR136:AU136)</f>
        <v>726703.115365184</v>
      </c>
      <c r="AW136" s="35">
        <f>SUM(AW129,AW130,AW134,AW135)</f>
        <v>260242.915235403</v>
      </c>
      <c r="AX136" s="35">
        <f>SUM(AX129,AX130,AX134,AX135)</f>
        <v>306816.560030211</v>
      </c>
      <c r="AY136" s="35">
        <f>SUM(AY129,AY130,AY134,AY135)</f>
        <v>318579.185371435</v>
      </c>
      <c r="AZ136" s="35">
        <f>SUM(AZ129,AZ130,AZ134,AZ135)</f>
        <v>380729.119071672</v>
      </c>
      <c r="BA136" s="35">
        <f>SUM(AW136:AZ136)</f>
        <v>1266367.77970872</v>
      </c>
      <c r="BB136" s="35">
        <f>SUM(BB129,BB130,BB134,BB135)</f>
        <v>452203.436475126</v>
      </c>
      <c r="BC136" s="35">
        <f>SUM(BC129,BC130,BC134,BC135)</f>
        <v>533130.758574687</v>
      </c>
      <c r="BD136" s="35">
        <f>SUM(BD129,BD130,BD134,BD135)</f>
        <v>553569.738043001</v>
      </c>
      <c r="BE136" s="35">
        <f>SUM(BE129,BE130,BE134,BE135)</f>
        <v>661562.739775734</v>
      </c>
      <c r="BF136" s="35">
        <f>SUM(BB136:BE136)</f>
        <v>2200466.67286855</v>
      </c>
      <c r="BG136" s="35" t="n"/>
      <c r="BH136" s="35" t="n"/>
      <c r="BI136" s="35" t="n"/>
      <c r="BJ136" s="35" t="n"/>
      <c r="BK136" s="35" t="n"/>
      <c r="BL136" s="35" t="n"/>
      <c r="BM136" s="35" t="n"/>
      <c r="BN136" s="35" t="n"/>
      <c r="BO136" s="35" t="n"/>
      <c r="BP136" s="35" t="n"/>
      <c r="BQ136" s="35" t="n"/>
      <c r="BR136" s="35" t="n"/>
      <c r="BS136" s="35" t="n"/>
      <c r="BT136" s="35" t="n"/>
      <c r="BU136" s="35" t="n"/>
      <c r="BV136" s="35" t="n"/>
      <c r="BW136" s="35" t="n"/>
      <c r="BX136" s="35" t="n"/>
      <c r="BY136" s="35" t="n"/>
      <c r="BZ136" s="35" t="n"/>
      <c r="CA136" s="35" t="n"/>
      <c r="CB136" s="35" t="n"/>
      <c r="CC136" s="35" t="n"/>
      <c r="CD136" s="35" t="n"/>
      <c r="CE136" s="35" t="n"/>
      <c r="CF136" s="35" t="n"/>
      <c r="CG136" s="35" t="n"/>
      <c r="CH136" s="35" t="n"/>
      <c r="CI136" s="35" t="n"/>
      <c r="CJ136" s="35" t="n"/>
      <c r="CK136" s="35" t="n"/>
      <c r="CL136" s="35" t="n"/>
      <c r="CM136" s="35" t="n"/>
      <c r="CN136" s="35" t="n"/>
      <c r="CO136" s="35" t="n"/>
      <c r="CP136" s="35" t="n"/>
      <c r="CQ136" s="35" t="n"/>
      <c r="CR136" s="35" t="n"/>
      <c r="CS136" s="35" t="n"/>
      <c r="CT136" s="35" t="n"/>
      <c r="CU136" s="35" t="n"/>
      <c r="CV136" s="35" t="n"/>
      <c r="CW136" s="35" t="n"/>
      <c r="CX136" s="35" t="n"/>
      <c r="CY136" s="35" t="n"/>
    </row>
    <row r="137">
      <c r="C137" s="13" t="inlineStr">
        <is>
          <t>Common Dividends</t>
        </is>
      </c>
      <c r="D137" s="46" t="n"/>
      <c r="E137" s="46" t="n"/>
      <c r="F137" s="46" t="n"/>
      <c r="G137" s="46" t="n"/>
      <c r="H137" s="12" t="n"/>
      <c r="I137" s="46">
        <f>'Inputs (2)'!D13</f>
        <v>-99</v>
      </c>
      <c r="J137" s="46">
        <f>'Inputs (2)'!E13</f>
        <v>-99</v>
      </c>
      <c r="K137" s="46">
        <f>'Inputs (2)'!F13</f>
        <v>-100</v>
      </c>
      <c r="L137" s="46">
        <f>'Inputs (2)'!G13</f>
        <v>-101</v>
      </c>
      <c r="M137" s="12">
        <f>'Inputs (2)'!H13</f>
        <v>-399</v>
      </c>
      <c r="N137" s="46">
        <f>'Inputs (2)'!I13</f>
        <v>-100</v>
      </c>
      <c r="O137" s="46">
        <f>'Inputs (2)'!J13</f>
        <v>-100</v>
      </c>
      <c r="P137" s="46">
        <f>'Inputs (2)'!K13</f>
        <v>-100</v>
      </c>
      <c r="Q137" s="46">
        <f>'Inputs (2)'!L13</f>
        <v>-98</v>
      </c>
      <c r="R137" s="12">
        <f>'Inputs (2)'!M13</f>
        <v>-398</v>
      </c>
      <c r="S137" s="46">
        <f>'Inputs (2)'!N13</f>
        <v>-99</v>
      </c>
      <c r="T137" s="46">
        <f>'Inputs (2)'!O13</f>
        <v>-100</v>
      </c>
      <c r="U137" s="46">
        <f>'Inputs (2)'!P13</f>
        <v>-97</v>
      </c>
      <c r="V137" s="46">
        <f>'Inputs (2)'!Q13</f>
        <v>-99</v>
      </c>
      <c r="W137" s="12">
        <f>'Inputs (2)'!R13</f>
        <v>-395</v>
      </c>
      <c r="X137" s="46">
        <f>'Inputs (2)'!S13</f>
        <v>-98</v>
      </c>
      <c r="Y137" s="46">
        <f>'Inputs (2)'!T13</f>
        <v>-246</v>
      </c>
      <c r="Z137" s="46">
        <f>'Inputs (2)'!U13</f>
        <v>-245</v>
      </c>
      <c r="AA137" s="46">
        <f>'Inputs (2)'!V13</f>
        <v>-245</v>
      </c>
      <c r="AB137" s="12">
        <f>'Inputs (2)'!W13</f>
        <v>-834</v>
      </c>
      <c r="AC137" s="46">
        <f>'Inputs (2)'!X13</f>
        <v>-244</v>
      </c>
      <c r="AD137" s="46">
        <f>'Inputs (2)'!Y13</f>
        <v>-244</v>
      </c>
      <c r="AE137" s="46">
        <f>'Inputs (2)'!Z13</f>
        <v>-244</v>
      </c>
      <c r="AF137" s="46">
        <f>'Inputs (2)'!AA13</f>
        <v>-242</v>
      </c>
      <c r="AG137" s="12">
        <f>'Inputs (2)'!AB13</f>
        <v>-974</v>
      </c>
      <c r="AH137" s="12">
        <f>'Inputs (2)'!AC13</f>
        <v>-243</v>
      </c>
      <c r="AI137" s="12">
        <f>'Inputs (2)'!AD13</f>
        <v>-6047</v>
      </c>
      <c r="AJ137" s="12">
        <f>-MAX(0,AJ136)*Control!$E$15</f>
        <v>0</v>
      </c>
      <c r="AK137" s="12">
        <f>-MAX(0,AK136)*Control!$E$15</f>
        <v>0</v>
      </c>
      <c r="AL137" s="12">
        <f>SUM(AH137:AK137)</f>
        <v>-6290</v>
      </c>
      <c r="AM137" s="12">
        <f>-MAX(0,AM136)*Control!$E$15</f>
        <v>0</v>
      </c>
      <c r="AN137" s="12">
        <f>-MAX(0,AN136)*Control!$E$15</f>
        <v>0</v>
      </c>
      <c r="AO137" s="12">
        <f>-MAX(0,AO136)*Control!$E$15</f>
        <v>0</v>
      </c>
      <c r="AP137" s="12">
        <f>-MAX(0,AP136)*Control!$E$15</f>
        <v>0</v>
      </c>
      <c r="AQ137" s="12">
        <f>SUM(AM137:AP137)</f>
        <v>0</v>
      </c>
      <c r="AR137" s="12">
        <f>-MAX(0,AR136)*Control!$E$15</f>
        <v>0</v>
      </c>
      <c r="AS137" s="12">
        <f>-MAX(0,AS136)*Control!$E$15</f>
        <v>0</v>
      </c>
      <c r="AT137" s="12">
        <f>-MAX(0,AT136)*Control!$E$15</f>
        <v>0</v>
      </c>
      <c r="AU137" s="12">
        <f>-MAX(0,AU136)*Control!$E$15</f>
        <v>0</v>
      </c>
      <c r="AV137" s="12">
        <f>SUM(AR137:AU137)</f>
        <v>0</v>
      </c>
      <c r="AW137" s="12">
        <f>-MAX(0,AW136)*Control!$E$15</f>
        <v>0</v>
      </c>
      <c r="AX137" s="12">
        <f>-MAX(0,AX136)*Control!$E$15</f>
        <v>0</v>
      </c>
      <c r="AY137" s="12">
        <f>-MAX(0,AY136)*Control!$E$15</f>
        <v>0</v>
      </c>
      <c r="AZ137" s="12">
        <f>-MAX(0,AZ136)*Control!$E$15</f>
        <v>0</v>
      </c>
      <c r="BA137" s="12">
        <f>SUM(AW137:AZ137)</f>
        <v>0</v>
      </c>
      <c r="BB137" s="12">
        <f>-MAX(0,BB136)*Control!$E$15</f>
        <v>0</v>
      </c>
      <c r="BC137" s="12">
        <f>-MAX(0,BC136)*Control!$E$15</f>
        <v>0</v>
      </c>
      <c r="BD137" s="12">
        <f>-MAX(0,BD136)*Control!$E$15</f>
        <v>0</v>
      </c>
      <c r="BE137" s="12">
        <f>-MAX(0,BE136)*Control!$E$15</f>
        <v>0</v>
      </c>
      <c r="BF137" s="12">
        <f>SUM(BB137:BE137)</f>
        <v>0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hidden="1" outlineLevel="1">
      <c r="C138" s="50" t="inlineStr">
        <is>
          <t>% DVD Payout</t>
        </is>
      </c>
      <c r="D138" s="58" t="n"/>
      <c r="E138" s="58" t="n"/>
      <c r="F138" s="58" t="n"/>
      <c r="G138" s="58" t="n"/>
      <c r="H138" s="58" t="n"/>
      <c r="I138" s="58">
        <f>IF(I136=0,"",-I137/I136)</f>
        <v>0.0517782426778243</v>
      </c>
      <c r="J138" s="58">
        <f>IF(J136=0,"",-J137/J136)</f>
        <v>0.0417017691659646</v>
      </c>
      <c r="K138" s="58">
        <f>IF(K136=0,"",-K137/K136)</f>
        <v>0.0405844155844156</v>
      </c>
      <c r="L138" s="58">
        <f>IF(L136=0,"",-L137/L136)</f>
        <v>0.0336330336330336</v>
      </c>
      <c r="M138" s="58">
        <f>IF(M136=0,"",-M137/M136)</f>
        <v>0.040910489080283</v>
      </c>
      <c r="N138" s="58">
        <f>IF(N136=0,"",-N137/N136)</f>
        <v>0.0618046971569839</v>
      </c>
      <c r="O138" s="58">
        <f>IF(O136=0,"",-O137/O136)</f>
        <v>0.152439024390244</v>
      </c>
      <c r="P138" s="58">
        <f>IF(P136=0,"",-P137/P136)</f>
        <v>0.147058823529412</v>
      </c>
      <c r="Q138" s="58">
        <f>IF(Q136=0,"",-Q137/Q136)</f>
        <v>0.0693069306930693</v>
      </c>
      <c r="R138" s="58">
        <f>IF(R136=0,"",-R137/R136)</f>
        <v>0.0911172161172161</v>
      </c>
      <c r="S138" s="58">
        <f>IF(S136=0,"",-S137/S136)</f>
        <v>0.0484581497797357</v>
      </c>
      <c r="T138" s="58">
        <f>IF(T136=0,"",-T137/T136)</f>
        <v>0.0161603102779573</v>
      </c>
      <c r="U138" s="58">
        <f>IF(U136=0,"",-U137/U136)</f>
        <v>0.0104944282159472</v>
      </c>
      <c r="V138" s="58">
        <f>IF(V136=0,"",-V137/V136)</f>
        <v>0.00805860805860806</v>
      </c>
      <c r="W138" s="58">
        <f>IF(W136=0,"",-W137/W136)</f>
        <v>0.0132732954736382</v>
      </c>
      <c r="X138" s="58">
        <f>IF(X136=0,"",-X137/X136)</f>
        <v>0.00658557892614744</v>
      </c>
      <c r="Y138" s="58">
        <f>IF(Y136=0,"",-Y137/Y136)</f>
        <v>0.0148201698897524</v>
      </c>
      <c r="Z138" s="58">
        <f>IF(Z136=0,"",-Z137/Z136)</f>
        <v>0.0126883836552903</v>
      </c>
      <c r="AA138" s="58">
        <f>IF(AA136=0,"",-AA137/AA136)</f>
        <v>0.01109048933955</v>
      </c>
      <c r="AB138" s="58">
        <f>IF(AB136=0,"",-AB137/AB136)</f>
        <v>0.011443468715697</v>
      </c>
      <c r="AC138" s="58">
        <f>IF(AC136=0,"",-AC137/AC136)</f>
        <v>0.0129960053262317</v>
      </c>
      <c r="AD138" s="58">
        <f>IF(AD136=0,"",-AD137/AD136)</f>
        <v>0.00923472863522822</v>
      </c>
      <c r="AE138" s="58">
        <f>IF(AE136=0,"",-AE137/AE136)</f>
        <v>0.00764650579755563</v>
      </c>
      <c r="AF138" s="41">
        <f>IF(AF136=0,"",-AF137/AF136)</f>
        <v>0.00563314711359404</v>
      </c>
      <c r="AG138" s="12">
        <f>IF(AG136=0,"",-AG137/AG136)</f>
        <v>0.00811213738995727</v>
      </c>
      <c r="AH138" s="41">
        <f>IF(AH136=0,"",-AH137/AH136)</f>
        <v>0.00416659522299</v>
      </c>
      <c r="AI138" s="41">
        <f>IF(AI136=0,"",-AI137/AI136)</f>
        <v>0.101310146093017</v>
      </c>
      <c r="AJ138" s="41">
        <f>IF(AJ136=0,"",-AJ137/AJ136)</f>
        <v>0</v>
      </c>
      <c r="AK138" s="41">
        <f>IF(AK136=0,"",-AK137/AK136)</f>
        <v>0</v>
      </c>
      <c r="AL138" s="12">
        <f>IF(AL136=0,"",-AL137/AL136)</f>
        <v>0.0252583099359733</v>
      </c>
      <c r="AM138" s="41">
        <f>IF(AM136=0,"",-AM137/AM136)</f>
        <v>0</v>
      </c>
      <c r="AN138" s="41">
        <f>IF(AN136=0,"",-AN137/AN136)</f>
        <v>0</v>
      </c>
      <c r="AO138" s="41">
        <f>IF(AO136=0,"",-AO137/AO136)</f>
        <v>0</v>
      </c>
      <c r="AP138" s="41">
        <f>IF(AP136=0,"",-AP137/AP136)</f>
        <v>0</v>
      </c>
      <c r="AQ138" s="12">
        <f>IF(AQ136=0,"",-AQ137/AQ136)</f>
        <v>0</v>
      </c>
      <c r="AR138" s="41">
        <f>IF(AR136=0,"",-AR137/AR136)</f>
        <v>0</v>
      </c>
      <c r="AS138" s="41">
        <f>IF(AS136=0,"",-AS137/AS136)</f>
        <v>0</v>
      </c>
      <c r="AT138" s="41">
        <f>IF(AT136=0,"",-AT137/AT136)</f>
        <v>0</v>
      </c>
      <c r="AU138" s="41">
        <f>IF(AU136=0,"",-AU137/AU136)</f>
        <v>0</v>
      </c>
      <c r="AV138" s="12">
        <f>IF(AV136=0,"",-AV137/AV136)</f>
        <v>0</v>
      </c>
      <c r="AW138" s="41">
        <f>IF(AW136=0,"",-AW137/AW136)</f>
        <v>0</v>
      </c>
      <c r="AX138" s="41">
        <f>IF(AX136=0,"",-AX137/AX136)</f>
        <v>0</v>
      </c>
      <c r="AY138" s="41">
        <f>IF(AY136=0,"",-AY137/AY136)</f>
        <v>0</v>
      </c>
      <c r="AZ138" s="41">
        <f>IF(AZ136=0,"",-AZ137/AZ136)</f>
        <v>0</v>
      </c>
      <c r="BA138" s="12">
        <f>IF(BA136=0,"",-BA137/BA136)</f>
        <v>0</v>
      </c>
      <c r="BB138" s="41">
        <f>IF(BB136=0,"",-BB137/BB136)</f>
        <v>0</v>
      </c>
      <c r="BC138" s="41">
        <f>IF(BC136=0,"",-BC137/BC136)</f>
        <v>0</v>
      </c>
      <c r="BD138" s="41">
        <f>IF(BD136=0,"",-BD137/BD136)</f>
        <v>0</v>
      </c>
      <c r="BE138" s="41">
        <f>IF(BE136=0,"",-BE137/BE136)</f>
        <v>0</v>
      </c>
      <c r="BF138" s="12">
        <f>IF(BF136=0,"",-BF137/BF136)</f>
        <v>0</v>
      </c>
      <c r="BG138" s="41" t="n"/>
      <c r="BH138" s="41" t="n"/>
      <c r="BI138" s="41" t="n"/>
      <c r="BJ138" s="41" t="n"/>
      <c r="BK138" s="12" t="n"/>
      <c r="BL138" s="41" t="n"/>
      <c r="BM138" s="41" t="n"/>
      <c r="BN138" s="41" t="n"/>
      <c r="BO138" s="41" t="n"/>
      <c r="BP138" s="12" t="n"/>
      <c r="BQ138" s="41" t="n"/>
      <c r="BR138" s="41" t="n"/>
      <c r="BS138" s="41" t="n"/>
      <c r="BT138" s="41" t="n"/>
      <c r="BU138" s="12" t="n"/>
      <c r="BV138" s="41" t="n"/>
      <c r="BW138" s="41" t="n"/>
      <c r="BX138" s="41" t="n"/>
      <c r="BY138" s="41" t="n"/>
      <c r="BZ138" s="12" t="n"/>
      <c r="CA138" s="41" t="n"/>
      <c r="CB138" s="41" t="n"/>
      <c r="CC138" s="41" t="n"/>
      <c r="CD138" s="41" t="n"/>
      <c r="CE138" s="12" t="n"/>
      <c r="CF138" s="41" t="n"/>
      <c r="CG138" s="41" t="n"/>
      <c r="CH138" s="41" t="n"/>
      <c r="CI138" s="41" t="n"/>
      <c r="CJ138" s="12" t="n"/>
      <c r="CK138" s="41" t="n"/>
      <c r="CL138" s="41" t="n"/>
      <c r="CM138" s="41" t="n"/>
      <c r="CN138" s="41" t="n"/>
      <c r="CO138" s="12" t="n"/>
      <c r="CP138" s="41" t="n"/>
      <c r="CQ138" s="41" t="n"/>
      <c r="CR138" s="41" t="n"/>
      <c r="CS138" s="41" t="n"/>
      <c r="CT138" s="12" t="n"/>
      <c r="CU138" s="41" t="n"/>
      <c r="CV138" s="41" t="n"/>
      <c r="CW138" s="41" t="n"/>
      <c r="CX138" s="41" t="n"/>
      <c r="CY138" s="12" t="n"/>
    </row>
    <row r="139" hidden="1" outlineLevel="1">
      <c r="C139" s="18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18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collapsed="1" ht="11.25" customHeight="1">
      <c r="C141" s="31" t="inlineStr">
        <is>
          <t>Balance Sheet</t>
        </is>
      </c>
      <c r="D141" s="31" t="n"/>
      <c r="E141" s="31" t="n"/>
      <c r="F141" s="31" t="n"/>
      <c r="G141" s="31" t="n"/>
      <c r="H141" s="31" t="n"/>
      <c r="I141" s="31" t="str">
        <f>I13</f>
        <v>1Q21</v>
      </c>
      <c r="J141" s="31" t="str">
        <f>J13</f>
        <v>2Q21</v>
      </c>
      <c r="K141" s="31" t="str">
        <f>K13</f>
        <v>3Q21</v>
      </c>
      <c r="L141" s="31" t="str">
        <f>L13</f>
        <v>4Q21</v>
      </c>
      <c r="M141" s="31">
        <f>M13</f>
        <v>2021</v>
      </c>
      <c r="N141" s="31" t="str">
        <f>N13</f>
        <v>1Q22</v>
      </c>
      <c r="O141" s="31" t="str">
        <f>O13</f>
        <v>2Q22</v>
      </c>
      <c r="P141" s="31" t="str">
        <f>P13</f>
        <v>3Q22</v>
      </c>
      <c r="Q141" s="31" t="str">
        <f>Q13</f>
        <v>4Q22</v>
      </c>
      <c r="R141" s="31">
        <f>R13</f>
        <v>2022</v>
      </c>
      <c r="S141" s="31" t="str">
        <f>S13</f>
        <v>1Q23</v>
      </c>
      <c r="T141" s="31" t="str">
        <f>T13</f>
        <v>2Q23</v>
      </c>
      <c r="U141" s="31" t="str">
        <f>U13</f>
        <v>3Q23</v>
      </c>
      <c r="V141" s="31" t="str">
        <f>V13</f>
        <v>4Q23</v>
      </c>
      <c r="W141" s="31">
        <f>W13</f>
        <v>2023</v>
      </c>
      <c r="X141" s="31" t="str">
        <f>X13</f>
        <v>1Q24</v>
      </c>
      <c r="Y141" s="31" t="str">
        <f>Y13</f>
        <v>2Q24</v>
      </c>
      <c r="Z141" s="31" t="str">
        <f>Z13</f>
        <v>3Q24</v>
      </c>
      <c r="AA141" s="31" t="str">
        <f>AA13</f>
        <v>4Q24</v>
      </c>
      <c r="AB141" s="31">
        <f>AB13</f>
        <v>2024</v>
      </c>
      <c r="AC141" s="31" t="str">
        <f>AC13</f>
        <v>1Q25</v>
      </c>
      <c r="AD141" s="31" t="str">
        <f>AD13</f>
        <v>2Q25</v>
      </c>
      <c r="AE141" s="31" t="str">
        <f>AE13</f>
        <v>3Q25</v>
      </c>
      <c r="AF141" s="31" t="str">
        <f>AF13</f>
        <v>4Q25</v>
      </c>
      <c r="AG141" s="31">
        <f>AG13</f>
        <v>2025</v>
      </c>
      <c r="AH141" s="31" t="str">
        <f>AH13</f>
        <v>1Q26</v>
      </c>
      <c r="AI141" s="31" t="str">
        <f>AI13</f>
        <v>2Q26</v>
      </c>
      <c r="AJ141" s="31" t="str">
        <f>AJ13</f>
        <v>3Q26</v>
      </c>
      <c r="AK141" s="31" t="str">
        <f>AK13</f>
        <v>4Q26</v>
      </c>
      <c r="AL141" s="31">
        <f>AL13</f>
        <v>2026</v>
      </c>
      <c r="AM141" s="31" t="str">
        <f>AM13</f>
        <v>1Q27</v>
      </c>
      <c r="AN141" s="31" t="str">
        <f>AN13</f>
        <v>2Q27</v>
      </c>
      <c r="AO141" s="31" t="str">
        <f>AO13</f>
        <v>3Q27</v>
      </c>
      <c r="AP141" s="31" t="str">
        <f>AP13</f>
        <v>4Q27</v>
      </c>
      <c r="AQ141" s="31">
        <f>AQ13</f>
        <v>2027</v>
      </c>
      <c r="AR141" s="31" t="str">
        <f>AR13</f>
        <v>1Q28</v>
      </c>
      <c r="AS141" s="31" t="str">
        <f>AS13</f>
        <v>2Q28</v>
      </c>
      <c r="AT141" s="31" t="str">
        <f>AT13</f>
        <v>3Q28</v>
      </c>
      <c r="AU141" s="31" t="str">
        <f>AU13</f>
        <v>4Q28</v>
      </c>
      <c r="AV141" s="31">
        <f>AV13</f>
        <v>2028</v>
      </c>
      <c r="AW141" s="31" t="str">
        <f>AW13</f>
        <v>1Q29</v>
      </c>
      <c r="AX141" s="31" t="str">
        <f>AX13</f>
        <v>2Q29</v>
      </c>
      <c r="AY141" s="31" t="str">
        <f>AY13</f>
        <v>3Q29</v>
      </c>
      <c r="AZ141" s="31" t="str">
        <f>AZ13</f>
        <v>4Q29</v>
      </c>
      <c r="BA141" s="31">
        <f>BA13</f>
        <v>2029</v>
      </c>
      <c r="BB141" s="31" t="str">
        <f>BB13</f>
        <v>1Q30</v>
      </c>
      <c r="BC141" s="31" t="str">
        <f>BC13</f>
        <v>2Q30</v>
      </c>
      <c r="BD141" s="31" t="str">
        <f>BD13</f>
        <v>3Q30</v>
      </c>
      <c r="BE141" s="31" t="str">
        <f>BE13</f>
        <v>4Q30</v>
      </c>
      <c r="BF141" s="31">
        <f>BF13</f>
        <v>2030</v>
      </c>
      <c r="BG141" s="31" t="n"/>
      <c r="BH141" s="31" t="n"/>
      <c r="BI141" s="31" t="n"/>
      <c r="BJ141" s="31" t="n"/>
      <c r="BK141" s="31" t="n"/>
      <c r="BL141" s="31" t="n"/>
      <c r="BM141" s="31" t="n"/>
      <c r="BN141" s="31" t="n"/>
      <c r="BO141" s="31" t="n"/>
      <c r="BP141" s="31" t="n"/>
      <c r="BQ141" s="31" t="n"/>
      <c r="BR141" s="31" t="n"/>
      <c r="BS141" s="31" t="n"/>
      <c r="BT141" s="31" t="n"/>
      <c r="BU141" s="31" t="n"/>
      <c r="BV141" s="31" t="n"/>
      <c r="BW141" s="31" t="n"/>
      <c r="BX141" s="31" t="n"/>
      <c r="BY141" s="31" t="n"/>
      <c r="BZ141" s="31" t="n"/>
      <c r="CA141" s="31" t="n"/>
      <c r="CB141" s="31" t="n"/>
      <c r="CC141" s="31" t="n"/>
      <c r="CD141" s="31" t="n"/>
      <c r="CE141" s="31" t="n"/>
      <c r="CF141" s="31" t="n"/>
      <c r="CG141" s="31" t="n"/>
      <c r="CH141" s="31" t="n"/>
      <c r="CI141" s="31" t="n"/>
      <c r="CJ141" s="31" t="n"/>
      <c r="CK141" s="31" t="n"/>
      <c r="CL141" s="31" t="n"/>
      <c r="CM141" s="31" t="n"/>
      <c r="CN141" s="31" t="n"/>
      <c r="CO141" s="31" t="n"/>
      <c r="CP141" s="31" t="n"/>
      <c r="CQ141" s="31" t="n"/>
      <c r="CR141" s="31" t="n"/>
      <c r="CS141" s="31" t="n"/>
      <c r="CT141" s="31" t="n"/>
      <c r="CU141" s="31" t="n"/>
      <c r="CV141" s="31" t="n"/>
      <c r="CW141" s="31" t="n"/>
      <c r="CX141" s="31" t="n"/>
      <c r="CY141" s="31" t="n"/>
    </row>
    <row r="142">
      <c r="C142" s="18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>
      <c r="C143" s="13" t="inlineStr">
        <is>
          <t>Cash and equivalents (inc. investment securities)</t>
        </is>
      </c>
      <c r="D143" s="46" t="n"/>
      <c r="E143" s="46" t="n"/>
      <c r="F143" s="46" t="n"/>
      <c r="G143" s="46" t="n"/>
      <c r="H143" s="12" t="n"/>
      <c r="I143" s="46">
        <f>'Inputs (2)'!D15</f>
        <v>12667</v>
      </c>
      <c r="J143" s="46">
        <f>'Inputs (2)'!E15</f>
        <v>19654</v>
      </c>
      <c r="K143" s="46">
        <f>'Inputs (2)'!F15</f>
        <v>19298</v>
      </c>
      <c r="L143" s="46">
        <f>'Inputs (2)'!G15</f>
        <v>21208</v>
      </c>
      <c r="M143" s="12">
        <f>'Inputs (2)'!H15</f>
        <v>21208</v>
      </c>
      <c r="N143" s="46">
        <f>'Inputs (2)'!I15</f>
        <v>20338</v>
      </c>
      <c r="O143" s="46">
        <f>'Inputs (2)'!J15</f>
        <v>17037</v>
      </c>
      <c r="P143" s="46">
        <f>'Inputs (2)'!K15</f>
        <v>13143</v>
      </c>
      <c r="Q143" s="46">
        <f>'Inputs (2)'!L15</f>
        <v>13296</v>
      </c>
      <c r="R143" s="12">
        <f>'Inputs (2)'!M15</f>
        <v>13296</v>
      </c>
      <c r="S143" s="46">
        <f>'Inputs (2)'!N15</f>
        <v>15320</v>
      </c>
      <c r="T143" s="46">
        <f>'Inputs (2)'!O15</f>
        <v>16023</v>
      </c>
      <c r="U143" s="46">
        <f>'Inputs (2)'!P15</f>
        <v>18281</v>
      </c>
      <c r="V143" s="46">
        <f>'Inputs (2)'!Q15</f>
        <v>25984</v>
      </c>
      <c r="W143" s="12">
        <f>'Inputs (2)'!R15</f>
        <v>25984</v>
      </c>
      <c r="X143" s="46">
        <f>'Inputs (2)'!S15</f>
        <v>31438</v>
      </c>
      <c r="Y143" s="46">
        <f>'Inputs (2)'!T15</f>
        <v>34800</v>
      </c>
      <c r="Z143" s="46">
        <f>'Inputs (2)'!U15</f>
        <v>38487</v>
      </c>
      <c r="AA143" s="46">
        <f>'Inputs (2)'!V15</f>
        <v>43210</v>
      </c>
      <c r="AB143" s="12">
        <f>'Inputs (2)'!W15</f>
        <v>43210</v>
      </c>
      <c r="AC143" s="46">
        <f>'Inputs (2)'!X15</f>
        <v>53691</v>
      </c>
      <c r="AD143" s="46">
        <f>'Inputs (2)'!Y15</f>
        <v>56791</v>
      </c>
      <c r="AE143" s="46">
        <f>'Inputs (2)'!Z15</f>
        <v>60608</v>
      </c>
      <c r="AF143" s="46">
        <f>'Inputs (2)'!AA15</f>
        <v>49670</v>
      </c>
      <c r="AG143" s="12">
        <f>'Inputs (2)'!AB15</f>
        <v>49670</v>
      </c>
      <c r="AH143" s="12">
        <f>'Inputs (2)'!AC15</f>
        <v>50335</v>
      </c>
      <c r="AI143" s="12">
        <f>'Inputs (2)'!AD15</f>
        <v>56586</v>
      </c>
      <c r="AJ143" s="12">
        <f>AJ272-SUM(AJ144,AJ148,AJ152,AJ153,AJ154,AJ160,AJ165,AJ175,AJ178,AJ179,AJ188)</f>
        <v>142248.925862222</v>
      </c>
      <c r="AK143" s="12">
        <f>AK272-SUM(AK144,AK148,AK152,AK153,AK154,AK160,AK165,AK175,AK178,AK179,AK188)</f>
        <v>232721.942111485</v>
      </c>
      <c r="AL143" s="12">
        <f>AK143</f>
        <v>232721.942111485</v>
      </c>
      <c r="AM143" s="12">
        <f>AM272-SUM(AM144,AM148,AM152,AM153,AM154,AM160,AM165,AM175,AM178,AM179,AM188)</f>
        <v>358335.611377022</v>
      </c>
      <c r="AN143" s="12">
        <f>AN272-SUM(AN144,AN148,AN152,AN153,AN154,AN160,AN165,AN175,AN178,AN179,AN188)</f>
        <v>547467.491169276</v>
      </c>
      <c r="AO143" s="12">
        <f>AO272-SUM(AO144,AO148,AO152,AO153,AO154,AO160,AO165,AO175,AO178,AO179,AO188)</f>
        <v>836690.256673045</v>
      </c>
      <c r="AP143" s="12">
        <f>AP272-SUM(AP144,AP148,AP152,AP153,AP154,AP160,AP165,AP175,AP178,AP179,AP188)</f>
        <v>1268461.92827036</v>
      </c>
      <c r="AQ143" s="12">
        <f>AP143</f>
        <v>1268461.92827036</v>
      </c>
      <c r="AR143" s="12">
        <f>AR272-SUM(AR144,AR148,AR152,AR153,AR154,AR160,AR165,AR175,AR178,AR179,AR188)</f>
        <v>1965669.62161074</v>
      </c>
      <c r="AS143" s="12">
        <f>AS272-SUM(AS144,AS148,AS152,AS153,AS154,AS160,AS165,AS175,AS178,AS179,AS188)</f>
        <v>3124161.84490331</v>
      </c>
      <c r="AT143" s="12">
        <f>AT272-SUM(AT144,AT148,AT152,AT153,AT154,AT160,AT165,AT175,AT178,AT179,AT188)</f>
        <v>5079152.34412466</v>
      </c>
      <c r="AU143" s="12">
        <f>AU272-SUM(AU144,AU148,AU152,AU153,AU154,AU160,AU165,AU175,AU178,AU179,AU188)</f>
        <v>8365296.38872443</v>
      </c>
      <c r="AV143" s="12">
        <f>AU143</f>
        <v>8365296.38872443</v>
      </c>
      <c r="AW143" s="12">
        <f>AW272-SUM(AW144,AW148,AW152,AW153,AW154,AW160,AW165,AW175,AW178,AW179,AW188)</f>
        <v>13972096.4621532</v>
      </c>
      <c r="AX143" s="12">
        <f>AX272-SUM(AX144,AX148,AX152,AX153,AX154,AX160,AX165,AX175,AX178,AX179,AX188)</f>
        <v>23647459.3189986</v>
      </c>
      <c r="AY143" s="12">
        <f>AY272-SUM(AY144,AY148,AY152,AY153,AY154,AY160,AY165,AY175,AY178,AY179,AY188)</f>
        <v>40381697.7090092</v>
      </c>
      <c r="AZ143" s="12">
        <f>AZ272-SUM(AZ144,AZ148,AZ152,AZ153,AZ154,AZ160,AZ165,AZ175,AZ178,AZ179,AZ188)</f>
        <v>69317311.1066367</v>
      </c>
      <c r="BA143" s="12">
        <f>AZ143</f>
        <v>69317311.1066367</v>
      </c>
      <c r="BB143" s="12">
        <f>BB272-SUM(BB144,BB148,BB152,BB153,BB154,BB160,BB165,BB175,BB178,BB179,BB188)</f>
        <v>119233132.490492</v>
      </c>
      <c r="BC143" s="12">
        <f>BC272-SUM(BC144,BC148,BC152,BC153,BC154,BC160,BC165,BC175,BC178,BC179,BC188)</f>
        <v>205801935.065057</v>
      </c>
      <c r="BD143" s="12">
        <f>BD272-SUM(BD144,BD148,BD152,BD153,BD154,BD160,BD165,BD175,BD178,BD179,BD188)</f>
        <v>356008408.455093</v>
      </c>
      <c r="BE143" s="12">
        <f>BE272-SUM(BE144,BE148,BE152,BE153,BE154,BE160,BE165,BE175,BE178,BE179,BE188)</f>
        <v>616620470.367399</v>
      </c>
      <c r="BF143" s="12">
        <f>BE143</f>
        <v>616620470.367399</v>
      </c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>
      <c r="C144" s="14" t="inlineStr">
        <is>
          <t>Accounts receivable</t>
        </is>
      </c>
      <c r="D144" s="46" t="n"/>
      <c r="E144" s="46" t="n"/>
      <c r="F144" s="46" t="n"/>
      <c r="G144" s="46" t="n"/>
      <c r="H144" s="12" t="n"/>
      <c r="I144" s="46">
        <f>'Inputs (2)'!D16</f>
        <v>3024</v>
      </c>
      <c r="J144" s="46">
        <f>'Inputs (2)'!E16</f>
        <v>3586</v>
      </c>
      <c r="K144" s="46">
        <f>'Inputs (2)'!F16</f>
        <v>3954</v>
      </c>
      <c r="L144" s="46">
        <f>'Inputs (2)'!G16</f>
        <v>4650</v>
      </c>
      <c r="M144" s="12">
        <f>'Inputs (2)'!H16</f>
        <v>4650</v>
      </c>
      <c r="N144" s="46">
        <f>'Inputs (2)'!I16</f>
        <v>5438</v>
      </c>
      <c r="O144" s="46">
        <f>'Inputs (2)'!J16</f>
        <v>5317</v>
      </c>
      <c r="P144" s="46">
        <f>'Inputs (2)'!K16</f>
        <v>4908</v>
      </c>
      <c r="Q144" s="46">
        <f>'Inputs (2)'!L16</f>
        <v>3827</v>
      </c>
      <c r="R144" s="12">
        <f>'Inputs (2)'!M16</f>
        <v>3827</v>
      </c>
      <c r="S144" s="46">
        <f>'Inputs (2)'!N16</f>
        <v>4080</v>
      </c>
      <c r="T144" s="46">
        <f>'Inputs (2)'!O16</f>
        <v>7066</v>
      </c>
      <c r="U144" s="46">
        <f>'Inputs (2)'!P16</f>
        <v>8309</v>
      </c>
      <c r="V144" s="46">
        <f>'Inputs (2)'!Q16</f>
        <v>9999</v>
      </c>
      <c r="W144" s="12">
        <f>'Inputs (2)'!R16</f>
        <v>9999</v>
      </c>
      <c r="X144" s="46">
        <f>'Inputs (2)'!S16</f>
        <v>12365</v>
      </c>
      <c r="Y144" s="46">
        <f>'Inputs (2)'!T16</f>
        <v>14132</v>
      </c>
      <c r="Z144" s="46">
        <f>'Inputs (2)'!U16</f>
        <v>17693</v>
      </c>
      <c r="AA144" s="46">
        <f>'Inputs (2)'!V16</f>
        <v>23065</v>
      </c>
      <c r="AB144" s="12">
        <f>'Inputs (2)'!W16</f>
        <v>23065</v>
      </c>
      <c r="AC144" s="46">
        <f>'Inputs (2)'!X16</f>
        <v>22132</v>
      </c>
      <c r="AD144" s="46">
        <f>'Inputs (2)'!Y16</f>
        <v>27808</v>
      </c>
      <c r="AE144" s="46">
        <f>'Inputs (2)'!Z16</f>
        <v>33391</v>
      </c>
      <c r="AF144" s="46">
        <f>'Inputs (2)'!AA16</f>
        <v>38466</v>
      </c>
      <c r="AG144" s="12">
        <f>'Inputs (2)'!AB16</f>
        <v>38466</v>
      </c>
      <c r="AH144" s="12">
        <f>'Inputs (2)'!AC16</f>
        <v>40710</v>
      </c>
      <c r="AI144" s="12">
        <f>'Inputs (2)'!AD16</f>
        <v>63059</v>
      </c>
      <c r="AJ144" s="12">
        <f>(AJ145/(AJ$5-AI$5))*AJ$15</f>
        <v>56055.7832717038</v>
      </c>
      <c r="AK144" s="12">
        <f>(AK145/(AK$5-AJ$5))*AK$15</f>
        <v>66991.4104997959</v>
      </c>
      <c r="AL144" s="12">
        <f>AK144</f>
        <v>66991.4104997959</v>
      </c>
      <c r="AM144" s="12">
        <f>(AM145/(AM$5-AL$5))*AM$15</f>
        <v>82038.0180562376</v>
      </c>
      <c r="AN144" s="12">
        <f>(AN145/(AN$5-AM$5))*AN$15</f>
        <v>95656.8682072733</v>
      </c>
      <c r="AO144" s="12">
        <f>(AO145/(AO$5-AN$5))*AO$15</f>
        <v>98244.5174865135</v>
      </c>
      <c r="AP144" s="12">
        <f>(AP145/(AP$5-AO$5))*AP$15</f>
        <v>117410.522450333</v>
      </c>
      <c r="AQ144" s="12">
        <f>AP144</f>
        <v>117410.522450333</v>
      </c>
      <c r="AR144" s="12">
        <f>(AR145/(AR$5-AQ$5))*AR$15</f>
        <v>141795.816835763</v>
      </c>
      <c r="AS144" s="12">
        <f>(AS145/(AS$5-AR$5))*AS$15</f>
        <v>167171.908249145</v>
      </c>
      <c r="AT144" s="12">
        <f>(AT145/(AT$5-AS$5))*AT$15</f>
        <v>171694.137295498</v>
      </c>
      <c r="AU144" s="12">
        <f>(AU145/(AU$5-AT$5))*AU$15</f>
        <v>205189.041355829</v>
      </c>
      <c r="AV144" s="12">
        <f>AU144</f>
        <v>205189.041355829</v>
      </c>
      <c r="AW144" s="12">
        <f>(AW145/(AW$5-AV$5))*AW$15</f>
        <v>249841.818247162</v>
      </c>
      <c r="AX144" s="12">
        <f>(AX145/(AX$5-AW$5))*AX$15</f>
        <v>291317.20203615</v>
      </c>
      <c r="AY144" s="12">
        <f>(AY145/(AY$5-AX$5))*AY$15</f>
        <v>299197.731286237</v>
      </c>
      <c r="AZ144" s="12">
        <f>(AZ145/(AZ$5-AY$5))*AZ$15</f>
        <v>357566.639289504</v>
      </c>
      <c r="BA144" s="12">
        <f>AZ144</f>
        <v>357566.639289504</v>
      </c>
      <c r="BB144" s="12">
        <f>(BB145/(BB$5-BA$5))*BB$15</f>
        <v>434130.276646974</v>
      </c>
      <c r="BC144" s="12">
        <f>(BC145/(BC$5-BB$5))*BC$15</f>
        <v>506198.755673733</v>
      </c>
      <c r="BD144" s="12">
        <f>(BD145/(BD$5-BC$5))*BD$15</f>
        <v>519892.125212375</v>
      </c>
      <c r="BE144" s="12">
        <f>(BE145/(BE$5-BD$5))*BE$15</f>
        <v>621315.139008937</v>
      </c>
      <c r="BF144" s="12">
        <f>BE144</f>
        <v>621315.139008937</v>
      </c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hidden="1" outlineLevel="1">
      <c r="C145" s="57" t="inlineStr">
        <is>
          <t>DSO</t>
        </is>
      </c>
      <c r="D145" s="12" t="n"/>
      <c r="E145" s="12" t="n"/>
      <c r="F145" s="12" t="n"/>
      <c r="G145" s="12" t="n"/>
      <c r="H145" s="12" t="n"/>
      <c r="I145" s="12">
        <f>IFERROR((I144/I$15)*(I$5-H$5),"")</f>
        <v>48.0763116057234</v>
      </c>
      <c r="J145" s="12">
        <f>IFERROR((J144/J$15)*(J$5-I$5),"")</f>
        <v>50.1499923159674</v>
      </c>
      <c r="K145" s="12">
        <f>IFERROR((K144/K$15)*(K$5-J$5),"")</f>
        <v>51.2132901590877</v>
      </c>
      <c r="L145" s="12">
        <f>IFERROR((L144/L$15)*(L$5-K$5),"")</f>
        <v>55.9727855554102</v>
      </c>
      <c r="M145" s="12" t="n"/>
      <c r="N145" s="12">
        <f>IFERROR((N144/N$15)*(N$5-M$5),"")</f>
        <v>59.0516409266409</v>
      </c>
      <c r="O145" s="12">
        <f>IFERROR((O144/O$15)*(O$5-N$5),"")</f>
        <v>72.1728818615752</v>
      </c>
      <c r="P145" s="12">
        <f>IFERROR((P144/P$15)*(P$5-O$5),"")</f>
        <v>76.1315123925139</v>
      </c>
      <c r="Q145" s="12">
        <f>IFERROR((Q144/Q$15)*(Q$5-P$5),"")</f>
        <v>58.1860849446373</v>
      </c>
      <c r="R145" s="12" t="n"/>
      <c r="S145" s="12">
        <f>IFERROR((S144/S$15)*(S$5-R$5),"")</f>
        <v>51.0567296996663</v>
      </c>
      <c r="T145" s="12">
        <f>IFERROR((T144/T$15)*(T$5-S$5),"")</f>
        <v>47.6053897978826</v>
      </c>
      <c r="U145" s="12">
        <f>IFERROR((U144/U$15)*(U$5-T$5),"")</f>
        <v>42.1869757174393</v>
      </c>
      <c r="V145" s="12">
        <f>IFERROR((V144/V$15)*(V$5-U$5),"")</f>
        <v>41.6191467221644</v>
      </c>
      <c r="W145" s="12" t="n"/>
      <c r="X145" s="12">
        <f>IFERROR((X144/X$15)*(X$5-W$5),"")</f>
        <v>43.2043848871141</v>
      </c>
      <c r="Y145" s="12">
        <f>IFERROR((Y144/Y$15)*(Y$5-X$5),"")</f>
        <v>42.8099866844208</v>
      </c>
      <c r="Z145" s="12">
        <f>IFERROR((Z144/Z$15)*(Z$5-Y$5),"")</f>
        <v>46.3986089732627</v>
      </c>
      <c r="AA145" s="12">
        <f>IFERROR((AA144/AA$15)*(AA$5-Z$5),"")</f>
        <v>53.9518446009509</v>
      </c>
      <c r="AB145" s="12" t="n"/>
      <c r="AC145" s="12">
        <f>IFERROR((AC144/AC$15)*(AC$5-AB$5),"")</f>
        <v>45.2063002133358</v>
      </c>
      <c r="AD145" s="12">
        <f>IFERROR((AD144/AD$15)*(AD$5-AC$5),"")</f>
        <v>54.137047258413</v>
      </c>
      <c r="AE145" s="12">
        <f>IFERROR((AE144/AE$15)*(AE$5-AD$5),"")</f>
        <v>53.8885731326527</v>
      </c>
      <c r="AF145" s="11">
        <f>IFERROR((AF144/AF$15)*(AF$5-AE$5),"")</f>
        <v>51.9452199568453</v>
      </c>
      <c r="AG145" s="12" t="n"/>
      <c r="AH145" s="11">
        <f>IFERROR((AH144/AH$15)*(AH$5-AG$5),"")</f>
        <v>44.8924829994486</v>
      </c>
      <c r="AI145" s="11">
        <f>IFERROR((AI144/AI$15)*(AI$5-AH$5),"")</f>
        <v>59.6373868490246</v>
      </c>
      <c r="AJ145" s="11">
        <f>Control!$B$25</f>
        <v>51.6178350682867</v>
      </c>
      <c r="AK145" s="11">
        <f>Control!$B$25</f>
        <v>51.6178350682867</v>
      </c>
      <c r="AL145" s="12" t="n"/>
      <c r="AM145" s="11">
        <f>Control!$C$25</f>
        <v>51.6178350682867</v>
      </c>
      <c r="AN145" s="11">
        <f>Control!$C$25</f>
        <v>51.6178350682867</v>
      </c>
      <c r="AO145" s="11">
        <f>Control!$C$25</f>
        <v>51.6178350682867</v>
      </c>
      <c r="AP145" s="11">
        <f>Control!$C$25</f>
        <v>51.6178350682867</v>
      </c>
      <c r="AQ145" s="12" t="n"/>
      <c r="AR145" s="11">
        <f>Control!$D$25</f>
        <v>51.6178350682867</v>
      </c>
      <c r="AS145" s="11">
        <f>Control!$D$25</f>
        <v>51.6178350682867</v>
      </c>
      <c r="AT145" s="11">
        <f>Control!$D$25</f>
        <v>51.6178350682867</v>
      </c>
      <c r="AU145" s="11">
        <f>Control!$D$25</f>
        <v>51.6178350682867</v>
      </c>
      <c r="AV145" s="12" t="n"/>
      <c r="AW145" s="11">
        <f>Control!$E$25</f>
        <v>51.6178350682867</v>
      </c>
      <c r="AX145" s="11">
        <f>Control!$E$25</f>
        <v>51.6178350682867</v>
      </c>
      <c r="AY145" s="11">
        <f>Control!$E$25</f>
        <v>51.6178350682867</v>
      </c>
      <c r="AZ145" s="11">
        <f>Control!$E$25</f>
        <v>51.6178350682867</v>
      </c>
      <c r="BA145" s="12" t="n"/>
      <c r="BB145" s="11">
        <f>Control!$F$25</f>
        <v>51.6178350682867</v>
      </c>
      <c r="BC145" s="11">
        <f>Control!$F$25</f>
        <v>51.6178350682867</v>
      </c>
      <c r="BD145" s="11">
        <f>Control!$F$25</f>
        <v>51.6178350682867</v>
      </c>
      <c r="BE145" s="11">
        <f>Control!$F$25</f>
        <v>51.6178350682867</v>
      </c>
      <c r="BF145" s="12" t="n"/>
      <c r="BG145" s="11" t="n"/>
      <c r="BH145" s="11" t="n"/>
      <c r="BI145" s="11" t="n"/>
      <c r="BJ145" s="11" t="n"/>
      <c r="BK145" s="12" t="n"/>
      <c r="BL145" s="11" t="n"/>
      <c r="BM145" s="11" t="n"/>
      <c r="BN145" s="11" t="n"/>
      <c r="BO145" s="11" t="n"/>
      <c r="BP145" s="12" t="n"/>
      <c r="BQ145" s="11" t="n"/>
      <c r="BR145" s="11" t="n"/>
      <c r="BS145" s="11" t="n"/>
      <c r="BT145" s="11" t="n"/>
      <c r="BU145" s="12" t="n"/>
      <c r="BV145" s="11" t="n"/>
      <c r="BW145" s="11" t="n"/>
      <c r="BX145" s="11" t="n"/>
      <c r="BY145" s="11" t="n"/>
      <c r="BZ145" s="12" t="n"/>
      <c r="CA145" s="11" t="n"/>
      <c r="CB145" s="11" t="n"/>
      <c r="CC145" s="11" t="n"/>
      <c r="CD145" s="11" t="n"/>
      <c r="CE145" s="12" t="n"/>
      <c r="CF145" s="11" t="n"/>
      <c r="CG145" s="11" t="n"/>
      <c r="CH145" s="11" t="n"/>
      <c r="CI145" s="11" t="n"/>
      <c r="CJ145" s="12" t="n"/>
      <c r="CK145" s="11" t="n"/>
      <c r="CL145" s="11" t="n"/>
      <c r="CM145" s="11" t="n"/>
      <c r="CN145" s="11" t="n"/>
      <c r="CO145" s="12" t="n"/>
      <c r="CP145" s="11" t="n"/>
      <c r="CQ145" s="11" t="n"/>
      <c r="CR145" s="11" t="n"/>
      <c r="CS145" s="11" t="n"/>
      <c r="CT145" s="12" t="n"/>
      <c r="CU145" s="11" t="n"/>
      <c r="CV145" s="11" t="n"/>
      <c r="CW145" s="11" t="n"/>
      <c r="CX145" s="11" t="n"/>
      <c r="CY145" s="12" t="n"/>
    </row>
    <row r="146" hidden="1" outlineLevel="1">
      <c r="C146" s="57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 hidden="1" outlineLevel="1">
      <c r="C147" s="57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collapsed="1">
      <c r="C148" s="14" t="inlineStr">
        <is>
          <t>Inventories</t>
        </is>
      </c>
      <c r="D148" s="46" t="n"/>
      <c r="E148" s="46" t="n"/>
      <c r="F148" s="46" t="n"/>
      <c r="G148" s="46" t="n"/>
      <c r="H148" s="12" t="n"/>
      <c r="I148" s="46">
        <f>'Inputs (2)'!D17</f>
        <v>1992</v>
      </c>
      <c r="J148" s="46">
        <f>'Inputs (2)'!E17</f>
        <v>2114</v>
      </c>
      <c r="K148" s="46">
        <f>'Inputs (2)'!F17</f>
        <v>2233</v>
      </c>
      <c r="L148" s="46">
        <f>'Inputs (2)'!G17</f>
        <v>2605</v>
      </c>
      <c r="M148" s="12">
        <f>'Inputs (2)'!H17</f>
        <v>2605</v>
      </c>
      <c r="N148" s="46">
        <f>'Inputs (2)'!I17</f>
        <v>3163</v>
      </c>
      <c r="O148" s="46">
        <f>'Inputs (2)'!J17</f>
        <v>3889</v>
      </c>
      <c r="P148" s="46">
        <f>'Inputs (2)'!K17</f>
        <v>4454</v>
      </c>
      <c r="Q148" s="46">
        <f>'Inputs (2)'!L17</f>
        <v>5159</v>
      </c>
      <c r="R148" s="12">
        <f>'Inputs (2)'!M17</f>
        <v>5159</v>
      </c>
      <c r="S148" s="46">
        <f>'Inputs (2)'!N17</f>
        <v>4611</v>
      </c>
      <c r="T148" s="46">
        <f>'Inputs (2)'!O17</f>
        <v>4319</v>
      </c>
      <c r="U148" s="46">
        <f>'Inputs (2)'!P17</f>
        <v>4779</v>
      </c>
      <c r="V148" s="46">
        <f>'Inputs (2)'!Q17</f>
        <v>5282</v>
      </c>
      <c r="W148" s="12">
        <f>'Inputs (2)'!R17</f>
        <v>5282</v>
      </c>
      <c r="X148" s="46">
        <f>'Inputs (2)'!S17</f>
        <v>5864</v>
      </c>
      <c r="Y148" s="46">
        <f>'Inputs (2)'!T17</f>
        <v>6675</v>
      </c>
      <c r="Z148" s="46">
        <f>'Inputs (2)'!U17</f>
        <v>7654</v>
      </c>
      <c r="AA148" s="46">
        <f>'Inputs (2)'!V17</f>
        <v>10080</v>
      </c>
      <c r="AB148" s="12">
        <f>'Inputs (2)'!W17</f>
        <v>10080</v>
      </c>
      <c r="AC148" s="46">
        <f>'Inputs (2)'!X17</f>
        <v>11333</v>
      </c>
      <c r="AD148" s="46">
        <f>'Inputs (2)'!Y17</f>
        <v>14962</v>
      </c>
      <c r="AE148" s="46">
        <f>'Inputs (2)'!Z17</f>
        <v>19784</v>
      </c>
      <c r="AF148" s="46">
        <f>'Inputs (2)'!AA17</f>
        <v>21403</v>
      </c>
      <c r="AG148" s="12">
        <f>'Inputs (2)'!AB17</f>
        <v>21403</v>
      </c>
      <c r="AH148" s="12">
        <f>'Inputs (2)'!AC17</f>
        <v>25797</v>
      </c>
      <c r="AI148" s="12">
        <f>'Inputs (2)'!AD17</f>
        <v>31575</v>
      </c>
      <c r="AJ148" s="12">
        <f>(AJ149/(AJ$5-AI$5))*-AJ$53</f>
        <v>32208.2484623374</v>
      </c>
      <c r="AK148" s="12">
        <f>(AK149/(AK$5-AJ$5))*-AK$53</f>
        <v>38491.585850501</v>
      </c>
      <c r="AL148" s="12">
        <f>AK148</f>
        <v>38491.585850501</v>
      </c>
      <c r="AM148" s="12">
        <f>(AM149/(AM$5-AL$5))*-AM$53</f>
        <v>47136.9895253399</v>
      </c>
      <c r="AN148" s="12">
        <f>(AN149/(AN$5-AM$5))*-AN$53</f>
        <v>54962.0395707528</v>
      </c>
      <c r="AO148" s="12">
        <f>(AO149/(AO$5-AN$5))*-AO$53</f>
        <v>56448.8380071458</v>
      </c>
      <c r="AP148" s="12">
        <f>(AP149/(AP$5-AO$5))*-AP$53</f>
        <v>67461.1442113606</v>
      </c>
      <c r="AQ148" s="12">
        <f>AP148</f>
        <v>67461.1442113606</v>
      </c>
      <c r="AR148" s="12">
        <f>(AR149/(AR$5-AQ$5))*-AR$53</f>
        <v>81472.323336024</v>
      </c>
      <c r="AS148" s="12">
        <f>(AS149/(AS$5-AR$5))*-AS$53</f>
        <v>96052.789606268</v>
      </c>
      <c r="AT148" s="12">
        <f>(AT149/(AT$5-AS$5))*-AT$53</f>
        <v>98651.1491015329</v>
      </c>
      <c r="AU148" s="12">
        <f>(AU149/(AU$5-AT$5))*-AU$53</f>
        <v>117896.481683334</v>
      </c>
      <c r="AV148" s="12">
        <f>AU148</f>
        <v>117896.481683334</v>
      </c>
      <c r="AW148" s="12">
        <f>(AW149/(AW$5-AV$5))*-AW$53</f>
        <v>143552.84840786</v>
      </c>
      <c r="AX148" s="12">
        <f>(AX149/(AX$5-AW$5))*-AX$53</f>
        <v>167383.564672614</v>
      </c>
      <c r="AY148" s="12">
        <f>(AY149/(AY$5-AX$5))*-AY$53</f>
        <v>171911.519315068</v>
      </c>
      <c r="AZ148" s="12">
        <f>(AZ149/(AZ$5-AY$5))*-AZ$53</f>
        <v>205448.831287543</v>
      </c>
      <c r="BA148" s="12">
        <f>AZ148</f>
        <v>205448.831287543</v>
      </c>
      <c r="BB148" s="12">
        <f>(BB149/(BB$5-BA$5))*-BB$53</f>
        <v>249440.378836473</v>
      </c>
      <c r="BC148" s="12">
        <f>(BC149/(BC$5-BB$5))*-BC$53</f>
        <v>290849.121045028</v>
      </c>
      <c r="BD148" s="12">
        <f>(BD149/(BD$5-BC$5))*-BD$53</f>
        <v>298716.988063306</v>
      </c>
      <c r="BE148" s="12">
        <f>(BE149/(BE$5-BD$5))*-BE$53</f>
        <v>356992.110405727</v>
      </c>
      <c r="BF148" s="12">
        <f>BE148</f>
        <v>356992.110405727</v>
      </c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hidden="1" outlineLevel="1">
      <c r="C149" s="57" t="inlineStr">
        <is>
          <t>DIO</t>
        </is>
      </c>
      <c r="D149" s="12" t="n"/>
      <c r="E149" s="12" t="n"/>
      <c r="F149" s="12" t="n"/>
      <c r="G149" s="12" t="n"/>
      <c r="H149" s="12" t="n"/>
      <c r="I149" s="12">
        <f>IFERROR(((I148/I$53)*(I$5-H$5))*-1,"")</f>
        <v>88.2283464566929</v>
      </c>
      <c r="J149" s="12">
        <f>IFERROR(((J148/J$53)*(J$5-I$5))*-1,"")</f>
        <v>83.9328097731239</v>
      </c>
      <c r="K149" s="12">
        <f>IFERROR(((K148/K$53)*(K$5-J$5))*-1,"")</f>
        <v>83.1051779935275</v>
      </c>
      <c r="L149" s="12">
        <f>IFERROR(((L148/L$53)*(L$5-K$5))*-1,"")</f>
        <v>90.642965204236</v>
      </c>
      <c r="M149" s="12" t="n"/>
      <c r="N149" s="12">
        <f>IFERROR(((N148/N$53)*(N$5-M$5))*-1,"")</f>
        <v>99.6394819740987</v>
      </c>
      <c r="O149" s="12">
        <f>IFERROR(((O148/O$53)*(O$5-N$5))*-1,"")</f>
        <v>93.4016891000264</v>
      </c>
      <c r="P149" s="12">
        <f>IFERROR(((P148/P$53)*(P$5-O$5))*-1,"")</f>
        <v>148.79012345679</v>
      </c>
      <c r="Q149" s="12">
        <f>IFERROR(((Q148/Q$53)*(Q$5-P$5))*-1,"")</f>
        <v>213.989179440938</v>
      </c>
      <c r="R149" s="12" t="n"/>
      <c r="S149" s="12">
        <f>IFERROR(((S148/S$53)*(S$5-R$5))*-1,"")</f>
        <v>163.125</v>
      </c>
      <c r="T149" s="12">
        <f>IFERROR(((T148/T$53)*(T$5-S$5))*-1,"")</f>
        <v>97.1641532756489</v>
      </c>
      <c r="U149" s="12">
        <f>IFERROR(((U148/U$53)*(U$5-T$5))*-1,"")</f>
        <v>93.15</v>
      </c>
      <c r="V149" s="12">
        <f>IFERROR(((V148/V$53)*(V$5-U$5))*-1,"")</f>
        <v>91.480421686747</v>
      </c>
      <c r="W149" s="12" t="n"/>
      <c r="X149" s="12">
        <f>IFERROR(((X148/X$53)*(X$5-W$5))*-1,"")</f>
        <v>94.647747428166</v>
      </c>
      <c r="Y149" s="12">
        <f>IFERROR(((Y148/Y$53)*(Y$5-X$5))*-1,"")</f>
        <v>81.3588266809537</v>
      </c>
      <c r="Z149" s="12">
        <f>IFERROR(((Z148/Z$53)*(Z$5-Y$5))*-1,"")</f>
        <v>78.8895361864217</v>
      </c>
      <c r="AA149" s="12">
        <f>IFERROR(((AA148/AA$53)*(AA$5-Z$5))*-1,"")</f>
        <v>87.420814479638</v>
      </c>
      <c r="AB149" s="12" t="n"/>
      <c r="AC149" s="12">
        <f>IFERROR(((AC148/AC$53)*(AC$5-AB$5))*-1,"")</f>
        <v>58.6391859261815</v>
      </c>
      <c r="AD149" s="12">
        <f>IFERROR(((AD148/AD$53)*(AD$5-AC$5))*-1,"")</f>
        <v>105.627773467805</v>
      </c>
      <c r="AE149" s="12">
        <f>IFERROR(((AE148/AE$53)*(AE$5-AD$5))*-1,"")</f>
        <v>120.08497723824</v>
      </c>
      <c r="AF149" s="11">
        <f>IFERROR(((AF148/AF$53)*(AF$5-AE$5))*-1,"")</f>
        <v>115.596806387226</v>
      </c>
      <c r="AG149" s="12" t="n"/>
      <c r="AH149" s="11">
        <f>IFERROR(((AH148/AH$53)*(AH$5-AG$5))*-1,"")</f>
        <v>113.487633199726</v>
      </c>
      <c r="AI149" s="11">
        <f>IFERROR(((AI148/AI$53)*(AI$5-AH$5))*-1,"")</f>
        <v>119.329083433697</v>
      </c>
      <c r="AJ149" s="11">
        <f>Control!$B$26</f>
        <v>105.460909942146</v>
      </c>
      <c r="AK149" s="11">
        <f>Control!$B$26</f>
        <v>105.460909942146</v>
      </c>
      <c r="AL149" s="12" t="n"/>
      <c r="AM149" s="11">
        <f>Control!$C$26</f>
        <v>105.460909942146</v>
      </c>
      <c r="AN149" s="11">
        <f>Control!$C$26</f>
        <v>105.460909942146</v>
      </c>
      <c r="AO149" s="11">
        <f>Control!$C$26</f>
        <v>105.460909942146</v>
      </c>
      <c r="AP149" s="11">
        <f>Control!$C$26</f>
        <v>105.460909942146</v>
      </c>
      <c r="AQ149" s="12" t="n"/>
      <c r="AR149" s="11">
        <f>Control!$D$26</f>
        <v>105.460909942146</v>
      </c>
      <c r="AS149" s="11">
        <f>Control!$D$26</f>
        <v>105.460909942146</v>
      </c>
      <c r="AT149" s="11">
        <f>Control!$D$26</f>
        <v>105.460909942146</v>
      </c>
      <c r="AU149" s="11">
        <f>Control!$D$26</f>
        <v>105.460909942146</v>
      </c>
      <c r="AV149" s="12" t="n"/>
      <c r="AW149" s="11">
        <f>Control!$E$26</f>
        <v>105.460909942146</v>
      </c>
      <c r="AX149" s="11">
        <f>Control!$E$26</f>
        <v>105.460909942146</v>
      </c>
      <c r="AY149" s="11">
        <f>Control!$E$26</f>
        <v>105.460909942146</v>
      </c>
      <c r="AZ149" s="11">
        <f>Control!$E$26</f>
        <v>105.460909942146</v>
      </c>
      <c r="BA149" s="12" t="n"/>
      <c r="BB149" s="11">
        <f>Control!$F$26</f>
        <v>105.460909942146</v>
      </c>
      <c r="BC149" s="11">
        <f>Control!$F$26</f>
        <v>105.460909942146</v>
      </c>
      <c r="BD149" s="11">
        <f>Control!$F$26</f>
        <v>105.460909942146</v>
      </c>
      <c r="BE149" s="11">
        <f>Control!$F$26</f>
        <v>105.460909942146</v>
      </c>
      <c r="BF149" s="12" t="n"/>
      <c r="BG149" s="11" t="n"/>
      <c r="BH149" s="11" t="n"/>
      <c r="BI149" s="11" t="n"/>
      <c r="BJ149" s="11" t="n"/>
      <c r="BK149" s="12" t="n"/>
      <c r="BL149" s="11" t="n"/>
      <c r="BM149" s="11" t="n"/>
      <c r="BN149" s="11" t="n"/>
      <c r="BO149" s="11" t="n"/>
      <c r="BP149" s="12" t="n"/>
      <c r="BQ149" s="11" t="n"/>
      <c r="BR149" s="11" t="n"/>
      <c r="BS149" s="11" t="n"/>
      <c r="BT149" s="11" t="n"/>
      <c r="BU149" s="12" t="n"/>
      <c r="BV149" s="11" t="n"/>
      <c r="BW149" s="11" t="n"/>
      <c r="BX149" s="11" t="n"/>
      <c r="BY149" s="11" t="n"/>
      <c r="BZ149" s="12" t="n"/>
      <c r="CA149" s="11" t="n"/>
      <c r="CB149" s="11" t="n"/>
      <c r="CC149" s="11" t="n"/>
      <c r="CD149" s="11" t="n"/>
      <c r="CE149" s="12" t="n"/>
      <c r="CF149" s="11" t="n"/>
      <c r="CG149" s="11" t="n"/>
      <c r="CH149" s="11" t="n"/>
      <c r="CI149" s="11" t="n"/>
      <c r="CJ149" s="12" t="n"/>
      <c r="CK149" s="11" t="n"/>
      <c r="CL149" s="11" t="n"/>
      <c r="CM149" s="11" t="n"/>
      <c r="CN149" s="11" t="n"/>
      <c r="CO149" s="12" t="n"/>
      <c r="CP149" s="11" t="n"/>
      <c r="CQ149" s="11" t="n"/>
      <c r="CR149" s="11" t="n"/>
      <c r="CS149" s="11" t="n"/>
      <c r="CT149" s="12" t="n"/>
      <c r="CU149" s="11" t="n"/>
      <c r="CV149" s="11" t="n"/>
      <c r="CW149" s="11" t="n"/>
      <c r="CX149" s="11" t="n"/>
      <c r="CY149" s="12" t="n"/>
    </row>
    <row r="150" hidden="1" outlineLevel="1">
      <c r="C150" s="57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57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collapsed="1">
      <c r="C152" s="14" t="inlineStr">
        <is>
          <t>Deferred income taxes</t>
        </is>
      </c>
      <c r="D152" s="46" t="n"/>
      <c r="E152" s="46" t="n"/>
      <c r="F152" s="46" t="n"/>
      <c r="G152" s="46" t="n"/>
      <c r="H152" s="12" t="n"/>
      <c r="I152" s="46">
        <f>'Inputs (2)'!D18</f>
        <v>778</v>
      </c>
      <c r="J152" s="46">
        <f>'Inputs (2)'!E18</f>
        <v>958</v>
      </c>
      <c r="K152" s="46">
        <f>'Inputs (2)'!F18</f>
        <v>970</v>
      </c>
      <c r="L152" s="46">
        <f>'Inputs (2)'!G18</f>
        <v>1222</v>
      </c>
      <c r="M152" s="12">
        <f>'Inputs (2)'!H18</f>
        <v>1222</v>
      </c>
      <c r="N152" s="46">
        <f>'Inputs (2)'!I18</f>
        <v>1784</v>
      </c>
      <c r="O152" s="46">
        <f>'Inputs (2)'!J18</f>
        <v>2225</v>
      </c>
      <c r="P152" s="46">
        <f>'Inputs (2)'!K18</f>
        <v>2762</v>
      </c>
      <c r="Q152" s="46">
        <f>'Inputs (2)'!L18</f>
        <v>3396</v>
      </c>
      <c r="R152" s="12">
        <f>'Inputs (2)'!M18</f>
        <v>3396</v>
      </c>
      <c r="S152" s="46">
        <f>'Inputs (2)'!N18</f>
        <v>4568</v>
      </c>
      <c r="T152" s="46">
        <f>'Inputs (2)'!O18</f>
        <v>5398</v>
      </c>
      <c r="U152" s="46">
        <f>'Inputs (2)'!P18</f>
        <v>5982</v>
      </c>
      <c r="V152" s="46">
        <f>'Inputs (2)'!Q18</f>
        <v>6081</v>
      </c>
      <c r="W152" s="12">
        <f>'Inputs (2)'!R18</f>
        <v>6081</v>
      </c>
      <c r="X152" s="46">
        <f>'Inputs (2)'!S18</f>
        <v>7798</v>
      </c>
      <c r="Y152" s="46">
        <f>'Inputs (2)'!T18</f>
        <v>9578</v>
      </c>
      <c r="Z152" s="46">
        <f>'Inputs (2)'!U18</f>
        <v>10276</v>
      </c>
      <c r="AA152" s="46">
        <f>'Inputs (2)'!V18</f>
        <v>10979</v>
      </c>
      <c r="AB152" s="12">
        <f>'Inputs (2)'!W18</f>
        <v>10979</v>
      </c>
      <c r="AC152" s="46">
        <f>'Inputs (2)'!X18</f>
        <v>13318</v>
      </c>
      <c r="AD152" s="46">
        <f>'Inputs (2)'!Y18</f>
        <v>13570</v>
      </c>
      <c r="AE152" s="46">
        <f>'Inputs (2)'!Z18</f>
        <v>13674</v>
      </c>
      <c r="AF152" s="46">
        <f>'Inputs (2)'!AA18</f>
        <v>13258</v>
      </c>
      <c r="AG152" s="12">
        <f>'Inputs (2)'!AB18</f>
        <v>13258</v>
      </c>
      <c r="AH152" s="12">
        <f>'Inputs (2)'!AC18</f>
        <v>11707</v>
      </c>
      <c r="AI152" s="12">
        <f>'Inputs (2)'!AD18</f>
        <v>12159</v>
      </c>
      <c r="AJ152" s="12">
        <f>AI152</f>
        <v>12159</v>
      </c>
      <c r="AK152" s="12">
        <f>AJ152</f>
        <v>12159</v>
      </c>
      <c r="AL152" s="12">
        <f>AK152</f>
        <v>12159</v>
      </c>
      <c r="AM152" s="12">
        <f>AL152</f>
        <v>12159</v>
      </c>
      <c r="AN152" s="12">
        <f>AM152</f>
        <v>12159</v>
      </c>
      <c r="AO152" s="12">
        <f>AN152</f>
        <v>12159</v>
      </c>
      <c r="AP152" s="12">
        <f>AO152</f>
        <v>12159</v>
      </c>
      <c r="AQ152" s="12">
        <f>AP152</f>
        <v>12159</v>
      </c>
      <c r="AR152" s="12">
        <f>AQ152</f>
        <v>12159</v>
      </c>
      <c r="AS152" s="12">
        <f>AR152</f>
        <v>12159</v>
      </c>
      <c r="AT152" s="12">
        <f>AS152</f>
        <v>12159</v>
      </c>
      <c r="AU152" s="12">
        <f>AT152</f>
        <v>12159</v>
      </c>
      <c r="AV152" s="12">
        <f>AU152</f>
        <v>12159</v>
      </c>
      <c r="AW152" s="12">
        <f>AV152</f>
        <v>12159</v>
      </c>
      <c r="AX152" s="12">
        <f>AW152</f>
        <v>12159</v>
      </c>
      <c r="AY152" s="12">
        <f>AX152</f>
        <v>12159</v>
      </c>
      <c r="AZ152" s="12">
        <f>AY152</f>
        <v>12159</v>
      </c>
      <c r="BA152" s="12">
        <f>AZ152</f>
        <v>12159</v>
      </c>
      <c r="BB152" s="12">
        <f>BA152</f>
        <v>12159</v>
      </c>
      <c r="BC152" s="12">
        <f>BB152</f>
        <v>12159</v>
      </c>
      <c r="BD152" s="12">
        <f>BC152</f>
        <v>12159</v>
      </c>
      <c r="BE152" s="12">
        <f>BD152</f>
        <v>12159</v>
      </c>
      <c r="BF152" s="12">
        <f>BE152</f>
        <v>12159</v>
      </c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>
      <c r="C153" s="14" t="inlineStr">
        <is>
          <t>Prepaid expenses</t>
        </is>
      </c>
      <c r="D153" s="46" t="n"/>
      <c r="E153" s="46" t="n"/>
      <c r="F153" s="46" t="n"/>
      <c r="G153" s="46" t="n"/>
      <c r="H153" s="12" t="n"/>
      <c r="I153" s="46">
        <f>'Inputs (2)'!D19</f>
        <v>0</v>
      </c>
      <c r="J153" s="46">
        <f>'Inputs (2)'!E19</f>
        <v>0</v>
      </c>
      <c r="K153" s="46">
        <f>'Inputs (2)'!F19</f>
        <v>0</v>
      </c>
      <c r="L153" s="46">
        <f>'Inputs (2)'!G19</f>
        <v>0</v>
      </c>
      <c r="M153" s="12">
        <f>'Inputs (2)'!H19</f>
        <v>0</v>
      </c>
      <c r="N153" s="46">
        <f>'Inputs (2)'!I19</f>
        <v>0</v>
      </c>
      <c r="O153" s="46">
        <f>'Inputs (2)'!J19</f>
        <v>0</v>
      </c>
      <c r="P153" s="46">
        <f>'Inputs (2)'!K19</f>
        <v>0</v>
      </c>
      <c r="Q153" s="46">
        <f>'Inputs (2)'!L19</f>
        <v>0</v>
      </c>
      <c r="R153" s="12">
        <f>'Inputs (2)'!M19</f>
        <v>0</v>
      </c>
      <c r="S153" s="46">
        <f>'Inputs (2)'!N19</f>
        <v>0</v>
      </c>
      <c r="T153" s="46">
        <f>'Inputs (2)'!O19</f>
        <v>0</v>
      </c>
      <c r="U153" s="46">
        <f>'Inputs (2)'!P19</f>
        <v>0</v>
      </c>
      <c r="V153" s="46">
        <f>'Inputs (2)'!Q19</f>
        <v>0</v>
      </c>
      <c r="W153" s="12">
        <f>'Inputs (2)'!R19</f>
        <v>0</v>
      </c>
      <c r="X153" s="46">
        <f>'Inputs (2)'!S19</f>
        <v>0</v>
      </c>
      <c r="Y153" s="46">
        <f>'Inputs (2)'!T19</f>
        <v>0</v>
      </c>
      <c r="Z153" s="46">
        <f>'Inputs (2)'!U19</f>
        <v>0</v>
      </c>
      <c r="AA153" s="46">
        <f>'Inputs (2)'!V19</f>
        <v>0</v>
      </c>
      <c r="AB153" s="12">
        <f>'Inputs (2)'!W19</f>
        <v>0</v>
      </c>
      <c r="AC153" s="46">
        <f>'Inputs (2)'!X19</f>
        <v>0</v>
      </c>
      <c r="AD153" s="46">
        <f>'Inputs (2)'!Y19</f>
        <v>0</v>
      </c>
      <c r="AE153" s="46">
        <f>'Inputs (2)'!Z19</f>
        <v>0</v>
      </c>
      <c r="AF153" s="46">
        <f>'Inputs (2)'!AA19</f>
        <v>0</v>
      </c>
      <c r="AG153" s="12">
        <f>'Inputs (2)'!AB19</f>
        <v>0</v>
      </c>
      <c r="AH153" s="12">
        <f>'Inputs (2)'!AC19</f>
        <v>0</v>
      </c>
      <c r="AI153" s="12">
        <f>'Inputs (2)'!AD19</f>
        <v>0</v>
      </c>
      <c r="AJ153" s="12">
        <f>AI153</f>
        <v>0</v>
      </c>
      <c r="AK153" s="12">
        <f>AJ153</f>
        <v>0</v>
      </c>
      <c r="AL153" s="12">
        <f>AK153</f>
        <v>0</v>
      </c>
      <c r="AM153" s="12">
        <f>AL153</f>
        <v>0</v>
      </c>
      <c r="AN153" s="12">
        <f>AM153</f>
        <v>0</v>
      </c>
      <c r="AO153" s="12">
        <f>AN153</f>
        <v>0</v>
      </c>
      <c r="AP153" s="12">
        <f>AO153</f>
        <v>0</v>
      </c>
      <c r="AQ153" s="12">
        <f>AP153</f>
        <v>0</v>
      </c>
      <c r="AR153" s="12">
        <f>AQ153</f>
        <v>0</v>
      </c>
      <c r="AS153" s="12">
        <f>AR153</f>
        <v>0</v>
      </c>
      <c r="AT153" s="12">
        <f>AS153</f>
        <v>0</v>
      </c>
      <c r="AU153" s="12">
        <f>AT153</f>
        <v>0</v>
      </c>
      <c r="AV153" s="12">
        <f>AU153</f>
        <v>0</v>
      </c>
      <c r="AW153" s="12">
        <f>AV153</f>
        <v>0</v>
      </c>
      <c r="AX153" s="12">
        <f>AW153</f>
        <v>0</v>
      </c>
      <c r="AY153" s="12">
        <f>AX153</f>
        <v>0</v>
      </c>
      <c r="AZ153" s="12">
        <f>AY153</f>
        <v>0</v>
      </c>
      <c r="BA153" s="12">
        <f>AZ153</f>
        <v>0</v>
      </c>
      <c r="BB153" s="12">
        <f>BA153</f>
        <v>0</v>
      </c>
      <c r="BC153" s="12">
        <f>BB153</f>
        <v>0</v>
      </c>
      <c r="BD153" s="12">
        <f>BC153</f>
        <v>0</v>
      </c>
      <c r="BE153" s="12">
        <f>BD153</f>
        <v>0</v>
      </c>
      <c r="BF153" s="12">
        <f>BE153</f>
        <v>0</v>
      </c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>
      <c r="C154" s="14" t="inlineStr">
        <is>
          <t>Other current assets</t>
        </is>
      </c>
      <c r="D154" s="46" t="n"/>
      <c r="E154" s="46" t="n"/>
      <c r="F154" s="46" t="n"/>
      <c r="G154" s="46" t="n"/>
      <c r="H154" s="12" t="n"/>
      <c r="I154" s="46">
        <f>'Inputs (2)'!D20</f>
        <v>444</v>
      </c>
      <c r="J154" s="46">
        <f>'Inputs (2)'!E20</f>
        <v>452</v>
      </c>
      <c r="K154" s="46">
        <f>'Inputs (2)'!F20</f>
        <v>321</v>
      </c>
      <c r="L154" s="46">
        <f>'Inputs (2)'!G20</f>
        <v>366</v>
      </c>
      <c r="M154" s="12">
        <f>'Inputs (2)'!H20</f>
        <v>366</v>
      </c>
      <c r="N154" s="46">
        <f>'Inputs (2)'!I20</f>
        <v>636</v>
      </c>
      <c r="O154" s="46">
        <f>'Inputs (2)'!J20</f>
        <v>1175</v>
      </c>
      <c r="P154" s="46">
        <f>'Inputs (2)'!K20</f>
        <v>718</v>
      </c>
      <c r="Q154" s="46">
        <f>'Inputs (2)'!L20</f>
        <v>791</v>
      </c>
      <c r="R154" s="12">
        <f>'Inputs (2)'!M20</f>
        <v>791</v>
      </c>
      <c r="S154" s="46">
        <f>'Inputs (2)'!N20</f>
        <v>872</v>
      </c>
      <c r="T154" s="46">
        <f>'Inputs (2)'!O20</f>
        <v>1389</v>
      </c>
      <c r="U154" s="46">
        <f>'Inputs (2)'!P20</f>
        <v>1289</v>
      </c>
      <c r="V154" s="46">
        <f>'Inputs (2)'!Q20</f>
        <v>3080</v>
      </c>
      <c r="W154" s="12">
        <f>'Inputs (2)'!R20</f>
        <v>3080</v>
      </c>
      <c r="X154" s="46">
        <f>'Inputs (2)'!S20</f>
        <v>4062</v>
      </c>
      <c r="Y154" s="46">
        <f>'Inputs (2)'!T20</f>
        <v>4026</v>
      </c>
      <c r="Z154" s="46">
        <f>'Inputs (2)'!U20</f>
        <v>3806</v>
      </c>
      <c r="AA154" s="46">
        <f>'Inputs (2)'!V20</f>
        <v>3771</v>
      </c>
      <c r="AB154" s="12">
        <f>'Inputs (2)'!W20</f>
        <v>3771</v>
      </c>
      <c r="AC154" s="46">
        <f>'Inputs (2)'!X20</f>
        <v>2779</v>
      </c>
      <c r="AD154" s="46">
        <f>'Inputs (2)'!Y20</f>
        <v>2658</v>
      </c>
      <c r="AE154" s="46">
        <f>'Inputs (2)'!Z20</f>
        <v>2709</v>
      </c>
      <c r="AF154" s="46">
        <f>'Inputs (2)'!AA20</f>
        <v>16066</v>
      </c>
      <c r="AG154" s="12">
        <f>'Inputs (2)'!AB20</f>
        <v>16066</v>
      </c>
      <c r="AH154" s="12">
        <f>'Inputs (2)'!AC20</f>
        <v>34153</v>
      </c>
      <c r="AI154" s="12">
        <f>'Inputs (2)'!AD20</f>
        <v>46192</v>
      </c>
      <c r="AJ154" s="12">
        <f>AI154</f>
        <v>46192</v>
      </c>
      <c r="AK154" s="12">
        <f>AJ154</f>
        <v>46192</v>
      </c>
      <c r="AL154" s="12">
        <f>AK154</f>
        <v>46192</v>
      </c>
      <c r="AM154" s="12">
        <f>AL154</f>
        <v>46192</v>
      </c>
      <c r="AN154" s="12">
        <f>AM154</f>
        <v>46192</v>
      </c>
      <c r="AO154" s="12">
        <f>AN154</f>
        <v>46192</v>
      </c>
      <c r="AP154" s="12">
        <f>AO154</f>
        <v>46192</v>
      </c>
      <c r="AQ154" s="12">
        <f>AP154</f>
        <v>46192</v>
      </c>
      <c r="AR154" s="12">
        <f>AQ154</f>
        <v>46192</v>
      </c>
      <c r="AS154" s="12">
        <f>AR154</f>
        <v>46192</v>
      </c>
      <c r="AT154" s="12">
        <f>AS154</f>
        <v>46192</v>
      </c>
      <c r="AU154" s="12">
        <f>AT154</f>
        <v>46192</v>
      </c>
      <c r="AV154" s="12">
        <f>AU154</f>
        <v>46192</v>
      </c>
      <c r="AW154" s="12">
        <f>AV154</f>
        <v>46192</v>
      </c>
      <c r="AX154" s="12">
        <f>AW154</f>
        <v>46192</v>
      </c>
      <c r="AY154" s="12">
        <f>AX154</f>
        <v>46192</v>
      </c>
      <c r="AZ154" s="12">
        <f>AY154</f>
        <v>46192</v>
      </c>
      <c r="BA154" s="12">
        <f>AZ154</f>
        <v>46192</v>
      </c>
      <c r="BB154" s="12">
        <f>BA154</f>
        <v>46192</v>
      </c>
      <c r="BC154" s="12">
        <f>BB154</f>
        <v>46192</v>
      </c>
      <c r="BD154" s="12">
        <f>BC154</f>
        <v>46192</v>
      </c>
      <c r="BE154" s="12">
        <f>BD154</f>
        <v>46192</v>
      </c>
      <c r="BF154" s="12">
        <f>BE154</f>
        <v>46192</v>
      </c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59" t="inlineStr">
        <is>
          <t>%(Var.)</t>
        </is>
      </c>
      <c r="D155" s="12" t="n"/>
      <c r="E155" s="40" t="n"/>
      <c r="F155" s="40" t="n"/>
      <c r="G155" s="40" t="n"/>
      <c r="H155" s="12" t="n"/>
      <c r="I155" s="40" t="str">
        <f>""</f>
        <v/>
      </c>
      <c r="J155" s="40">
        <f>IFERROR(IF(I154=0,"",J154/I154-1),"")</f>
        <v>0.0180180180180181</v>
      </c>
      <c r="K155" s="40">
        <f>IFERROR(IF(J154=0,"",K154/J154-1),"")</f>
        <v>-0.289823008849558</v>
      </c>
      <c r="L155" s="40">
        <f>IFERROR(IF(K154=0,"",L154/K154-1),"")</f>
        <v>0.14018691588785</v>
      </c>
      <c r="M155" s="12">
        <f>IFERROR(IF(L154=0,"",M154/L154-1),"")</f>
        <v>0</v>
      </c>
      <c r="N155" s="40">
        <f>IFERROR(IF(M154=0,"",N154/M154-1),"")</f>
        <v>0.737704918032787</v>
      </c>
      <c r="O155" s="40">
        <f>IFERROR(IF(N154=0,"",O154/N154-1),"")</f>
        <v>0.84748427672956</v>
      </c>
      <c r="P155" s="40">
        <f>IFERROR(IF(O154=0,"",P154/O154-1),"")</f>
        <v>-0.388936170212766</v>
      </c>
      <c r="Q155" s="40">
        <f>IFERROR(IF(P154=0,"",Q154/P154-1),"")</f>
        <v>0.101671309192201</v>
      </c>
      <c r="R155" s="12">
        <f>IFERROR(IF(Q154=0,"",R154/Q154-1),"")</f>
        <v>0</v>
      </c>
      <c r="S155" s="40">
        <f>IFERROR(IF(R154=0,"",S154/R154-1),"")</f>
        <v>0.102402022756005</v>
      </c>
      <c r="T155" s="40">
        <f>IFERROR(IF(S154=0,"",T154/S154-1),"")</f>
        <v>0.592889908256881</v>
      </c>
      <c r="U155" s="40">
        <f>IFERROR(IF(T154=0,"",U154/T154-1),"")</f>
        <v>-0.0719942404607632</v>
      </c>
      <c r="V155" s="40">
        <f>IFERROR(IF(U154=0,"",V154/U154-1),"")</f>
        <v>1.38944918541505</v>
      </c>
      <c r="W155" s="12">
        <f>IFERROR(IF(V154=0,"",W154/V154-1),"")</f>
        <v>0</v>
      </c>
      <c r="X155" s="40">
        <f>IFERROR(IF(W154=0,"",X154/W154-1),"")</f>
        <v>0.318831168831169</v>
      </c>
      <c r="Y155" s="40">
        <f>IFERROR(IF(X154=0,"",Y154/X154-1),"")</f>
        <v>-0.00886262924667647</v>
      </c>
      <c r="Z155" s="40">
        <f>IFERROR(IF(Y154=0,"",Z154/Y154-1),"")</f>
        <v>-0.0546448087431694</v>
      </c>
      <c r="AA155" s="40">
        <f>IFERROR(IF(Z154=0,"",AA154/Z154-1),"")</f>
        <v>-0.00919600630583295</v>
      </c>
      <c r="AB155" s="12">
        <f>IFERROR(IF(AA154=0,"",AB154/AA154-1),"")</f>
        <v>0</v>
      </c>
      <c r="AC155" s="40">
        <f>IFERROR(IF(AB154=0,"",AC154/AB154-1),"")</f>
        <v>-0.263060196234421</v>
      </c>
      <c r="AD155" s="40">
        <f>IFERROR(IF(AC154=0,"",AD154/AC154-1),"")</f>
        <v>-0.043540842029507</v>
      </c>
      <c r="AE155" s="40">
        <f>IFERROR(IF(AD154=0,"",AE154/AD154-1),"")</f>
        <v>0.0191873589164786</v>
      </c>
      <c r="AF155" s="55">
        <f>IFERROR(IF(AE154=0,"",AF154/AE154-1),"")</f>
        <v>4.93060169804356</v>
      </c>
      <c r="AG155" s="12">
        <f>IFERROR(IF(AF154=0,"",AG154/AF154-1),"")</f>
        <v>0</v>
      </c>
      <c r="AH155" s="12">
        <f>IFERROR(IF(AG154=0,"",AH154/AG154-1),"")</f>
        <v>1.12579360139425</v>
      </c>
      <c r="AI155" s="12">
        <f>IFERROR(IF(AH154=0,"",AI154/AH154-1),"")</f>
        <v>0.352501976400316</v>
      </c>
      <c r="AJ155" s="12">
        <f>IFERROR(IF(AI154=0,"",AJ154/AI154-1),"")</f>
        <v>0</v>
      </c>
      <c r="AK155" s="12">
        <f>IFERROR(IF(AJ154=0,"",AK154/AJ154-1),"")</f>
        <v>0</v>
      </c>
      <c r="AL155" s="12">
        <f>IFERROR(IF(AK154=0,"",AL154/AK154-1),"")</f>
        <v>0</v>
      </c>
      <c r="AM155" s="12">
        <f>IFERROR(IF(AL154=0,"",AM154/AL154-1),"")</f>
        <v>0</v>
      </c>
      <c r="AN155" s="12">
        <f>IFERROR(IF(AM154=0,"",AN154/AM154-1),"")</f>
        <v>0</v>
      </c>
      <c r="AO155" s="12">
        <f>IFERROR(IF(AN154=0,"",AO154/AN154-1),"")</f>
        <v>0</v>
      </c>
      <c r="AP155" s="12">
        <f>IFERROR(IF(AO154=0,"",AP154/AO154-1),"")</f>
        <v>0</v>
      </c>
      <c r="AQ155" s="12">
        <f>IFERROR(IF(AP154=0,"",AQ154/AP154-1),"")</f>
        <v>0</v>
      </c>
      <c r="AR155" s="12">
        <f>IFERROR(IF(AQ154=0,"",AR154/AQ154-1),"")</f>
        <v>0</v>
      </c>
      <c r="AS155" s="12">
        <f>IFERROR(IF(AR154=0,"",AS154/AR154-1),"")</f>
        <v>0</v>
      </c>
      <c r="AT155" s="12">
        <f>IFERROR(IF(AS154=0,"",AT154/AS154-1),"")</f>
        <v>0</v>
      </c>
      <c r="AU155" s="12">
        <f>IFERROR(IF(AT154=0,"",AU154/AT154-1),"")</f>
        <v>0</v>
      </c>
      <c r="AV155" s="12">
        <f>IFERROR(IF(AU154=0,"",AV154/AU154-1),"")</f>
        <v>0</v>
      </c>
      <c r="AW155" s="12">
        <f>IFERROR(IF(AV154=0,"",AW154/AV154-1),"")</f>
        <v>0</v>
      </c>
      <c r="AX155" s="12">
        <f>IFERROR(IF(AW154=0,"",AX154/AW154-1),"")</f>
        <v>0</v>
      </c>
      <c r="AY155" s="12">
        <f>IFERROR(IF(AX154=0,"",AY154/AX154-1),"")</f>
        <v>0</v>
      </c>
      <c r="AZ155" s="12">
        <f>IFERROR(IF(AY154=0,"",AZ154/AY154-1),"")</f>
        <v>0</v>
      </c>
      <c r="BA155" s="12">
        <f>IFERROR(IF(AZ154=0,"",BA154/AZ154-1),"")</f>
        <v>0</v>
      </c>
      <c r="BB155" s="12">
        <f>IFERROR(IF(BA154=0,"",BB154/BA154-1),"")</f>
        <v>0</v>
      </c>
      <c r="BC155" s="12">
        <f>IFERROR(IF(BB154=0,"",BC154/BB154-1),"")</f>
        <v>0</v>
      </c>
      <c r="BD155" s="12">
        <f>IFERROR(IF(BC154=0,"",BD154/BC154-1),"")</f>
        <v>0</v>
      </c>
      <c r="BE155" s="12">
        <f>IFERROR(IF(BD154=0,"",BE154/BD154-1),"")</f>
        <v>0</v>
      </c>
      <c r="BF155" s="12">
        <f>IFERROR(IF(BE154=0,"",BF154/BE154-1),"")</f>
        <v>0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7" t="n"/>
      <c r="D156" s="12" t="n"/>
      <c r="E156" s="40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hidden="1" outlineLevel="1">
      <c r="C157" s="60" t="inlineStr">
        <is>
          <t xml:space="preserve">Impostos e Contribuições a Recuperar </t>
        </is>
      </c>
      <c r="D157" s="11" t="n"/>
      <c r="E157" s="11" t="n"/>
      <c r="F157" s="11" t="n"/>
      <c r="G157" s="11" t="n"/>
      <c r="H157" s="12" t="n"/>
      <c r="I157" s="11" t="n"/>
      <c r="J157" s="11" t="n"/>
      <c r="K157" s="11" t="n"/>
      <c r="L157" s="11" t="n"/>
      <c r="M157" s="12" t="n"/>
      <c r="N157" s="11" t="n"/>
      <c r="O157" s="11" t="n"/>
      <c r="P157" s="11" t="n"/>
      <c r="Q157" s="11" t="n"/>
      <c r="R157" s="12" t="n"/>
      <c r="S157" s="11" t="n"/>
      <c r="T157" s="11" t="n"/>
      <c r="U157" s="11" t="n"/>
      <c r="V157" s="11" t="n"/>
      <c r="W157" s="12" t="n"/>
      <c r="X157" s="11" t="n"/>
      <c r="Y157" s="11" t="n"/>
      <c r="Z157" s="11" t="n"/>
      <c r="AA157" s="11" t="n"/>
      <c r="AB157" s="12" t="n"/>
      <c r="AC157" s="11" t="n"/>
      <c r="AD157" s="11" t="n"/>
      <c r="AE157" s="11" t="n"/>
      <c r="AF157" s="11" t="n"/>
      <c r="AG157" s="12">
        <f>AF157</f>
        <v>0</v>
      </c>
      <c r="AH157" s="61">
        <f>IFERROR(AG157*AH15/AG15,"")</f>
        <v>0</v>
      </c>
      <c r="AI157" s="61">
        <f>IFERROR(AH157*AI15/AH15,"")</f>
        <v>0</v>
      </c>
      <c r="AJ157" s="61">
        <f>IFERROR(AI157*AJ15/AI15,"")</f>
        <v>0</v>
      </c>
      <c r="AK157" s="61">
        <f>IFERROR(AJ157*AK15/AJ15,"")</f>
        <v>0</v>
      </c>
      <c r="AL157" s="12">
        <f>IFERROR(AK157,"")</f>
        <v>0</v>
      </c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60" t="inlineStr">
        <is>
          <t>Outros Créditos</t>
        </is>
      </c>
      <c r="D158" s="11" t="n"/>
      <c r="E158" s="11" t="n"/>
      <c r="F158" s="11" t="n"/>
      <c r="G158" s="11" t="n"/>
      <c r="H158" s="12" t="n"/>
      <c r="I158" s="11" t="n"/>
      <c r="J158" s="11" t="n"/>
      <c r="K158" s="11" t="n"/>
      <c r="L158" s="11" t="n"/>
      <c r="M158" s="12" t="n"/>
      <c r="N158" s="11" t="n"/>
      <c r="O158" s="11" t="n"/>
      <c r="P158" s="11" t="n"/>
      <c r="Q158" s="11" t="n"/>
      <c r="R158" s="12" t="n"/>
      <c r="S158" s="11" t="n"/>
      <c r="T158" s="11" t="n"/>
      <c r="U158" s="11" t="n"/>
      <c r="V158" s="11" t="n"/>
      <c r="W158" s="12" t="n"/>
      <c r="X158" s="11" t="n"/>
      <c r="Y158" s="11" t="n"/>
      <c r="Z158" s="11" t="n"/>
      <c r="AA158" s="11" t="n"/>
      <c r="AB158" s="12" t="n"/>
      <c r="AC158" s="11" t="n"/>
      <c r="AD158" s="11" t="n"/>
      <c r="AE158" s="11" t="n"/>
      <c r="AF158" s="11" t="n"/>
      <c r="AG158" s="12">
        <f>AF158</f>
        <v>0</v>
      </c>
      <c r="AH158" s="12">
        <f>AG158</f>
        <v>0</v>
      </c>
      <c r="AI158" s="12">
        <f>AH158</f>
        <v>0</v>
      </c>
      <c r="AJ158" s="12">
        <f>AI158</f>
        <v>0</v>
      </c>
      <c r="AK158" s="12">
        <f>AJ158</f>
        <v>0</v>
      </c>
      <c r="AL158" s="12">
        <f>AK158</f>
        <v>0</v>
      </c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collapsed="1">
      <c r="C160" s="14" t="inlineStr">
        <is>
          <t>Equity in affiliates</t>
        </is>
      </c>
      <c r="D160" s="46" t="n"/>
      <c r="E160" s="46" t="n"/>
      <c r="F160" s="46" t="n"/>
      <c r="G160" s="46" t="n"/>
      <c r="H160" s="12" t="n"/>
      <c r="I160" s="46">
        <f>'Inputs (2)'!D21</f>
        <v>0</v>
      </c>
      <c r="J160" s="46">
        <f>'Inputs (2)'!E21</f>
        <v>0</v>
      </c>
      <c r="K160" s="46">
        <f>'Inputs (2)'!F21</f>
        <v>0</v>
      </c>
      <c r="L160" s="46">
        <f>'Inputs (2)'!G21</f>
        <v>0</v>
      </c>
      <c r="M160" s="12">
        <f>'Inputs (2)'!H21</f>
        <v>0</v>
      </c>
      <c r="N160" s="46">
        <f>'Inputs (2)'!I21</f>
        <v>0</v>
      </c>
      <c r="O160" s="46">
        <f>'Inputs (2)'!J21</f>
        <v>0</v>
      </c>
      <c r="P160" s="46">
        <f>'Inputs (2)'!K21</f>
        <v>0</v>
      </c>
      <c r="Q160" s="46">
        <f>'Inputs (2)'!L21</f>
        <v>0</v>
      </c>
      <c r="R160" s="12">
        <f>'Inputs (2)'!M21</f>
        <v>0</v>
      </c>
      <c r="S160" s="46">
        <f>'Inputs (2)'!N21</f>
        <v>0</v>
      </c>
      <c r="T160" s="46">
        <f>'Inputs (2)'!O21</f>
        <v>0</v>
      </c>
      <c r="U160" s="46">
        <f>'Inputs (2)'!P21</f>
        <v>0</v>
      </c>
      <c r="V160" s="46">
        <f>'Inputs (2)'!Q21</f>
        <v>0</v>
      </c>
      <c r="W160" s="12">
        <f>'Inputs (2)'!R21</f>
        <v>0</v>
      </c>
      <c r="X160" s="46">
        <f>'Inputs (2)'!S21</f>
        <v>0</v>
      </c>
      <c r="Y160" s="46">
        <f>'Inputs (2)'!T21</f>
        <v>0</v>
      </c>
      <c r="Z160" s="46">
        <f>'Inputs (2)'!U21</f>
        <v>0</v>
      </c>
      <c r="AA160" s="46">
        <f>'Inputs (2)'!V21</f>
        <v>0</v>
      </c>
      <c r="AB160" s="12">
        <f>'Inputs (2)'!W21</f>
        <v>0</v>
      </c>
      <c r="AC160" s="46">
        <f>'Inputs (2)'!X21</f>
        <v>0</v>
      </c>
      <c r="AD160" s="46">
        <f>'Inputs (2)'!Y21</f>
        <v>0</v>
      </c>
      <c r="AE160" s="46">
        <f>'Inputs (2)'!Z21</f>
        <v>0</v>
      </c>
      <c r="AF160" s="46">
        <f>'Inputs (2)'!AA21</f>
        <v>0</v>
      </c>
      <c r="AG160" s="12">
        <f>'Inputs (2)'!AB21</f>
        <v>0</v>
      </c>
      <c r="AH160" s="12">
        <f>'Inputs (2)'!AC21</f>
        <v>0</v>
      </c>
      <c r="AI160" s="12">
        <f>'Inputs (2)'!AD21</f>
        <v>0</v>
      </c>
      <c r="AJ160" s="12">
        <f>AI160+AJ134</f>
        <v>0</v>
      </c>
      <c r="AK160" s="12">
        <f>AJ160+AK134</f>
        <v>0</v>
      </c>
      <c r="AL160" s="12">
        <f>AK160</f>
        <v>0</v>
      </c>
      <c r="AM160" s="12">
        <f>AL160+AM134</f>
        <v>0</v>
      </c>
      <c r="AN160" s="12">
        <f>AM160+AN134</f>
        <v>0</v>
      </c>
      <c r="AO160" s="12">
        <f>AN160+AO134</f>
        <v>0</v>
      </c>
      <c r="AP160" s="12">
        <f>AO160+AP134</f>
        <v>0</v>
      </c>
      <c r="AQ160" s="12">
        <f>AP160</f>
        <v>0</v>
      </c>
      <c r="AR160" s="12">
        <f>AQ160+AR134</f>
        <v>0</v>
      </c>
      <c r="AS160" s="12">
        <f>AR160+AS134</f>
        <v>0</v>
      </c>
      <c r="AT160" s="12">
        <f>AS160+AT134</f>
        <v>0</v>
      </c>
      <c r="AU160" s="12">
        <f>AT160+AU134</f>
        <v>0</v>
      </c>
      <c r="AV160" s="12">
        <f>AU160</f>
        <v>0</v>
      </c>
      <c r="AW160" s="12">
        <f>AV160+AW134</f>
        <v>0</v>
      </c>
      <c r="AX160" s="12">
        <f>AW160+AX134</f>
        <v>0</v>
      </c>
      <c r="AY160" s="12">
        <f>AX160+AY134</f>
        <v>0</v>
      </c>
      <c r="AZ160" s="12">
        <f>AY160+AZ134</f>
        <v>0</v>
      </c>
      <c r="BA160" s="12">
        <f>AZ160</f>
        <v>0</v>
      </c>
      <c r="BB160" s="12">
        <f>BA160+BB134</f>
        <v>0</v>
      </c>
      <c r="BC160" s="12">
        <f>BB160+BC134</f>
        <v>0</v>
      </c>
      <c r="BD160" s="12">
        <f>BC160+BD134</f>
        <v>0</v>
      </c>
      <c r="BE160" s="12">
        <f>BD160+BE134</f>
        <v>0</v>
      </c>
      <c r="BF160" s="12">
        <f>BE160</f>
        <v>0</v>
      </c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inlineStr">
        <is>
          <t>Equity in Income - % YoY</t>
        </is>
      </c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>
        <f>IF(I134=0,0,N134/I134-1)</f>
        <v>0</v>
      </c>
      <c r="O162" s="12">
        <f>IF(J134=0,0,O134/J134-1)</f>
        <v>0</v>
      </c>
      <c r="P162" s="12">
        <f>IF(K134=0,0,P134/K134-1)</f>
        <v>0</v>
      </c>
      <c r="Q162" s="12">
        <f>IF(L134=0,0,Q134/L134-1)</f>
        <v>0</v>
      </c>
      <c r="R162" s="12" t="n"/>
      <c r="S162" s="12">
        <f>IF(N134=0,0,S134/N134-1)</f>
        <v>0</v>
      </c>
      <c r="T162" s="12">
        <f>IF(O134=0,0,T134/O134-1)</f>
        <v>0</v>
      </c>
      <c r="U162" s="12">
        <f>IF(P134=0,0,U134/P134-1)</f>
        <v>0</v>
      </c>
      <c r="V162" s="12">
        <f>IF(Q134=0,0,V134/Q134-1)</f>
        <v>0</v>
      </c>
      <c r="W162" s="12" t="n"/>
      <c r="X162" s="12">
        <f>IF(S134=0,0,X134/S134-1)</f>
        <v>0</v>
      </c>
      <c r="Y162" s="12">
        <f>IF(T134=0,0,Y134/T134-1)</f>
        <v>0</v>
      </c>
      <c r="Z162" s="12">
        <f>IF(U134=0,0,Z134/U134-1)</f>
        <v>0</v>
      </c>
      <c r="AA162" s="12">
        <f>IF(V134=0,0,AA134/V134-1)</f>
        <v>0</v>
      </c>
      <c r="AB162" s="12" t="n"/>
      <c r="AC162" s="12">
        <f>IF(X134=0,0,AC134/X134-1)</f>
        <v>0</v>
      </c>
      <c r="AD162" s="12">
        <f>IF(Y134=0,0,AD134/Y134-1)</f>
        <v>0</v>
      </c>
      <c r="AE162" s="12">
        <f>IF(Z134=0,0,AE134/Z134-1)</f>
        <v>0</v>
      </c>
      <c r="AF162" s="12">
        <f>IF(AA134=0,0,AF134/AA134-1)</f>
        <v>0</v>
      </c>
      <c r="AG162" s="12" t="n"/>
      <c r="AH162" s="11">
        <f>IF(AC134=0,0,AH134/AC134-1)</f>
        <v>0</v>
      </c>
      <c r="AI162" s="11">
        <f>IF(AD134=0,0,AI134/AD134-1)</f>
        <v>0</v>
      </c>
      <c r="AJ162" s="11" t="n"/>
      <c r="AK162" s="11" t="n"/>
      <c r="AL162" s="12" t="n"/>
      <c r="AM162" s="11" t="n"/>
      <c r="AN162" s="11" t="n"/>
      <c r="AO162" s="11" t="n"/>
      <c r="AP162" s="11" t="n"/>
      <c r="AQ162" s="12" t="n"/>
      <c r="AR162" s="11" t="n"/>
      <c r="AS162" s="11" t="n"/>
      <c r="AT162" s="11" t="n"/>
      <c r="AU162" s="11" t="n"/>
      <c r="AV162" s="12" t="n"/>
      <c r="AW162" s="11" t="n"/>
      <c r="AX162" s="11" t="n"/>
      <c r="AY162" s="11" t="n"/>
      <c r="AZ162" s="11" t="n"/>
      <c r="BA162" s="12" t="n"/>
      <c r="BB162" s="11" t="n"/>
      <c r="BC162" s="11" t="n"/>
      <c r="BD162" s="11" t="n"/>
      <c r="BE162" s="11" t="n"/>
      <c r="BF162" s="12" t="n"/>
      <c r="BG162" s="11" t="n"/>
      <c r="BH162" s="11" t="n"/>
      <c r="BI162" s="11" t="n"/>
      <c r="BJ162" s="11" t="n"/>
      <c r="BK162" s="12" t="n"/>
      <c r="BL162" s="11" t="n"/>
      <c r="BM162" s="11" t="n"/>
      <c r="BN162" s="11" t="n"/>
      <c r="BO162" s="11" t="n"/>
      <c r="BP162" s="12" t="n"/>
      <c r="BQ162" s="11" t="n"/>
      <c r="BR162" s="11" t="n"/>
      <c r="BS162" s="11" t="n"/>
      <c r="BT162" s="11" t="n"/>
      <c r="BU162" s="12" t="n"/>
      <c r="BV162" s="11" t="n"/>
      <c r="BW162" s="11" t="n"/>
      <c r="BX162" s="11" t="n"/>
      <c r="BY162" s="11" t="n"/>
      <c r="BZ162" s="12" t="n"/>
      <c r="CA162" s="11" t="n"/>
      <c r="CB162" s="11" t="n"/>
      <c r="CC162" s="11" t="n"/>
      <c r="CD162" s="11" t="n"/>
      <c r="CE162" s="12" t="n"/>
      <c r="CF162" s="11" t="n"/>
      <c r="CG162" s="11" t="n"/>
      <c r="CH162" s="11" t="n"/>
      <c r="CI162" s="11" t="n"/>
      <c r="CJ162" s="12" t="n"/>
      <c r="CK162" s="11" t="n"/>
      <c r="CL162" s="11" t="n"/>
      <c r="CM162" s="11" t="n"/>
      <c r="CN162" s="11" t="n"/>
      <c r="CO162" s="12" t="n"/>
      <c r="CP162" s="11" t="n"/>
      <c r="CQ162" s="11" t="n"/>
      <c r="CR162" s="11" t="n"/>
      <c r="CS162" s="11" t="n"/>
      <c r="CT162" s="12" t="n"/>
      <c r="CU162" s="11" t="n"/>
      <c r="CV162" s="11" t="n"/>
      <c r="CW162" s="11" t="n"/>
      <c r="CX162" s="11" t="n"/>
      <c r="CY162" s="12" t="n"/>
    </row>
    <row r="163" hidden="1" outlineLevel="1">
      <c r="C163" s="57" t="inlineStr">
        <is>
          <t>Dividends (enter as -)</t>
        </is>
      </c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1" t="n"/>
      <c r="AI163" s="11" t="n"/>
      <c r="AJ163" s="11" t="n"/>
      <c r="AK163" s="11" t="n"/>
      <c r="AL163" s="12" t="n"/>
      <c r="AM163" s="11" t="n"/>
      <c r="AN163" s="11" t="n"/>
      <c r="AO163" s="11" t="n"/>
      <c r="AP163" s="11" t="n"/>
      <c r="AQ163" s="12" t="n"/>
      <c r="AR163" s="11" t="n"/>
      <c r="AS163" s="11" t="n"/>
      <c r="AT163" s="11" t="n"/>
      <c r="AU163" s="11" t="n"/>
      <c r="AV163" s="12" t="n"/>
      <c r="AW163" s="11" t="n"/>
      <c r="AX163" s="11" t="n"/>
      <c r="AY163" s="11" t="n"/>
      <c r="AZ163" s="11" t="n"/>
      <c r="BA163" s="12" t="n"/>
      <c r="BB163" s="11" t="n"/>
      <c r="BC163" s="11" t="n"/>
      <c r="BD163" s="11" t="n"/>
      <c r="BE163" s="11" t="n"/>
      <c r="BF163" s="12" t="n"/>
      <c r="BG163" s="11" t="n"/>
      <c r="BH163" s="11" t="n"/>
      <c r="BI163" s="11" t="n"/>
      <c r="BJ163" s="11" t="n"/>
      <c r="BK163" s="12" t="n"/>
      <c r="BL163" s="11" t="n"/>
      <c r="BM163" s="11" t="n"/>
      <c r="BN163" s="11" t="n"/>
      <c r="BO163" s="11" t="n"/>
      <c r="BP163" s="12" t="n"/>
      <c r="BQ163" s="11" t="n"/>
      <c r="BR163" s="11" t="n"/>
      <c r="BS163" s="11" t="n"/>
      <c r="BT163" s="11" t="n"/>
      <c r="BU163" s="12" t="n"/>
      <c r="BV163" s="11" t="n"/>
      <c r="BW163" s="11" t="n"/>
      <c r="BX163" s="11" t="n"/>
      <c r="BY163" s="11" t="n"/>
      <c r="BZ163" s="12" t="n"/>
      <c r="CA163" s="11" t="n"/>
      <c r="CB163" s="11" t="n"/>
      <c r="CC163" s="11" t="n"/>
      <c r="CD163" s="11" t="n"/>
      <c r="CE163" s="12" t="n"/>
      <c r="CF163" s="11" t="n"/>
      <c r="CG163" s="11" t="n"/>
      <c r="CH163" s="11" t="n"/>
      <c r="CI163" s="11" t="n"/>
      <c r="CJ163" s="12" t="n"/>
      <c r="CK163" s="11" t="n"/>
      <c r="CL163" s="11" t="n"/>
      <c r="CM163" s="11" t="n"/>
      <c r="CN163" s="11" t="n"/>
      <c r="CO163" s="12" t="n"/>
      <c r="CP163" s="11" t="n"/>
      <c r="CQ163" s="11" t="n"/>
      <c r="CR163" s="11" t="n"/>
      <c r="CS163" s="11" t="n"/>
      <c r="CT163" s="12" t="n"/>
      <c r="CU163" s="11" t="n"/>
      <c r="CV163" s="11" t="n"/>
      <c r="CW163" s="11" t="n"/>
      <c r="CX163" s="11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collapsed="1">
      <c r="C165" s="14" t="inlineStr">
        <is>
          <t>PP&amp;E</t>
        </is>
      </c>
      <c r="D165" s="46" t="n"/>
      <c r="E165" s="46" t="n"/>
      <c r="F165" s="46" t="n"/>
      <c r="G165" s="46" t="n"/>
      <c r="H165" s="12" t="n"/>
      <c r="I165" s="46">
        <f>'Inputs (2)'!D22</f>
        <v>2268</v>
      </c>
      <c r="J165" s="46">
        <f>'Inputs (2)'!E22</f>
        <v>2364</v>
      </c>
      <c r="K165" s="46">
        <f>'Inputs (2)'!F22</f>
        <v>2509</v>
      </c>
      <c r="L165" s="46">
        <f>'Inputs (2)'!G22</f>
        <v>2778</v>
      </c>
      <c r="M165" s="12">
        <f>'Inputs (2)'!H22</f>
        <v>2778</v>
      </c>
      <c r="N165" s="46">
        <f>'Inputs (2)'!I22</f>
        <v>2916</v>
      </c>
      <c r="O165" s="46">
        <f>'Inputs (2)'!J22</f>
        <v>3233</v>
      </c>
      <c r="P165" s="46">
        <f>'Inputs (2)'!K22</f>
        <v>3774</v>
      </c>
      <c r="Q165" s="46">
        <f>'Inputs (2)'!L22</f>
        <v>3807</v>
      </c>
      <c r="R165" s="12">
        <f>'Inputs (2)'!M22</f>
        <v>3807</v>
      </c>
      <c r="S165" s="46">
        <f>'Inputs (2)'!N22</f>
        <v>3740</v>
      </c>
      <c r="T165" s="46">
        <f>'Inputs (2)'!O22</f>
        <v>3799</v>
      </c>
      <c r="U165" s="46">
        <f>'Inputs (2)'!P22</f>
        <v>3844</v>
      </c>
      <c r="V165" s="46">
        <f>'Inputs (2)'!Q22</f>
        <v>3914</v>
      </c>
      <c r="W165" s="12">
        <f>'Inputs (2)'!R22</f>
        <v>3914</v>
      </c>
      <c r="X165" s="46">
        <f>'Inputs (2)'!S22</f>
        <v>4006</v>
      </c>
      <c r="Y165" s="46">
        <f>'Inputs (2)'!T22</f>
        <v>4885</v>
      </c>
      <c r="Z165" s="46">
        <f>'Inputs (2)'!U22</f>
        <v>5343</v>
      </c>
      <c r="AA165" s="46">
        <f>'Inputs (2)'!V22</f>
        <v>6283</v>
      </c>
      <c r="AB165" s="12">
        <f>'Inputs (2)'!W22</f>
        <v>6283</v>
      </c>
      <c r="AC165" s="46">
        <f>'Inputs (2)'!X22</f>
        <v>7136</v>
      </c>
      <c r="AD165" s="46">
        <f>'Inputs (2)'!Y22</f>
        <v>9141</v>
      </c>
      <c r="AE165" s="46">
        <f>'Inputs (2)'!Z22</f>
        <v>9780</v>
      </c>
      <c r="AF165" s="46">
        <f>'Inputs (2)'!AA22</f>
        <v>10383</v>
      </c>
      <c r="AG165" s="12">
        <f>'Inputs (2)'!AB22</f>
        <v>10383</v>
      </c>
      <c r="AH165" s="12">
        <f>'Inputs (2)'!AC22</f>
        <v>12403</v>
      </c>
      <c r="AI165" s="12">
        <f>'Inputs (2)'!AD22</f>
        <v>14285</v>
      </c>
      <c r="AJ165" s="12">
        <f>AJ170</f>
        <v>16290.0283300933</v>
      </c>
      <c r="AK165" s="12">
        <f>AK170</f>
        <v>18686.2070664415</v>
      </c>
      <c r="AL165" s="12">
        <f>AK165</f>
        <v>18686.2070664415</v>
      </c>
      <c r="AM165" s="12">
        <f>AM170</f>
        <v>21556.7888852074</v>
      </c>
      <c r="AN165" s="12">
        <f>AN170</f>
        <v>24941.0963431926</v>
      </c>
      <c r="AO165" s="12">
        <f>AO170</f>
        <v>28455.1501899121</v>
      </c>
      <c r="AP165" s="12">
        <f>AP170</f>
        <v>32654.742275227</v>
      </c>
      <c r="AQ165" s="12">
        <f>AP165</f>
        <v>32654.742275227</v>
      </c>
      <c r="AR165" s="12">
        <f>AR170</f>
        <v>37671.4300407993</v>
      </c>
      <c r="AS165" s="12">
        <f>AS170</f>
        <v>43585.9152885004</v>
      </c>
      <c r="AT165" s="12">
        <f>AT170</f>
        <v>49727.1479909284</v>
      </c>
      <c r="AU165" s="12">
        <f>AU170</f>
        <v>57066.4414042237</v>
      </c>
      <c r="AV165" s="12">
        <f>AU165</f>
        <v>57066.4414042237</v>
      </c>
      <c r="AW165" s="12">
        <f>AW170</f>
        <v>65808.6245775917</v>
      </c>
      <c r="AX165" s="12">
        <f>AX170</f>
        <v>76115.328089503</v>
      </c>
      <c r="AY165" s="12">
        <f>AY170</f>
        <v>86817.1663747843</v>
      </c>
      <c r="AZ165" s="12">
        <f>AZ170</f>
        <v>99606.7698702296</v>
      </c>
      <c r="BA165" s="12">
        <f>AZ165</f>
        <v>99606.7698702296</v>
      </c>
      <c r="BB165" s="12">
        <f>BB170</f>
        <v>114797.366969544</v>
      </c>
      <c r="BC165" s="12">
        <f>BC170</f>
        <v>132706.506753813</v>
      </c>
      <c r="BD165" s="12">
        <f>BD170</f>
        <v>151302.240838746</v>
      </c>
      <c r="BE165" s="12">
        <f>BE170</f>
        <v>173525.718648173</v>
      </c>
      <c r="BF165" s="12">
        <f>BE165</f>
        <v>173525.718648173</v>
      </c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inlineStr">
        <is>
          <t>Capital expenditures</t>
        </is>
      </c>
      <c r="D167" s="12" t="n"/>
      <c r="E167" s="12" t="n"/>
      <c r="F167" s="12" t="n"/>
      <c r="G167" s="12" t="n"/>
      <c r="H167" s="12" t="n"/>
      <c r="I167" s="12" t="n"/>
      <c r="J167" s="12">
        <f>J165-I165-J69</f>
        <v>382</v>
      </c>
      <c r="K167" s="12">
        <f>K165-J165-K69</f>
        <v>443</v>
      </c>
      <c r="L167" s="12">
        <f>L165-K165-L69</f>
        <v>578</v>
      </c>
      <c r="M167" s="12" t="n"/>
      <c r="N167" s="12">
        <f>N165-M165-N69</f>
        <v>472</v>
      </c>
      <c r="O167" s="12">
        <f>O165-N165-O69</f>
        <v>695</v>
      </c>
      <c r="P167" s="12">
        <f>P165-O165-P69</f>
        <v>947</v>
      </c>
      <c r="Q167" s="12">
        <f>Q165-P165-Q69</f>
        <v>459</v>
      </c>
      <c r="R167" s="12" t="n"/>
      <c r="S167" s="12">
        <f>S165-R165-S69</f>
        <v>317</v>
      </c>
      <c r="T167" s="12">
        <f>T165-S165-T69</f>
        <v>424</v>
      </c>
      <c r="U167" s="12">
        <f>U165-T165-U69</f>
        <v>417</v>
      </c>
      <c r="V167" s="12">
        <f>V165-U165-V69</f>
        <v>457</v>
      </c>
      <c r="W167" s="12" t="n"/>
      <c r="X167" s="12">
        <f>X165-W165-X69</f>
        <v>502</v>
      </c>
      <c r="Y167" s="12">
        <f>Y165-X165-Y69</f>
        <v>1312</v>
      </c>
      <c r="Z167" s="12">
        <f>Z165-Y165-Z69</f>
        <v>936</v>
      </c>
      <c r="AA167" s="12">
        <f>AA165-Z165-AA69</f>
        <v>1483</v>
      </c>
      <c r="AB167" s="12" t="n"/>
      <c r="AC167" s="12">
        <f>AC165-AB165-AC69</f>
        <v>1464</v>
      </c>
      <c r="AD167" s="12">
        <f>AD165-AC165-AD69</f>
        <v>2674</v>
      </c>
      <c r="AE167" s="12">
        <f>AE165-AD165-AE69</f>
        <v>1390</v>
      </c>
      <c r="AF167" s="11">
        <f>AF165-AE165-AF69</f>
        <v>1415</v>
      </c>
      <c r="AG167" s="12">
        <f>SUM(AC167:AF167)</f>
        <v>6943</v>
      </c>
      <c r="AH167" s="11">
        <f>AH165-AG165-AH69</f>
        <v>3017</v>
      </c>
      <c r="AI167" s="11">
        <f>AI165-AH165-AI69</f>
        <v>3009</v>
      </c>
      <c r="AJ167" s="11">
        <f>AJ15*Control!$B$24</f>
        <v>3290.54564935234</v>
      </c>
      <c r="AK167" s="11">
        <f>AK15*Control!$B$24</f>
        <v>3932.48085207569</v>
      </c>
      <c r="AL167" s="12" t="n"/>
      <c r="AM167" s="11">
        <f>AM15*Control!$C$24</f>
        <v>4711.04591046366</v>
      </c>
      <c r="AN167" s="11">
        <f>AN15*Control!$C$24</f>
        <v>5554.14505361421</v>
      </c>
      <c r="AO167" s="11">
        <f>AO15*Control!$C$24</f>
        <v>5767.07791274684</v>
      </c>
      <c r="AP167" s="11">
        <f>AP15*Control!$C$24</f>
        <v>6892.14673826797</v>
      </c>
      <c r="AQ167" s="12" t="n"/>
      <c r="AR167" s="11">
        <f>AR15*Control!$D$24</f>
        <v>8233.12062647746</v>
      </c>
      <c r="AS167" s="11">
        <f>AS15*Control!$D$24</f>
        <v>9706.53801139849</v>
      </c>
      <c r="AT167" s="11">
        <f>AT15*Control!$D$24</f>
        <v>10078.6638509463</v>
      </c>
      <c r="AU167" s="11">
        <f>AU15*Control!$D$24</f>
        <v>12044.8572461394</v>
      </c>
      <c r="AV167" s="12" t="n"/>
      <c r="AW167" s="11">
        <f>AW15*Control!$E$24</f>
        <v>14347.2051617489</v>
      </c>
      <c r="AX167" s="11">
        <f>AX15*Control!$E$24</f>
        <v>16914.812569609</v>
      </c>
      <c r="AY167" s="11">
        <f>AY15*Control!$E$24</f>
        <v>17563.2867033185</v>
      </c>
      <c r="AZ167" s="11">
        <f>AZ15*Control!$E$24</f>
        <v>20989.6157112756</v>
      </c>
      <c r="BA167" s="12" t="n"/>
      <c r="BB167" s="11">
        <f>BB15*Control!$F$24</f>
        <v>24929.9984673469</v>
      </c>
      <c r="BC167" s="11">
        <f>BC15*Control!$F$24</f>
        <v>29391.5258534165</v>
      </c>
      <c r="BD167" s="11">
        <f>BD15*Control!$F$24</f>
        <v>30518.3278317275</v>
      </c>
      <c r="BE167" s="11">
        <f>BE15*Control!$F$24</f>
        <v>36471.9875134565</v>
      </c>
      <c r="BF167" s="12" t="n"/>
      <c r="BG167" s="11" t="n"/>
      <c r="BH167" s="11" t="n"/>
      <c r="BI167" s="11" t="n"/>
      <c r="BJ167" s="11" t="n"/>
      <c r="BK167" s="12" t="n"/>
      <c r="BL167" s="11" t="n"/>
      <c r="BM167" s="11" t="n"/>
      <c r="BN167" s="11" t="n"/>
      <c r="BO167" s="11" t="n"/>
      <c r="BP167" s="12" t="n"/>
      <c r="BQ167" s="11" t="n"/>
      <c r="BR167" s="11" t="n"/>
      <c r="BS167" s="11" t="n"/>
      <c r="BT167" s="11" t="n"/>
      <c r="BU167" s="12" t="n"/>
      <c r="BV167" s="11" t="n"/>
      <c r="BW167" s="11" t="n"/>
      <c r="BX167" s="11" t="n"/>
      <c r="BY167" s="11" t="n"/>
      <c r="BZ167" s="12" t="n"/>
      <c r="CA167" s="11" t="n"/>
      <c r="CB167" s="11" t="n"/>
      <c r="CC167" s="11" t="n"/>
      <c r="CD167" s="11" t="n"/>
      <c r="CE167" s="12" t="n"/>
      <c r="CF167" s="11" t="n"/>
      <c r="CG167" s="11" t="n"/>
      <c r="CH167" s="11" t="n"/>
      <c r="CI167" s="11" t="n"/>
      <c r="CJ167" s="12" t="n"/>
      <c r="CK167" s="11" t="n"/>
      <c r="CL167" s="11" t="n"/>
      <c r="CM167" s="11" t="n"/>
      <c r="CN167" s="11" t="n"/>
      <c r="CO167" s="12" t="n"/>
      <c r="CP167" s="11" t="n"/>
      <c r="CQ167" s="11" t="n"/>
      <c r="CR167" s="11" t="n"/>
      <c r="CS167" s="11" t="n"/>
      <c r="CT167" s="12" t="n"/>
      <c r="CU167" s="11" t="n"/>
      <c r="CV167" s="11" t="n"/>
      <c r="CW167" s="11" t="n"/>
      <c r="CX167" s="11" t="n"/>
      <c r="CY167" s="12" t="n"/>
    </row>
    <row r="168" hidden="1" outlineLevel="1">
      <c r="C168" s="57" t="inlineStr">
        <is>
          <t>Recurring asset sales (enter as -)</t>
        </is>
      </c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>
        <f>SUM(I168:L168)</f>
        <v>0</v>
      </c>
      <c r="N168" s="12" t="n"/>
      <c r="O168" s="12" t="n"/>
      <c r="P168" s="12" t="n"/>
      <c r="Q168" s="12" t="n"/>
      <c r="R168" s="12">
        <f>SUM(N168:Q168)</f>
        <v>0</v>
      </c>
      <c r="S168" s="12" t="n"/>
      <c r="T168" s="12" t="n"/>
      <c r="U168" s="12" t="n"/>
      <c r="V168" s="12" t="n"/>
      <c r="W168" s="12">
        <f>SUM(S168:V168)</f>
        <v>0</v>
      </c>
      <c r="X168" s="12" t="n"/>
      <c r="Y168" s="12" t="n"/>
      <c r="Z168" s="12" t="n"/>
      <c r="AA168" s="12" t="n"/>
      <c r="AB168" s="12">
        <f>SUM(X168:AA168)</f>
        <v>0</v>
      </c>
      <c r="AC168" s="12" t="n"/>
      <c r="AD168" s="12" t="n"/>
      <c r="AE168" s="12" t="n"/>
      <c r="AF168" s="11" t="n"/>
      <c r="AG168" s="12">
        <f>SUM(AC168:AF168)</f>
        <v>0</v>
      </c>
      <c r="AH168" s="11" t="n"/>
      <c r="AI168" s="11" t="n"/>
      <c r="AJ168" s="11">
        <f>0</f>
        <v>0</v>
      </c>
      <c r="AK168" s="11">
        <f>0</f>
        <v>0</v>
      </c>
      <c r="AL168" s="12" t="n"/>
      <c r="AM168" s="11">
        <f>0</f>
        <v>0</v>
      </c>
      <c r="AN168" s="11">
        <f>0</f>
        <v>0</v>
      </c>
      <c r="AO168" s="11">
        <f>0</f>
        <v>0</v>
      </c>
      <c r="AP168" s="11">
        <f>0</f>
        <v>0</v>
      </c>
      <c r="AQ168" s="12" t="n"/>
      <c r="AR168" s="11">
        <f>0</f>
        <v>0</v>
      </c>
      <c r="AS168" s="11">
        <f>0</f>
        <v>0</v>
      </c>
      <c r="AT168" s="11">
        <f>0</f>
        <v>0</v>
      </c>
      <c r="AU168" s="11">
        <f>0</f>
        <v>0</v>
      </c>
      <c r="AV168" s="12" t="n"/>
      <c r="AW168" s="11">
        <f>0</f>
        <v>0</v>
      </c>
      <c r="AX168" s="11">
        <f>0</f>
        <v>0</v>
      </c>
      <c r="AY168" s="11">
        <f>0</f>
        <v>0</v>
      </c>
      <c r="AZ168" s="11">
        <f>0</f>
        <v>0</v>
      </c>
      <c r="BA168" s="12" t="n"/>
      <c r="BB168" s="11">
        <f>0</f>
        <v>0</v>
      </c>
      <c r="BC168" s="11">
        <f>0</f>
        <v>0</v>
      </c>
      <c r="BD168" s="11">
        <f>0</f>
        <v>0</v>
      </c>
      <c r="BE168" s="11">
        <f>0</f>
        <v>0</v>
      </c>
      <c r="BF168" s="12" t="n"/>
      <c r="BG168" s="11" t="n"/>
      <c r="BH168" s="11" t="n"/>
      <c r="BI168" s="11" t="n"/>
      <c r="BJ168" s="11" t="n"/>
      <c r="BK168" s="12" t="n"/>
      <c r="BL168" s="11" t="n"/>
      <c r="BM168" s="11" t="n"/>
      <c r="BN168" s="11" t="n"/>
      <c r="BO168" s="11" t="n"/>
      <c r="BP168" s="12" t="n"/>
      <c r="BQ168" s="11" t="n"/>
      <c r="BR168" s="11" t="n"/>
      <c r="BS168" s="11" t="n"/>
      <c r="BT168" s="11" t="n"/>
      <c r="BU168" s="12" t="n"/>
      <c r="BV168" s="11" t="n"/>
      <c r="BW168" s="11" t="n"/>
      <c r="BX168" s="11" t="n"/>
      <c r="BY168" s="11" t="n"/>
      <c r="BZ168" s="12" t="n"/>
      <c r="CA168" s="11" t="n"/>
      <c r="CB168" s="11" t="n"/>
      <c r="CC168" s="11" t="n"/>
      <c r="CD168" s="11" t="n"/>
      <c r="CE168" s="12" t="n"/>
      <c r="CF168" s="11" t="n"/>
      <c r="CG168" s="11" t="n"/>
      <c r="CH168" s="11" t="n"/>
      <c r="CI168" s="11" t="n"/>
      <c r="CJ168" s="12" t="n"/>
      <c r="CK168" s="11" t="n"/>
      <c r="CL168" s="11" t="n"/>
      <c r="CM168" s="11" t="n"/>
      <c r="CN168" s="11" t="n"/>
      <c r="CO168" s="12" t="n"/>
      <c r="CP168" s="11" t="n"/>
      <c r="CQ168" s="11" t="n"/>
      <c r="CR168" s="11" t="n"/>
      <c r="CS168" s="11" t="n"/>
      <c r="CT168" s="12" t="n"/>
      <c r="CU168" s="11" t="n"/>
      <c r="CV168" s="11" t="n"/>
      <c r="CW168" s="11" t="n"/>
      <c r="CX168" s="11" t="n"/>
      <c r="CY168" s="12" t="n"/>
    </row>
    <row r="169" hidden="1" outlineLevel="1">
      <c r="C169" s="57" t="inlineStr">
        <is>
          <t>Depreciation</t>
        </is>
      </c>
      <c r="D169" s="12" t="n"/>
      <c r="E169" s="12" t="n"/>
      <c r="F169" s="12" t="n"/>
      <c r="G169" s="12" t="n"/>
      <c r="H169" s="12" t="n"/>
      <c r="I169" s="12">
        <f>I69</f>
        <v>-281</v>
      </c>
      <c r="J169" s="12">
        <f>J69</f>
        <v>-286</v>
      </c>
      <c r="K169" s="12">
        <f>K69</f>
        <v>-298</v>
      </c>
      <c r="L169" s="12">
        <f>L69</f>
        <v>-309</v>
      </c>
      <c r="M169" s="12" t="n"/>
      <c r="N169" s="12">
        <f>N69</f>
        <v>-334</v>
      </c>
      <c r="O169" s="12">
        <f>O69</f>
        <v>-378</v>
      </c>
      <c r="P169" s="12">
        <f>P69</f>
        <v>-406</v>
      </c>
      <c r="Q169" s="12">
        <f>Q69</f>
        <v>-426</v>
      </c>
      <c r="R169" s="12" t="n"/>
      <c r="S169" s="12">
        <f>S69</f>
        <v>-384</v>
      </c>
      <c r="T169" s="12">
        <f>T69</f>
        <v>-365</v>
      </c>
      <c r="U169" s="12">
        <f>U69</f>
        <v>-372</v>
      </c>
      <c r="V169" s="12">
        <f>V69</f>
        <v>-387</v>
      </c>
      <c r="W169" s="12" t="n"/>
      <c r="X169" s="12">
        <f>X69</f>
        <v>-410</v>
      </c>
      <c r="Y169" s="12">
        <f>Y69</f>
        <v>-433</v>
      </c>
      <c r="Z169" s="12">
        <f>Z69</f>
        <v>-478</v>
      </c>
      <c r="AA169" s="12">
        <f>AA69</f>
        <v>-543</v>
      </c>
      <c r="AB169" s="12" t="n"/>
      <c r="AC169" s="12">
        <f>AC69</f>
        <v>-611</v>
      </c>
      <c r="AD169" s="12">
        <f>AD69</f>
        <v>-669</v>
      </c>
      <c r="AE169" s="12">
        <f>AE69</f>
        <v>-751</v>
      </c>
      <c r="AF169" s="12">
        <f>AF69</f>
        <v>-812</v>
      </c>
      <c r="AG169" s="12" t="n"/>
      <c r="AH169" s="12">
        <f>AH69</f>
        <v>-997</v>
      </c>
      <c r="AI169" s="12">
        <f>AI69</f>
        <v>-1127</v>
      </c>
      <c r="AJ169" s="12">
        <f>AJ69</f>
        <v>-1285.51731925903</v>
      </c>
      <c r="AK169" s="12">
        <f>AK69</f>
        <v>-1536.30211572747</v>
      </c>
      <c r="AL169" s="12" t="n"/>
      <c r="AM169" s="12">
        <f>AM69</f>
        <v>-1840.46409169782</v>
      </c>
      <c r="AN169" s="12">
        <f>AN69</f>
        <v>-2169.83759562894</v>
      </c>
      <c r="AO169" s="12">
        <f>AO69</f>
        <v>-2253.02406602732</v>
      </c>
      <c r="AP169" s="12">
        <f>AP69</f>
        <v>-2692.55465295308</v>
      </c>
      <c r="AQ169" s="12" t="n"/>
      <c r="AR169" s="12">
        <f>AR69</f>
        <v>-3216.43286090522</v>
      </c>
      <c r="AS169" s="12">
        <f>AS69</f>
        <v>-3792.05276369737</v>
      </c>
      <c r="AT169" s="12">
        <f>AT69</f>
        <v>-3937.43114851836</v>
      </c>
      <c r="AU169" s="12">
        <f>AU69</f>
        <v>-4705.56383284409</v>
      </c>
      <c r="AV169" s="12" t="n"/>
      <c r="AW169" s="12">
        <f>AW69</f>
        <v>-5605.02198838084</v>
      </c>
      <c r="AX169" s="12">
        <f>AX69</f>
        <v>-6608.10905769764</v>
      </c>
      <c r="AY169" s="12">
        <f>AY69</f>
        <v>-6861.44841803721</v>
      </c>
      <c r="AZ169" s="12">
        <f>AZ69</f>
        <v>-8200.01221583028</v>
      </c>
      <c r="BA169" s="12" t="n"/>
      <c r="BB169" s="12">
        <f>BB69</f>
        <v>-9739.40136803252</v>
      </c>
      <c r="BC169" s="12">
        <f>BC69</f>
        <v>-11482.3860691473</v>
      </c>
      <c r="BD169" s="12">
        <f>BD69</f>
        <v>-11922.5937467947</v>
      </c>
      <c r="BE169" s="12">
        <f>BE69</f>
        <v>-14248.5097040291</v>
      </c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7" t="inlineStr">
        <is>
          <t>PP&amp;E</t>
        </is>
      </c>
      <c r="D170" s="12" t="n"/>
      <c r="E170" s="12" t="n"/>
      <c r="F170" s="12" t="n"/>
      <c r="G170" s="12" t="n"/>
      <c r="H170" s="12" t="n"/>
      <c r="I170" s="12">
        <f>I165</f>
        <v>2268</v>
      </c>
      <c r="J170" s="12">
        <f>J165</f>
        <v>2364</v>
      </c>
      <c r="K170" s="12">
        <f>K165</f>
        <v>2509</v>
      </c>
      <c r="L170" s="12">
        <f>L165</f>
        <v>2778</v>
      </c>
      <c r="M170" s="12" t="n"/>
      <c r="N170" s="12">
        <f>N165</f>
        <v>2916</v>
      </c>
      <c r="O170" s="12">
        <f>O165</f>
        <v>3233</v>
      </c>
      <c r="P170" s="12">
        <f>P165</f>
        <v>3774</v>
      </c>
      <c r="Q170" s="12">
        <f>Q165</f>
        <v>3807</v>
      </c>
      <c r="R170" s="12" t="n"/>
      <c r="S170" s="12">
        <f>S165</f>
        <v>3740</v>
      </c>
      <c r="T170" s="12">
        <f>T165</f>
        <v>3799</v>
      </c>
      <c r="U170" s="12">
        <f>U165</f>
        <v>3844</v>
      </c>
      <c r="V170" s="12">
        <f>V165</f>
        <v>3914</v>
      </c>
      <c r="W170" s="12" t="n"/>
      <c r="X170" s="12">
        <f>X165</f>
        <v>4006</v>
      </c>
      <c r="Y170" s="12">
        <f>Y165</f>
        <v>4885</v>
      </c>
      <c r="Z170" s="12">
        <f>Z165</f>
        <v>5343</v>
      </c>
      <c r="AA170" s="12">
        <f>Y170+SUM(AA167:AA169)</f>
        <v>5825</v>
      </c>
      <c r="AB170" s="12" t="n"/>
      <c r="AC170" s="12">
        <f>AC165</f>
        <v>7136</v>
      </c>
      <c r="AD170" s="12">
        <f>AD165</f>
        <v>9141</v>
      </c>
      <c r="AE170" s="12">
        <f>AE165</f>
        <v>9780</v>
      </c>
      <c r="AF170" s="12">
        <f>AF165</f>
        <v>10383</v>
      </c>
      <c r="AG170" s="12" t="n"/>
      <c r="AH170" s="12">
        <f>AH165</f>
        <v>12403</v>
      </c>
      <c r="AI170" s="12">
        <f>AI165</f>
        <v>14285</v>
      </c>
      <c r="AJ170" s="12">
        <f>AI170+SUM(AJ167:AJ169)</f>
        <v>16290.0283300933</v>
      </c>
      <c r="AK170" s="12">
        <f>AJ170+SUM(AK167:AK169)</f>
        <v>18686.2070664415</v>
      </c>
      <c r="AL170" s="12" t="n"/>
      <c r="AM170" s="12">
        <f>AK170+SUM(AM167:AM169)</f>
        <v>21556.7888852074</v>
      </c>
      <c r="AN170" s="12">
        <f>AM170+SUM(AN167:AN169)</f>
        <v>24941.0963431926</v>
      </c>
      <c r="AO170" s="12">
        <f>AN170+SUM(AO167:AO169)</f>
        <v>28455.1501899121</v>
      </c>
      <c r="AP170" s="12">
        <f>AO170+SUM(AP167:AP169)</f>
        <v>32654.742275227</v>
      </c>
      <c r="AQ170" s="12" t="n"/>
      <c r="AR170" s="12">
        <f>AP170+SUM(AR167:AR169)</f>
        <v>37671.4300407993</v>
      </c>
      <c r="AS170" s="12">
        <f>AR170+SUM(AS167:AS169)</f>
        <v>43585.9152885004</v>
      </c>
      <c r="AT170" s="12">
        <f>AS170+SUM(AT167:AT169)</f>
        <v>49727.1479909284</v>
      </c>
      <c r="AU170" s="12">
        <f>AT170+SUM(AU167:AU169)</f>
        <v>57066.4414042237</v>
      </c>
      <c r="AV170" s="12" t="n"/>
      <c r="AW170" s="12">
        <f>AU170+SUM(AW167:AW169)</f>
        <v>65808.6245775917</v>
      </c>
      <c r="AX170" s="12">
        <f>AW170+SUM(AX167:AX169)</f>
        <v>76115.328089503</v>
      </c>
      <c r="AY170" s="12">
        <f>AX170+SUM(AY167:AY169)</f>
        <v>86817.1663747843</v>
      </c>
      <c r="AZ170" s="12">
        <f>AY170+SUM(AZ167:AZ169)</f>
        <v>99606.7698702296</v>
      </c>
      <c r="BA170" s="12" t="n"/>
      <c r="BB170" s="12">
        <f>AZ170+SUM(BB167:BB169)</f>
        <v>114797.366969544</v>
      </c>
      <c r="BC170" s="12">
        <f>BB170+SUM(BC167:BC169)</f>
        <v>132706.506753813</v>
      </c>
      <c r="BD170" s="12">
        <f>BC170+SUM(BD167:BD169)</f>
        <v>151302.240838746</v>
      </c>
      <c r="BE170" s="12">
        <f>BD170+SUM(BE167:BE169)</f>
        <v>173525.718648173</v>
      </c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7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>
        <f>IF(AJ15=0,"",AJ167/AJ15)</f>
        <v>0.0329351353822243</v>
      </c>
      <c r="AK171" s="12">
        <f>IF(AK15=0,"",AK167/AK15)</f>
        <v>0.0329351353822243</v>
      </c>
      <c r="AL171" s="12" t="n"/>
      <c r="AM171" s="12">
        <f>IF(AM15=0,"",AM167/AM15)</f>
        <v>0.0329351353822243</v>
      </c>
      <c r="AN171" s="12">
        <f>IF(AN15=0,"",AN167/AN15)</f>
        <v>0.0329351353822243</v>
      </c>
      <c r="AO171" s="12">
        <f>IF(AO15=0,"",AO167/AO15)</f>
        <v>0.0329351353822243</v>
      </c>
      <c r="AP171" s="12">
        <f>IF(AP15=0,"",AP167/AP15)</f>
        <v>0.0329351353822243</v>
      </c>
      <c r="AQ171" s="12" t="n"/>
      <c r="AR171" s="12">
        <f>IF(AR15=0,"",AR167/AR15)</f>
        <v>0.0329351353822243</v>
      </c>
      <c r="AS171" s="12">
        <f>IF(AS15=0,"",AS167/AS15)</f>
        <v>0.0329351353822243</v>
      </c>
      <c r="AT171" s="12">
        <f>IF(AT15=0,"",AT167/AT15)</f>
        <v>0.0329351353822243</v>
      </c>
      <c r="AU171" s="12">
        <f>IF(AU15=0,"",AU167/AU15)</f>
        <v>0.0329351353822243</v>
      </c>
      <c r="AV171" s="12" t="n"/>
      <c r="AW171" s="12">
        <f>IF(AW15=0,"",AW167/AW15)</f>
        <v>0.0329351353822243</v>
      </c>
      <c r="AX171" s="12">
        <f>IF(AX15=0,"",AX167/AX15)</f>
        <v>0.0329351353822243</v>
      </c>
      <c r="AY171" s="12">
        <f>IF(AY15=0,"",AY167/AY15)</f>
        <v>0.0329351353822243</v>
      </c>
      <c r="AZ171" s="12">
        <f>IF(AZ15=0,"",AZ167/AZ15)</f>
        <v>0.0329351353822243</v>
      </c>
      <c r="BA171" s="12" t="n"/>
      <c r="BB171" s="12">
        <f>IF(BB15=0,"",BB167/BB15)</f>
        <v>0.0329351353822243</v>
      </c>
      <c r="BC171" s="12">
        <f>IF(BC15=0,"",BC167/BC15)</f>
        <v>0.0329351353822243</v>
      </c>
      <c r="BD171" s="12">
        <f>IF(BD15=0,"",BD167/BD15)</f>
        <v>0.0329351353822243</v>
      </c>
      <c r="BE171" s="12">
        <f>IF(BE15=0,"",BE167/BE15)</f>
        <v>0.0329351353822243</v>
      </c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hidden="1" outlineLevel="1">
      <c r="C172" s="57" t="inlineStr">
        <is>
          <t>Capital expenditures (% Net Revenues)</t>
        </is>
      </c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58">
        <f>IFERROR(AF167/AF15,"")</f>
        <v>0.0207700324394146</v>
      </c>
      <c r="AG172" s="58">
        <f>IFERROR(AG167/AG15,"")</f>
        <v>0.0321527475479073</v>
      </c>
      <c r="AH172" s="58">
        <f>IFERROR(AH167/AH15,"")</f>
        <v>0.0369662439502542</v>
      </c>
      <c r="AI172" s="58">
        <f>IFERROR(AI167/AI15,"")</f>
        <v>0.0312717598029536</v>
      </c>
      <c r="AJ172" s="58">
        <f>IFERROR(AJ167/AJ15,"")</f>
        <v>0.0329351353822243</v>
      </c>
      <c r="AK172" s="58">
        <f>IFERROR(AK167/AK15,"")</f>
        <v>0.0329351353822243</v>
      </c>
      <c r="AL172" s="58">
        <f>IFERROR(AL167/AL15,"")</f>
        <v>0</v>
      </c>
      <c r="AM172" s="58">
        <f>IFERROR(AM167/AM15,"")</f>
        <v>0.0329351353822243</v>
      </c>
      <c r="AN172" s="58">
        <f>IFERROR(AN167/AN15,"")</f>
        <v>0.0329351353822243</v>
      </c>
      <c r="AO172" s="58">
        <f>IFERROR(AO167/AO15,"")</f>
        <v>0.0329351353822243</v>
      </c>
      <c r="AP172" s="58">
        <f>IFERROR(AP167/AP15,"")</f>
        <v>0.0329351353822243</v>
      </c>
      <c r="AQ172" s="58">
        <f>IFERROR(AQ167/AQ15,"")</f>
        <v>0</v>
      </c>
      <c r="AR172" s="58">
        <f>IFERROR(AR167/AR15,"")</f>
        <v>0.0329351353822243</v>
      </c>
      <c r="AS172" s="58">
        <f>IFERROR(AS167/AS15,"")</f>
        <v>0.0329351353822243</v>
      </c>
      <c r="AT172" s="58">
        <f>IFERROR(AT167/AT15,"")</f>
        <v>0.0329351353822243</v>
      </c>
      <c r="AU172" s="58">
        <f>IFERROR(AU167/AU15,"")</f>
        <v>0.0329351353822243</v>
      </c>
      <c r="AV172" s="58">
        <f>IFERROR(AV167/AV15,"")</f>
        <v>0</v>
      </c>
      <c r="AW172" s="58">
        <f>IFERROR(AW167/AW15,"")</f>
        <v>0.0329351353822243</v>
      </c>
      <c r="AX172" s="58">
        <f>IFERROR(AX167/AX15,"")</f>
        <v>0.0329351353822243</v>
      </c>
      <c r="AY172" s="58">
        <f>IFERROR(AY167/AY15,"")</f>
        <v>0.0329351353822243</v>
      </c>
      <c r="AZ172" s="58">
        <f>IFERROR(AZ167/AZ15,"")</f>
        <v>0.0329351353822243</v>
      </c>
      <c r="BA172" s="58">
        <f>IFERROR(BA167/BA15,"")</f>
        <v>0</v>
      </c>
      <c r="BB172" s="58">
        <f>IFERROR(BB167/BB15,"")</f>
        <v>0.0329351353822243</v>
      </c>
      <c r="BC172" s="58">
        <f>IFERROR(BC167/BC15,"")</f>
        <v>0.0329351353822243</v>
      </c>
      <c r="BD172" s="58">
        <f>IFERROR(BD167/BD15,"")</f>
        <v>0.0329351353822243</v>
      </c>
      <c r="BE172" s="58">
        <f>IFERROR(BE167/BE15,"")</f>
        <v>0.0329351353822243</v>
      </c>
      <c r="BF172" s="58">
        <f>IFERROR(BF167/BF15,"")</f>
        <v>0</v>
      </c>
      <c r="BG172" s="58" t="n"/>
      <c r="BH172" s="58" t="n"/>
      <c r="BI172" s="58" t="n"/>
      <c r="BJ172" s="58" t="n"/>
      <c r="BK172" s="58" t="n"/>
      <c r="BL172" s="58" t="n"/>
      <c r="BM172" s="58" t="n"/>
      <c r="BN172" s="58" t="n"/>
      <c r="BO172" s="58" t="n"/>
      <c r="BP172" s="58" t="n"/>
      <c r="BQ172" s="58" t="n"/>
      <c r="BR172" s="58" t="n"/>
      <c r="BS172" s="58" t="n"/>
      <c r="BT172" s="58" t="n"/>
      <c r="BU172" s="58" t="n"/>
      <c r="BV172" s="58" t="n"/>
      <c r="BW172" s="58" t="n"/>
      <c r="BX172" s="58" t="n"/>
      <c r="BY172" s="58" t="n"/>
      <c r="BZ172" s="58" t="n"/>
      <c r="CA172" s="58" t="n"/>
      <c r="CB172" s="58" t="n"/>
      <c r="CC172" s="58" t="n"/>
      <c r="CD172" s="58" t="n"/>
      <c r="CE172" s="58" t="n"/>
      <c r="CF172" s="58" t="n"/>
      <c r="CG172" s="58" t="n"/>
      <c r="CH172" s="58" t="n"/>
      <c r="CI172" s="58" t="n"/>
      <c r="CJ172" s="58" t="n"/>
      <c r="CK172" s="58" t="n"/>
      <c r="CL172" s="58" t="n"/>
      <c r="CM172" s="58" t="n"/>
      <c r="CN172" s="58" t="n"/>
      <c r="CO172" s="58" t="n"/>
      <c r="CP172" s="58" t="n"/>
      <c r="CQ172" s="58" t="n"/>
      <c r="CR172" s="58" t="n"/>
      <c r="CS172" s="58" t="n"/>
      <c r="CT172" s="58" t="n"/>
      <c r="CU172" s="58" t="n"/>
      <c r="CV172" s="58" t="n"/>
      <c r="CW172" s="58" t="n"/>
      <c r="CX172" s="58" t="n"/>
      <c r="CY172" s="58" t="n"/>
    </row>
    <row r="173" hidden="1" outlineLevel="1">
      <c r="C173" s="57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collapsed="1">
      <c r="C175" s="14" t="inlineStr">
        <is>
          <t>Right-of-use-assets</t>
        </is>
      </c>
      <c r="D175" s="46" t="n"/>
      <c r="E175" s="46" t="n"/>
      <c r="F175" s="46" t="n"/>
      <c r="G175" s="46" t="n"/>
      <c r="H175" s="12" t="n"/>
      <c r="I175" s="46">
        <f>'Inputs (2)'!D23</f>
        <v>727</v>
      </c>
      <c r="J175" s="46">
        <f>'Inputs (2)'!E23</f>
        <v>801</v>
      </c>
      <c r="K175" s="46">
        <f>'Inputs (2)'!F23</f>
        <v>830</v>
      </c>
      <c r="L175" s="46">
        <f>'Inputs (2)'!G23</f>
        <v>829</v>
      </c>
      <c r="M175" s="12">
        <f>'Inputs (2)'!H23</f>
        <v>829</v>
      </c>
      <c r="N175" s="46">
        <f>'Inputs (2)'!I23</f>
        <v>856</v>
      </c>
      <c r="O175" s="46">
        <f>'Inputs (2)'!J23</f>
        <v>852</v>
      </c>
      <c r="P175" s="46">
        <f>'Inputs (2)'!K23</f>
        <v>927</v>
      </c>
      <c r="Q175" s="46">
        <f>'Inputs (2)'!L23</f>
        <v>1038</v>
      </c>
      <c r="R175" s="12">
        <f>'Inputs (2)'!M23</f>
        <v>1038</v>
      </c>
      <c r="S175" s="46">
        <f>'Inputs (2)'!N23</f>
        <v>1094</v>
      </c>
      <c r="T175" s="46">
        <f>'Inputs (2)'!O23</f>
        <v>1235</v>
      </c>
      <c r="U175" s="46">
        <f>'Inputs (2)'!P23</f>
        <v>1316</v>
      </c>
      <c r="V175" s="46">
        <f>'Inputs (2)'!Q23</f>
        <v>1346</v>
      </c>
      <c r="W175" s="12">
        <f>'Inputs (2)'!R23</f>
        <v>1346</v>
      </c>
      <c r="X175" s="46">
        <f>'Inputs (2)'!S23</f>
        <v>1532</v>
      </c>
      <c r="Y175" s="46">
        <f>'Inputs (2)'!T23</f>
        <v>1556</v>
      </c>
      <c r="Z175" s="46">
        <f>'Inputs (2)'!U23</f>
        <v>1755</v>
      </c>
      <c r="AA175" s="46">
        <f>'Inputs (2)'!V23</f>
        <v>1793</v>
      </c>
      <c r="AB175" s="12">
        <f>'Inputs (2)'!W23</f>
        <v>1793</v>
      </c>
      <c r="AC175" s="46">
        <f>'Inputs (2)'!X23</f>
        <v>1810</v>
      </c>
      <c r="AD175" s="46">
        <f>'Inputs (2)'!Y23</f>
        <v>2084</v>
      </c>
      <c r="AE175" s="46">
        <f>'Inputs (2)'!Z23</f>
        <v>2281</v>
      </c>
      <c r="AF175" s="46">
        <f>'Inputs (2)'!AA23</f>
        <v>2867</v>
      </c>
      <c r="AG175" s="12">
        <f>'Inputs (2)'!AB23</f>
        <v>2867</v>
      </c>
      <c r="AH175" s="12">
        <f>'Inputs (2)'!AC23</f>
        <v>4258</v>
      </c>
      <c r="AI175" s="12">
        <f>'Inputs (2)'!AD23</f>
        <v>5390</v>
      </c>
      <c r="AJ175" s="12">
        <f>AI175</f>
        <v>5390</v>
      </c>
      <c r="AK175" s="12">
        <f>AJ175</f>
        <v>5390</v>
      </c>
      <c r="AL175" s="12">
        <f>AK175</f>
        <v>5390</v>
      </c>
      <c r="AM175" s="12">
        <f>AL175</f>
        <v>5390</v>
      </c>
      <c r="AN175" s="12">
        <f>AM175</f>
        <v>5390</v>
      </c>
      <c r="AO175" s="12">
        <f>AN175</f>
        <v>5390</v>
      </c>
      <c r="AP175" s="12">
        <f>AO175</f>
        <v>5390</v>
      </c>
      <c r="AQ175" s="12">
        <f>AP175</f>
        <v>5390</v>
      </c>
      <c r="AR175" s="12">
        <f>AQ175</f>
        <v>5390</v>
      </c>
      <c r="AS175" s="12">
        <f>AR175</f>
        <v>5390</v>
      </c>
      <c r="AT175" s="12">
        <f>AS175</f>
        <v>5390</v>
      </c>
      <c r="AU175" s="12">
        <f>AT175</f>
        <v>5390</v>
      </c>
      <c r="AV175" s="12">
        <f>AU175</f>
        <v>5390</v>
      </c>
      <c r="AW175" s="12">
        <f>AV175</f>
        <v>5390</v>
      </c>
      <c r="AX175" s="12">
        <f>AW175</f>
        <v>5390</v>
      </c>
      <c r="AY175" s="12">
        <f>AX175</f>
        <v>5390</v>
      </c>
      <c r="AZ175" s="12">
        <f>AY175</f>
        <v>5390</v>
      </c>
      <c r="BA175" s="12">
        <f>AZ175</f>
        <v>5390</v>
      </c>
      <c r="BB175" s="12">
        <f>BA175</f>
        <v>5390</v>
      </c>
      <c r="BC175" s="12">
        <f>BB175</f>
        <v>5390</v>
      </c>
      <c r="BD175" s="12">
        <f>BC175</f>
        <v>5390</v>
      </c>
      <c r="BE175" s="12">
        <f>BD175</f>
        <v>5390</v>
      </c>
      <c r="BF175" s="12">
        <f>BE175</f>
        <v>5390</v>
      </c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hidden="1" outlineLevel="1">
      <c r="C176" s="59" t="inlineStr">
        <is>
          <t>%(Var.)</t>
        </is>
      </c>
      <c r="D176" s="12" t="n"/>
      <c r="E176" s="40" t="n"/>
      <c r="F176" s="40" t="n"/>
      <c r="G176" s="40" t="n"/>
      <c r="H176" s="12" t="n"/>
      <c r="I176" s="40" t="str">
        <f>""</f>
        <v/>
      </c>
      <c r="J176" s="40">
        <f>IFERROR(IF(I175=0,"",J175/I175-1),"")</f>
        <v>0.101788170563961</v>
      </c>
      <c r="K176" s="40">
        <f>IFERROR(IF(J175=0,"",K175/J175-1),"")</f>
        <v>0.0362047440699127</v>
      </c>
      <c r="L176" s="40">
        <f>IFERROR(IF(K175=0,"",L175/K175-1),"")</f>
        <v>-0.00120481927710847</v>
      </c>
      <c r="M176" s="12">
        <f>IFERROR(IF(L175=0,"",M175/L175-1),"")</f>
        <v>0</v>
      </c>
      <c r="N176" s="40">
        <f>IFERROR(IF(M175=0,"",N175/M175-1),"")</f>
        <v>0.0325693606755126</v>
      </c>
      <c r="O176" s="40">
        <f>IFERROR(IF(N175=0,"",O175/N175-1),"")</f>
        <v>-0.00467289719626163</v>
      </c>
      <c r="P176" s="40">
        <f>IFERROR(IF(O175=0,"",P175/O175-1),"")</f>
        <v>0.0880281690140845</v>
      </c>
      <c r="Q176" s="40">
        <f>IFERROR(IF(P175=0,"",Q175/P175-1),"")</f>
        <v>0.119741100323625</v>
      </c>
      <c r="R176" s="12">
        <f>IFERROR(IF(Q175=0,"",R175/Q175-1),"")</f>
        <v>0</v>
      </c>
      <c r="S176" s="40">
        <f>IFERROR(IF(R175=0,"",S175/R175-1),"")</f>
        <v>0.0539499036608864</v>
      </c>
      <c r="T176" s="40">
        <f>IFERROR(IF(S175=0,"",T175/S175-1),"")</f>
        <v>0.128884826325411</v>
      </c>
      <c r="U176" s="40">
        <f>IFERROR(IF(T175=0,"",U175/T175-1),"")</f>
        <v>0.0655870445344129</v>
      </c>
      <c r="V176" s="40">
        <f>IFERROR(IF(U175=0,"",V175/U175-1),"")</f>
        <v>0.0227963525835866</v>
      </c>
      <c r="W176" s="12">
        <f>IFERROR(IF(V175=0,"",W175/V175-1),"")</f>
        <v>0</v>
      </c>
      <c r="X176" s="40">
        <f>IFERROR(IF(W175=0,"",X175/W175-1),"")</f>
        <v>0.138187221396731</v>
      </c>
      <c r="Y176" s="40">
        <f>IFERROR(IF(X175=0,"",Y175/X175-1),"")</f>
        <v>0.0156657963446476</v>
      </c>
      <c r="Z176" s="40">
        <f>IFERROR(IF(Y175=0,"",Z175/Y175-1),"")</f>
        <v>0.127892030848329</v>
      </c>
      <c r="AA176" s="40">
        <f>IFERROR(IF(Z175=0,"",AA175/Z175-1),"")</f>
        <v>0.0216524216524217</v>
      </c>
      <c r="AB176" s="12">
        <f>IFERROR(IF(AA175=0,"",AB175/AA175-1),"")</f>
        <v>0</v>
      </c>
      <c r="AC176" s="40">
        <f>IFERROR(IF(AB175=0,"",AC175/AB175-1),"")</f>
        <v>0.00948131622978243</v>
      </c>
      <c r="AD176" s="40">
        <f>IFERROR(IF(AC175=0,"",AD175/AC175-1),"")</f>
        <v>0.151381215469613</v>
      </c>
      <c r="AE176" s="40">
        <f>IFERROR(IF(AD175=0,"",AE175/AD175-1),"")</f>
        <v>0.0945297504798464</v>
      </c>
      <c r="AF176" s="55">
        <f>IFERROR(IF(AE175=0,"",AF175/AE175-1),"")</f>
        <v>0.256904866286716</v>
      </c>
      <c r="AG176" s="12">
        <f>IFERROR(IF(AF175=0,"",AG175/AF175-1),"")</f>
        <v>0</v>
      </c>
      <c r="AH176" s="55">
        <f>IFERROR(IF(AG175=0,"",AH175/AG175-1),"")</f>
        <v>0.485176142309034</v>
      </c>
      <c r="AI176" s="55">
        <f>IFERROR(IF(AH175=0,"",AI175/AH175-1),"")</f>
        <v>0.265852512916862</v>
      </c>
      <c r="AJ176" s="55">
        <f>IFERROR(IF(AI175=0,"",AJ175/AI175-1),"")</f>
        <v>0</v>
      </c>
      <c r="AK176" s="55">
        <f>IFERROR(IF(AJ175=0,"",AK175/AJ175-1),"")</f>
        <v>0</v>
      </c>
      <c r="AL176" s="12">
        <f>IFERROR(IF(AK175=0,"",AL175/AK175-1),"")</f>
        <v>0</v>
      </c>
      <c r="AM176" s="55">
        <f>IFERROR(IF(AL175=0,"",AM175/AL175-1),"")</f>
        <v>0</v>
      </c>
      <c r="AN176" s="55">
        <f>IFERROR(IF(AM175=0,"",AN175/AM175-1),"")</f>
        <v>0</v>
      </c>
      <c r="AO176" s="55">
        <f>IFERROR(IF(AN175=0,"",AO175/AN175-1),"")</f>
        <v>0</v>
      </c>
      <c r="AP176" s="55">
        <f>IFERROR(IF(AO175=0,"",AP175/AO175-1),"")</f>
        <v>0</v>
      </c>
      <c r="AQ176" s="12">
        <f>IFERROR(IF(AP175=0,"",AQ175/AP175-1),"")</f>
        <v>0</v>
      </c>
      <c r="AR176" s="55">
        <f>IFERROR(IF(AQ175=0,"",AR175/AQ175-1),"")</f>
        <v>0</v>
      </c>
      <c r="AS176" s="55">
        <f>IFERROR(IF(AR175=0,"",AS175/AR175-1),"")</f>
        <v>0</v>
      </c>
      <c r="AT176" s="55">
        <f>IFERROR(IF(AS175=0,"",AT175/AS175-1),"")</f>
        <v>0</v>
      </c>
      <c r="AU176" s="55">
        <f>IFERROR(IF(AT175=0,"",AU175/AT175-1),"")</f>
        <v>0</v>
      </c>
      <c r="AV176" s="12">
        <f>IFERROR(IF(AU175=0,"",AV175/AU175-1),"")</f>
        <v>0</v>
      </c>
      <c r="AW176" s="55">
        <f>IFERROR(IF(AV175=0,"",AW175/AV175-1),"")</f>
        <v>0</v>
      </c>
      <c r="AX176" s="55">
        <f>IFERROR(IF(AW175=0,"",AX175/AW175-1),"")</f>
        <v>0</v>
      </c>
      <c r="AY176" s="55">
        <f>IFERROR(IF(AX175=0,"",AY175/AX175-1),"")</f>
        <v>0</v>
      </c>
      <c r="AZ176" s="55">
        <f>IFERROR(IF(AY175=0,"",AZ175/AY175-1),"")</f>
        <v>0</v>
      </c>
      <c r="BA176" s="12">
        <f>IFERROR(IF(AZ175=0,"",BA175/AZ175-1),"")</f>
        <v>0</v>
      </c>
      <c r="BB176" s="55">
        <f>IFERROR(IF(BA175=0,"",BB175/BA175-1),"")</f>
        <v>0</v>
      </c>
      <c r="BC176" s="55">
        <f>IFERROR(IF(BB175=0,"",BC175/BB175-1),"")</f>
        <v>0</v>
      </c>
      <c r="BD176" s="55">
        <f>IFERROR(IF(BC175=0,"",BD175/BC175-1),"")</f>
        <v>0</v>
      </c>
      <c r="BE176" s="55">
        <f>IFERROR(IF(BD175=0,"",BE175/BD175-1),"")</f>
        <v>0</v>
      </c>
      <c r="BF176" s="12">
        <f>IFERROR(IF(BE175=0,"",BF175/BE175-1),"")</f>
        <v>0</v>
      </c>
      <c r="BG176" s="55" t="n"/>
      <c r="BH176" s="55" t="n"/>
      <c r="BI176" s="55" t="n"/>
      <c r="BJ176" s="55" t="n"/>
      <c r="BK176" s="12" t="n"/>
      <c r="BL176" s="55" t="n"/>
      <c r="BM176" s="55" t="n"/>
      <c r="BN176" s="55" t="n"/>
      <c r="BO176" s="55" t="n"/>
      <c r="BP176" s="12" t="n"/>
      <c r="BQ176" s="55" t="n"/>
      <c r="BR176" s="55" t="n"/>
      <c r="BS176" s="55" t="n"/>
      <c r="BT176" s="55" t="n"/>
      <c r="BU176" s="12" t="n"/>
      <c r="BV176" s="55" t="n"/>
      <c r="BW176" s="55" t="n"/>
      <c r="BX176" s="55" t="n"/>
      <c r="BY176" s="55" t="n"/>
      <c r="BZ176" s="12" t="n"/>
      <c r="CA176" s="55" t="n"/>
      <c r="CB176" s="55" t="n"/>
      <c r="CC176" s="55" t="n"/>
      <c r="CD176" s="55" t="n"/>
      <c r="CE176" s="12" t="n"/>
      <c r="CF176" s="55" t="n"/>
      <c r="CG176" s="55" t="n"/>
      <c r="CH176" s="55" t="n"/>
      <c r="CI176" s="55" t="n"/>
      <c r="CJ176" s="12" t="n"/>
      <c r="CK176" s="55" t="n"/>
      <c r="CL176" s="55" t="n"/>
      <c r="CM176" s="55" t="n"/>
      <c r="CN176" s="55" t="n"/>
      <c r="CO176" s="12" t="n"/>
      <c r="CP176" s="55" t="n"/>
      <c r="CQ176" s="55" t="n"/>
      <c r="CR176" s="55" t="n"/>
      <c r="CS176" s="55" t="n"/>
      <c r="CT176" s="12" t="n"/>
      <c r="CU176" s="55" t="n"/>
      <c r="CV176" s="55" t="n"/>
      <c r="CW176" s="55" t="n"/>
      <c r="CX176" s="55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collapsed="1">
      <c r="C178" s="14" t="inlineStr">
        <is>
          <t>Goodwill</t>
        </is>
      </c>
      <c r="D178" s="46" t="n"/>
      <c r="E178" s="46" t="n"/>
      <c r="F178" s="46" t="n"/>
      <c r="G178" s="46" t="n"/>
      <c r="H178" s="12" t="n"/>
      <c r="I178" s="46">
        <f>'Inputs (2)'!D24</f>
        <v>4193</v>
      </c>
      <c r="J178" s="46">
        <f>'Inputs (2)'!E24</f>
        <v>4193</v>
      </c>
      <c r="K178" s="46">
        <f>'Inputs (2)'!F24</f>
        <v>4302</v>
      </c>
      <c r="L178" s="46">
        <f>'Inputs (2)'!G24</f>
        <v>4349</v>
      </c>
      <c r="M178" s="12">
        <f>'Inputs (2)'!H24</f>
        <v>4349</v>
      </c>
      <c r="N178" s="46">
        <f>'Inputs (2)'!I24</f>
        <v>4365</v>
      </c>
      <c r="O178" s="46">
        <f>'Inputs (2)'!J24</f>
        <v>4372</v>
      </c>
      <c r="P178" s="46">
        <f>'Inputs (2)'!K24</f>
        <v>4372</v>
      </c>
      <c r="Q178" s="46">
        <f>'Inputs (2)'!L24</f>
        <v>4372</v>
      </c>
      <c r="R178" s="12">
        <f>'Inputs (2)'!M24</f>
        <v>4372</v>
      </c>
      <c r="S178" s="46">
        <f>'Inputs (2)'!N24</f>
        <v>4430</v>
      </c>
      <c r="T178" s="46">
        <f>'Inputs (2)'!O24</f>
        <v>4430</v>
      </c>
      <c r="U178" s="46">
        <f>'Inputs (2)'!P24</f>
        <v>4430</v>
      </c>
      <c r="V178" s="46">
        <f>'Inputs (2)'!Q24</f>
        <v>4430</v>
      </c>
      <c r="W178" s="12">
        <f>'Inputs (2)'!R24</f>
        <v>4430</v>
      </c>
      <c r="X178" s="46">
        <f>'Inputs (2)'!S24</f>
        <v>4453</v>
      </c>
      <c r="Y178" s="46">
        <f>'Inputs (2)'!T24</f>
        <v>4622</v>
      </c>
      <c r="Z178" s="46">
        <f>'Inputs (2)'!U24</f>
        <v>4724</v>
      </c>
      <c r="AA178" s="46">
        <f>'Inputs (2)'!V24</f>
        <v>5188</v>
      </c>
      <c r="AB178" s="12">
        <f>'Inputs (2)'!W24</f>
        <v>5188</v>
      </c>
      <c r="AC178" s="46">
        <f>'Inputs (2)'!X24</f>
        <v>5498</v>
      </c>
      <c r="AD178" s="46">
        <f>'Inputs (2)'!Y24</f>
        <v>5755</v>
      </c>
      <c r="AE178" s="46">
        <f>'Inputs (2)'!Z24</f>
        <v>6261</v>
      </c>
      <c r="AF178" s="46">
        <f>'Inputs (2)'!AA24</f>
        <v>20832</v>
      </c>
      <c r="AG178" s="12">
        <f>'Inputs (2)'!AB24</f>
        <v>20832</v>
      </c>
      <c r="AH178" s="12">
        <f>'Inputs (2)'!AC24</f>
        <v>20894</v>
      </c>
      <c r="AI178" s="12">
        <f>'Inputs (2)'!AD24</f>
        <v>21125</v>
      </c>
      <c r="AJ178" s="12">
        <f>AI178</f>
        <v>21125</v>
      </c>
      <c r="AK178" s="12">
        <f>AJ178</f>
        <v>21125</v>
      </c>
      <c r="AL178" s="12">
        <f>AK178</f>
        <v>21125</v>
      </c>
      <c r="AM178" s="12">
        <f>AL178</f>
        <v>21125</v>
      </c>
      <c r="AN178" s="12">
        <f>AM178</f>
        <v>21125</v>
      </c>
      <c r="AO178" s="12">
        <f>AN178</f>
        <v>21125</v>
      </c>
      <c r="AP178" s="12">
        <f>AO178</f>
        <v>21125</v>
      </c>
      <c r="AQ178" s="12">
        <f>AP178</f>
        <v>21125</v>
      </c>
      <c r="AR178" s="12">
        <f>AQ178</f>
        <v>21125</v>
      </c>
      <c r="AS178" s="12">
        <f>AR178</f>
        <v>21125</v>
      </c>
      <c r="AT178" s="12">
        <f>AS178</f>
        <v>21125</v>
      </c>
      <c r="AU178" s="12">
        <f>AT178</f>
        <v>21125</v>
      </c>
      <c r="AV178" s="12">
        <f>AU178</f>
        <v>21125</v>
      </c>
      <c r="AW178" s="12">
        <f>AV178</f>
        <v>21125</v>
      </c>
      <c r="AX178" s="12">
        <f>AW178</f>
        <v>21125</v>
      </c>
      <c r="AY178" s="12">
        <f>AX178</f>
        <v>21125</v>
      </c>
      <c r="AZ178" s="12">
        <f>AY178</f>
        <v>21125</v>
      </c>
      <c r="BA178" s="12">
        <f>AZ178</f>
        <v>21125</v>
      </c>
      <c r="BB178" s="12">
        <f>BA178</f>
        <v>21125</v>
      </c>
      <c r="BC178" s="12">
        <f>BB178</f>
        <v>21125</v>
      </c>
      <c r="BD178" s="12">
        <f>BC178</f>
        <v>21125</v>
      </c>
      <c r="BE178" s="12">
        <f>BD178</f>
        <v>21125</v>
      </c>
      <c r="BF178" s="12">
        <f>BE178</f>
        <v>21125</v>
      </c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>
      <c r="C179" s="14" t="inlineStr">
        <is>
          <t>Intangibles</t>
        </is>
      </c>
      <c r="D179" s="46" t="n"/>
      <c r="E179" s="46" t="n"/>
      <c r="F179" s="46" t="n"/>
      <c r="G179" s="46" t="n"/>
      <c r="H179" s="12" t="n"/>
      <c r="I179" s="46">
        <f>'Inputs (2)'!D25</f>
        <v>2613</v>
      </c>
      <c r="J179" s="46">
        <f>'Inputs (2)'!E25</f>
        <v>2478</v>
      </c>
      <c r="K179" s="46">
        <f>'Inputs (2)'!F25</f>
        <v>2454</v>
      </c>
      <c r="L179" s="46">
        <f>'Inputs (2)'!G25</f>
        <v>2339</v>
      </c>
      <c r="M179" s="12">
        <f>'Inputs (2)'!H25</f>
        <v>2339</v>
      </c>
      <c r="N179" s="46">
        <f>'Inputs (2)'!I25</f>
        <v>2211</v>
      </c>
      <c r="O179" s="46">
        <f>'Inputs (2)'!J25</f>
        <v>2036</v>
      </c>
      <c r="P179" s="46">
        <f>'Inputs (2)'!K25</f>
        <v>1850</v>
      </c>
      <c r="Q179" s="46">
        <f>'Inputs (2)'!L25</f>
        <v>1676</v>
      </c>
      <c r="R179" s="12">
        <f>'Inputs (2)'!M25</f>
        <v>1676</v>
      </c>
      <c r="S179" s="46">
        <f>'Inputs (2)'!N25</f>
        <v>1541</v>
      </c>
      <c r="T179" s="46">
        <f>'Inputs (2)'!O25</f>
        <v>1395</v>
      </c>
      <c r="U179" s="46">
        <f>'Inputs (2)'!P25</f>
        <v>1251</v>
      </c>
      <c r="V179" s="46">
        <f>'Inputs (2)'!Q25</f>
        <v>1112</v>
      </c>
      <c r="W179" s="12">
        <f>'Inputs (2)'!R25</f>
        <v>1112</v>
      </c>
      <c r="X179" s="46">
        <f>'Inputs (2)'!S25</f>
        <v>986</v>
      </c>
      <c r="Y179" s="46">
        <f>'Inputs (2)'!T25</f>
        <v>952</v>
      </c>
      <c r="Z179" s="46">
        <f>'Inputs (2)'!U25</f>
        <v>838</v>
      </c>
      <c r="AA179" s="46">
        <f>'Inputs (2)'!V25</f>
        <v>807</v>
      </c>
      <c r="AB179" s="12">
        <f>'Inputs (2)'!W25</f>
        <v>807</v>
      </c>
      <c r="AC179" s="46">
        <f>'Inputs (2)'!X25</f>
        <v>769</v>
      </c>
      <c r="AD179" s="46">
        <f>'Inputs (2)'!Y25</f>
        <v>755</v>
      </c>
      <c r="AE179" s="46">
        <f>'Inputs (2)'!Z25</f>
        <v>936</v>
      </c>
      <c r="AF179" s="46">
        <f>'Inputs (2)'!AA25</f>
        <v>3306</v>
      </c>
      <c r="AG179" s="12">
        <f>'Inputs (2)'!AB25</f>
        <v>3306</v>
      </c>
      <c r="AH179" s="12">
        <f>'Inputs (2)'!AC25</f>
        <v>3120</v>
      </c>
      <c r="AI179" s="12">
        <f>'Inputs (2)'!AD25</f>
        <v>2998</v>
      </c>
      <c r="AJ179" s="12">
        <f>AI179</f>
        <v>2998</v>
      </c>
      <c r="AK179" s="12">
        <f>AJ179</f>
        <v>2998</v>
      </c>
      <c r="AL179" s="12">
        <f>AK179</f>
        <v>2998</v>
      </c>
      <c r="AM179" s="16">
        <f>AL179</f>
        <v>2998</v>
      </c>
      <c r="AN179" s="12">
        <f>AM179</f>
        <v>2998</v>
      </c>
      <c r="AO179" s="12">
        <f>AN179</f>
        <v>2998</v>
      </c>
      <c r="AP179" s="12">
        <f>AO179</f>
        <v>2998</v>
      </c>
      <c r="AQ179" s="12">
        <f>AP179</f>
        <v>2998</v>
      </c>
      <c r="AR179" s="16">
        <f>AQ179</f>
        <v>2998</v>
      </c>
      <c r="AS179" s="12">
        <f>AR179</f>
        <v>2998</v>
      </c>
      <c r="AT179" s="12">
        <f>AS179</f>
        <v>2998</v>
      </c>
      <c r="AU179" s="12">
        <f>AT179</f>
        <v>2998</v>
      </c>
      <c r="AV179" s="12">
        <f>AU179</f>
        <v>2998</v>
      </c>
      <c r="AW179" s="16">
        <f>AV179</f>
        <v>2998</v>
      </c>
      <c r="AX179" s="12">
        <f>AW179</f>
        <v>2998</v>
      </c>
      <c r="AY179" s="12">
        <f>AX179</f>
        <v>2998</v>
      </c>
      <c r="AZ179" s="12">
        <f>AY179</f>
        <v>2998</v>
      </c>
      <c r="BA179" s="12">
        <f>AZ179</f>
        <v>2998</v>
      </c>
      <c r="BB179" s="16">
        <f>BA179</f>
        <v>2998</v>
      </c>
      <c r="BC179" s="12">
        <f>BB179</f>
        <v>2998</v>
      </c>
      <c r="BD179" s="12">
        <f>BC179</f>
        <v>2998</v>
      </c>
      <c r="BE179" s="12">
        <f>BD179</f>
        <v>2998</v>
      </c>
      <c r="BF179" s="12">
        <f>BE179</f>
        <v>2998</v>
      </c>
      <c r="BH179" s="12" t="n"/>
      <c r="BI179" s="12" t="n"/>
      <c r="BJ179" s="12" t="n"/>
      <c r="BK179" s="12" t="n"/>
      <c r="BM179" s="12" t="n"/>
      <c r="BN179" s="12" t="n"/>
      <c r="BO179" s="12" t="n"/>
      <c r="BP179" s="12" t="n"/>
      <c r="BR179" s="12" t="n"/>
      <c r="BS179" s="12" t="n"/>
      <c r="BT179" s="12" t="n"/>
      <c r="BU179" s="12" t="n"/>
      <c r="BW179" s="12" t="n"/>
      <c r="BX179" s="12" t="n"/>
      <c r="BY179" s="12" t="n"/>
      <c r="BZ179" s="12" t="n"/>
      <c r="CB179" s="12" t="n"/>
      <c r="CC179" s="12" t="n"/>
      <c r="CD179" s="12" t="n"/>
      <c r="CE179" s="12" t="n"/>
      <c r="CG179" s="12" t="n"/>
      <c r="CH179" s="12" t="n"/>
      <c r="CI179" s="12" t="n"/>
      <c r="CJ179" s="12" t="n"/>
      <c r="CL179" s="12" t="n"/>
      <c r="CM179" s="12" t="n"/>
      <c r="CN179" s="12" t="n"/>
      <c r="CO179" s="12" t="n"/>
      <c r="CQ179" s="12" t="n"/>
      <c r="CR179" s="12" t="n"/>
      <c r="CS179" s="12" t="n"/>
      <c r="CT179" s="12" t="n"/>
      <c r="CV179" s="12" t="n"/>
      <c r="CW179" s="12" t="n"/>
      <c r="CX179" s="12" t="n"/>
      <c r="CY179" s="12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inlineStr">
        <is>
          <t>Purchase of intangible assets</t>
        </is>
      </c>
      <c r="D181" s="12" t="n"/>
      <c r="E181" s="12" t="n"/>
      <c r="F181" s="12" t="n"/>
      <c r="G181" s="12" t="n"/>
      <c r="H181" s="12" t="n"/>
      <c r="I181" s="12" t="str">
        <f>IF(COUNT(H179)=0,"",I179-H179-I83)</f>
        <v/>
      </c>
      <c r="J181" s="12">
        <f>J179-I179-J83</f>
        <v>-135</v>
      </c>
      <c r="K181" s="12">
        <f>K179-J179-K83</f>
        <v>-24</v>
      </c>
      <c r="L181" s="12">
        <f>L179-K179-L83</f>
        <v>-115</v>
      </c>
      <c r="M181" s="12" t="n"/>
      <c r="N181" s="12">
        <f>N179-M179-N83</f>
        <v>-128</v>
      </c>
      <c r="O181" s="12">
        <f>O179-N179-O83</f>
        <v>-175</v>
      </c>
      <c r="P181" s="12">
        <f>P179-O179-P83</f>
        <v>-186</v>
      </c>
      <c r="Q181" s="12">
        <f>Q179-P179-Q83</f>
        <v>-174</v>
      </c>
      <c r="R181" s="12" t="n"/>
      <c r="S181" s="12">
        <f>S179-R179-S83</f>
        <v>-135</v>
      </c>
      <c r="T181" s="12">
        <f>T179-S179-T83</f>
        <v>-146</v>
      </c>
      <c r="U181" s="12">
        <f>U179-T179-U83</f>
        <v>-144</v>
      </c>
      <c r="V181" s="12">
        <f>V179-U179-V83</f>
        <v>-139</v>
      </c>
      <c r="W181" s="12" t="n"/>
      <c r="X181" s="12">
        <f>X179-W179-X83</f>
        <v>-126</v>
      </c>
      <c r="Y181" s="12">
        <f>Y179-X179-Y83</f>
        <v>-34</v>
      </c>
      <c r="Z181" s="12">
        <f>Z179-Y179-Z83</f>
        <v>-114</v>
      </c>
      <c r="AA181" s="12">
        <f>AA179-Z179-AA83</f>
        <v>-31</v>
      </c>
      <c r="AB181" s="12" t="n"/>
      <c r="AC181" s="12">
        <f>AC179-AB179-AC83</f>
        <v>-38</v>
      </c>
      <c r="AD181" s="12">
        <f>AD179-AC179-AD83</f>
        <v>-14</v>
      </c>
      <c r="AE181" s="12">
        <f>AE179-AD179-AE83</f>
        <v>181</v>
      </c>
      <c r="AF181" s="12">
        <f>AF179-AE179-AF83</f>
        <v>2370</v>
      </c>
      <c r="AG181" s="12" t="n"/>
      <c r="AH181" s="11">
        <f>AH179-AG179-AH83</f>
        <v>-186</v>
      </c>
      <c r="AI181" s="11">
        <f>AI179-AH179-AI83</f>
        <v>-122</v>
      </c>
      <c r="AJ181" s="11" t="n"/>
      <c r="AK181" s="11" t="n"/>
      <c r="AL181" s="12" t="n"/>
      <c r="AM181" s="11" t="n"/>
      <c r="AN181" s="11" t="n"/>
      <c r="AO181" s="11" t="n"/>
      <c r="AP181" s="11" t="n"/>
      <c r="AQ181" s="12" t="n"/>
      <c r="AR181" s="11" t="n"/>
      <c r="AS181" s="11" t="n"/>
      <c r="AT181" s="11" t="n"/>
      <c r="AU181" s="11" t="n"/>
      <c r="AV181" s="12" t="n"/>
      <c r="AW181" s="11" t="n"/>
      <c r="AX181" s="11" t="n"/>
      <c r="AY181" s="11" t="n"/>
      <c r="AZ181" s="11" t="n"/>
      <c r="BA181" s="12" t="n"/>
      <c r="BB181" s="11" t="n"/>
      <c r="BC181" s="11" t="n"/>
      <c r="BD181" s="11" t="n"/>
      <c r="BE181" s="11" t="n"/>
      <c r="BF181" s="12" t="n"/>
      <c r="BG181" s="11" t="n"/>
      <c r="BH181" s="11" t="n"/>
      <c r="BI181" s="11" t="n"/>
      <c r="BJ181" s="11" t="n"/>
      <c r="BK181" s="12" t="n"/>
      <c r="BL181" s="11" t="n"/>
      <c r="BM181" s="11" t="n"/>
      <c r="BN181" s="11" t="n"/>
      <c r="BO181" s="11" t="n"/>
      <c r="BP181" s="12" t="n"/>
      <c r="BQ181" s="11" t="n"/>
      <c r="BR181" s="11" t="n"/>
      <c r="BS181" s="11" t="n"/>
      <c r="BT181" s="11" t="n"/>
      <c r="BU181" s="12" t="n"/>
      <c r="BV181" s="11" t="n"/>
      <c r="BW181" s="11" t="n"/>
      <c r="BX181" s="11" t="n"/>
      <c r="BY181" s="11" t="n"/>
      <c r="BZ181" s="12" t="n"/>
      <c r="CA181" s="11" t="n"/>
      <c r="CB181" s="11" t="n"/>
      <c r="CC181" s="11" t="n"/>
      <c r="CD181" s="11" t="n"/>
      <c r="CE181" s="12" t="n"/>
      <c r="CF181" s="11" t="n"/>
      <c r="CG181" s="11" t="n"/>
      <c r="CH181" s="11" t="n"/>
      <c r="CI181" s="11" t="n"/>
      <c r="CJ181" s="12" t="n"/>
      <c r="CK181" s="11" t="n"/>
      <c r="CL181" s="11" t="n"/>
      <c r="CM181" s="11" t="n"/>
      <c r="CN181" s="11" t="n"/>
      <c r="CO181" s="12" t="n"/>
      <c r="CP181" s="11" t="n"/>
      <c r="CQ181" s="11" t="n"/>
      <c r="CR181" s="11" t="n"/>
      <c r="CS181" s="11" t="n"/>
      <c r="CT181" s="12" t="n"/>
      <c r="CU181" s="11" t="n"/>
      <c r="CV181" s="11" t="n"/>
      <c r="CW181" s="11" t="n"/>
      <c r="CX181" s="11" t="n"/>
      <c r="CY181" s="12" t="n"/>
    </row>
    <row r="182" hidden="1" outlineLevel="1">
      <c r="C182" s="57" t="inlineStr">
        <is>
          <t>Amortization (enter as -)</t>
        </is>
      </c>
      <c r="D182" s="12" t="n"/>
      <c r="E182" s="12" t="n"/>
      <c r="F182" s="12" t="n"/>
      <c r="G182" s="12" t="n"/>
      <c r="H182" s="12" t="n"/>
      <c r="I182" s="12">
        <f>I82</f>
        <v>0</v>
      </c>
      <c r="J182" s="12">
        <f>J82</f>
        <v>0</v>
      </c>
      <c r="K182" s="12">
        <f>K82</f>
        <v>0</v>
      </c>
      <c r="L182" s="12">
        <f>L82</f>
        <v>0</v>
      </c>
      <c r="M182" s="12" t="n"/>
      <c r="N182" s="12">
        <f>N82</f>
        <v>0</v>
      </c>
      <c r="O182" s="12">
        <f>O82</f>
        <v>0</v>
      </c>
      <c r="P182" s="12">
        <f>P82</f>
        <v>0</v>
      </c>
      <c r="Q182" s="12">
        <f>Q82</f>
        <v>0</v>
      </c>
      <c r="R182" s="12" t="n"/>
      <c r="S182" s="12">
        <f>S82</f>
        <v>0</v>
      </c>
      <c r="T182" s="12">
        <f>T82</f>
        <v>0</v>
      </c>
      <c r="U182" s="12">
        <f>U82</f>
        <v>0</v>
      </c>
      <c r="V182" s="12">
        <f>V82</f>
        <v>0</v>
      </c>
      <c r="W182" s="12" t="n"/>
      <c r="X182" s="12">
        <f>X82</f>
        <v>0</v>
      </c>
      <c r="Y182" s="12">
        <f>Y82</f>
        <v>0</v>
      </c>
      <c r="Z182" s="12">
        <f>Z82</f>
        <v>0</v>
      </c>
      <c r="AA182" s="12">
        <f>AA82</f>
        <v>0</v>
      </c>
      <c r="AB182" s="12" t="n"/>
      <c r="AC182" s="12">
        <f>AC82</f>
        <v>0</v>
      </c>
      <c r="AD182" s="12">
        <f>AD82</f>
        <v>0</v>
      </c>
      <c r="AE182" s="12">
        <f>AE82</f>
        <v>0</v>
      </c>
      <c r="AF182" s="12">
        <f>AF82</f>
        <v>0</v>
      </c>
      <c r="AG182" s="12" t="n"/>
      <c r="AH182" s="12">
        <f>AH82</f>
        <v>0</v>
      </c>
      <c r="AI182" s="11">
        <f>AI82</f>
        <v>0</v>
      </c>
      <c r="AJ182" s="11" t="n"/>
      <c r="AK182" s="11" t="n"/>
      <c r="AL182" s="12" t="n"/>
      <c r="AM182" s="11" t="n"/>
      <c r="AN182" s="11" t="n"/>
      <c r="AO182" s="11" t="n"/>
      <c r="AP182" s="11" t="n"/>
      <c r="AQ182" s="12" t="n"/>
      <c r="AR182" s="11" t="n"/>
      <c r="AS182" s="11" t="n"/>
      <c r="AT182" s="11" t="n"/>
      <c r="AU182" s="11" t="n"/>
      <c r="AV182" s="12" t="n"/>
      <c r="AW182" s="11" t="n"/>
      <c r="AX182" s="11" t="n"/>
      <c r="AY182" s="11" t="n"/>
      <c r="AZ182" s="11" t="n"/>
      <c r="BA182" s="12" t="n"/>
      <c r="BB182" s="11" t="n"/>
      <c r="BC182" s="11" t="n"/>
      <c r="BD182" s="11" t="n"/>
      <c r="BE182" s="11" t="n"/>
      <c r="BF182" s="12" t="n"/>
      <c r="BG182" s="11" t="n"/>
      <c r="BH182" s="11" t="n"/>
      <c r="BI182" s="11" t="n"/>
      <c r="BJ182" s="11" t="n"/>
      <c r="BK182" s="12" t="n"/>
      <c r="BL182" s="11" t="n"/>
      <c r="BM182" s="11" t="n"/>
      <c r="BN182" s="11" t="n"/>
      <c r="BO182" s="11" t="n"/>
      <c r="BP182" s="12" t="n"/>
      <c r="BQ182" s="11" t="n"/>
      <c r="BR182" s="11" t="n"/>
      <c r="BS182" s="11" t="n"/>
      <c r="BT182" s="11" t="n"/>
      <c r="BU182" s="12" t="n"/>
      <c r="BV182" s="11" t="n"/>
      <c r="BW182" s="11" t="n"/>
      <c r="BX182" s="11" t="n"/>
      <c r="BY182" s="11" t="n"/>
      <c r="BZ182" s="12" t="n"/>
      <c r="CA182" s="11" t="n"/>
      <c r="CB182" s="11" t="n"/>
      <c r="CC182" s="11" t="n"/>
      <c r="CD182" s="11" t="n"/>
      <c r="CE182" s="12" t="n"/>
      <c r="CF182" s="11" t="n"/>
      <c r="CG182" s="11" t="n"/>
      <c r="CH182" s="11" t="n"/>
      <c r="CI182" s="11" t="n"/>
      <c r="CJ182" s="12" t="n"/>
      <c r="CK182" s="11" t="n"/>
      <c r="CL182" s="11" t="n"/>
      <c r="CM182" s="11" t="n"/>
      <c r="CN182" s="11" t="n"/>
      <c r="CO182" s="12" t="n"/>
      <c r="CP182" s="11" t="n"/>
      <c r="CQ182" s="11" t="n"/>
      <c r="CR182" s="11" t="n"/>
      <c r="CS182" s="11" t="n"/>
      <c r="CT182" s="12" t="n"/>
      <c r="CU182" s="11" t="n"/>
      <c r="CV182" s="11" t="n"/>
      <c r="CW182" s="11" t="n"/>
      <c r="CX182" s="11" t="n"/>
      <c r="CY182" s="12" t="n"/>
    </row>
    <row r="183" hidden="1" outlineLevel="1">
      <c r="C183" s="57" t="inlineStr">
        <is>
          <t>Intangibles</t>
        </is>
      </c>
      <c r="D183" s="12" t="n"/>
      <c r="E183" s="12" t="n"/>
      <c r="F183" s="12" t="n"/>
      <c r="G183" s="12" t="n"/>
      <c r="H183" s="12" t="n"/>
      <c r="I183" s="12">
        <f>I179</f>
        <v>2613</v>
      </c>
      <c r="J183" s="12">
        <f>J179</f>
        <v>2478</v>
      </c>
      <c r="K183" s="12">
        <f>K179</f>
        <v>2454</v>
      </c>
      <c r="L183" s="12">
        <f>L179</f>
        <v>2339</v>
      </c>
      <c r="M183" s="12">
        <f>M179</f>
        <v>2339</v>
      </c>
      <c r="N183" s="12">
        <f>N179</f>
        <v>2211</v>
      </c>
      <c r="O183" s="12">
        <f>O179</f>
        <v>2036</v>
      </c>
      <c r="P183" s="12">
        <f>P179</f>
        <v>1850</v>
      </c>
      <c r="Q183" s="12">
        <f>Q179</f>
        <v>1676</v>
      </c>
      <c r="R183" s="12">
        <f>R179</f>
        <v>1676</v>
      </c>
      <c r="S183" s="12">
        <f>S179</f>
        <v>1541</v>
      </c>
      <c r="T183" s="12">
        <f>T179</f>
        <v>1395</v>
      </c>
      <c r="U183" s="12">
        <f>U179</f>
        <v>1251</v>
      </c>
      <c r="V183" s="12">
        <f>V179</f>
        <v>1112</v>
      </c>
      <c r="W183" s="12">
        <f>W179</f>
        <v>1112</v>
      </c>
      <c r="X183" s="12">
        <f>X179</f>
        <v>986</v>
      </c>
      <c r="Y183" s="12">
        <f>Y179</f>
        <v>952</v>
      </c>
      <c r="Z183" s="12">
        <f>Z179</f>
        <v>838</v>
      </c>
      <c r="AA183" s="12">
        <f>AA179</f>
        <v>807</v>
      </c>
      <c r="AB183" s="12">
        <f>AB179</f>
        <v>807</v>
      </c>
      <c r="AC183" s="12">
        <f>AC179</f>
        <v>769</v>
      </c>
      <c r="AD183" s="12">
        <f>AD179</f>
        <v>755</v>
      </c>
      <c r="AE183" s="12">
        <f>AE179</f>
        <v>936</v>
      </c>
      <c r="AF183" s="12">
        <f>AF179</f>
        <v>3306</v>
      </c>
      <c r="AG183" s="12">
        <f>AG179</f>
        <v>3306</v>
      </c>
      <c r="AH183" s="12">
        <f>AH179</f>
        <v>3120</v>
      </c>
      <c r="AI183" s="12">
        <f>AI179</f>
        <v>2998</v>
      </c>
      <c r="AJ183" s="12">
        <f>AJ179</f>
        <v>2998</v>
      </c>
      <c r="AK183" s="12">
        <f>AK179</f>
        <v>2998</v>
      </c>
      <c r="AL183" s="12" t="n"/>
      <c r="AM183" s="12">
        <f>AM179</f>
        <v>2998</v>
      </c>
      <c r="AN183" s="12">
        <f>AN179</f>
        <v>2998</v>
      </c>
      <c r="AO183" s="12">
        <f>AO179</f>
        <v>2998</v>
      </c>
      <c r="AP183" s="12">
        <f>AP179</f>
        <v>2998</v>
      </c>
      <c r="AQ183" s="12" t="n"/>
      <c r="AR183" s="12">
        <f>AR179</f>
        <v>2998</v>
      </c>
      <c r="AS183" s="12">
        <f>AS179</f>
        <v>2998</v>
      </c>
      <c r="AT183" s="12">
        <f>AT179</f>
        <v>2998</v>
      </c>
      <c r="AU183" s="12">
        <f>AU179</f>
        <v>2998</v>
      </c>
      <c r="AV183" s="12" t="n"/>
      <c r="AW183" s="12">
        <f>AW179</f>
        <v>2998</v>
      </c>
      <c r="AX183" s="12">
        <f>AX179</f>
        <v>2998</v>
      </c>
      <c r="AY183" s="12">
        <f>AY179</f>
        <v>2998</v>
      </c>
      <c r="AZ183" s="12">
        <f>AZ179</f>
        <v>2998</v>
      </c>
      <c r="BA183" s="12" t="n"/>
      <c r="BB183" s="12">
        <f>BB179</f>
        <v>2998</v>
      </c>
      <c r="BC183" s="12">
        <f>BC179</f>
        <v>2998</v>
      </c>
      <c r="BD183" s="12">
        <f>BD179</f>
        <v>2998</v>
      </c>
      <c r="BE183" s="12">
        <f>BE179</f>
        <v>2998</v>
      </c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57" t="inlineStr">
        <is>
          <t>Definir % do D&amp;A No PPE and Intagibles</t>
        </is>
      </c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57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collapsed="1">
      <c r="C188" s="14" t="inlineStr">
        <is>
          <t>Other non-current assets</t>
        </is>
      </c>
      <c r="D188" s="46" t="n"/>
      <c r="E188" s="46" t="n"/>
      <c r="F188" s="46" t="n"/>
      <c r="G188" s="46" t="n"/>
      <c r="H188" s="12" t="n"/>
      <c r="I188" s="46">
        <f>'Inputs (2)'!D26</f>
        <v>2090</v>
      </c>
      <c r="J188" s="46">
        <f>'Inputs (2)'!E26</f>
        <v>2050</v>
      </c>
      <c r="K188" s="46">
        <f>'Inputs (2)'!F26</f>
        <v>3761</v>
      </c>
      <c r="L188" s="46">
        <f>'Inputs (2)'!G26</f>
        <v>3841</v>
      </c>
      <c r="M188" s="12">
        <f>'Inputs (2)'!H26</f>
        <v>3841</v>
      </c>
      <c r="N188" s="46">
        <f>'Inputs (2)'!I26</f>
        <v>3505</v>
      </c>
      <c r="O188" s="46">
        <f>'Inputs (2)'!J26</f>
        <v>3340</v>
      </c>
      <c r="P188" s="46">
        <f>'Inputs (2)'!K26</f>
        <v>3580</v>
      </c>
      <c r="Q188" s="46">
        <f>'Inputs (2)'!L26</f>
        <v>3820</v>
      </c>
      <c r="R188" s="12">
        <f>'Inputs (2)'!M26</f>
        <v>3820</v>
      </c>
      <c r="S188" s="46">
        <f>'Inputs (2)'!N26</f>
        <v>4204</v>
      </c>
      <c r="T188" s="46">
        <f>'Inputs (2)'!O26</f>
        <v>4501</v>
      </c>
      <c r="U188" s="46">
        <f>'Inputs (2)'!P26</f>
        <v>4667</v>
      </c>
      <c r="V188" s="46">
        <f>'Inputs (2)'!Q26</f>
        <v>4500</v>
      </c>
      <c r="W188" s="12">
        <f>'Inputs (2)'!R26</f>
        <v>4500</v>
      </c>
      <c r="X188" s="46">
        <f>'Inputs (2)'!S26</f>
        <v>4568</v>
      </c>
      <c r="Y188" s="46">
        <f>'Inputs (2)'!T26</f>
        <v>4001</v>
      </c>
      <c r="Z188" s="46">
        <f>'Inputs (2)'!U26</f>
        <v>5437</v>
      </c>
      <c r="AA188" s="46">
        <f>'Inputs (2)'!V26</f>
        <v>6425</v>
      </c>
      <c r="AB188" s="12">
        <f>'Inputs (2)'!W26</f>
        <v>6425</v>
      </c>
      <c r="AC188" s="46">
        <f>'Inputs (2)'!X26</f>
        <v>6788</v>
      </c>
      <c r="AD188" s="46">
        <f>'Inputs (2)'!Y26</f>
        <v>7216</v>
      </c>
      <c r="AE188" s="46">
        <f>'Inputs (2)'!Z26</f>
        <v>11724</v>
      </c>
      <c r="AF188" s="46">
        <f>'Inputs (2)'!AA26</f>
        <v>30552</v>
      </c>
      <c r="AG188" s="12">
        <f>'Inputs (2)'!AB26</f>
        <v>30552</v>
      </c>
      <c r="AH188" s="12">
        <f>'Inputs (2)'!AC26</f>
        <v>56097</v>
      </c>
      <c r="AI188" s="12">
        <f>'Inputs (2)'!AD26</f>
        <v>66903</v>
      </c>
      <c r="AJ188" s="12">
        <f>AI188</f>
        <v>66903</v>
      </c>
      <c r="AK188" s="12">
        <f>AJ188</f>
        <v>66903</v>
      </c>
      <c r="AL188" s="12">
        <f>AK188</f>
        <v>66903</v>
      </c>
      <c r="AM188" s="12">
        <f>AL188</f>
        <v>66903</v>
      </c>
      <c r="AN188" s="12">
        <f>AM188</f>
        <v>66903</v>
      </c>
      <c r="AO188" s="12">
        <f>AN188</f>
        <v>66903</v>
      </c>
      <c r="AP188" s="12">
        <f>AO188</f>
        <v>66903</v>
      </c>
      <c r="AQ188" s="12">
        <f>AP188</f>
        <v>66903</v>
      </c>
      <c r="AR188" s="12">
        <f>AQ188</f>
        <v>66903</v>
      </c>
      <c r="AS188" s="12">
        <f>AR188</f>
        <v>66903</v>
      </c>
      <c r="AT188" s="12">
        <f>AS188</f>
        <v>66903</v>
      </c>
      <c r="AU188" s="12">
        <f>AT188</f>
        <v>66903</v>
      </c>
      <c r="AV188" s="12">
        <f>AU188</f>
        <v>66903</v>
      </c>
      <c r="AW188" s="12">
        <f>AV188</f>
        <v>66903</v>
      </c>
      <c r="AX188" s="12">
        <f>AW188</f>
        <v>66903</v>
      </c>
      <c r="AY188" s="12">
        <f>AX188</f>
        <v>66903</v>
      </c>
      <c r="AZ188" s="12">
        <f>AY188</f>
        <v>66903</v>
      </c>
      <c r="BA188" s="12">
        <f>AZ188</f>
        <v>66903</v>
      </c>
      <c r="BB188" s="12">
        <f>BA188</f>
        <v>66903</v>
      </c>
      <c r="BC188" s="12">
        <f>BB188</f>
        <v>66903</v>
      </c>
      <c r="BD188" s="12">
        <f>BC188</f>
        <v>66903</v>
      </c>
      <c r="BE188" s="12">
        <f>BD188</f>
        <v>66903</v>
      </c>
      <c r="BF188" s="12">
        <f>BE188</f>
        <v>66903</v>
      </c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59" t="inlineStr">
        <is>
          <t>%(Var.)</t>
        </is>
      </c>
      <c r="D189" s="12" t="n"/>
      <c r="E189" s="40" t="n"/>
      <c r="F189" s="40" t="n"/>
      <c r="G189" s="40" t="n"/>
      <c r="H189" s="12" t="n"/>
      <c r="I189" s="40" t="str">
        <f>""</f>
        <v/>
      </c>
      <c r="J189" s="40">
        <f>IF(I188=0,"",J188/I188-1)</f>
        <v>-0.0191387559808612</v>
      </c>
      <c r="K189" s="40">
        <f>IF(J188=0,"",K188/J188-1)</f>
        <v>0.834634146341464</v>
      </c>
      <c r="L189" s="40">
        <f>IF(K188=0,"",L188/K188-1)</f>
        <v>0.0212709385801648</v>
      </c>
      <c r="M189" s="12">
        <f>IF(L188=0,"",M188/L188-1)</f>
        <v>0</v>
      </c>
      <c r="N189" s="40">
        <f>IF(M188=0,"",N188/M188-1)</f>
        <v>-0.0874772194740953</v>
      </c>
      <c r="O189" s="40">
        <f>IF(N188=0,"",O188/N188-1)</f>
        <v>-0.0470756062767475</v>
      </c>
      <c r="P189" s="40">
        <f>IF(O188=0,"",P188/O188-1)</f>
        <v>0.0718562874251496</v>
      </c>
      <c r="Q189" s="40">
        <f>IF(P188=0,"",Q188/P188-1)</f>
        <v>0.0670391061452513</v>
      </c>
      <c r="R189" s="12">
        <f>IF(Q188=0,"",R188/Q188-1)</f>
        <v>0</v>
      </c>
      <c r="S189" s="40">
        <f>IF(R188=0,"",S188/R188-1)</f>
        <v>0.100523560209424</v>
      </c>
      <c r="T189" s="40">
        <f>IF(S188=0,"",T188/S188-1)</f>
        <v>0.0706470028544244</v>
      </c>
      <c r="U189" s="40">
        <f>IF(T188=0,"",U188/T188-1)</f>
        <v>0.0368806931792935</v>
      </c>
      <c r="V189" s="40">
        <f>IF(U188=0,"",V188/U188-1)</f>
        <v>-0.0357831583458325</v>
      </c>
      <c r="W189" s="12">
        <f>IF(V188=0,"",W188/V188-1)</f>
        <v>0</v>
      </c>
      <c r="X189" s="40">
        <f>IF(W188=0,"",X188/W188-1)</f>
        <v>0.0151111111111111</v>
      </c>
      <c r="Y189" s="40">
        <f>IF(X188=0,"",Y188/X188-1)</f>
        <v>-0.124124343257443</v>
      </c>
      <c r="Z189" s="40">
        <f>IF(Y188=0,"",Z188/Y188-1)</f>
        <v>0.358910272431892</v>
      </c>
      <c r="AA189" s="40">
        <f>IF(Z188=0,"",AA188/Z188-1)</f>
        <v>0.181717859113482</v>
      </c>
      <c r="AB189" s="12">
        <f>IF(AA188=0,"",AB188/AA188-1)</f>
        <v>0</v>
      </c>
      <c r="AC189" s="40">
        <f>IF(AB188=0,"",AC188/AB188-1)</f>
        <v>0.0564980544747082</v>
      </c>
      <c r="AD189" s="40">
        <f>IF(AC188=0,"",AD188/AC188-1)</f>
        <v>0.0630524454920447</v>
      </c>
      <c r="AE189" s="40">
        <f>IF(AD188=0,"",AE188/AD188-1)</f>
        <v>0.624722838137472</v>
      </c>
      <c r="AF189" s="55">
        <f>IF(AE188=0,"",AF188/AE188-1)</f>
        <v>1.60593654042989</v>
      </c>
      <c r="AG189" s="12">
        <f>IF(AF188=0,"",AG188/AF188-1)</f>
        <v>0</v>
      </c>
      <c r="AH189" s="55">
        <f>IF(AG188=0,"",AH188/AG188-1)</f>
        <v>0.836115475255302</v>
      </c>
      <c r="AI189" s="55">
        <f>IF(AH188=0,"",AI188/AH188-1)</f>
        <v>0.192630621958394</v>
      </c>
      <c r="AJ189" s="55">
        <f>IF(AI188=0,"",AJ188/AI188-1)</f>
        <v>0</v>
      </c>
      <c r="AK189" s="55">
        <f>IF(AJ188=0,"",AK188/AJ188-1)</f>
        <v>0</v>
      </c>
      <c r="AL189" s="12">
        <f>IF(AK188=0,"",AL188/AK188-1)</f>
        <v>0</v>
      </c>
      <c r="AM189" s="55">
        <f>IF(AL188=0,"",AM188/AL188-1)</f>
        <v>0</v>
      </c>
      <c r="AN189" s="55">
        <f>IF(AM188=0,"",AN188/AM188-1)</f>
        <v>0</v>
      </c>
      <c r="AO189" s="55">
        <f>IF(AN188=0,"",AO188/AN188-1)</f>
        <v>0</v>
      </c>
      <c r="AP189" s="55">
        <f>IF(AO188=0,"",AP188/AO188-1)</f>
        <v>0</v>
      </c>
      <c r="AQ189" s="12">
        <f>IF(AP188=0,"",AQ188/AP188-1)</f>
        <v>0</v>
      </c>
      <c r="AR189" s="55">
        <f>IF(AQ188=0,"",AR188/AQ188-1)</f>
        <v>0</v>
      </c>
      <c r="AS189" s="55">
        <f>IF(AR188=0,"",AS188/AR188-1)</f>
        <v>0</v>
      </c>
      <c r="AT189" s="55">
        <f>IF(AS188=0,"",AT188/AS188-1)</f>
        <v>0</v>
      </c>
      <c r="AU189" s="55">
        <f>IF(AT188=0,"",AU188/AT188-1)</f>
        <v>0</v>
      </c>
      <c r="AV189" s="12">
        <f>IF(AU188=0,"",AV188/AU188-1)</f>
        <v>0</v>
      </c>
      <c r="AW189" s="55">
        <f>IF(AV188=0,"",AW188/AV188-1)</f>
        <v>0</v>
      </c>
      <c r="AX189" s="55">
        <f>IF(AW188=0,"",AX188/AW188-1)</f>
        <v>0</v>
      </c>
      <c r="AY189" s="55">
        <f>IF(AX188=0,"",AY188/AX188-1)</f>
        <v>0</v>
      </c>
      <c r="AZ189" s="55">
        <f>IF(AY188=0,"",AZ188/AY188-1)</f>
        <v>0</v>
      </c>
      <c r="BA189" s="12">
        <f>IF(AZ188=0,"",BA188/AZ188-1)</f>
        <v>0</v>
      </c>
      <c r="BB189" s="55">
        <f>IF(BA188=0,"",BB188/BA188-1)</f>
        <v>0</v>
      </c>
      <c r="BC189" s="55">
        <f>IF(BB188=0,"",BC188/BB188-1)</f>
        <v>0</v>
      </c>
      <c r="BD189" s="55">
        <f>IF(BC188=0,"",BD188/BC188-1)</f>
        <v>0</v>
      </c>
      <c r="BE189" s="55">
        <f>IF(BD188=0,"",BE188/BD188-1)</f>
        <v>0</v>
      </c>
      <c r="BF189" s="12">
        <f>IF(BE188=0,"",BF188/BE188-1)</f>
        <v>0</v>
      </c>
      <c r="BG189" s="55" t="n"/>
      <c r="BH189" s="55" t="n"/>
      <c r="BI189" s="55" t="n"/>
      <c r="BJ189" s="55" t="n"/>
      <c r="BK189" s="12" t="n"/>
      <c r="BL189" s="55" t="n"/>
      <c r="BM189" s="55" t="n"/>
      <c r="BN189" s="55" t="n"/>
      <c r="BO189" s="55" t="n"/>
      <c r="BP189" s="12" t="n"/>
      <c r="BQ189" s="55" t="n"/>
      <c r="BR189" s="55" t="n"/>
      <c r="BS189" s="55" t="n"/>
      <c r="BT189" s="55" t="n"/>
      <c r="BU189" s="12" t="n"/>
      <c r="BV189" s="55" t="n"/>
      <c r="BW189" s="55" t="n"/>
      <c r="BX189" s="55" t="n"/>
      <c r="BY189" s="55" t="n"/>
      <c r="BZ189" s="12" t="n"/>
      <c r="CA189" s="55" t="n"/>
      <c r="CB189" s="55" t="n"/>
      <c r="CC189" s="55" t="n"/>
      <c r="CD189" s="55" t="n"/>
      <c r="CE189" s="12" t="n"/>
      <c r="CF189" s="55" t="n"/>
      <c r="CG189" s="55" t="n"/>
      <c r="CH189" s="55" t="n"/>
      <c r="CI189" s="55" t="n"/>
      <c r="CJ189" s="12" t="n"/>
      <c r="CK189" s="55" t="n"/>
      <c r="CL189" s="55" t="n"/>
      <c r="CM189" s="55" t="n"/>
      <c r="CN189" s="55" t="n"/>
      <c r="CO189" s="12" t="n"/>
      <c r="CP189" s="55" t="n"/>
      <c r="CQ189" s="55" t="n"/>
      <c r="CR189" s="55" t="n"/>
      <c r="CS189" s="55" t="n"/>
      <c r="CT189" s="12" t="n"/>
      <c r="CU189" s="55" t="n"/>
      <c r="CV189" s="55" t="n"/>
      <c r="CW189" s="55" t="n"/>
      <c r="CX189" s="55" t="n"/>
      <c r="CY189" s="12" t="n"/>
    </row>
    <row r="190" hidden="1" outlineLevel="1">
      <c r="C190" s="57" t="n"/>
      <c r="D190" s="12" t="n"/>
      <c r="E190" s="40" t="n"/>
      <c r="F190" s="40" t="n"/>
      <c r="G190" s="40" t="n"/>
      <c r="H190" s="12" t="n"/>
      <c r="I190" s="40" t="n"/>
      <c r="J190" s="40" t="n"/>
      <c r="K190" s="40" t="n"/>
      <c r="L190" s="40" t="n"/>
      <c r="M190" s="12" t="n"/>
      <c r="N190" s="40" t="n"/>
      <c r="O190" s="40" t="n"/>
      <c r="P190" s="40" t="n"/>
      <c r="Q190" s="40" t="n"/>
      <c r="R190" s="12" t="n"/>
      <c r="S190" s="40" t="n"/>
      <c r="T190" s="40" t="n"/>
      <c r="U190" s="40" t="n"/>
      <c r="V190" s="40" t="n"/>
      <c r="W190" s="12" t="n"/>
      <c r="X190" s="40" t="n"/>
      <c r="Y190" s="40" t="n"/>
      <c r="Z190" s="40" t="n"/>
      <c r="AA190" s="40" t="n"/>
      <c r="AB190" s="12" t="n"/>
      <c r="AC190" s="40" t="n"/>
      <c r="AD190" s="40" t="n"/>
      <c r="AE190" s="40" t="n"/>
      <c r="AF190" s="55" t="n"/>
      <c r="AG190" s="12" t="n"/>
      <c r="AH190" s="55" t="n"/>
      <c r="AI190" s="55" t="n"/>
      <c r="AJ190" s="55" t="n"/>
      <c r="AK190" s="55" t="n"/>
      <c r="AL190" s="12" t="n"/>
      <c r="AM190" s="55" t="n"/>
      <c r="AN190" s="55" t="n"/>
      <c r="AO190" s="55" t="n"/>
      <c r="AP190" s="55" t="n"/>
      <c r="AQ190" s="12" t="n"/>
      <c r="AR190" s="55" t="n"/>
      <c r="AS190" s="55" t="n"/>
      <c r="AT190" s="55" t="n"/>
      <c r="AU190" s="55" t="n"/>
      <c r="AV190" s="12" t="n"/>
      <c r="AW190" s="55" t="n"/>
      <c r="AX190" s="55" t="n"/>
      <c r="AY190" s="55" t="n"/>
      <c r="AZ190" s="55" t="n"/>
      <c r="BA190" s="12" t="n"/>
      <c r="BB190" s="55" t="n"/>
      <c r="BC190" s="55" t="n"/>
      <c r="BD190" s="55" t="n"/>
      <c r="BE190" s="55" t="n"/>
      <c r="BF190" s="12" t="n"/>
      <c r="BG190" s="55" t="n"/>
      <c r="BH190" s="55" t="n"/>
      <c r="BI190" s="55" t="n"/>
      <c r="BJ190" s="55" t="n"/>
      <c r="BK190" s="12" t="n"/>
      <c r="BL190" s="55" t="n"/>
      <c r="BM190" s="55" t="n"/>
      <c r="BN190" s="55" t="n"/>
      <c r="BO190" s="55" t="n"/>
      <c r="BP190" s="12" t="n"/>
      <c r="BQ190" s="55" t="n"/>
      <c r="BR190" s="55" t="n"/>
      <c r="BS190" s="55" t="n"/>
      <c r="BT190" s="55" t="n"/>
      <c r="BU190" s="12" t="n"/>
      <c r="BV190" s="55" t="n"/>
      <c r="BW190" s="55" t="n"/>
      <c r="BX190" s="55" t="n"/>
      <c r="BY190" s="55" t="n"/>
      <c r="BZ190" s="12" t="n"/>
      <c r="CA190" s="55" t="n"/>
      <c r="CB190" s="55" t="n"/>
      <c r="CC190" s="55" t="n"/>
      <c r="CD190" s="55" t="n"/>
      <c r="CE190" s="12" t="n"/>
      <c r="CF190" s="55" t="n"/>
      <c r="CG190" s="55" t="n"/>
      <c r="CH190" s="55" t="n"/>
      <c r="CI190" s="55" t="n"/>
      <c r="CJ190" s="12" t="n"/>
      <c r="CK190" s="55" t="n"/>
      <c r="CL190" s="55" t="n"/>
      <c r="CM190" s="55" t="n"/>
      <c r="CN190" s="55" t="n"/>
      <c r="CO190" s="12" t="n"/>
      <c r="CP190" s="55" t="n"/>
      <c r="CQ190" s="55" t="n"/>
      <c r="CR190" s="55" t="n"/>
      <c r="CS190" s="55" t="n"/>
      <c r="CT190" s="12" t="n"/>
      <c r="CU190" s="55" t="n"/>
      <c r="CV190" s="55" t="n"/>
      <c r="CW190" s="55" t="n"/>
      <c r="CX190" s="55" t="n"/>
      <c r="CY190" s="12" t="n"/>
    </row>
    <row r="191" hidden="1" outlineLevel="1">
      <c r="C191" s="60" t="inlineStr">
        <is>
          <t>Outros Créditos - LP</t>
        </is>
      </c>
      <c r="D191" s="11" t="n"/>
      <c r="E191" s="11" t="n"/>
      <c r="F191" s="11" t="n"/>
      <c r="G191" s="11" t="n"/>
      <c r="H191" s="12" t="n"/>
      <c r="I191" s="11" t="n"/>
      <c r="J191" s="11" t="n"/>
      <c r="K191" s="11" t="n"/>
      <c r="L191" s="11" t="n"/>
      <c r="M191" s="12" t="n"/>
      <c r="N191" s="11" t="n"/>
      <c r="O191" s="11" t="n"/>
      <c r="P191" s="11" t="n"/>
      <c r="Q191" s="11" t="n"/>
      <c r="R191" s="12" t="n"/>
      <c r="S191" s="11" t="n"/>
      <c r="T191" s="11" t="n"/>
      <c r="U191" s="11" t="n"/>
      <c r="V191" s="11" t="n"/>
      <c r="W191" s="12" t="n"/>
      <c r="X191" s="11" t="n"/>
      <c r="Y191" s="11" t="n"/>
      <c r="Z191" s="11" t="n"/>
      <c r="AA191" s="11" t="n"/>
      <c r="AB191" s="12" t="n"/>
      <c r="AC191" s="11" t="n"/>
      <c r="AD191" s="11" t="n"/>
      <c r="AE191" s="11" t="n"/>
      <c r="AF191" s="11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60" t="inlineStr">
        <is>
          <t xml:space="preserve">Impostos e Contribuições a Recuperar </t>
        </is>
      </c>
      <c r="D192" s="11" t="n"/>
      <c r="E192" s="11" t="n"/>
      <c r="F192" s="11" t="n"/>
      <c r="G192" s="11" t="n"/>
      <c r="H192" s="12" t="n"/>
      <c r="I192" s="11" t="n"/>
      <c r="J192" s="11" t="n"/>
      <c r="K192" s="11" t="n"/>
      <c r="L192" s="11" t="n"/>
      <c r="M192" s="12" t="n"/>
      <c r="N192" s="11" t="n"/>
      <c r="O192" s="11" t="n"/>
      <c r="P192" s="11" t="n"/>
      <c r="Q192" s="11" t="n"/>
      <c r="R192" s="12" t="n"/>
      <c r="S192" s="11" t="n"/>
      <c r="T192" s="11" t="n"/>
      <c r="U192" s="11" t="n"/>
      <c r="V192" s="11" t="n"/>
      <c r="W192" s="12" t="n"/>
      <c r="X192" s="11" t="n"/>
      <c r="Y192" s="11" t="n"/>
      <c r="Z192" s="11" t="n"/>
      <c r="AA192" s="11" t="n"/>
      <c r="AB192" s="12" t="n"/>
      <c r="AC192" s="11" t="n"/>
      <c r="AD192" s="11" t="n"/>
      <c r="AE192" s="11" t="n"/>
      <c r="AF192" s="11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60" t="inlineStr">
        <is>
          <t xml:space="preserve">Imposto de Renda e Contribuição Social Diferidos </t>
        </is>
      </c>
      <c r="D193" s="11" t="n"/>
      <c r="E193" s="11" t="n"/>
      <c r="F193" s="11" t="n"/>
      <c r="G193" s="11" t="n"/>
      <c r="H193" s="12" t="n"/>
      <c r="I193" s="11" t="n"/>
      <c r="J193" s="11" t="n"/>
      <c r="K193" s="11" t="n"/>
      <c r="L193" s="11" t="n"/>
      <c r="M193" s="12" t="n"/>
      <c r="N193" s="11" t="n"/>
      <c r="O193" s="11" t="n"/>
      <c r="P193" s="11" t="n"/>
      <c r="Q193" s="11" t="n"/>
      <c r="R193" s="12" t="n"/>
      <c r="S193" s="11" t="n"/>
      <c r="T193" s="11" t="n"/>
      <c r="U193" s="11" t="n"/>
      <c r="V193" s="11" t="n"/>
      <c r="W193" s="12" t="n"/>
      <c r="X193" s="11" t="n"/>
      <c r="Y193" s="11" t="n"/>
      <c r="Z193" s="11" t="n"/>
      <c r="AA193" s="11" t="n"/>
      <c r="AB193" s="12" t="n"/>
      <c r="AC193" s="11" t="n"/>
      <c r="AD193" s="11" t="n"/>
      <c r="AE193" s="11" t="n"/>
      <c r="AF193" s="11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hidden="1" outlineLevel="1">
      <c r="C194" s="60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7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collapsed="1" customFormat="1" s="32">
      <c r="A196" s="30" t="n"/>
      <c r="B196" s="3" t="n"/>
      <c r="C196" s="33" t="inlineStr">
        <is>
          <t>Total Assets</t>
        </is>
      </c>
      <c r="D196" s="35" t="n"/>
      <c r="E196" s="35" t="n"/>
      <c r="F196" s="35" t="n"/>
      <c r="G196" s="35" t="n"/>
      <c r="H196" s="35" t="n"/>
      <c r="I196" s="35">
        <f>SUM(I143,I144,I148,I152,I153,I154,I160,I165,I175,I178,I179,I188)</f>
        <v>30796</v>
      </c>
      <c r="J196" s="35">
        <f>SUM(J143,J144,J148,J152,J153,J154,J160,J165,J175,J178,J179,J188)</f>
        <v>38650</v>
      </c>
      <c r="K196" s="35">
        <f>SUM(K143,K144,K148,K152,K153,K154,K160,K165,K175,K178,K179,K188)</f>
        <v>40632</v>
      </c>
      <c r="L196" s="35">
        <f>SUM(L143,L144,L148,L152,L153,L154,L160,L165,L175,L178,L179,L188)</f>
        <v>44187</v>
      </c>
      <c r="M196" s="35">
        <f>SUM(M143,M144,M148,M152,M153,M154,M160,M165,M175,M178,M179,M188)</f>
        <v>44187</v>
      </c>
      <c r="N196" s="35">
        <f>SUM(N143,N144,N148,N152,N153,N154,N160,N165,N175,N178,N179,N188)</f>
        <v>45212</v>
      </c>
      <c r="O196" s="35">
        <f>SUM(O143,O144,O148,O152,O153,O154,O160,O165,O175,O178,O179,O188)</f>
        <v>43476</v>
      </c>
      <c r="P196" s="35">
        <f>SUM(P143,P144,P148,P152,P153,P154,P160,P165,P175,P178,P179,P188)</f>
        <v>40488</v>
      </c>
      <c r="Q196" s="35">
        <f>SUM(Q143,Q144,Q148,Q152,Q153,Q154,Q160,Q165,Q175,Q178,Q179,Q188)</f>
        <v>41182</v>
      </c>
      <c r="R196" s="35">
        <f>SUM(R143,R144,R148,R152,R153,R154,R160,R165,R175,R178,R179,R188)</f>
        <v>41182</v>
      </c>
      <c r="S196" s="35">
        <f>SUM(S143,S144,S148,S152,S153,S154,S160,S165,S175,S178,S179,S188)</f>
        <v>44460</v>
      </c>
      <c r="T196" s="35">
        <f>SUM(T143,T144,T148,T152,T153,T154,T160,T165,T175,T178,T179,T188)</f>
        <v>49555</v>
      </c>
      <c r="U196" s="35">
        <f>SUM(U143,U144,U148,U152,U153,U154,U160,U165,U175,U178,U179,U188)</f>
        <v>54148</v>
      </c>
      <c r="V196" s="35">
        <f>SUM(V143,V144,V148,V152,V153,V154,V160,V165,V175,V178,V179,V188)</f>
        <v>65728</v>
      </c>
      <c r="W196" s="35">
        <f>SUM(W143,W144,W148,W152,W153,W154,W160,W165,W175,W178,W179,W188)</f>
        <v>65728</v>
      </c>
      <c r="X196" s="35">
        <f>SUM(X143,X144,X148,X152,X153,X154,X160,X165,X175,X178,X179,X188)</f>
        <v>77072</v>
      </c>
      <c r="Y196" s="35">
        <f>SUM(Y143,Y144,Y148,Y152,Y153,Y154,Y160,Y165,Y175,Y178,Y179,Y188)</f>
        <v>85227</v>
      </c>
      <c r="Z196" s="35">
        <f>SUM(Z143,Z144,Z148,Z152,Z153,Z154,Z160,Z165,Z175,Z178,Z179,Z188)</f>
        <v>96013</v>
      </c>
      <c r="AA196" s="35">
        <f>SUM(AA143,AA144,AA148,AA152,AA153,AA154,AA160,AA165,AA175,AA178,AA179,AA188)</f>
        <v>111601</v>
      </c>
      <c r="AB196" s="35">
        <f>SUM(AB143,AB144,AB148,AB152,AB153,AB154,AB160,AB165,AB175,AB178,AB179,AB188)</f>
        <v>111601</v>
      </c>
      <c r="AC196" s="35">
        <f>SUM(AC143,AC144,AC148,AC152,AC153,AC154,AC160,AC165,AC175,AC178,AC179,AC188)</f>
        <v>125254</v>
      </c>
      <c r="AD196" s="35">
        <f>SUM(AD143,AD144,AD148,AD152,AD153,AD154,AD160,AD165,AD175,AD178,AD179,AD188)</f>
        <v>140740</v>
      </c>
      <c r="AE196" s="35">
        <f>SUM(AE143,AE144,AE148,AE152,AE153,AE154,AE160,AE165,AE175,AE178,AE179,AE188)</f>
        <v>161148</v>
      </c>
      <c r="AF196" s="35">
        <f>SUM(AF143,AF144,AF148,AF152,AF153,AF154,AF160,AF165,AF175,AF178,AF179,AF188)</f>
        <v>206803</v>
      </c>
      <c r="AG196" s="35">
        <f>SUM(AG143,AG144,AG148,AG152,AG153,AG154,AG160,AG165,AG175,AG178,AG179,AG188)</f>
        <v>206803</v>
      </c>
      <c r="AH196" s="35">
        <f>SUM(AH143,AH144,AH148,AH152,AH153,AH154,AH160,AH165,AH175,AH178,AH179,AH188)</f>
        <v>259474</v>
      </c>
      <c r="AI196" s="35">
        <f>SUM(AI143,AI144,AI148,AI152,AI153,AI154,AI160,AI165,AI175,AI178,AI179,AI188)</f>
        <v>320272</v>
      </c>
      <c r="AJ196" s="35">
        <f>SUM(AJ143,AJ144,AJ148,AJ152,AJ153,AJ154,AJ160,AJ165,AJ175,AJ178,AJ179,AJ188)</f>
        <v>401569.985926357</v>
      </c>
      <c r="AK196" s="35">
        <f>SUM(AK143,AK144,AK148,AK152,AK153,AK154,AK160,AK165,AK175,AK178,AK179,AK188)</f>
        <v>511658.145528223</v>
      </c>
      <c r="AL196" s="35">
        <f>SUM(AL143,AL144,AL148,AL152,AL153,AL154,AL160,AL165,AL175,AL178,AL179,AL188)</f>
        <v>511658.145528223</v>
      </c>
      <c r="AM196" s="35">
        <f>SUM(AM143,AM144,AM148,AM152,AM153,AM154,AM160,AM165,AM175,AM178,AM179,AM188)</f>
        <v>663834.407843807</v>
      </c>
      <c r="AN196" s="35">
        <f>SUM(AN143,AN144,AN148,AN152,AN153,AN154,AN160,AN165,AN175,AN178,AN179,AN188)</f>
        <v>877794.495290495</v>
      </c>
      <c r="AO196" s="35">
        <f>SUM(AO143,AO144,AO148,AO152,AO153,AO154,AO160,AO165,AO175,AO178,AO179,AO188)</f>
        <v>1174605.76235662</v>
      </c>
      <c r="AP196" s="35">
        <f>SUM(AP143,AP144,AP148,AP152,AP153,AP154,AP160,AP165,AP175,AP178,AP179,AP188)</f>
        <v>1640755.33720728</v>
      </c>
      <c r="AQ196" s="35">
        <f>SUM(AQ143,AQ144,AQ148,AQ152,AQ153,AQ154,AQ160,AQ165,AQ175,AQ178,AQ179,AQ188)</f>
        <v>1640755.33720728</v>
      </c>
      <c r="AR196" s="35">
        <f>SUM(AR143,AR144,AR148,AR152,AR153,AR154,AR160,AR165,AR175,AR178,AR179,AR188)</f>
        <v>2381376.19182332</v>
      </c>
      <c r="AS196" s="35">
        <f>SUM(AS143,AS144,AS148,AS152,AS153,AS154,AS160,AS165,AS175,AS178,AS179,AS188)</f>
        <v>3585739.45804722</v>
      </c>
      <c r="AT196" s="35">
        <f>SUM(AT143,AT144,AT148,AT152,AT153,AT154,AT160,AT165,AT175,AT178,AT179,AT188)</f>
        <v>5553991.77851262</v>
      </c>
      <c r="AU196" s="35">
        <f>SUM(AU143,AU144,AU148,AU152,AU153,AU154,AU160,AU165,AU175,AU178,AU179,AU188)</f>
        <v>8900215.35316782</v>
      </c>
      <c r="AV196" s="35">
        <f>SUM(AV143,AV144,AV148,AV152,AV153,AV154,AV160,AV165,AV175,AV178,AV179,AV188)</f>
        <v>8900215.35316782</v>
      </c>
      <c r="AW196" s="35">
        <f>SUM(AW143,AW144,AW148,AW152,AW153,AW154,AW160,AW165,AW175,AW178,AW179,AW188)</f>
        <v>14586066.7533858</v>
      </c>
      <c r="AX196" s="35">
        <f>SUM(AX143,AX144,AX148,AX152,AX153,AX154,AX160,AX165,AX175,AX178,AX179,AX188)</f>
        <v>24337042.4137969</v>
      </c>
      <c r="AY196" s="35">
        <f>SUM(AY143,AY144,AY148,AY152,AY153,AY154,AY160,AY165,AY175,AY178,AY179,AY188)</f>
        <v>41094391.1259853</v>
      </c>
      <c r="AZ196" s="35">
        <f>SUM(AZ143,AZ144,AZ148,AZ152,AZ153,AZ154,AZ160,AZ165,AZ175,AZ178,AZ179,AZ188)</f>
        <v>70134700.347084</v>
      </c>
      <c r="BA196" s="35">
        <f>SUM(BA143,BA144,BA148,BA152,BA153,BA154,BA160,BA165,BA175,BA178,BA179,BA188)</f>
        <v>70134700.347084</v>
      </c>
      <c r="BB196" s="35">
        <f>SUM(BB143,BB144,BB148,BB152,BB153,BB154,BB160,BB165,BB175,BB178,BB179,BB188)</f>
        <v>120186267.512945</v>
      </c>
      <c r="BC196" s="35">
        <f>SUM(BC143,BC144,BC148,BC152,BC153,BC154,BC160,BC165,BC175,BC178,BC179,BC188)</f>
        <v>206886456.44853</v>
      </c>
      <c r="BD196" s="35">
        <f>SUM(BD143,BD144,BD148,BD152,BD153,BD154,BD160,BD165,BD175,BD178,BD179,BD188)</f>
        <v>357133086.809207</v>
      </c>
      <c r="BE196" s="35">
        <f>SUM(BE143,BE144,BE148,BE152,BE153,BE154,BE160,BE165,BE175,BE178,BE179,BE188)</f>
        <v>617927070.335462</v>
      </c>
      <c r="BF196" s="35">
        <f>SUM(BF143,BF144,BF148,BF152,BF153,BF154,BF160,BF165,BF175,BF178,BF179,BF188)</f>
        <v>617927070.335462</v>
      </c>
      <c r="BG196" s="35" t="n"/>
      <c r="BH196" s="35" t="n"/>
      <c r="BI196" s="35" t="n"/>
      <c r="BJ196" s="35" t="n"/>
      <c r="BK196" s="35" t="n"/>
      <c r="BL196" s="35" t="n"/>
      <c r="BM196" s="35" t="n"/>
      <c r="BN196" s="35" t="n"/>
      <c r="BO196" s="35" t="n"/>
      <c r="BP196" s="35" t="n"/>
      <c r="BQ196" s="35" t="n"/>
      <c r="BR196" s="35" t="n"/>
      <c r="BS196" s="35" t="n"/>
      <c r="BT196" s="35" t="n"/>
      <c r="BU196" s="35" t="n"/>
      <c r="BV196" s="35" t="n"/>
      <c r="BW196" s="35" t="n"/>
      <c r="BX196" s="35" t="n"/>
      <c r="BY196" s="35" t="n"/>
      <c r="BZ196" s="35" t="n"/>
      <c r="CA196" s="35" t="n"/>
      <c r="CB196" s="35" t="n"/>
      <c r="CC196" s="35" t="n"/>
      <c r="CD196" s="35" t="n"/>
      <c r="CE196" s="35" t="n"/>
      <c r="CF196" s="35" t="n"/>
      <c r="CG196" s="35" t="n"/>
      <c r="CH196" s="35" t="n"/>
      <c r="CI196" s="35" t="n"/>
      <c r="CJ196" s="35" t="n"/>
      <c r="CK196" s="35" t="n"/>
      <c r="CL196" s="35" t="n"/>
      <c r="CM196" s="35" t="n"/>
      <c r="CN196" s="35" t="n"/>
      <c r="CO196" s="35" t="n"/>
      <c r="CP196" s="35" t="n"/>
      <c r="CQ196" s="35" t="n"/>
      <c r="CR196" s="35" t="n"/>
      <c r="CS196" s="35" t="n"/>
      <c r="CT196" s="35" t="n"/>
      <c r="CU196" s="35" t="n"/>
      <c r="CV196" s="35" t="n"/>
      <c r="CW196" s="35" t="n"/>
      <c r="CX196" s="35" t="n"/>
      <c r="CY196" s="35" t="n"/>
    </row>
    <row r="197">
      <c r="C197" s="14" t="inlineStr">
        <is>
          <t>Accounts payable</t>
        </is>
      </c>
      <c r="D197" s="46" t="n"/>
      <c r="E197" s="46" t="n"/>
      <c r="F197" s="46" t="n"/>
      <c r="G197" s="46" t="n"/>
      <c r="H197" s="12" t="n"/>
      <c r="I197" s="46">
        <f>'Inputs (2)'!D28</f>
        <v>1218</v>
      </c>
      <c r="J197" s="46">
        <f>'Inputs (2)'!E28</f>
        <v>1474</v>
      </c>
      <c r="K197" s="46">
        <f>'Inputs (2)'!F28</f>
        <v>1664</v>
      </c>
      <c r="L197" s="46">
        <f>'Inputs (2)'!G28</f>
        <v>1783</v>
      </c>
      <c r="M197" s="12">
        <f>'Inputs (2)'!H28</f>
        <v>1783</v>
      </c>
      <c r="N197" s="46">
        <f>'Inputs (2)'!I28</f>
        <v>1999</v>
      </c>
      <c r="O197" s="46">
        <f>'Inputs (2)'!J28</f>
        <v>2421</v>
      </c>
      <c r="P197" s="46">
        <f>'Inputs (2)'!K28</f>
        <v>1491</v>
      </c>
      <c r="Q197" s="46">
        <f>'Inputs (2)'!L28</f>
        <v>1193</v>
      </c>
      <c r="R197" s="12">
        <f>'Inputs (2)'!M28</f>
        <v>1193</v>
      </c>
      <c r="S197" s="46">
        <f>'Inputs (2)'!N28</f>
        <v>1141</v>
      </c>
      <c r="T197" s="46">
        <f>'Inputs (2)'!O28</f>
        <v>1929</v>
      </c>
      <c r="U197" s="46">
        <f>'Inputs (2)'!P28</f>
        <v>2380</v>
      </c>
      <c r="V197" s="46">
        <f>'Inputs (2)'!Q28</f>
        <v>2699</v>
      </c>
      <c r="W197" s="12">
        <f>'Inputs (2)'!R28</f>
        <v>2699</v>
      </c>
      <c r="X197" s="46">
        <f>'Inputs (2)'!S28</f>
        <v>2715</v>
      </c>
      <c r="Y197" s="46">
        <f>'Inputs (2)'!T28</f>
        <v>3680</v>
      </c>
      <c r="Z197" s="46">
        <f>'Inputs (2)'!U28</f>
        <v>5353</v>
      </c>
      <c r="AA197" s="46">
        <f>'Inputs (2)'!V28</f>
        <v>6310</v>
      </c>
      <c r="AB197" s="12">
        <f>'Inputs (2)'!W28</f>
        <v>6310</v>
      </c>
      <c r="AC197" s="46">
        <f>'Inputs (2)'!X28</f>
        <v>7331</v>
      </c>
      <c r="AD197" s="46">
        <f>'Inputs (2)'!Y28</f>
        <v>9064</v>
      </c>
      <c r="AE197" s="46">
        <f>'Inputs (2)'!Z28</f>
        <v>8624</v>
      </c>
      <c r="AF197" s="46">
        <f>'Inputs (2)'!AA28</f>
        <v>9812</v>
      </c>
      <c r="AG197" s="12">
        <f>'Inputs (2)'!AB28</f>
        <v>9812</v>
      </c>
      <c r="AH197" s="12">
        <f>'Inputs (2)'!AC28</f>
        <v>13097</v>
      </c>
      <c r="AI197" s="12">
        <f>'Inputs (2)'!AD28</f>
        <v>15059</v>
      </c>
      <c r="AJ197" s="12">
        <f>(AJ198/(AJ$5-AI$5))*-AJ$53</f>
        <v>16379.3668115067</v>
      </c>
      <c r="AK197" s="12">
        <f>(AK198/(AK$5-AJ$5))*-AK$53</f>
        <v>19574.7311294866</v>
      </c>
      <c r="AL197" s="12">
        <f>AK197</f>
        <v>19574.7311294866</v>
      </c>
      <c r="AM197" s="12">
        <f>(AM198/(AM$5-AL$5))*-AM$53</f>
        <v>23971.3141411124</v>
      </c>
      <c r="AN197" s="12">
        <f>(AN198/(AN$5-AM$5))*-AN$53</f>
        <v>27950.7098279685</v>
      </c>
      <c r="AO197" s="12">
        <f>(AO198/(AO$5-AN$5))*-AO$53</f>
        <v>28706.8148050191</v>
      </c>
      <c r="AP197" s="12">
        <f>(AP198/(AP$5-AO$5))*-AP$53</f>
        <v>34307.075960803</v>
      </c>
      <c r="AQ197" s="12">
        <f>AP197</f>
        <v>34307.075960803</v>
      </c>
      <c r="AR197" s="12">
        <f>(AR198/(AR$5-AQ$5))*-AR$53</f>
        <v>41432.4010964727</v>
      </c>
      <c r="AS197" s="12">
        <f>(AS198/(AS$5-AR$5))*-AS$53</f>
        <v>48847.2347718397</v>
      </c>
      <c r="AT197" s="12">
        <f>(AT198/(AT$5-AS$5))*-AT$53</f>
        <v>50168.6193646986</v>
      </c>
      <c r="AU197" s="12">
        <f>(AU198/(AU$5-AT$5))*-AU$53</f>
        <v>59955.7508237522</v>
      </c>
      <c r="AV197" s="12">
        <f>AU197</f>
        <v>59955.7508237522</v>
      </c>
      <c r="AW197" s="12">
        <f>(AW198/(AW$5-AV$5))*-AW$53</f>
        <v>73003.1862384085</v>
      </c>
      <c r="AX197" s="12">
        <f>(AX198/(AX$5-AW$5))*-AX$53</f>
        <v>85122.1949307869</v>
      </c>
      <c r="AY197" s="12">
        <f>(AY198/(AY$5-AX$5))*-AY$53</f>
        <v>87424.8668715273</v>
      </c>
      <c r="AZ197" s="12">
        <f>(AZ198/(AZ$5-AY$5))*-AZ$53</f>
        <v>104480.123238897</v>
      </c>
      <c r="BA197" s="12">
        <f>AZ197</f>
        <v>104480.123238897</v>
      </c>
      <c r="BB197" s="12">
        <f>(BB198/(BB$5-BA$5))*-BB$53</f>
        <v>126851.836334452</v>
      </c>
      <c r="BC197" s="12">
        <f>(BC198/(BC$5-BB$5))*-BC$53</f>
        <v>147910.074836</v>
      </c>
      <c r="BD197" s="12">
        <f>(BD198/(BD$5-BC$5))*-BD$53</f>
        <v>151911.244911027</v>
      </c>
      <c r="BE197" s="12">
        <f>(BE198/(BE$5-BD$5))*-BE$53</f>
        <v>181546.808792996</v>
      </c>
      <c r="BF197" s="12">
        <f>BE197</f>
        <v>181546.808792996</v>
      </c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7" t="inlineStr">
        <is>
          <t>DPO</t>
        </is>
      </c>
      <c r="D198" s="12" t="n"/>
      <c r="E198" s="12" t="n"/>
      <c r="F198" s="12" t="n"/>
      <c r="G198" s="12" t="n"/>
      <c r="H198" s="12" t="n"/>
      <c r="I198" s="12">
        <f>IFERROR(-(I197/I$53)*(I$5-H$5),"")</f>
        <v>53.9468503937008</v>
      </c>
      <c r="J198" s="12">
        <f>IFERROR(-(J197/J$53)*(J$5-I$5),"")</f>
        <v>58.522687609075</v>
      </c>
      <c r="K198" s="12">
        <f>IFERROR(-(K197/K$53)*(K$5-J$5),"")</f>
        <v>61.9288025889968</v>
      </c>
      <c r="L198" s="12">
        <f>IFERROR(-(L197/L$53)*(L$5-K$5),"")</f>
        <v>62.0408472012103</v>
      </c>
      <c r="M198" s="12" t="n"/>
      <c r="N198" s="12">
        <f>IFERROR(-(N197/N$53)*(N$5-M$5),"")</f>
        <v>62.9716485824291</v>
      </c>
      <c r="O198" s="12">
        <f>IFERROR(-(O197/O$53)*(O$5-N$5),"")</f>
        <v>58.144893111639</v>
      </c>
      <c r="P198" s="12">
        <f>IFERROR(-(P197/P$53)*(P$5-O$5),"")</f>
        <v>49.8082788671024</v>
      </c>
      <c r="Q198" s="12">
        <f>IFERROR(-(Q197/Q$53)*(Q$5-P$5),"")</f>
        <v>49.4842200180343</v>
      </c>
      <c r="R198" s="12" t="n"/>
      <c r="S198" s="12">
        <f>IFERROR(-(S197/S$53)*(S$5-R$5),"")</f>
        <v>40.3655660377358</v>
      </c>
      <c r="T198" s="12">
        <f>IFERROR(-(T197/T$53)*(T$5-S$5),"")</f>
        <v>43.3965389369592</v>
      </c>
      <c r="U198" s="12">
        <f>IFERROR(-(U197/U$53)*(U$5-T$5),"")</f>
        <v>46.3898305084746</v>
      </c>
      <c r="V198" s="12">
        <f>IFERROR(-(V197/V$53)*(V$5-U$5),"")</f>
        <v>46.7447289156627</v>
      </c>
      <c r="W198" s="12" t="n"/>
      <c r="X198" s="12">
        <f>IFERROR(-(X197/X$53)*(X$5-W$5),"")</f>
        <v>43.8213905640298</v>
      </c>
      <c r="Y198" s="12">
        <f>IFERROR(-(Y197/Y$53)*(Y$5-X$5),"")</f>
        <v>44.8540048218591</v>
      </c>
      <c r="Z198" s="12">
        <f>IFERROR(-(Z197/Z$53)*(Z$5-Y$5),"")</f>
        <v>55.1732018821421</v>
      </c>
      <c r="AA198" s="12">
        <f>IFERROR(-(AA197/AA$53)*(AA$5-Z$5),"")</f>
        <v>54.7247360482655</v>
      </c>
      <c r="AB198" s="12" t="n"/>
      <c r="AC198" s="12">
        <f>IFERROR(-(AC197/AC$53)*(AC$5-AB$5),"")</f>
        <v>37.9320455329424</v>
      </c>
      <c r="AD198" s="12">
        <f>IFERROR(-(AD197/AD$53)*(AD$5-AC$5),"")</f>
        <v>63.9894491854151</v>
      </c>
      <c r="AE198" s="12">
        <f>IFERROR(-(AE197/AE$53)*(AE$5-AD$5),"")</f>
        <v>52.3459787556904</v>
      </c>
      <c r="AF198" s="11">
        <f>IFERROR(-(AF197/AF$53)*(AF$5-AE$5),"")</f>
        <v>52.9942468005166</v>
      </c>
      <c r="AG198" s="12" t="n"/>
      <c r="AH198" s="11">
        <f>IFERROR(-(AH197/AH$53)*(AH$5-AG$5),"")</f>
        <v>57.6170691172158</v>
      </c>
      <c r="AI198" s="11">
        <f>IFERROR(-(AI197/AI$53)*(AI$5-AH$5),"")</f>
        <v>56.9113750571037</v>
      </c>
      <c r="AJ198" s="11">
        <f>Control!$B$27</f>
        <v>53.631694074814</v>
      </c>
      <c r="AK198" s="11">
        <f>Control!$B$27</f>
        <v>53.631694074814</v>
      </c>
      <c r="AL198" s="12" t="n"/>
      <c r="AM198" s="11">
        <f>Control!$C$27</f>
        <v>53.631694074814</v>
      </c>
      <c r="AN198" s="11">
        <f>Control!$C$27</f>
        <v>53.631694074814</v>
      </c>
      <c r="AO198" s="11">
        <f>Control!$C$27</f>
        <v>53.631694074814</v>
      </c>
      <c r="AP198" s="11">
        <f>Control!$C$27</f>
        <v>53.631694074814</v>
      </c>
      <c r="AQ198" s="12" t="n"/>
      <c r="AR198" s="11">
        <f>Control!$D$27</f>
        <v>53.631694074814</v>
      </c>
      <c r="AS198" s="11">
        <f>Control!$D$27</f>
        <v>53.631694074814</v>
      </c>
      <c r="AT198" s="11">
        <f>Control!$D$27</f>
        <v>53.631694074814</v>
      </c>
      <c r="AU198" s="11">
        <f>Control!$D$27</f>
        <v>53.631694074814</v>
      </c>
      <c r="AV198" s="12" t="n"/>
      <c r="AW198" s="11">
        <f>Control!$E$27</f>
        <v>53.631694074814</v>
      </c>
      <c r="AX198" s="11">
        <f>Control!$E$27</f>
        <v>53.631694074814</v>
      </c>
      <c r="AY198" s="11">
        <f>Control!$E$27</f>
        <v>53.631694074814</v>
      </c>
      <c r="AZ198" s="11">
        <f>Control!$E$27</f>
        <v>53.631694074814</v>
      </c>
      <c r="BA198" s="12" t="n"/>
      <c r="BB198" s="11">
        <f>Control!$F$27</f>
        <v>53.631694074814</v>
      </c>
      <c r="BC198" s="11">
        <f>Control!$F$27</f>
        <v>53.631694074814</v>
      </c>
      <c r="BD198" s="11">
        <f>Control!$F$27</f>
        <v>53.631694074814</v>
      </c>
      <c r="BE198" s="11">
        <f>Control!$F$27</f>
        <v>53.631694074814</v>
      </c>
      <c r="BF198" s="12" t="n"/>
      <c r="BG198" s="11" t="n"/>
      <c r="BH198" s="11" t="n"/>
      <c r="BI198" s="11" t="n"/>
      <c r="BJ198" s="11" t="n"/>
      <c r="BK198" s="12" t="n"/>
      <c r="BL198" s="11" t="n"/>
      <c r="BM198" s="11" t="n"/>
      <c r="BN198" s="11" t="n"/>
      <c r="BO198" s="11" t="n"/>
      <c r="BP198" s="12" t="n"/>
      <c r="BQ198" s="11" t="n"/>
      <c r="BR198" s="11" t="n"/>
      <c r="BS198" s="11" t="n"/>
      <c r="BT198" s="11" t="n"/>
      <c r="BU198" s="12" t="n"/>
      <c r="BV198" s="11" t="n"/>
      <c r="BW198" s="11" t="n"/>
      <c r="BX198" s="11" t="n"/>
      <c r="BY198" s="11" t="n"/>
      <c r="BZ198" s="12" t="n"/>
      <c r="CA198" s="11" t="n"/>
      <c r="CB198" s="11" t="n"/>
      <c r="CC198" s="11" t="n"/>
      <c r="CD198" s="11" t="n"/>
      <c r="CE198" s="12" t="n"/>
      <c r="CF198" s="11" t="n"/>
      <c r="CG198" s="11" t="n"/>
      <c r="CH198" s="11" t="n"/>
      <c r="CI198" s="11" t="n"/>
      <c r="CJ198" s="12" t="n"/>
      <c r="CK198" s="11" t="n"/>
      <c r="CL198" s="11" t="n"/>
      <c r="CM198" s="11" t="n"/>
      <c r="CN198" s="11" t="n"/>
      <c r="CO198" s="12" t="n"/>
      <c r="CP198" s="11" t="n"/>
      <c r="CQ198" s="11" t="n"/>
      <c r="CR198" s="11" t="n"/>
      <c r="CS198" s="11" t="n"/>
      <c r="CT198" s="12" t="n"/>
      <c r="CU198" s="11" t="n"/>
      <c r="CV198" s="11" t="n"/>
      <c r="CW198" s="11" t="n"/>
      <c r="CX198" s="11" t="n"/>
      <c r="CY198" s="12" t="n"/>
    </row>
    <row r="199" hidden="1" outlineLevel="1">
      <c r="C199" s="57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7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collapsed="1">
      <c r="C201" s="14" t="inlineStr">
        <is>
          <t>Accrued expenses</t>
        </is>
      </c>
      <c r="D201" s="46" t="n"/>
      <c r="E201" s="46" t="n"/>
      <c r="F201" s="46" t="n"/>
      <c r="G201" s="46" t="n"/>
      <c r="H201" s="12" t="n"/>
      <c r="I201" s="46">
        <f>'Inputs (2)'!D29</f>
        <v>1787</v>
      </c>
      <c r="J201" s="46">
        <f>'Inputs (2)'!E29</f>
        <v>1974</v>
      </c>
      <c r="K201" s="46">
        <f>'Inputs (2)'!F29</f>
        <v>1948</v>
      </c>
      <c r="L201" s="46">
        <f>'Inputs (2)'!G29</f>
        <v>2552</v>
      </c>
      <c r="M201" s="12">
        <f>'Inputs (2)'!H29</f>
        <v>2552</v>
      </c>
      <c r="N201" s="46">
        <f>'Inputs (2)'!I29</f>
        <v>3563</v>
      </c>
      <c r="O201" s="46">
        <f>'Inputs (2)'!J29</f>
        <v>3903</v>
      </c>
      <c r="P201" s="46">
        <f>'Inputs (2)'!K29</f>
        <v>4115</v>
      </c>
      <c r="Q201" s="46">
        <f>'Inputs (2)'!L29</f>
        <v>4120</v>
      </c>
      <c r="R201" s="12">
        <f>'Inputs (2)'!M29</f>
        <v>4120</v>
      </c>
      <c r="S201" s="46">
        <f>'Inputs (2)'!N29</f>
        <v>4869</v>
      </c>
      <c r="T201" s="46">
        <f>'Inputs (2)'!O29</f>
        <v>7156</v>
      </c>
      <c r="U201" s="46">
        <f>'Inputs (2)'!P29</f>
        <v>5472</v>
      </c>
      <c r="V201" s="46">
        <f>'Inputs (2)'!Q29</f>
        <v>6682</v>
      </c>
      <c r="W201" s="12">
        <f>'Inputs (2)'!R29</f>
        <v>6682</v>
      </c>
      <c r="X201" s="46">
        <f>'Inputs (2)'!S29</f>
        <v>11258</v>
      </c>
      <c r="Y201" s="46">
        <f>'Inputs (2)'!T29</f>
        <v>10289</v>
      </c>
      <c r="Z201" s="46">
        <f>'Inputs (2)'!U29</f>
        <v>11126</v>
      </c>
      <c r="AA201" s="46">
        <f>'Inputs (2)'!V29</f>
        <v>11737</v>
      </c>
      <c r="AB201" s="12">
        <f>'Inputs (2)'!W29</f>
        <v>11737</v>
      </c>
      <c r="AC201" s="46">
        <f>'Inputs (2)'!X29</f>
        <v>19211</v>
      </c>
      <c r="AD201" s="46">
        <f>'Inputs (2)'!Y29</f>
        <v>15193</v>
      </c>
      <c r="AE201" s="46">
        <f>'Inputs (2)'!Z29</f>
        <v>16452</v>
      </c>
      <c r="AF201" s="46">
        <f>'Inputs (2)'!AA29</f>
        <v>21352</v>
      </c>
      <c r="AG201" s="12">
        <f>'Inputs (2)'!AB29</f>
        <v>21352</v>
      </c>
      <c r="AH201" s="12">
        <f>'Inputs (2)'!AC29</f>
        <v>29787</v>
      </c>
      <c r="AI201" s="12">
        <f>'Inputs (2)'!AD29</f>
        <v>26960</v>
      </c>
      <c r="AJ201" s="12">
        <f>AI201*(1+AJ16)</f>
        <v>47250.6499213154</v>
      </c>
      <c r="AK201" s="12">
        <f>AJ201*(1+AK16)</f>
        <v>82812.4598659756</v>
      </c>
      <c r="AL201" s="12">
        <f>AK201</f>
        <v>82812.4598659756</v>
      </c>
      <c r="AM201" s="12">
        <f>AL201*(1+AM16)</f>
        <v>145138.818629458</v>
      </c>
      <c r="AN201" s="12">
        <f>AM201*(1+AN16)</f>
        <v>254373.275558376</v>
      </c>
      <c r="AO201" s="12">
        <f>AN201*(1+AO16)</f>
        <v>445819.829107831</v>
      </c>
      <c r="AP201" s="12">
        <f>AO201*(1+AP16)</f>
        <v>781352.9923277</v>
      </c>
      <c r="AQ201" s="12">
        <f>AP201</f>
        <v>781352.9923277</v>
      </c>
      <c r="AR201" s="12">
        <f>AQ201*(1+AR16)</f>
        <v>1365508.54310395</v>
      </c>
      <c r="AS201" s="12">
        <f>AR201*(1+AS16)</f>
        <v>2386390.78572552</v>
      </c>
      <c r="AT201" s="12">
        <f>AS201*(1+AT16)</f>
        <v>4170505.56802127</v>
      </c>
      <c r="AU201" s="12">
        <f>AT201*(1+AU16)</f>
        <v>7288461.2180601</v>
      </c>
      <c r="AV201" s="12">
        <f>AU201</f>
        <v>7288461.2180601</v>
      </c>
      <c r="AW201" s="12">
        <f>AV201*(1+AW16)</f>
        <v>12701022.2676281</v>
      </c>
      <c r="AX201" s="12">
        <f>AW201*(1+AX16)</f>
        <v>22133062.3593165</v>
      </c>
      <c r="AY201" s="12">
        <f>AX201*(1+AY16)</f>
        <v>38569529.2141927</v>
      </c>
      <c r="AZ201" s="12">
        <f>AY201*(1+AZ16)</f>
        <v>67212054.0598524</v>
      </c>
      <c r="BA201" s="12">
        <f>AZ201</f>
        <v>67212054.0598524</v>
      </c>
      <c r="BB201" s="12">
        <f>BA201*(1+BB16)</f>
        <v>116789046.076143</v>
      </c>
      <c r="BC201" s="12">
        <f>BB201*(1+BC16)</f>
        <v>202935046.014651</v>
      </c>
      <c r="BD201" s="12">
        <f>BC201*(1+BD16)</f>
        <v>352624105.467211</v>
      </c>
      <c r="BE201" s="12">
        <f>BD201*(1+BE16)</f>
        <v>612726890.689808</v>
      </c>
      <c r="BF201" s="12">
        <f>BE201</f>
        <v>612726890.689808</v>
      </c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9" t="inlineStr">
        <is>
          <t>%(Var.)</t>
        </is>
      </c>
      <c r="D202" s="12" t="n"/>
      <c r="E202" s="40" t="n"/>
      <c r="F202" s="40" t="n"/>
      <c r="G202" s="40" t="n"/>
      <c r="H202" s="12" t="n"/>
      <c r="I202" s="40" t="str">
        <f>""</f>
        <v/>
      </c>
      <c r="J202" s="40">
        <f>IFERROR(IF(I201=0,"",J201/I201-1),"")</f>
        <v>0.10464465584779</v>
      </c>
      <c r="K202" s="40">
        <f>IFERROR(IF(J201=0,"",K201/J201-1),"")</f>
        <v>-0.0131712259371833</v>
      </c>
      <c r="L202" s="40">
        <f>IFERROR(IF(K201=0,"",L201/K201-1),"")</f>
        <v>0.31006160164271</v>
      </c>
      <c r="M202" s="12">
        <f>IF(L201=0,"",M201/L201-1)</f>
        <v>0</v>
      </c>
      <c r="N202" s="40">
        <f>IFERROR(IF(M201=0,"",N201/M201-1),"")</f>
        <v>0.396159874608151</v>
      </c>
      <c r="O202" s="40">
        <f>IFERROR(IF(N201=0,"",O201/N201-1),"")</f>
        <v>0.0954252034802132</v>
      </c>
      <c r="P202" s="40">
        <f>IFERROR(IF(O201=0,"",P201/O201-1),"")</f>
        <v>0.0543171919036638</v>
      </c>
      <c r="Q202" s="40">
        <f>IFERROR(IF(P201=0,"",Q201/P201-1),"")</f>
        <v>0.00121506682867567</v>
      </c>
      <c r="R202" s="12">
        <f>IF(Q201=0,"",R201/Q201-1)</f>
        <v>0</v>
      </c>
      <c r="S202" s="40">
        <f>IFERROR(IF(R201=0,"",S201/R201-1),"")</f>
        <v>0.181796116504854</v>
      </c>
      <c r="T202" s="40">
        <f>IFERROR(IF(S201=0,"",T201/S201-1),"")</f>
        <v>0.469706305196139</v>
      </c>
      <c r="U202" s="40">
        <f>IFERROR(IF(T201=0,"",U201/T201-1),"")</f>
        <v>-0.235326998323086</v>
      </c>
      <c r="V202" s="40">
        <f>IFERROR(IF(U201=0,"",V201/U201-1),"")</f>
        <v>0.221125730994152</v>
      </c>
      <c r="W202" s="12">
        <f>IF(V201=0,"",W201/V201-1)</f>
        <v>0</v>
      </c>
      <c r="X202" s="40">
        <f>IFERROR(IF(W201=0,"",X201/W201-1),"")</f>
        <v>0.684824902723735</v>
      </c>
      <c r="Y202" s="40">
        <f>IFERROR(IF(X201=0,"",Y201/X201-1),"")</f>
        <v>-0.0860721264878309</v>
      </c>
      <c r="Z202" s="40">
        <f>IFERROR(IF(Y201=0,"",Z201/Y201-1),"")</f>
        <v>0.0813490135095734</v>
      </c>
      <c r="AA202" s="40">
        <f>IFERROR(IF(Z201=0,"",AA201/Z201-1),"")</f>
        <v>0.0549164120079093</v>
      </c>
      <c r="AB202" s="12">
        <f>IF(AA201=0,"",AB201/AA201-1)</f>
        <v>0</v>
      </c>
      <c r="AC202" s="40">
        <f>IFERROR(IF(AB201=0,"",AC201/AB201-1),"")</f>
        <v>0.636789639601261</v>
      </c>
      <c r="AD202" s="40">
        <f>IFERROR(IF(AC201=0,"",AD201/AC201-1),"")</f>
        <v>-0.209151007235438</v>
      </c>
      <c r="AE202" s="40">
        <f>IFERROR(IF(AD201=0,"",AE201/AD201-1),"")</f>
        <v>0.0828671098532219</v>
      </c>
      <c r="AF202" s="55">
        <f>IFERROR(IF(AE201=0,"",AF201/AE201-1),"")</f>
        <v>0.297836129345976</v>
      </c>
      <c r="AG202" s="12">
        <f>IF(AF201=0,"",AG201/AF201-1)</f>
        <v>0</v>
      </c>
      <c r="AH202" s="55">
        <f>IFERROR(IF(AG201=0,"",AH201/AG201-1),"")</f>
        <v>0.395044960659423</v>
      </c>
      <c r="AI202" s="55">
        <f>IFERROR(IF(AH201=0,"",AI201/AH201-1),"")</f>
        <v>-0.094907174270655</v>
      </c>
      <c r="AJ202" s="55">
        <f>IFERROR(IF(AI201=0,"",AJ201/AI201-1),"")</f>
        <v>0.752620546042856</v>
      </c>
      <c r="AK202" s="55">
        <f>IF(AJ201=0,"",AK201/AJ201-1)</f>
        <v>0.752620546042856</v>
      </c>
      <c r="AL202" s="12">
        <f>IF(AK201=0,"",AL201/AK201-1)</f>
        <v>0</v>
      </c>
      <c r="AM202" s="55">
        <f>IF(AL201=0,"",AM201/AL201-1)</f>
        <v>0.752620546042856</v>
      </c>
      <c r="AN202" s="55">
        <f>IF(AM201=0,"",AN201/AM201-1)</f>
        <v>0.752620546042856</v>
      </c>
      <c r="AO202" s="55">
        <f>IF(AN201=0,"",AO201/AN201-1)</f>
        <v>0.752620546042856</v>
      </c>
      <c r="AP202" s="55">
        <f>IF(AO201=0,"",AP201/AO201-1)</f>
        <v>0.752620546042856</v>
      </c>
      <c r="AQ202" s="12">
        <f>IF(AP201=0,"",AQ201/AP201-1)</f>
        <v>0</v>
      </c>
      <c r="AR202" s="55">
        <f>IF(AQ201=0,"",AR201/AQ201-1)</f>
        <v>0.747620546042856</v>
      </c>
      <c r="AS202" s="55">
        <f>IF(AR201=0,"",AS201/AR201-1)</f>
        <v>0.747620546042856</v>
      </c>
      <c r="AT202" s="55">
        <f>IF(AS201=0,"",AT201/AS201-1)</f>
        <v>0.747620546042856</v>
      </c>
      <c r="AU202" s="55">
        <f>IF(AT201=0,"",AU201/AT201-1)</f>
        <v>0.747620546042856</v>
      </c>
      <c r="AV202" s="12">
        <f>IF(AU201=0,"",AV201/AU201-1)</f>
        <v>0</v>
      </c>
      <c r="AW202" s="55">
        <f>IF(AV201=0,"",AW201/AV201-1)</f>
        <v>0.742620546042856</v>
      </c>
      <c r="AX202" s="55">
        <f>IF(AW201=0,"",AX201/AW201-1)</f>
        <v>0.742620546042856</v>
      </c>
      <c r="AY202" s="55">
        <f>IF(AX201=0,"",AY201/AX201-1)</f>
        <v>0.742620546042856</v>
      </c>
      <c r="AZ202" s="55">
        <f>IF(AY201=0,"",AZ201/AY201-1)</f>
        <v>0.742620546042856</v>
      </c>
      <c r="BA202" s="12">
        <f>IF(AZ201=0,"",BA201/AZ201-1)</f>
        <v>0</v>
      </c>
      <c r="BB202" s="55">
        <f>IF(BA201=0,"",BB201/BA201-1)</f>
        <v>0.737620546042856</v>
      </c>
      <c r="BC202" s="55">
        <f>IF(BB201=0,"",BC201/BB201-1)</f>
        <v>0.737620546042856</v>
      </c>
      <c r="BD202" s="55">
        <f>IF(BC201=0,"",BD201/BC201-1)</f>
        <v>0.737620546042856</v>
      </c>
      <c r="BE202" s="55">
        <f>IF(BD201=0,"",BE201/BD201-1)</f>
        <v>0.737620546042856</v>
      </c>
      <c r="BF202" s="12">
        <f>IF(BE201=0,"",BF201/BE201-1)</f>
        <v>0</v>
      </c>
      <c r="BG202" s="55" t="n"/>
      <c r="BH202" s="55" t="n"/>
      <c r="BI202" s="55" t="n"/>
      <c r="BJ202" s="55" t="n"/>
      <c r="BK202" s="12" t="n"/>
      <c r="BL202" s="55" t="n"/>
      <c r="BM202" s="55" t="n"/>
      <c r="BN202" s="55" t="n"/>
      <c r="BO202" s="55" t="n"/>
      <c r="BP202" s="12" t="n"/>
      <c r="BQ202" s="55" t="n"/>
      <c r="BR202" s="55" t="n"/>
      <c r="BS202" s="55" t="n"/>
      <c r="BT202" s="55" t="n"/>
      <c r="BU202" s="12" t="n"/>
      <c r="BV202" s="55" t="n"/>
      <c r="BW202" s="55" t="n"/>
      <c r="BX202" s="55" t="n"/>
      <c r="BY202" s="55" t="n"/>
      <c r="BZ202" s="12" t="n"/>
      <c r="CA202" s="55" t="n"/>
      <c r="CB202" s="55" t="n"/>
      <c r="CC202" s="55" t="n"/>
      <c r="CD202" s="55" t="n"/>
      <c r="CE202" s="12" t="n"/>
      <c r="CF202" s="55" t="n"/>
      <c r="CG202" s="55" t="n"/>
      <c r="CH202" s="55" t="n"/>
      <c r="CI202" s="55" t="n"/>
      <c r="CJ202" s="12" t="n"/>
      <c r="CK202" s="55" t="n"/>
      <c r="CL202" s="55" t="n"/>
      <c r="CM202" s="55" t="n"/>
      <c r="CN202" s="55" t="n"/>
      <c r="CO202" s="12" t="n"/>
      <c r="CP202" s="55" t="n"/>
      <c r="CQ202" s="55" t="n"/>
      <c r="CR202" s="55" t="n"/>
      <c r="CS202" s="55" t="n"/>
      <c r="CT202" s="12" t="n"/>
      <c r="CU202" s="55" t="n"/>
      <c r="CV202" s="55" t="n"/>
      <c r="CW202" s="55" t="n"/>
      <c r="CX202" s="55" t="n"/>
      <c r="CY202" s="12" t="n"/>
    </row>
    <row r="203" collapsed="1">
      <c r="C203" s="14" t="inlineStr">
        <is>
          <t>Taxes payable</t>
        </is>
      </c>
      <c r="D203" s="46" t="n"/>
      <c r="E203" s="46" t="n"/>
      <c r="F203" s="46" t="n"/>
      <c r="G203" s="46" t="n"/>
      <c r="H203" s="12" t="n"/>
      <c r="I203" s="46">
        <f>'Inputs (2)'!D30</f>
        <v>0</v>
      </c>
      <c r="J203" s="46">
        <f>'Inputs (2)'!E30</f>
        <v>0</v>
      </c>
      <c r="K203" s="46">
        <f>'Inputs (2)'!F30</f>
        <v>0</v>
      </c>
      <c r="L203" s="46">
        <f>'Inputs (2)'!G30</f>
        <v>0</v>
      </c>
      <c r="M203" s="12">
        <f>'Inputs (2)'!H30</f>
        <v>0</v>
      </c>
      <c r="N203" s="46">
        <f>'Inputs (2)'!I30</f>
        <v>0</v>
      </c>
      <c r="O203" s="46">
        <f>'Inputs (2)'!J30</f>
        <v>0</v>
      </c>
      <c r="P203" s="46">
        <f>'Inputs (2)'!K30</f>
        <v>0</v>
      </c>
      <c r="Q203" s="46">
        <f>'Inputs (2)'!L30</f>
        <v>0</v>
      </c>
      <c r="R203" s="12">
        <f>'Inputs (2)'!M30</f>
        <v>0</v>
      </c>
      <c r="S203" s="46">
        <f>'Inputs (2)'!N30</f>
        <v>0</v>
      </c>
      <c r="T203" s="46">
        <f>'Inputs (2)'!O30</f>
        <v>0</v>
      </c>
      <c r="U203" s="46">
        <f>'Inputs (2)'!P30</f>
        <v>0</v>
      </c>
      <c r="V203" s="46">
        <f>'Inputs (2)'!Q30</f>
        <v>0</v>
      </c>
      <c r="W203" s="12">
        <f>'Inputs (2)'!R30</f>
        <v>0</v>
      </c>
      <c r="X203" s="46">
        <f>'Inputs (2)'!S30</f>
        <v>0</v>
      </c>
      <c r="Y203" s="46">
        <f>'Inputs (2)'!T30</f>
        <v>0</v>
      </c>
      <c r="Z203" s="46">
        <f>'Inputs (2)'!U30</f>
        <v>0</v>
      </c>
      <c r="AA203" s="46">
        <f>'Inputs (2)'!V30</f>
        <v>0</v>
      </c>
      <c r="AB203" s="12">
        <f>'Inputs (2)'!W30</f>
        <v>0</v>
      </c>
      <c r="AC203" s="46">
        <f>'Inputs (2)'!X30</f>
        <v>0</v>
      </c>
      <c r="AD203" s="46">
        <f>'Inputs (2)'!Y30</f>
        <v>0</v>
      </c>
      <c r="AE203" s="46">
        <f>'Inputs (2)'!Z30</f>
        <v>0</v>
      </c>
      <c r="AF203" s="46">
        <f>'Inputs (2)'!AA30</f>
        <v>0</v>
      </c>
      <c r="AG203" s="12">
        <f>'Inputs (2)'!AB30</f>
        <v>0</v>
      </c>
      <c r="AH203" s="12">
        <f>'Inputs (2)'!AC30</f>
        <v>0</v>
      </c>
      <c r="AI203" s="12">
        <f>'Inputs (2)'!AD30</f>
        <v>0</v>
      </c>
      <c r="AJ203" s="12">
        <f>AI203*(1+AJ16)</f>
        <v>0</v>
      </c>
      <c r="AK203" s="12">
        <f>AJ203*(1+AK16)</f>
        <v>0</v>
      </c>
      <c r="AL203" s="12">
        <f>AK203</f>
        <v>0</v>
      </c>
      <c r="AM203" s="12">
        <f>AL203*(1+AM16)</f>
        <v>0</v>
      </c>
      <c r="AN203" s="12">
        <f>AM203*(1+AN16)</f>
        <v>0</v>
      </c>
      <c r="AO203" s="12">
        <f>AN203*(1+AO16)</f>
        <v>0</v>
      </c>
      <c r="AP203" s="12">
        <f>AO203*(1+AP16)</f>
        <v>0</v>
      </c>
      <c r="AQ203" s="12">
        <f>AP203</f>
        <v>0</v>
      </c>
      <c r="AR203" s="12">
        <f>AQ203*(1+AR16)</f>
        <v>0</v>
      </c>
      <c r="AS203" s="12">
        <f>AR203*(1+AS16)</f>
        <v>0</v>
      </c>
      <c r="AT203" s="12">
        <f>AS203*(1+AT16)</f>
        <v>0</v>
      </c>
      <c r="AU203" s="12">
        <f>AT203*(1+AU16)</f>
        <v>0</v>
      </c>
      <c r="AV203" s="12">
        <f>AU203</f>
        <v>0</v>
      </c>
      <c r="AW203" s="12">
        <f>AV203*(1+AW16)</f>
        <v>0</v>
      </c>
      <c r="AX203" s="12">
        <f>AW203*(1+AX16)</f>
        <v>0</v>
      </c>
      <c r="AY203" s="12">
        <f>AX203*(1+AY16)</f>
        <v>0</v>
      </c>
      <c r="AZ203" s="12">
        <f>AY203*(1+AZ16)</f>
        <v>0</v>
      </c>
      <c r="BA203" s="12">
        <f>AZ203</f>
        <v>0</v>
      </c>
      <c r="BB203" s="12">
        <f>BA203*(1+BB16)</f>
        <v>0</v>
      </c>
      <c r="BC203" s="12">
        <f>BB203*(1+BC16)</f>
        <v>0</v>
      </c>
      <c r="BD203" s="12">
        <f>BC203*(1+BD16)</f>
        <v>0</v>
      </c>
      <c r="BE203" s="12">
        <f>BD203*(1+BE16)</f>
        <v>0</v>
      </c>
      <c r="BF203" s="12">
        <f>BE203</f>
        <v>0</v>
      </c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>
      <c r="C204" s="14" t="inlineStr">
        <is>
          <t>Other current liabilities (non-debt)</t>
        </is>
      </c>
      <c r="D204" s="46" t="n"/>
      <c r="E204" s="46" t="n"/>
      <c r="F204" s="46" t="n"/>
      <c r="G204" s="46" t="n"/>
      <c r="H204" s="12" t="n"/>
      <c r="I204" s="46">
        <f>'Inputs (2)'!D31</f>
        <v>0</v>
      </c>
      <c r="J204" s="46">
        <f>'Inputs (2)'!E31</f>
        <v>0</v>
      </c>
      <c r="K204" s="46">
        <f>'Inputs (2)'!F31</f>
        <v>0</v>
      </c>
      <c r="L204" s="46">
        <f>'Inputs (2)'!G31</f>
        <v>0</v>
      </c>
      <c r="M204" s="12">
        <f>'Inputs (2)'!H31</f>
        <v>0</v>
      </c>
      <c r="N204" s="46">
        <f>'Inputs (2)'!I31</f>
        <v>0</v>
      </c>
      <c r="O204" s="46">
        <f>'Inputs (2)'!J31</f>
        <v>0</v>
      </c>
      <c r="P204" s="46">
        <f>'Inputs (2)'!K31</f>
        <v>0</v>
      </c>
      <c r="Q204" s="46">
        <f>'Inputs (2)'!L31</f>
        <v>0</v>
      </c>
      <c r="R204" s="12">
        <f>'Inputs (2)'!M31</f>
        <v>0</v>
      </c>
      <c r="S204" s="46">
        <f>'Inputs (2)'!N31</f>
        <v>0</v>
      </c>
      <c r="T204" s="46">
        <f>'Inputs (2)'!O31</f>
        <v>0</v>
      </c>
      <c r="U204" s="46">
        <f>'Inputs (2)'!P31</f>
        <v>0</v>
      </c>
      <c r="V204" s="46">
        <f>'Inputs (2)'!Q31</f>
        <v>0</v>
      </c>
      <c r="W204" s="12">
        <f>'Inputs (2)'!R31</f>
        <v>0</v>
      </c>
      <c r="X204" s="46">
        <f>'Inputs (2)'!S31</f>
        <v>0</v>
      </c>
      <c r="Y204" s="46">
        <f>'Inputs (2)'!T31</f>
        <v>0</v>
      </c>
      <c r="Z204" s="46">
        <f>'Inputs (2)'!U31</f>
        <v>0</v>
      </c>
      <c r="AA204" s="46">
        <f>'Inputs (2)'!V31</f>
        <v>0</v>
      </c>
      <c r="AB204" s="12">
        <f>'Inputs (2)'!W31</f>
        <v>0</v>
      </c>
      <c r="AC204" s="46">
        <f>'Inputs (2)'!X31</f>
        <v>0</v>
      </c>
      <c r="AD204" s="46">
        <f>'Inputs (2)'!Y31</f>
        <v>0</v>
      </c>
      <c r="AE204" s="46">
        <f>'Inputs (2)'!Z31</f>
        <v>0</v>
      </c>
      <c r="AF204" s="46">
        <f>'Inputs (2)'!AA31</f>
        <v>0</v>
      </c>
      <c r="AG204" s="12">
        <f>'Inputs (2)'!AB31</f>
        <v>0</v>
      </c>
      <c r="AH204" s="12">
        <f>'Inputs (2)'!AC31</f>
        <v>0</v>
      </c>
      <c r="AI204" s="12">
        <f>'Inputs (2)'!AD31</f>
        <v>0</v>
      </c>
      <c r="AJ204" s="12">
        <f>AI204</f>
        <v>0</v>
      </c>
      <c r="AK204" s="12">
        <f>AJ204</f>
        <v>0</v>
      </c>
      <c r="AL204" s="12">
        <f>AK204</f>
        <v>0</v>
      </c>
      <c r="AM204" s="12">
        <f>AL204</f>
        <v>0</v>
      </c>
      <c r="AN204" s="12">
        <f>AM204</f>
        <v>0</v>
      </c>
      <c r="AO204" s="12">
        <f>AN204</f>
        <v>0</v>
      </c>
      <c r="AP204" s="12">
        <f>AO204</f>
        <v>0</v>
      </c>
      <c r="AQ204" s="12">
        <f>AP204</f>
        <v>0</v>
      </c>
      <c r="AR204" s="12">
        <f>AQ204</f>
        <v>0</v>
      </c>
      <c r="AS204" s="12">
        <f>AR204</f>
        <v>0</v>
      </c>
      <c r="AT204" s="12">
        <f>AS204</f>
        <v>0</v>
      </c>
      <c r="AU204" s="12">
        <f>AT204</f>
        <v>0</v>
      </c>
      <c r="AV204" s="12">
        <f>AU204</f>
        <v>0</v>
      </c>
      <c r="AW204" s="12">
        <f>AV204</f>
        <v>0</v>
      </c>
      <c r="AX204" s="12">
        <f>AW204</f>
        <v>0</v>
      </c>
      <c r="AY204" s="12">
        <f>AX204</f>
        <v>0</v>
      </c>
      <c r="AZ204" s="12">
        <f>AY204</f>
        <v>0</v>
      </c>
      <c r="BA204" s="12">
        <f>AZ204</f>
        <v>0</v>
      </c>
      <c r="BB204" s="12">
        <f>BA204</f>
        <v>0</v>
      </c>
      <c r="BC204" s="12">
        <f>BB204</f>
        <v>0</v>
      </c>
      <c r="BD204" s="12">
        <f>BC204</f>
        <v>0</v>
      </c>
      <c r="BE204" s="12">
        <f>BD204</f>
        <v>0</v>
      </c>
      <c r="BF204" s="12">
        <f>BE204</f>
        <v>0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9" t="inlineStr">
        <is>
          <t>%(Var.)</t>
        </is>
      </c>
      <c r="D205" s="12" t="n"/>
      <c r="E205" s="40" t="n"/>
      <c r="F205" s="40" t="n"/>
      <c r="G205" s="40" t="n"/>
      <c r="H205" s="12" t="n"/>
      <c r="I205" s="40" t="str">
        <f>""</f>
        <v/>
      </c>
      <c r="J205" s="40" t="str">
        <f>IFERROR(IF(I204=0,"",J204/I204-1),"")</f>
        <v/>
      </c>
      <c r="K205" s="40" t="str">
        <f>IFERROR(IF(J204=0,"",K204/J204-1),"")</f>
        <v/>
      </c>
      <c r="L205" s="40" t="str">
        <f>IFERROR(IF(K204=0,"",L204/K204-1),"")</f>
        <v/>
      </c>
      <c r="M205" s="12" t="str">
        <f>IF(L204=0,"",M204/L204-1)</f>
        <v/>
      </c>
      <c r="N205" s="40" t="str">
        <f>IFERROR(IF(M204=0,"",N204/M204-1),"")</f>
        <v/>
      </c>
      <c r="O205" s="40" t="str">
        <f>IFERROR(IF(N204=0,"",O204/N204-1),"")</f>
        <v/>
      </c>
      <c r="P205" s="40" t="str">
        <f>IFERROR(IF(O204=0,"",P204/O204-1),"")</f>
        <v/>
      </c>
      <c r="Q205" s="40" t="str">
        <f>IFERROR(IF(P204=0,"",Q204/P204-1),"")</f>
        <v/>
      </c>
      <c r="R205" s="12" t="str">
        <f>IF(Q204=0,"",R204/Q204-1)</f>
        <v/>
      </c>
      <c r="S205" s="40" t="str">
        <f>IFERROR(IF(R204=0,"",S204/R204-1),"")</f>
        <v/>
      </c>
      <c r="T205" s="40" t="str">
        <f>IFERROR(IF(S204=0,"",T204/S204-1),"")</f>
        <v/>
      </c>
      <c r="U205" s="40" t="str">
        <f>IFERROR(IF(T204=0,"",U204/T204-1),"")</f>
        <v/>
      </c>
      <c r="V205" s="40" t="str">
        <f>IFERROR(IF(U204=0,"",V204/U204-1),"")</f>
        <v/>
      </c>
      <c r="W205" s="12" t="str">
        <f>IF(V204=0,"",W204/V204-1)</f>
        <v/>
      </c>
      <c r="X205" s="40" t="str">
        <f>IFERROR(IF(W204=0,"",X204/W204-1),"")</f>
        <v/>
      </c>
      <c r="Y205" s="40" t="str">
        <f>IFERROR(IF(X204=0,"",Y204/X204-1),"")</f>
        <v/>
      </c>
      <c r="Z205" s="40" t="str">
        <f>IFERROR(IF(Y204=0,"",Z204/Y204-1),"")</f>
        <v/>
      </c>
      <c r="AA205" s="40" t="str">
        <f>IFERROR(IF(Z204=0,"",AA204/Z204-1),"")</f>
        <v/>
      </c>
      <c r="AB205" s="12" t="str">
        <f>IF(AA204=0,"",AB204/AA204-1)</f>
        <v/>
      </c>
      <c r="AC205" s="40" t="str">
        <f>IFERROR(IF(AB204=0,"",AC204/AB204-1),"")</f>
        <v/>
      </c>
      <c r="AD205" s="40" t="str">
        <f>IFERROR(IF(AC204=0,"",AD204/AC204-1),"")</f>
        <v/>
      </c>
      <c r="AE205" s="40" t="str">
        <f>IFERROR(IF(AD204=0,"",AE204/AD204-1),"")</f>
        <v/>
      </c>
      <c r="AF205" s="55" t="str">
        <f>IFERROR(IF(AE204=0,"",AF204/AE204-1),"")</f>
        <v/>
      </c>
      <c r="AG205" s="12" t="str">
        <f>IF(AF204=0,"",AG204/AF204-1)</f>
        <v/>
      </c>
      <c r="AH205" s="55" t="str">
        <f>IFERROR(IF(AG204=0,"",AH204/AG204-1),"")</f>
        <v/>
      </c>
      <c r="AI205" s="55" t="str">
        <f>IFERROR(IF(AH204=0,"",AI204/AH204-1),"")</f>
        <v/>
      </c>
      <c r="AJ205" s="55" t="str">
        <f>IFERROR(IF(AI204=0,"",AJ204/AI204-1),"")</f>
        <v/>
      </c>
      <c r="AK205" s="55" t="str">
        <f>IFERROR(IF(AJ204=0,"",AK204/AJ204-1),"")</f>
        <v/>
      </c>
      <c r="AL205" s="12" t="str">
        <f>IFERROR(IF(AK204=0,"",AL204/AK204-1),"")</f>
        <v/>
      </c>
      <c r="AM205" s="55" t="str">
        <f>IFERROR(IF(AL204=0,"",AM204/AL204-1),"")</f>
        <v/>
      </c>
      <c r="AN205" s="55" t="str">
        <f>IFERROR(IF(AM204=0,"",AN204/AM204-1),"")</f>
        <v/>
      </c>
      <c r="AO205" s="55" t="str">
        <f>IFERROR(IF(AN204=0,"",AO204/AN204-1),"")</f>
        <v/>
      </c>
      <c r="AP205" s="55" t="str">
        <f>IFERROR(IF(AO204=0,"",AP204/AO204-1),"")</f>
        <v/>
      </c>
      <c r="AQ205" s="12" t="str">
        <f>IFERROR(IF(AP204=0,"",AQ204/AP204-1),"")</f>
        <v/>
      </c>
      <c r="AR205" s="55" t="str">
        <f>IFERROR(IF(AQ204=0,"",AR204/AQ204-1),"")</f>
        <v/>
      </c>
      <c r="AS205" s="55" t="str">
        <f>IFERROR(IF(AR204=0,"",AS204/AR204-1),"")</f>
        <v/>
      </c>
      <c r="AT205" s="55" t="str">
        <f>IFERROR(IF(AS204=0,"",AT204/AS204-1),"")</f>
        <v/>
      </c>
      <c r="AU205" s="55" t="str">
        <f>IFERROR(IF(AT204=0,"",AU204/AT204-1),"")</f>
        <v/>
      </c>
      <c r="AV205" s="12" t="str">
        <f>IFERROR(IF(AU204=0,"",AV204/AU204-1),"")</f>
        <v/>
      </c>
      <c r="AW205" s="55" t="str">
        <f>IFERROR(IF(AV204=0,"",AW204/AV204-1),"")</f>
        <v/>
      </c>
      <c r="AX205" s="55" t="str">
        <f>IFERROR(IF(AW204=0,"",AX204/AW204-1),"")</f>
        <v/>
      </c>
      <c r="AY205" s="55" t="str">
        <f>IFERROR(IF(AX204=0,"",AY204/AX204-1),"")</f>
        <v/>
      </c>
      <c r="AZ205" s="55" t="str">
        <f>IFERROR(IF(AY204=0,"",AZ204/AY204-1),"")</f>
        <v/>
      </c>
      <c r="BA205" s="12" t="str">
        <f>IFERROR(IF(AZ204=0,"",BA204/AZ204-1),"")</f>
        <v/>
      </c>
      <c r="BB205" s="55" t="str">
        <f>IFERROR(IF(BA204=0,"",BB204/BA204-1),"")</f>
        <v/>
      </c>
      <c r="BC205" s="55" t="str">
        <f>IFERROR(IF(BB204=0,"",BC204/BB204-1),"")</f>
        <v/>
      </c>
      <c r="BD205" s="55" t="str">
        <f>IFERROR(IF(BC204=0,"",BD204/BC204-1),"")</f>
        <v/>
      </c>
      <c r="BE205" s="55" t="str">
        <f>IFERROR(IF(BD204=0,"",BE204/BD204-1),"")</f>
        <v/>
      </c>
      <c r="BF205" s="12" t="str">
        <f>IFERROR(IF(BE204=0,"",BF204/BE204-1),"")</f>
        <v/>
      </c>
      <c r="BG205" s="55" t="n"/>
      <c r="BH205" s="55" t="n"/>
      <c r="BI205" s="55" t="n"/>
      <c r="BJ205" s="55" t="n"/>
      <c r="BK205" s="12" t="n"/>
      <c r="BL205" s="55" t="n"/>
      <c r="BM205" s="55" t="n"/>
      <c r="BN205" s="55" t="n"/>
      <c r="BO205" s="55" t="n"/>
      <c r="BP205" s="12" t="n"/>
      <c r="BQ205" s="55" t="n"/>
      <c r="BR205" s="55" t="n"/>
      <c r="BS205" s="55" t="n"/>
      <c r="BT205" s="55" t="n"/>
      <c r="BU205" s="12" t="n"/>
      <c r="BV205" s="55" t="n"/>
      <c r="BW205" s="55" t="n"/>
      <c r="BX205" s="55" t="n"/>
      <c r="BY205" s="55" t="n"/>
      <c r="BZ205" s="12" t="n"/>
      <c r="CA205" s="55" t="n"/>
      <c r="CB205" s="55" t="n"/>
      <c r="CC205" s="55" t="n"/>
      <c r="CD205" s="55" t="n"/>
      <c r="CE205" s="12" t="n"/>
      <c r="CF205" s="55" t="n"/>
      <c r="CG205" s="55" t="n"/>
      <c r="CH205" s="55" t="n"/>
      <c r="CI205" s="55" t="n"/>
      <c r="CJ205" s="12" t="n"/>
      <c r="CK205" s="55" t="n"/>
      <c r="CL205" s="55" t="n"/>
      <c r="CM205" s="55" t="n"/>
      <c r="CN205" s="55" t="n"/>
      <c r="CO205" s="12" t="n"/>
      <c r="CP205" s="55" t="n"/>
      <c r="CQ205" s="55" t="n"/>
      <c r="CR205" s="55" t="n"/>
      <c r="CS205" s="55" t="n"/>
      <c r="CT205" s="12" t="n"/>
      <c r="CU205" s="55" t="n"/>
      <c r="CV205" s="55" t="n"/>
      <c r="CW205" s="55" t="n"/>
      <c r="CX205" s="55" t="n"/>
      <c r="CY205" s="12" t="n"/>
    </row>
    <row r="206" hidden="1" outlineLevel="1">
      <c r="C206" s="57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7" t="inlineStr">
        <is>
          <t xml:space="preserve">Dividendos a Pagar </t>
        </is>
      </c>
      <c r="D207" s="11" t="n"/>
      <c r="E207" s="11" t="n"/>
      <c r="F207" s="11" t="n"/>
      <c r="G207" s="11" t="n"/>
      <c r="H207" s="12" t="n"/>
      <c r="I207" s="11" t="n"/>
      <c r="J207" s="11" t="n"/>
      <c r="K207" s="11" t="n"/>
      <c r="L207" s="11" t="n"/>
      <c r="M207" s="12" t="n"/>
      <c r="N207" s="11" t="n"/>
      <c r="O207" s="11" t="n"/>
      <c r="P207" s="11" t="n"/>
      <c r="Q207" s="11" t="n"/>
      <c r="R207" s="12" t="n"/>
      <c r="S207" s="11" t="n"/>
      <c r="T207" s="11" t="n"/>
      <c r="U207" s="11" t="n"/>
      <c r="V207" s="11" t="n"/>
      <c r="W207" s="12" t="n"/>
      <c r="X207" s="11" t="n"/>
      <c r="Y207" s="11" t="n"/>
      <c r="Z207" s="11" t="n"/>
      <c r="AA207" s="11" t="n"/>
      <c r="AB207" s="12" t="n"/>
      <c r="AC207" s="11" t="n"/>
      <c r="AD207" s="11" t="n"/>
      <c r="AE207" s="11" t="n"/>
      <c r="AF207" s="11" t="n"/>
      <c r="AG207" s="12" t="n"/>
      <c r="AH207" s="11" t="n"/>
      <c r="AI207" s="11" t="n"/>
      <c r="AJ207" s="11" t="n"/>
      <c r="AK207" s="11" t="n"/>
      <c r="AL207" s="12" t="n"/>
      <c r="AM207" s="11" t="n"/>
      <c r="AN207" s="11" t="n"/>
      <c r="AO207" s="11" t="n"/>
      <c r="AP207" s="11" t="n"/>
      <c r="AQ207" s="12" t="n"/>
      <c r="AR207" s="11" t="n"/>
      <c r="AS207" s="11" t="n"/>
      <c r="AT207" s="11" t="n"/>
      <c r="AU207" s="11" t="n"/>
      <c r="AV207" s="12" t="n"/>
      <c r="AW207" s="11" t="n"/>
      <c r="AX207" s="11" t="n"/>
      <c r="AY207" s="11" t="n"/>
      <c r="AZ207" s="11" t="n"/>
      <c r="BA207" s="12" t="n"/>
      <c r="BB207" s="11" t="n"/>
      <c r="BC207" s="11" t="n"/>
      <c r="BD207" s="11" t="n"/>
      <c r="BE207" s="11" t="n"/>
      <c r="BF207" s="12" t="n"/>
      <c r="BG207" s="11" t="n"/>
      <c r="BH207" s="11" t="n"/>
      <c r="BI207" s="11" t="n"/>
      <c r="BJ207" s="11" t="n"/>
      <c r="BK207" s="12" t="n"/>
      <c r="BL207" s="11" t="n"/>
      <c r="BM207" s="11" t="n"/>
      <c r="BN207" s="11" t="n"/>
      <c r="BO207" s="11" t="n"/>
      <c r="BP207" s="12" t="n"/>
      <c r="BQ207" s="11" t="n"/>
      <c r="BR207" s="11" t="n"/>
      <c r="BS207" s="11" t="n"/>
      <c r="BT207" s="11" t="n"/>
      <c r="BU207" s="12" t="n"/>
      <c r="BV207" s="11" t="n"/>
      <c r="BW207" s="11" t="n"/>
      <c r="BX207" s="11" t="n"/>
      <c r="BY207" s="11" t="n"/>
      <c r="BZ207" s="12" t="n"/>
      <c r="CA207" s="11" t="n"/>
      <c r="CB207" s="11" t="n"/>
      <c r="CC207" s="11" t="n"/>
      <c r="CD207" s="11" t="n"/>
      <c r="CE207" s="12" t="n"/>
      <c r="CF207" s="11" t="n"/>
      <c r="CG207" s="11" t="n"/>
      <c r="CH207" s="11" t="n"/>
      <c r="CI207" s="11" t="n"/>
      <c r="CJ207" s="12" t="n"/>
      <c r="CK207" s="11" t="n"/>
      <c r="CL207" s="11" t="n"/>
      <c r="CM207" s="11" t="n"/>
      <c r="CN207" s="11" t="n"/>
      <c r="CO207" s="12" t="n"/>
      <c r="CP207" s="11" t="n"/>
      <c r="CQ207" s="11" t="n"/>
      <c r="CR207" s="11" t="n"/>
      <c r="CS207" s="11" t="n"/>
      <c r="CT207" s="12" t="n"/>
      <c r="CU207" s="11" t="n"/>
      <c r="CV207" s="11" t="n"/>
      <c r="CW207" s="11" t="n"/>
      <c r="CX207" s="11" t="n"/>
      <c r="CY207" s="12" t="n"/>
    </row>
    <row r="208" hidden="1" outlineLevel="1">
      <c r="C208" s="57" t="inlineStr">
        <is>
          <t>Contas a pagar pela aquisição de controladas</t>
        </is>
      </c>
      <c r="D208" s="11" t="n"/>
      <c r="E208" s="11" t="n"/>
      <c r="F208" s="11" t="n"/>
      <c r="G208" s="11" t="n"/>
      <c r="H208" s="12" t="n"/>
      <c r="I208" s="11" t="n"/>
      <c r="J208" s="11" t="n"/>
      <c r="K208" s="11" t="n"/>
      <c r="L208" s="11" t="n"/>
      <c r="M208" s="12" t="n"/>
      <c r="N208" s="11" t="n"/>
      <c r="O208" s="11" t="n"/>
      <c r="P208" s="11" t="n"/>
      <c r="Q208" s="11" t="n"/>
      <c r="R208" s="12" t="n"/>
      <c r="S208" s="11" t="n"/>
      <c r="T208" s="11" t="n"/>
      <c r="U208" s="11" t="n"/>
      <c r="V208" s="11" t="n"/>
      <c r="W208" s="12" t="n"/>
      <c r="X208" s="11" t="n"/>
      <c r="Y208" s="11" t="n"/>
      <c r="Z208" s="11" t="n"/>
      <c r="AA208" s="11" t="n"/>
      <c r="AB208" s="12" t="n"/>
      <c r="AC208" s="11" t="n"/>
      <c r="AD208" s="11" t="n"/>
      <c r="AE208" s="11" t="n"/>
      <c r="AF208" s="11" t="n"/>
      <c r="AG208" s="12" t="n"/>
      <c r="AH208" s="11" t="n"/>
      <c r="AI208" s="11" t="n"/>
      <c r="AJ208" s="11" t="n"/>
      <c r="AK208" s="11" t="n"/>
      <c r="AL208" s="12" t="n"/>
      <c r="AM208" s="11" t="n"/>
      <c r="AN208" s="11" t="n"/>
      <c r="AO208" s="11" t="n"/>
      <c r="AP208" s="11" t="n"/>
      <c r="AQ208" s="12" t="n"/>
      <c r="AR208" s="11" t="n"/>
      <c r="AS208" s="11" t="n"/>
      <c r="AT208" s="11" t="n"/>
      <c r="AU208" s="11" t="n"/>
      <c r="AV208" s="12" t="n"/>
      <c r="AW208" s="11" t="n"/>
      <c r="AX208" s="11" t="n"/>
      <c r="AY208" s="11" t="n"/>
      <c r="AZ208" s="11" t="n"/>
      <c r="BA208" s="12" t="n"/>
      <c r="BB208" s="11" t="n"/>
      <c r="BC208" s="11" t="n"/>
      <c r="BD208" s="11" t="n"/>
      <c r="BE208" s="11" t="n"/>
      <c r="BF208" s="12" t="n"/>
      <c r="BG208" s="11" t="n"/>
      <c r="BH208" s="11" t="n"/>
      <c r="BI208" s="11" t="n"/>
      <c r="BJ208" s="11" t="n"/>
      <c r="BK208" s="12" t="n"/>
      <c r="BL208" s="11" t="n"/>
      <c r="BM208" s="11" t="n"/>
      <c r="BN208" s="11" t="n"/>
      <c r="BO208" s="11" t="n"/>
      <c r="BP208" s="12" t="n"/>
      <c r="BQ208" s="11" t="n"/>
      <c r="BR208" s="11" t="n"/>
      <c r="BS208" s="11" t="n"/>
      <c r="BT208" s="11" t="n"/>
      <c r="BU208" s="12" t="n"/>
      <c r="BV208" s="11" t="n"/>
      <c r="BW208" s="11" t="n"/>
      <c r="BX208" s="11" t="n"/>
      <c r="BY208" s="11" t="n"/>
      <c r="BZ208" s="12" t="n"/>
      <c r="CA208" s="11" t="n"/>
      <c r="CB208" s="11" t="n"/>
      <c r="CC208" s="11" t="n"/>
      <c r="CD208" s="11" t="n"/>
      <c r="CE208" s="12" t="n"/>
      <c r="CF208" s="11" t="n"/>
      <c r="CG208" s="11" t="n"/>
      <c r="CH208" s="11" t="n"/>
      <c r="CI208" s="11" t="n"/>
      <c r="CJ208" s="12" t="n"/>
      <c r="CK208" s="11" t="n"/>
      <c r="CL208" s="11" t="n"/>
      <c r="CM208" s="11" t="n"/>
      <c r="CN208" s="11" t="n"/>
      <c r="CO208" s="12" t="n"/>
      <c r="CP208" s="11" t="n"/>
      <c r="CQ208" s="11" t="n"/>
      <c r="CR208" s="11" t="n"/>
      <c r="CS208" s="11" t="n"/>
      <c r="CT208" s="12" t="n"/>
      <c r="CU208" s="11" t="n"/>
      <c r="CV208" s="11" t="n"/>
      <c r="CW208" s="11" t="n"/>
      <c r="CX208" s="11" t="n"/>
      <c r="CY208" s="12" t="n"/>
    </row>
    <row r="209" hidden="1" outlineLevel="1">
      <c r="C209" s="57" t="inlineStr">
        <is>
          <t>Outros</t>
        </is>
      </c>
      <c r="D209" s="11" t="n"/>
      <c r="E209" s="11" t="n"/>
      <c r="F209" s="11" t="n"/>
      <c r="G209" s="11" t="n"/>
      <c r="H209" s="12" t="n"/>
      <c r="I209" s="11" t="n"/>
      <c r="J209" s="11" t="n"/>
      <c r="K209" s="11" t="n"/>
      <c r="L209" s="11" t="n"/>
      <c r="M209" s="12" t="n"/>
      <c r="N209" s="11" t="n"/>
      <c r="O209" s="11" t="n"/>
      <c r="P209" s="11" t="n"/>
      <c r="Q209" s="11" t="n"/>
      <c r="R209" s="12" t="n"/>
      <c r="S209" s="11" t="n"/>
      <c r="T209" s="11" t="n"/>
      <c r="U209" s="11" t="n"/>
      <c r="V209" s="11" t="n"/>
      <c r="W209" s="12" t="n"/>
      <c r="X209" s="11" t="n"/>
      <c r="Y209" s="11" t="n"/>
      <c r="Z209" s="11" t="n"/>
      <c r="AA209" s="11" t="n"/>
      <c r="AB209" s="12" t="n"/>
      <c r="AC209" s="11" t="n"/>
      <c r="AD209" s="11" t="n"/>
      <c r="AE209" s="11" t="n"/>
      <c r="AF209" s="11" t="n"/>
      <c r="AG209" s="12" t="n"/>
      <c r="AH209" s="11" t="n"/>
      <c r="AI209" s="11" t="n"/>
      <c r="AJ209" s="11" t="n"/>
      <c r="AK209" s="11" t="n"/>
      <c r="AL209" s="12" t="n"/>
      <c r="AM209" s="11" t="n"/>
      <c r="AN209" s="11" t="n"/>
      <c r="AO209" s="11" t="n"/>
      <c r="AP209" s="11" t="n"/>
      <c r="AQ209" s="12" t="n"/>
      <c r="AR209" s="11" t="n"/>
      <c r="AS209" s="11" t="n"/>
      <c r="AT209" s="11" t="n"/>
      <c r="AU209" s="11" t="n"/>
      <c r="AV209" s="12" t="n"/>
      <c r="AW209" s="11" t="n"/>
      <c r="AX209" s="11" t="n"/>
      <c r="AY209" s="11" t="n"/>
      <c r="AZ209" s="11" t="n"/>
      <c r="BA209" s="12" t="n"/>
      <c r="BB209" s="11" t="n"/>
      <c r="BC209" s="11" t="n"/>
      <c r="BD209" s="11" t="n"/>
      <c r="BE209" s="11" t="n"/>
      <c r="BF209" s="12" t="n"/>
      <c r="BG209" s="11" t="n"/>
      <c r="BH209" s="11" t="n"/>
      <c r="BI209" s="11" t="n"/>
      <c r="BJ209" s="11" t="n"/>
      <c r="BK209" s="12" t="n"/>
      <c r="BL209" s="11" t="n"/>
      <c r="BM209" s="11" t="n"/>
      <c r="BN209" s="11" t="n"/>
      <c r="BO209" s="11" t="n"/>
      <c r="BP209" s="12" t="n"/>
      <c r="BQ209" s="11" t="n"/>
      <c r="BR209" s="11" t="n"/>
      <c r="BS209" s="11" t="n"/>
      <c r="BT209" s="11" t="n"/>
      <c r="BU209" s="12" t="n"/>
      <c r="BV209" s="11" t="n"/>
      <c r="BW209" s="11" t="n"/>
      <c r="BX209" s="11" t="n"/>
      <c r="BY209" s="11" t="n"/>
      <c r="BZ209" s="12" t="n"/>
      <c r="CA209" s="11" t="n"/>
      <c r="CB209" s="11" t="n"/>
      <c r="CC209" s="11" t="n"/>
      <c r="CD209" s="11" t="n"/>
      <c r="CE209" s="12" t="n"/>
      <c r="CF209" s="11" t="n"/>
      <c r="CG209" s="11" t="n"/>
      <c r="CH209" s="11" t="n"/>
      <c r="CI209" s="11" t="n"/>
      <c r="CJ209" s="12" t="n"/>
      <c r="CK209" s="11" t="n"/>
      <c r="CL209" s="11" t="n"/>
      <c r="CM209" s="11" t="n"/>
      <c r="CN209" s="11" t="n"/>
      <c r="CO209" s="12" t="n"/>
      <c r="CP209" s="11" t="n"/>
      <c r="CQ209" s="11" t="n"/>
      <c r="CR209" s="11" t="n"/>
      <c r="CS209" s="11" t="n"/>
      <c r="CT209" s="12" t="n"/>
      <c r="CU209" s="11" t="n"/>
      <c r="CV209" s="11" t="n"/>
      <c r="CW209" s="11" t="n"/>
      <c r="CX209" s="11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collapsed="1">
      <c r="C211" s="14" t="inlineStr">
        <is>
          <t>Current portion of long-term debt</t>
        </is>
      </c>
      <c r="D211" s="46" t="n"/>
      <c r="E211" s="46" t="n"/>
      <c r="F211" s="46" t="n"/>
      <c r="G211" s="46" t="n"/>
      <c r="H211" s="12" t="n"/>
      <c r="I211" s="46">
        <f>'Inputs (2)'!D32</f>
        <v>999</v>
      </c>
      <c r="J211" s="46">
        <f>'Inputs (2)'!E32</f>
        <v>1000</v>
      </c>
      <c r="K211" s="46">
        <f>'Inputs (2)'!F32</f>
        <v>0</v>
      </c>
      <c r="L211" s="46">
        <f>'Inputs (2)'!G32</f>
        <v>0</v>
      </c>
      <c r="M211" s="12">
        <f>'Inputs (2)'!H32</f>
        <v>0</v>
      </c>
      <c r="N211" s="46">
        <f>'Inputs (2)'!I32</f>
        <v>0</v>
      </c>
      <c r="O211" s="46">
        <f>'Inputs (2)'!J32</f>
        <v>1249</v>
      </c>
      <c r="P211" s="46">
        <f>'Inputs (2)'!K32</f>
        <v>1249</v>
      </c>
      <c r="Q211" s="46">
        <f>'Inputs (2)'!L32</f>
        <v>1250</v>
      </c>
      <c r="R211" s="12">
        <f>'Inputs (2)'!M32</f>
        <v>1250</v>
      </c>
      <c r="S211" s="46">
        <f>'Inputs (2)'!N32</f>
        <v>1250</v>
      </c>
      <c r="T211" s="46">
        <f>'Inputs (2)'!O32</f>
        <v>1249</v>
      </c>
      <c r="U211" s="46">
        <f>'Inputs (2)'!P32</f>
        <v>1249</v>
      </c>
      <c r="V211" s="46">
        <f>'Inputs (2)'!Q32</f>
        <v>1250</v>
      </c>
      <c r="W211" s="12">
        <f>'Inputs (2)'!R32</f>
        <v>1250</v>
      </c>
      <c r="X211" s="46">
        <f>'Inputs (2)'!S32</f>
        <v>1250</v>
      </c>
      <c r="Y211" s="46">
        <f>'Inputs (2)'!T32</f>
        <v>0</v>
      </c>
      <c r="Z211" s="46">
        <f>'Inputs (2)'!U32</f>
        <v>0</v>
      </c>
      <c r="AA211" s="46">
        <f>'Inputs (2)'!V32</f>
        <v>0</v>
      </c>
      <c r="AB211" s="12">
        <f>'Inputs (2)'!W32</f>
        <v>0</v>
      </c>
      <c r="AC211" s="46">
        <f>'Inputs (2)'!X32</f>
        <v>0</v>
      </c>
      <c r="AD211" s="46">
        <f>'Inputs (2)'!Y32</f>
        <v>0</v>
      </c>
      <c r="AE211" s="46">
        <f>'Inputs (2)'!Z32</f>
        <v>999</v>
      </c>
      <c r="AF211" s="46">
        <f>'Inputs (2)'!AA32</f>
        <v>999</v>
      </c>
      <c r="AG211" s="12">
        <f>'Inputs (2)'!AB32</f>
        <v>999</v>
      </c>
      <c r="AH211" s="12">
        <f>'Inputs (2)'!AC32</f>
        <v>1000</v>
      </c>
      <c r="AI211" s="12">
        <f>'Inputs (2)'!AD32</f>
        <v>1000</v>
      </c>
      <c r="AJ211" s="12">
        <f>AI211</f>
        <v>1000</v>
      </c>
      <c r="AK211" s="12">
        <f>AJ211</f>
        <v>1000</v>
      </c>
      <c r="AL211" s="12">
        <f>AK211</f>
        <v>1000</v>
      </c>
      <c r="AM211" s="12">
        <f>AL211</f>
        <v>1000</v>
      </c>
      <c r="AN211" s="12">
        <f>AM211</f>
        <v>1000</v>
      </c>
      <c r="AO211" s="12">
        <f>AN211</f>
        <v>1000</v>
      </c>
      <c r="AP211" s="12">
        <f>AO211</f>
        <v>1000</v>
      </c>
      <c r="AQ211" s="12">
        <f>AP211</f>
        <v>1000</v>
      </c>
      <c r="AR211" s="12">
        <f>AQ211</f>
        <v>1000</v>
      </c>
      <c r="AS211" s="12">
        <f>AR211</f>
        <v>1000</v>
      </c>
      <c r="AT211" s="12">
        <f>AS211</f>
        <v>1000</v>
      </c>
      <c r="AU211" s="12">
        <f>AT211</f>
        <v>1000</v>
      </c>
      <c r="AV211" s="12">
        <f>AU211</f>
        <v>1000</v>
      </c>
      <c r="AW211" s="12">
        <f>AV211</f>
        <v>1000</v>
      </c>
      <c r="AX211" s="12">
        <f>AW211</f>
        <v>1000</v>
      </c>
      <c r="AY211" s="12">
        <f>AX211</f>
        <v>1000</v>
      </c>
      <c r="AZ211" s="12">
        <f>AY211</f>
        <v>1000</v>
      </c>
      <c r="BA211" s="12">
        <f>AZ211</f>
        <v>1000</v>
      </c>
      <c r="BB211" s="12">
        <f>BA211</f>
        <v>1000</v>
      </c>
      <c r="BC211" s="12">
        <f>BB211</f>
        <v>1000</v>
      </c>
      <c r="BD211" s="12">
        <f>BC211</f>
        <v>1000</v>
      </c>
      <c r="BE211" s="12">
        <f>BD211</f>
        <v>1000</v>
      </c>
      <c r="BF211" s="12">
        <f>BE211</f>
        <v>1000</v>
      </c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>
      <c r="C212" s="14" t="inlineStr">
        <is>
          <t>Short term debt (Revolving credit facility)</t>
        </is>
      </c>
      <c r="D212" s="46" t="n"/>
      <c r="E212" s="46" t="n"/>
      <c r="F212" s="46" t="n"/>
      <c r="G212" s="46" t="n"/>
      <c r="H212" s="12" t="n"/>
      <c r="I212" s="46">
        <f>'Inputs (2)'!D33</f>
        <v>0</v>
      </c>
      <c r="J212" s="46">
        <f>'Inputs (2)'!E33</f>
        <v>0</v>
      </c>
      <c r="K212" s="46">
        <f>'Inputs (2)'!F33</f>
        <v>0</v>
      </c>
      <c r="L212" s="46">
        <f>'Inputs (2)'!G33</f>
        <v>0</v>
      </c>
      <c r="M212" s="12">
        <f>'Inputs (2)'!H33</f>
        <v>0</v>
      </c>
      <c r="N212" s="46">
        <f>'Inputs (2)'!I33</f>
        <v>0</v>
      </c>
      <c r="O212" s="46">
        <f>'Inputs (2)'!J33</f>
        <v>0</v>
      </c>
      <c r="P212" s="46">
        <f>'Inputs (2)'!K33</f>
        <v>0</v>
      </c>
      <c r="Q212" s="46">
        <f>'Inputs (2)'!L33</f>
        <v>0</v>
      </c>
      <c r="R212" s="12">
        <f>'Inputs (2)'!M33</f>
        <v>0</v>
      </c>
      <c r="S212" s="46">
        <f>'Inputs (2)'!N33</f>
        <v>0</v>
      </c>
      <c r="T212" s="46">
        <f>'Inputs (2)'!O33</f>
        <v>0</v>
      </c>
      <c r="U212" s="46">
        <f>'Inputs (2)'!P33</f>
        <v>0</v>
      </c>
      <c r="V212" s="46">
        <f>'Inputs (2)'!Q33</f>
        <v>0</v>
      </c>
      <c r="W212" s="12">
        <f>'Inputs (2)'!R33</f>
        <v>0</v>
      </c>
      <c r="X212" s="46">
        <f>'Inputs (2)'!S33</f>
        <v>0</v>
      </c>
      <c r="Y212" s="46">
        <f>'Inputs (2)'!T33</f>
        <v>0</v>
      </c>
      <c r="Z212" s="46">
        <f>'Inputs (2)'!U33</f>
        <v>0</v>
      </c>
      <c r="AA212" s="46">
        <f>'Inputs (2)'!V33</f>
        <v>0</v>
      </c>
      <c r="AB212" s="12">
        <f>'Inputs (2)'!W33</f>
        <v>0</v>
      </c>
      <c r="AC212" s="46">
        <f>'Inputs (2)'!X33</f>
        <v>0</v>
      </c>
      <c r="AD212" s="46">
        <f>'Inputs (2)'!Y33</f>
        <v>0</v>
      </c>
      <c r="AE212" s="46">
        <f>'Inputs (2)'!Z33</f>
        <v>0</v>
      </c>
      <c r="AF212" s="46">
        <f>'Inputs (2)'!AA33</f>
        <v>0</v>
      </c>
      <c r="AG212" s="12">
        <f>'Inputs (2)'!AB33</f>
        <v>0</v>
      </c>
      <c r="AH212" s="12">
        <f>'Inputs (2)'!AC33</f>
        <v>0</v>
      </c>
      <c r="AI212" s="12">
        <f>'Inputs (2)'!AD33</f>
        <v>0</v>
      </c>
      <c r="AJ212" s="12">
        <f>AI212</f>
        <v>0</v>
      </c>
      <c r="AK212" s="12">
        <f>AJ212</f>
        <v>0</v>
      </c>
      <c r="AL212" s="12">
        <f>AK212</f>
        <v>0</v>
      </c>
      <c r="AM212" s="12">
        <f>AL212</f>
        <v>0</v>
      </c>
      <c r="AN212" s="12">
        <f>AM212</f>
        <v>0</v>
      </c>
      <c r="AO212" s="12">
        <f>AN212</f>
        <v>0</v>
      </c>
      <c r="AP212" s="12">
        <f>AO212</f>
        <v>0</v>
      </c>
      <c r="AQ212" s="12">
        <f>AP212</f>
        <v>0</v>
      </c>
      <c r="AR212" s="12">
        <f>AQ212</f>
        <v>0</v>
      </c>
      <c r="AS212" s="12">
        <f>AR212</f>
        <v>0</v>
      </c>
      <c r="AT212" s="12">
        <f>AS212</f>
        <v>0</v>
      </c>
      <c r="AU212" s="12">
        <f>AT212</f>
        <v>0</v>
      </c>
      <c r="AV212" s="12">
        <f>AU212</f>
        <v>0</v>
      </c>
      <c r="AW212" s="12">
        <f>AV212</f>
        <v>0</v>
      </c>
      <c r="AX212" s="12">
        <f>AW212</f>
        <v>0</v>
      </c>
      <c r="AY212" s="12">
        <f>AX212</f>
        <v>0</v>
      </c>
      <c r="AZ212" s="12">
        <f>AY212</f>
        <v>0</v>
      </c>
      <c r="BA212" s="12">
        <f>AZ212</f>
        <v>0</v>
      </c>
      <c r="BB212" s="12">
        <f>BA212</f>
        <v>0</v>
      </c>
      <c r="BC212" s="12">
        <f>BB212</f>
        <v>0</v>
      </c>
      <c r="BD212" s="12">
        <f>BC212</f>
        <v>0</v>
      </c>
      <c r="BE212" s="12">
        <f>BD212</f>
        <v>0</v>
      </c>
      <c r="BF212" s="12">
        <f>BE212</f>
        <v>0</v>
      </c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>
      <c r="C213" s="14" t="inlineStr">
        <is>
          <t>Short term operating leases</t>
        </is>
      </c>
      <c r="D213" s="46" t="n"/>
      <c r="E213" s="46" t="n"/>
      <c r="F213" s="46" t="n"/>
      <c r="G213" s="46" t="n"/>
      <c r="H213" s="12" t="n"/>
      <c r="I213" s="46">
        <f>'Inputs (2)'!D34</f>
        <v>0</v>
      </c>
      <c r="J213" s="46">
        <f>'Inputs (2)'!E34</f>
        <v>0</v>
      </c>
      <c r="K213" s="46">
        <f>'Inputs (2)'!F34</f>
        <v>0</v>
      </c>
      <c r="L213" s="46">
        <f>'Inputs (2)'!G34</f>
        <v>0</v>
      </c>
      <c r="M213" s="12">
        <f>'Inputs (2)'!H34</f>
        <v>0</v>
      </c>
      <c r="N213" s="46">
        <f>'Inputs (2)'!I34</f>
        <v>0</v>
      </c>
      <c r="O213" s="46">
        <f>'Inputs (2)'!J34</f>
        <v>0</v>
      </c>
      <c r="P213" s="46">
        <f>'Inputs (2)'!K34</f>
        <v>0</v>
      </c>
      <c r="Q213" s="46">
        <f>'Inputs (2)'!L34</f>
        <v>0</v>
      </c>
      <c r="R213" s="12">
        <f>'Inputs (2)'!M34</f>
        <v>0</v>
      </c>
      <c r="S213" s="46">
        <f>'Inputs (2)'!N34</f>
        <v>0</v>
      </c>
      <c r="T213" s="46">
        <f>'Inputs (2)'!O34</f>
        <v>0</v>
      </c>
      <c r="U213" s="46">
        <f>'Inputs (2)'!P34</f>
        <v>0</v>
      </c>
      <c r="V213" s="46">
        <f>'Inputs (2)'!Q34</f>
        <v>0</v>
      </c>
      <c r="W213" s="12">
        <f>'Inputs (2)'!R34</f>
        <v>0</v>
      </c>
      <c r="X213" s="46">
        <f>'Inputs (2)'!S34</f>
        <v>0</v>
      </c>
      <c r="Y213" s="46">
        <f>'Inputs (2)'!T34</f>
        <v>0</v>
      </c>
      <c r="Z213" s="46">
        <f>'Inputs (2)'!U34</f>
        <v>0</v>
      </c>
      <c r="AA213" s="46">
        <f>'Inputs (2)'!V34</f>
        <v>0</v>
      </c>
      <c r="AB213" s="12">
        <f>'Inputs (2)'!W34</f>
        <v>0</v>
      </c>
      <c r="AC213" s="46">
        <f>'Inputs (2)'!X34</f>
        <v>0</v>
      </c>
      <c r="AD213" s="46">
        <f>'Inputs (2)'!Y34</f>
        <v>0</v>
      </c>
      <c r="AE213" s="46">
        <f>'Inputs (2)'!Z34</f>
        <v>0</v>
      </c>
      <c r="AF213" s="46">
        <f>'Inputs (2)'!AA34</f>
        <v>0</v>
      </c>
      <c r="AG213" s="12">
        <f>'Inputs (2)'!AB34</f>
        <v>0</v>
      </c>
      <c r="AH213" s="12">
        <f>'Inputs (2)'!AC34</f>
        <v>0</v>
      </c>
      <c r="AI213" s="12">
        <f>'Inputs (2)'!AD34</f>
        <v>0</v>
      </c>
      <c r="AJ213" s="12">
        <f>AI213</f>
        <v>0</v>
      </c>
      <c r="AK213" s="12">
        <f>AJ213</f>
        <v>0</v>
      </c>
      <c r="AL213" s="12">
        <f>AK213</f>
        <v>0</v>
      </c>
      <c r="AM213" s="12">
        <f>AL213</f>
        <v>0</v>
      </c>
      <c r="AN213" s="12">
        <f>AM213</f>
        <v>0</v>
      </c>
      <c r="AO213" s="12">
        <f>AN213</f>
        <v>0</v>
      </c>
      <c r="AP213" s="12">
        <f>AO213</f>
        <v>0</v>
      </c>
      <c r="AQ213" s="12">
        <f>AP213</f>
        <v>0</v>
      </c>
      <c r="AR213" s="12">
        <f>AQ213</f>
        <v>0</v>
      </c>
      <c r="AS213" s="12">
        <f>AR213</f>
        <v>0</v>
      </c>
      <c r="AT213" s="12">
        <f>AS213</f>
        <v>0</v>
      </c>
      <c r="AU213" s="12">
        <f>AT213</f>
        <v>0</v>
      </c>
      <c r="AV213" s="12">
        <f>AU213</f>
        <v>0</v>
      </c>
      <c r="AW213" s="12">
        <f>AV213</f>
        <v>0</v>
      </c>
      <c r="AX213" s="12">
        <f>AW213</f>
        <v>0</v>
      </c>
      <c r="AY213" s="12">
        <f>AX213</f>
        <v>0</v>
      </c>
      <c r="AZ213" s="12">
        <f>AY213</f>
        <v>0</v>
      </c>
      <c r="BA213" s="12">
        <f>AZ213</f>
        <v>0</v>
      </c>
      <c r="BB213" s="12">
        <f>BA213</f>
        <v>0</v>
      </c>
      <c r="BC213" s="12">
        <f>BB213</f>
        <v>0</v>
      </c>
      <c r="BD213" s="12">
        <f>BC213</f>
        <v>0</v>
      </c>
      <c r="BE213" s="12">
        <f>BD213</f>
        <v>0</v>
      </c>
      <c r="BF213" s="12">
        <f>BE213</f>
        <v>0</v>
      </c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9" t="inlineStr">
        <is>
          <t>%(Var.)</t>
        </is>
      </c>
      <c r="D214" s="12" t="n"/>
      <c r="E214" s="40" t="n"/>
      <c r="F214" s="40" t="n"/>
      <c r="G214" s="40" t="n"/>
      <c r="H214" s="12" t="n"/>
      <c r="I214" s="40" t="str">
        <f>""</f>
        <v/>
      </c>
      <c r="J214" s="40" t="str">
        <f>IFERROR(IF(I213=0,"",J213/I213-1),"")</f>
        <v/>
      </c>
      <c r="K214" s="40" t="str">
        <f>IFERROR(IF(J213=0,"",K213/J213-1),"")</f>
        <v/>
      </c>
      <c r="L214" s="40" t="str">
        <f>IFERROR(IF(K213=0,"",L213/K213-1),"")</f>
        <v/>
      </c>
      <c r="M214" s="12" t="str">
        <f>IF(L213=0,"",M213/L213-1)</f>
        <v/>
      </c>
      <c r="N214" s="40" t="str">
        <f>IFERROR(IF(M213=0,"",N213/M213-1),"")</f>
        <v/>
      </c>
      <c r="O214" s="40" t="str">
        <f>IFERROR(IF(N213=0,"",O213/N213-1),"")</f>
        <v/>
      </c>
      <c r="P214" s="40" t="str">
        <f>IFERROR(IF(O213=0,"",P213/O213-1),"")</f>
        <v/>
      </c>
      <c r="Q214" s="40" t="str">
        <f>IFERROR(IF(P213=0,"",Q213/P213-1),"")</f>
        <v/>
      </c>
      <c r="R214" s="12" t="str">
        <f>IF(Q213=0,"",R213/Q213-1)</f>
        <v/>
      </c>
      <c r="S214" s="40" t="str">
        <f>IFERROR(IF(R213=0,"",S213/R213-1),"")</f>
        <v/>
      </c>
      <c r="T214" s="40" t="str">
        <f>IFERROR(IF(S213=0,"",T213/S213-1),"")</f>
        <v/>
      </c>
      <c r="U214" s="40" t="str">
        <f>IFERROR(IF(T213=0,"",U213/T213-1),"")</f>
        <v/>
      </c>
      <c r="V214" s="40" t="str">
        <f>IFERROR(IF(U213=0,"",V213/U213-1),"")</f>
        <v/>
      </c>
      <c r="W214" s="12" t="str">
        <f>IF(V213=0,"",W213/V213-1)</f>
        <v/>
      </c>
      <c r="X214" s="40" t="str">
        <f>IFERROR(IF(W213=0,"",X213/W213-1),"")</f>
        <v/>
      </c>
      <c r="Y214" s="40" t="str">
        <f>IFERROR(IF(X213=0,"",Y213/X213-1),"")</f>
        <v/>
      </c>
      <c r="Z214" s="40" t="str">
        <f>IFERROR(IF(Y213=0,"",Z213/Y213-1),"")</f>
        <v/>
      </c>
      <c r="AA214" s="40" t="str">
        <f>IFERROR(IF(Z213=0,"",AA213/Z213-1),"")</f>
        <v/>
      </c>
      <c r="AB214" s="12" t="str">
        <f>IF(AA213=0,"",AB213/AA213-1)</f>
        <v/>
      </c>
      <c r="AC214" s="40" t="str">
        <f>IFERROR(IF(AB213=0,"",AC213/AB213-1),"")</f>
        <v/>
      </c>
      <c r="AD214" s="40" t="str">
        <f>IFERROR(IF(AC213=0,"",AD213/AC213-1),"")</f>
        <v/>
      </c>
      <c r="AE214" s="40" t="str">
        <f>IFERROR(IF(AD213=0,"",AE213/AD213-1),"")</f>
        <v/>
      </c>
      <c r="AF214" s="11" t="str">
        <f>IFERROR(IF(AE213=0,"",AF213/AE213-1),"")</f>
        <v/>
      </c>
      <c r="AG214" s="12" t="str">
        <f>IF(AF213=0,"",AG213/AF213-1)</f>
        <v/>
      </c>
      <c r="AH214" s="11" t="str">
        <f>IFERROR(IF(AG213=0,"",AH213/AG213-1),"")</f>
        <v/>
      </c>
      <c r="AI214" s="11" t="str">
        <f>IFERROR(IF(AH213=0,"",AI213/AH213-1),"")</f>
        <v/>
      </c>
      <c r="AJ214" s="11" t="str">
        <f>IFERROR(IF(AI213=0,"",AJ213/AI213-1),"")</f>
        <v/>
      </c>
      <c r="AK214" s="11" t="str">
        <f>IFERROR(IF(AJ213=0,"",AK213/AJ213-1),"")</f>
        <v/>
      </c>
      <c r="AL214" s="12" t="str">
        <f>IFERROR(IF(AK213=0,"",AL213/AK213-1),"")</f>
        <v/>
      </c>
      <c r="AM214" s="11" t="str">
        <f>IFERROR(IF(AL213=0,"",AM213/AL213-1),"")</f>
        <v/>
      </c>
      <c r="AN214" s="11" t="str">
        <f>IFERROR(IF(AM213=0,"",AN213/AM213-1),"")</f>
        <v/>
      </c>
      <c r="AO214" s="11" t="str">
        <f>IFERROR(IF(AN213=0,"",AO213/AN213-1),"")</f>
        <v/>
      </c>
      <c r="AP214" s="11" t="str">
        <f>IFERROR(IF(AO213=0,"",AP213/AO213-1),"")</f>
        <v/>
      </c>
      <c r="AQ214" s="12" t="str">
        <f>IFERROR(IF(AP213=0,"",AQ213/AP213-1),"")</f>
        <v/>
      </c>
      <c r="AR214" s="11" t="str">
        <f>IFERROR(IF(AQ213=0,"",AR213/AQ213-1),"")</f>
        <v/>
      </c>
      <c r="AS214" s="11" t="str">
        <f>IFERROR(IF(AR213=0,"",AS213/AR213-1),"")</f>
        <v/>
      </c>
      <c r="AT214" s="11" t="str">
        <f>IFERROR(IF(AS213=0,"",AT213/AS213-1),"")</f>
        <v/>
      </c>
      <c r="AU214" s="11" t="str">
        <f>IFERROR(IF(AT213=0,"",AU213/AT213-1),"")</f>
        <v/>
      </c>
      <c r="AV214" s="12" t="str">
        <f>IFERROR(IF(AU213=0,"",AV213/AU213-1),"")</f>
        <v/>
      </c>
      <c r="AW214" s="11" t="str">
        <f>IFERROR(IF(AV213=0,"",AW213/AV213-1),"")</f>
        <v/>
      </c>
      <c r="AX214" s="11" t="str">
        <f>IFERROR(IF(AW213=0,"",AX213/AW213-1),"")</f>
        <v/>
      </c>
      <c r="AY214" s="11" t="str">
        <f>IFERROR(IF(AX213=0,"",AY213/AX213-1),"")</f>
        <v/>
      </c>
      <c r="AZ214" s="11" t="str">
        <f>IFERROR(IF(AY213=0,"",AZ213/AY213-1),"")</f>
        <v/>
      </c>
      <c r="BA214" s="12" t="str">
        <f>IFERROR(IF(AZ213=0,"",BA213/AZ213-1),"")</f>
        <v/>
      </c>
      <c r="BB214" s="11" t="str">
        <f>IFERROR(IF(BA213=0,"",BB213/BA213-1),"")</f>
        <v/>
      </c>
      <c r="BC214" s="11" t="str">
        <f>IFERROR(IF(BB213=0,"",BC213/BB213-1),"")</f>
        <v/>
      </c>
      <c r="BD214" s="11" t="str">
        <f>IFERROR(IF(BC213=0,"",BD213/BC213-1),"")</f>
        <v/>
      </c>
      <c r="BE214" s="11" t="str">
        <f>IFERROR(IF(BD213=0,"",BE213/BD213-1),"")</f>
        <v/>
      </c>
      <c r="BF214" s="12" t="str">
        <f>IFERROR(IF(BE213=0,"",BF213/BE213-1),"")</f>
        <v/>
      </c>
      <c r="BG214" s="11" t="n"/>
      <c r="BH214" s="11" t="n"/>
      <c r="BI214" s="11" t="n"/>
      <c r="BJ214" s="11" t="n"/>
      <c r="BK214" s="12" t="n"/>
      <c r="BL214" s="11" t="n"/>
      <c r="BM214" s="11" t="n"/>
      <c r="BN214" s="11" t="n"/>
      <c r="BO214" s="11" t="n"/>
      <c r="BP214" s="12" t="n"/>
      <c r="BQ214" s="11" t="n"/>
      <c r="BR214" s="11" t="n"/>
      <c r="BS214" s="11" t="n"/>
      <c r="BT214" s="11" t="n"/>
      <c r="BU214" s="12" t="n"/>
      <c r="BV214" s="11" t="n"/>
      <c r="BW214" s="11" t="n"/>
      <c r="BX214" s="11" t="n"/>
      <c r="BY214" s="11" t="n"/>
      <c r="BZ214" s="12" t="n"/>
      <c r="CA214" s="11" t="n"/>
      <c r="CB214" s="11" t="n"/>
      <c r="CC214" s="11" t="n"/>
      <c r="CD214" s="11" t="n"/>
      <c r="CE214" s="12" t="n"/>
      <c r="CF214" s="11" t="n"/>
      <c r="CG214" s="11" t="n"/>
      <c r="CH214" s="11" t="n"/>
      <c r="CI214" s="11" t="n"/>
      <c r="CJ214" s="12" t="n"/>
      <c r="CK214" s="11" t="n"/>
      <c r="CL214" s="11" t="n"/>
      <c r="CM214" s="11" t="n"/>
      <c r="CN214" s="11" t="n"/>
      <c r="CO214" s="12" t="n"/>
      <c r="CP214" s="11" t="n"/>
      <c r="CQ214" s="11" t="n"/>
      <c r="CR214" s="11" t="n"/>
      <c r="CS214" s="11" t="n"/>
      <c r="CT214" s="12" t="n"/>
      <c r="CU214" s="11" t="n"/>
      <c r="CV214" s="11" t="n"/>
      <c r="CW214" s="11" t="n"/>
      <c r="CX214" s="11" t="n"/>
      <c r="CY214" s="12" t="n"/>
    </row>
    <row r="215" hidden="1" outlineLevel="1">
      <c r="C215" s="57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collapsed="1">
      <c r="C216" s="14" t="inlineStr">
        <is>
          <t>Long term debt</t>
        </is>
      </c>
      <c r="D216" s="46" t="n"/>
      <c r="E216" s="46" t="n"/>
      <c r="F216" s="46" t="n"/>
      <c r="G216" s="46" t="n"/>
      <c r="H216" s="12" t="n"/>
      <c r="I216" s="46">
        <f>'Inputs (2)'!D35</f>
        <v>5964</v>
      </c>
      <c r="J216" s="46">
        <f>'Inputs (2)'!E35</f>
        <v>10943</v>
      </c>
      <c r="K216" s="46">
        <f>'Inputs (2)'!F35</f>
        <v>10944</v>
      </c>
      <c r="L216" s="46">
        <f>'Inputs (2)'!G35</f>
        <v>10946</v>
      </c>
      <c r="M216" s="12">
        <f>'Inputs (2)'!H35</f>
        <v>10946</v>
      </c>
      <c r="N216" s="46">
        <f>'Inputs (2)'!I35</f>
        <v>10947</v>
      </c>
      <c r="O216" s="46">
        <f>'Inputs (2)'!J35</f>
        <v>9700</v>
      </c>
      <c r="P216" s="46">
        <f>'Inputs (2)'!K35</f>
        <v>9701</v>
      </c>
      <c r="Q216" s="46">
        <f>'Inputs (2)'!L35</f>
        <v>9703</v>
      </c>
      <c r="R216" s="12">
        <f>'Inputs (2)'!M35</f>
        <v>9703</v>
      </c>
      <c r="S216" s="46">
        <f>'Inputs (2)'!N35</f>
        <v>9704</v>
      </c>
      <c r="T216" s="46">
        <f>'Inputs (2)'!O35</f>
        <v>8456</v>
      </c>
      <c r="U216" s="46">
        <f>'Inputs (2)'!P35</f>
        <v>8457</v>
      </c>
      <c r="V216" s="46">
        <f>'Inputs (2)'!Q35</f>
        <v>8459</v>
      </c>
      <c r="W216" s="12">
        <f>'Inputs (2)'!R35</f>
        <v>8459</v>
      </c>
      <c r="X216" s="46">
        <f>'Inputs (2)'!S35</f>
        <v>8460</v>
      </c>
      <c r="Y216" s="46">
        <f>'Inputs (2)'!T35</f>
        <v>8461</v>
      </c>
      <c r="Z216" s="46">
        <f>'Inputs (2)'!U35</f>
        <v>8462</v>
      </c>
      <c r="AA216" s="46">
        <f>'Inputs (2)'!V35</f>
        <v>8463</v>
      </c>
      <c r="AB216" s="12">
        <f>'Inputs (2)'!W35</f>
        <v>8463</v>
      </c>
      <c r="AC216" s="46">
        <f>'Inputs (2)'!X35</f>
        <v>8464</v>
      </c>
      <c r="AD216" s="46">
        <f>'Inputs (2)'!Y35</f>
        <v>8466</v>
      </c>
      <c r="AE216" s="46">
        <f>'Inputs (2)'!Z35</f>
        <v>7468</v>
      </c>
      <c r="AF216" s="46">
        <f>'Inputs (2)'!AA35</f>
        <v>7469</v>
      </c>
      <c r="AG216" s="12">
        <f>'Inputs (2)'!AB35</f>
        <v>7469</v>
      </c>
      <c r="AH216" s="12">
        <f>'Inputs (2)'!AC35</f>
        <v>7470</v>
      </c>
      <c r="AI216" s="12">
        <f>'Inputs (2)'!AD35</f>
        <v>32366</v>
      </c>
      <c r="AJ216" s="12">
        <f>AJ222</f>
        <v>32366</v>
      </c>
      <c r="AK216" s="12">
        <f>AK222</f>
        <v>32366</v>
      </c>
      <c r="AL216" s="12">
        <f>AK216</f>
        <v>32366</v>
      </c>
      <c r="AM216" s="12">
        <f>AM222</f>
        <v>32366</v>
      </c>
      <c r="AN216" s="12">
        <f>AN222</f>
        <v>32366</v>
      </c>
      <c r="AO216" s="12">
        <f>AO222</f>
        <v>32366</v>
      </c>
      <c r="AP216" s="12">
        <f>AP222</f>
        <v>32366</v>
      </c>
      <c r="AQ216" s="12">
        <f>AP216</f>
        <v>32366</v>
      </c>
      <c r="AR216" s="12">
        <f>AR222</f>
        <v>32366</v>
      </c>
      <c r="AS216" s="12">
        <f>AS222</f>
        <v>32366</v>
      </c>
      <c r="AT216" s="12">
        <f>AT222</f>
        <v>32366</v>
      </c>
      <c r="AU216" s="12">
        <f>AU222</f>
        <v>32366</v>
      </c>
      <c r="AV216" s="12">
        <f>AU216</f>
        <v>32366</v>
      </c>
      <c r="AW216" s="12">
        <f>AW222</f>
        <v>32366</v>
      </c>
      <c r="AX216" s="12">
        <f>AX222</f>
        <v>32366</v>
      </c>
      <c r="AY216" s="12">
        <f>AY222</f>
        <v>32366</v>
      </c>
      <c r="AZ216" s="12">
        <f>AZ222</f>
        <v>32366</v>
      </c>
      <c r="BA216" s="12">
        <f>AZ216</f>
        <v>32366</v>
      </c>
      <c r="BB216" s="12">
        <f>BB222</f>
        <v>32366</v>
      </c>
      <c r="BC216" s="12">
        <f>BC222</f>
        <v>32366</v>
      </c>
      <c r="BD216" s="12">
        <f>BD222</f>
        <v>32366</v>
      </c>
      <c r="BE216" s="12">
        <f>BE222</f>
        <v>32366</v>
      </c>
      <c r="BF216" s="12">
        <f>BE216</f>
        <v>32366</v>
      </c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  <c r="AP217" s="12" t="n"/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inlineStr">
        <is>
          <t>Current portion of LTD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>
        <f>AF211</f>
        <v>999</v>
      </c>
      <c r="AI218" s="62" t="n"/>
      <c r="AJ218" s="62" t="n"/>
      <c r="AK218" s="62" t="n"/>
      <c r="AL218" s="12" t="n"/>
      <c r="AM218" s="12">
        <f>AK211</f>
        <v>1000</v>
      </c>
      <c r="AN218" s="62" t="n"/>
      <c r="AO218" s="62" t="n"/>
      <c r="AP218" s="62" t="n"/>
      <c r="AQ218" s="12" t="n"/>
      <c r="AR218" s="12">
        <f>AP211</f>
        <v>1000</v>
      </c>
      <c r="AS218" s="62" t="n"/>
      <c r="AT218" s="62" t="n"/>
      <c r="AU218" s="62" t="n"/>
      <c r="AV218" s="12" t="n"/>
      <c r="AW218" s="12">
        <f>AU211</f>
        <v>1000</v>
      </c>
      <c r="AX218" s="62" t="n"/>
      <c r="AY218" s="62" t="n"/>
      <c r="AZ218" s="62" t="n"/>
      <c r="BA218" s="12" t="n"/>
      <c r="BB218" s="12">
        <f>AZ211</f>
        <v>1000</v>
      </c>
      <c r="BC218" s="62" t="n"/>
      <c r="BD218" s="62" t="n"/>
      <c r="BE218" s="62" t="n"/>
      <c r="BF218" s="12" t="n"/>
      <c r="BG218" s="12" t="n"/>
      <c r="BH218" s="62" t="n"/>
      <c r="BI218" s="62" t="n"/>
      <c r="BJ218" s="62" t="n"/>
      <c r="BK218" s="12" t="n"/>
      <c r="BL218" s="12" t="n"/>
      <c r="BM218" s="62" t="n"/>
      <c r="BN218" s="62" t="n"/>
      <c r="BO218" s="62" t="n"/>
      <c r="BP218" s="12" t="n"/>
      <c r="BQ218" s="12" t="n"/>
      <c r="BR218" s="62" t="n"/>
      <c r="BS218" s="62" t="n"/>
      <c r="BT218" s="62" t="n"/>
      <c r="BU218" s="12" t="n"/>
      <c r="BV218" s="12" t="n"/>
      <c r="BW218" s="62" t="n"/>
      <c r="BX218" s="62" t="n"/>
      <c r="BY218" s="62" t="n"/>
      <c r="BZ218" s="12" t="n"/>
      <c r="CA218" s="12" t="n"/>
      <c r="CB218" s="62" t="n"/>
      <c r="CC218" s="62" t="n"/>
      <c r="CD218" s="62" t="n"/>
      <c r="CE218" s="12" t="n"/>
      <c r="CF218" s="12" t="n"/>
      <c r="CG218" s="62" t="n"/>
      <c r="CH218" s="62" t="n"/>
      <c r="CI218" s="62" t="n"/>
      <c r="CJ218" s="12" t="n"/>
      <c r="CK218" s="12" t="n"/>
      <c r="CL218" s="62" t="n"/>
      <c r="CM218" s="62" t="n"/>
      <c r="CN218" s="62" t="n"/>
      <c r="CO218" s="12" t="n"/>
      <c r="CP218" s="12" t="n"/>
      <c r="CQ218" s="62" t="n"/>
      <c r="CR218" s="62" t="n"/>
      <c r="CS218" s="62" t="n"/>
      <c r="CT218" s="12" t="n"/>
      <c r="CU218" s="12" t="n"/>
      <c r="CV218" s="62" t="n"/>
      <c r="CW218" s="62" t="n"/>
      <c r="CX218" s="62" t="n"/>
      <c r="CY218" s="12" t="n"/>
    </row>
    <row r="219" hidden="1" outlineLevel="1">
      <c r="C219" s="57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  <c r="AP219" s="12" t="n"/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inlineStr">
        <is>
          <t>Reclassification of LTD to CP of LTD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>
        <f>-AI218</f>
        <v>0</v>
      </c>
      <c r="AJ220" s="12">
        <f>-AJ218</f>
        <v>0</v>
      </c>
      <c r="AK220" s="12">
        <f>-AK218</f>
        <v>0</v>
      </c>
      <c r="AL220" s="12" t="n"/>
      <c r="AM220" s="12" t="n"/>
      <c r="AN220" s="12">
        <f>-AN218</f>
        <v>0</v>
      </c>
      <c r="AO220" s="12">
        <f>-AO218</f>
        <v>0</v>
      </c>
      <c r="AP220" s="12">
        <f>-AP218</f>
        <v>0</v>
      </c>
      <c r="AQ220" s="12" t="n"/>
      <c r="AR220" s="12" t="n"/>
      <c r="AS220" s="12">
        <f>-AS218</f>
        <v>0</v>
      </c>
      <c r="AT220" s="12">
        <f>-AT218</f>
        <v>0</v>
      </c>
      <c r="AU220" s="12">
        <f>-AU218</f>
        <v>0</v>
      </c>
      <c r="AV220" s="12" t="n"/>
      <c r="AW220" s="12" t="n"/>
      <c r="AX220" s="12">
        <f>-AX218</f>
        <v>0</v>
      </c>
      <c r="AY220" s="12">
        <f>-AY218</f>
        <v>0</v>
      </c>
      <c r="AZ220" s="12">
        <f>-AZ218</f>
        <v>0</v>
      </c>
      <c r="BA220" s="12" t="n"/>
      <c r="BB220" s="12" t="n"/>
      <c r="BC220" s="12">
        <f>-BC218</f>
        <v>0</v>
      </c>
      <c r="BD220" s="12">
        <f>-BD218</f>
        <v>0</v>
      </c>
      <c r="BE220" s="12">
        <f>-BE218</f>
        <v>0</v>
      </c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Discretionary (paydown)/borrowing of long term debt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62" t="n"/>
      <c r="AI221" s="62" t="n"/>
      <c r="AJ221" s="62" t="n"/>
      <c r="AK221" s="62" t="n"/>
      <c r="AL221" s="12" t="n"/>
      <c r="AM221" s="62" t="n"/>
      <c r="AN221" s="62" t="n"/>
      <c r="AO221" s="62" t="n"/>
      <c r="AP221" s="62" t="n"/>
      <c r="AQ221" s="12" t="n"/>
      <c r="AR221" s="62" t="n"/>
      <c r="AS221" s="62" t="n"/>
      <c r="AT221" s="62" t="n"/>
      <c r="AU221" s="62" t="n"/>
      <c r="AV221" s="12" t="n"/>
      <c r="AW221" s="62" t="n"/>
      <c r="AX221" s="62" t="n"/>
      <c r="AY221" s="62" t="n"/>
      <c r="AZ221" s="62" t="n"/>
      <c r="BA221" s="12" t="n"/>
      <c r="BB221" s="62" t="n"/>
      <c r="BC221" s="62" t="n"/>
      <c r="BD221" s="62" t="n"/>
      <c r="BE221" s="62" t="n"/>
      <c r="BF221" s="12" t="n"/>
      <c r="BG221" s="62" t="n"/>
      <c r="BH221" s="62" t="n"/>
      <c r="BI221" s="62" t="n"/>
      <c r="BJ221" s="62" t="n"/>
      <c r="BK221" s="12" t="n"/>
      <c r="BL221" s="62" t="n"/>
      <c r="BM221" s="62" t="n"/>
      <c r="BN221" s="62" t="n"/>
      <c r="BO221" s="62" t="n"/>
      <c r="BP221" s="12" t="n"/>
      <c r="BQ221" s="62" t="n"/>
      <c r="BR221" s="62" t="n"/>
      <c r="BS221" s="62" t="n"/>
      <c r="BT221" s="62" t="n"/>
      <c r="BU221" s="12" t="n"/>
      <c r="BV221" s="62" t="n"/>
      <c r="BW221" s="62" t="n"/>
      <c r="BX221" s="62" t="n"/>
      <c r="BY221" s="62" t="n"/>
      <c r="BZ221" s="12" t="n"/>
      <c r="CA221" s="62" t="n"/>
      <c r="CB221" s="62" t="n"/>
      <c r="CC221" s="62" t="n"/>
      <c r="CD221" s="62" t="n"/>
      <c r="CE221" s="12" t="n"/>
      <c r="CF221" s="62" t="n"/>
      <c r="CG221" s="62" t="n"/>
      <c r="CH221" s="62" t="n"/>
      <c r="CI221" s="62" t="n"/>
      <c r="CJ221" s="12" t="n"/>
      <c r="CK221" s="62" t="n"/>
      <c r="CL221" s="62" t="n"/>
      <c r="CM221" s="62" t="n"/>
      <c r="CN221" s="62" t="n"/>
      <c r="CO221" s="12" t="n"/>
      <c r="CP221" s="62" t="n"/>
      <c r="CQ221" s="62" t="n"/>
      <c r="CR221" s="62" t="n"/>
      <c r="CS221" s="62" t="n"/>
      <c r="CT221" s="12" t="n"/>
      <c r="CU221" s="62" t="n"/>
      <c r="CV221" s="62" t="n"/>
      <c r="CW221" s="62" t="n"/>
      <c r="CX221" s="62" t="n"/>
      <c r="CY221" s="12" t="n"/>
    </row>
    <row r="222" hidden="1" outlineLevel="1">
      <c r="C222" s="57" t="inlineStr">
        <is>
          <t>Long term debt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>
        <f>AH216</f>
        <v>7470</v>
      </c>
      <c r="AI222" s="12">
        <f>AI216</f>
        <v>32366</v>
      </c>
      <c r="AJ222" s="12">
        <f>AI222+SUM(AJ220:AJ221)</f>
        <v>32366</v>
      </c>
      <c r="AK222" s="12">
        <f>AJ222+SUM(AK220:AK221)</f>
        <v>32366</v>
      </c>
      <c r="AL222" s="12" t="n"/>
      <c r="AM222" s="12">
        <f>AK222+SUM(AM220:AM221)</f>
        <v>32366</v>
      </c>
      <c r="AN222" s="12">
        <f>AM222+SUM(AN220:AN221)</f>
        <v>32366</v>
      </c>
      <c r="AO222" s="12">
        <f>AN222+SUM(AO220:AO221)</f>
        <v>32366</v>
      </c>
      <c r="AP222" s="12">
        <f>AO222+SUM(AP220:AP221)</f>
        <v>32366</v>
      </c>
      <c r="AQ222" s="12" t="n"/>
      <c r="AR222" s="12">
        <f>AP222+SUM(AR220:AR221)</f>
        <v>32366</v>
      </c>
      <c r="AS222" s="12">
        <f>AR222+SUM(AS220:AS221)</f>
        <v>32366</v>
      </c>
      <c r="AT222" s="12">
        <f>AS222+SUM(AT220:AT221)</f>
        <v>32366</v>
      </c>
      <c r="AU222" s="12">
        <f>AT222+SUM(AU220:AU221)</f>
        <v>32366</v>
      </c>
      <c r="AV222" s="12" t="n"/>
      <c r="AW222" s="12">
        <f>AU222+SUM(AW220:AW221)</f>
        <v>32366</v>
      </c>
      <c r="AX222" s="12">
        <f>AW222+SUM(AX220:AX221)</f>
        <v>32366</v>
      </c>
      <c r="AY222" s="12">
        <f>AX222+SUM(AY220:AY221)</f>
        <v>32366</v>
      </c>
      <c r="AZ222" s="12">
        <f>AY222+SUM(AZ220:AZ221)</f>
        <v>32366</v>
      </c>
      <c r="BA222" s="12" t="n"/>
      <c r="BB222" s="12">
        <f>AZ222+SUM(BB220:BB221)</f>
        <v>32366</v>
      </c>
      <c r="BC222" s="12">
        <f>BB222+SUM(BC220:BC221)</f>
        <v>32366</v>
      </c>
      <c r="BD222" s="12">
        <f>BC222+SUM(BD220:BD221)</f>
        <v>32366</v>
      </c>
      <c r="BE222" s="12">
        <f>BD222+SUM(BE220:BE221)</f>
        <v>32366</v>
      </c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  <c r="AL223" s="12" t="n"/>
      <c r="AM223" s="12" t="n"/>
      <c r="AN223" s="12" t="n"/>
      <c r="AO223" s="12" t="n"/>
      <c r="AP223" s="12" t="n"/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inlineStr">
        <is>
          <t>Discretionary (paydown)/borrowing of convertible debt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62" t="n"/>
      <c r="AI224" s="62" t="n"/>
      <c r="AJ224" s="62" t="n"/>
      <c r="AK224" s="62" t="n"/>
      <c r="AL224" s="12" t="n"/>
      <c r="AM224" s="62" t="n"/>
      <c r="AN224" s="62" t="n"/>
      <c r="AO224" s="62" t="n"/>
      <c r="AP224" s="62" t="n"/>
      <c r="AQ224" s="12" t="n"/>
      <c r="AR224" s="62" t="n"/>
      <c r="AS224" s="62" t="n"/>
      <c r="AT224" s="62" t="n"/>
      <c r="AU224" s="62" t="n"/>
      <c r="AV224" s="12" t="n"/>
      <c r="AW224" s="62" t="n"/>
      <c r="AX224" s="62" t="n"/>
      <c r="AY224" s="62" t="n"/>
      <c r="AZ224" s="62" t="n"/>
      <c r="BA224" s="12" t="n"/>
      <c r="BB224" s="62" t="n"/>
      <c r="BC224" s="62" t="n"/>
      <c r="BD224" s="62" t="n"/>
      <c r="BE224" s="62" t="n"/>
      <c r="BF224" s="12" t="n"/>
      <c r="BG224" s="62" t="n"/>
      <c r="BH224" s="62" t="n"/>
      <c r="BI224" s="62" t="n"/>
      <c r="BJ224" s="62" t="n"/>
      <c r="BK224" s="12" t="n"/>
      <c r="BL224" s="62" t="n"/>
      <c r="BM224" s="62" t="n"/>
      <c r="BN224" s="62" t="n"/>
      <c r="BO224" s="62" t="n"/>
      <c r="BP224" s="12" t="n"/>
      <c r="BQ224" s="62" t="n"/>
      <c r="BR224" s="62" t="n"/>
      <c r="BS224" s="62" t="n"/>
      <c r="BT224" s="62" t="n"/>
      <c r="BU224" s="12" t="n"/>
      <c r="BV224" s="62" t="n"/>
      <c r="BW224" s="62" t="n"/>
      <c r="BX224" s="62" t="n"/>
      <c r="BY224" s="62" t="n"/>
      <c r="BZ224" s="12" t="n"/>
      <c r="CA224" s="62" t="n"/>
      <c r="CB224" s="62" t="n"/>
      <c r="CC224" s="62" t="n"/>
      <c r="CD224" s="62" t="n"/>
      <c r="CE224" s="12" t="n"/>
      <c r="CF224" s="62" t="n"/>
      <c r="CG224" s="62" t="n"/>
      <c r="CH224" s="62" t="n"/>
      <c r="CI224" s="62" t="n"/>
      <c r="CJ224" s="12" t="n"/>
      <c r="CK224" s="62" t="n"/>
      <c r="CL224" s="62" t="n"/>
      <c r="CM224" s="62" t="n"/>
      <c r="CN224" s="62" t="n"/>
      <c r="CO224" s="12" t="n"/>
      <c r="CP224" s="62" t="n"/>
      <c r="CQ224" s="62" t="n"/>
      <c r="CR224" s="62" t="n"/>
      <c r="CS224" s="62" t="n"/>
      <c r="CT224" s="12" t="n"/>
      <c r="CU224" s="62" t="n"/>
      <c r="CV224" s="62" t="n"/>
      <c r="CW224" s="62" t="n"/>
      <c r="CX224" s="62" t="n"/>
      <c r="CY224" s="12" t="n"/>
    </row>
    <row r="225" hidden="1" outlineLevel="1">
      <c r="C225" s="57" t="inlineStr">
        <is>
          <t>Convertible debt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>
        <f>AH237</f>
        <v>0</v>
      </c>
      <c r="AI225" s="12">
        <f>AH225+SUM(AI224)</f>
        <v>0</v>
      </c>
      <c r="AJ225" s="12">
        <f>AI225+SUM(AJ224)</f>
        <v>0</v>
      </c>
      <c r="AK225" s="12">
        <f>AJ225+SUM(AK224)</f>
        <v>0</v>
      </c>
      <c r="AL225" s="12" t="n"/>
      <c r="AM225" s="12">
        <f>AM237</f>
        <v>0</v>
      </c>
      <c r="AN225" s="12">
        <f>AM225+SUM(AN224)</f>
        <v>0</v>
      </c>
      <c r="AO225" s="12">
        <f>AN225+SUM(AO224)</f>
        <v>0</v>
      </c>
      <c r="AP225" s="12">
        <f>AO225+SUM(AP224)</f>
        <v>0</v>
      </c>
      <c r="AQ225" s="12" t="n"/>
      <c r="AR225" s="12">
        <f>AR237</f>
        <v>0</v>
      </c>
      <c r="AS225" s="12">
        <f>AR225+SUM(AS224)</f>
        <v>0</v>
      </c>
      <c r="AT225" s="12">
        <f>AS225+SUM(AT224)</f>
        <v>0</v>
      </c>
      <c r="AU225" s="12">
        <f>AT225+SUM(AU224)</f>
        <v>0</v>
      </c>
      <c r="AV225" s="12" t="n"/>
      <c r="AW225" s="12">
        <f>AW237</f>
        <v>0</v>
      </c>
      <c r="AX225" s="12">
        <f>AW225+SUM(AX224)</f>
        <v>0</v>
      </c>
      <c r="AY225" s="12">
        <f>AX225+SUM(AY224)</f>
        <v>0</v>
      </c>
      <c r="AZ225" s="12">
        <f>AY225+SUM(AZ224)</f>
        <v>0</v>
      </c>
      <c r="BA225" s="12" t="n"/>
      <c r="BB225" s="12">
        <f>BB237</f>
        <v>0</v>
      </c>
      <c r="BC225" s="12">
        <f>BB225+SUM(BC224)</f>
        <v>0</v>
      </c>
      <c r="BD225" s="12">
        <f>BC225+SUM(BD224)</f>
        <v>0</v>
      </c>
      <c r="BE225" s="12">
        <f>BD225+SUM(BE224)</f>
        <v>0</v>
      </c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I226" s="12" t="n"/>
      <c r="AJ226" s="12" t="n"/>
      <c r="AK226" s="12" t="n"/>
      <c r="AL226" s="12" t="n"/>
      <c r="AN226" s="12" t="n"/>
      <c r="AO226" s="12" t="n"/>
      <c r="AP226" s="12" t="n"/>
      <c r="AQ226" s="12" t="n"/>
      <c r="AS226" s="12" t="n"/>
      <c r="AT226" s="12" t="n"/>
      <c r="AU226" s="12" t="n"/>
      <c r="AV226" s="12" t="n"/>
      <c r="AX226" s="12" t="n"/>
      <c r="AY226" s="12" t="n"/>
      <c r="AZ226" s="12" t="n"/>
      <c r="BA226" s="12" t="n"/>
      <c r="BC226" s="12" t="n"/>
      <c r="BD226" s="12" t="n"/>
      <c r="BE226" s="12" t="n"/>
      <c r="BF226" s="12" t="n"/>
      <c r="BH226" s="12" t="n"/>
      <c r="BI226" s="12" t="n"/>
      <c r="BJ226" s="12" t="n"/>
      <c r="BK226" s="12" t="n"/>
      <c r="BM226" s="12" t="n"/>
      <c r="BN226" s="12" t="n"/>
      <c r="BO226" s="12" t="n"/>
      <c r="BP226" s="12" t="n"/>
      <c r="BR226" s="12" t="n"/>
      <c r="BS226" s="12" t="n"/>
      <c r="BT226" s="12" t="n"/>
      <c r="BU226" s="12" t="n"/>
      <c r="BW226" s="12" t="n"/>
      <c r="BX226" s="12" t="n"/>
      <c r="BY226" s="12" t="n"/>
      <c r="BZ226" s="12" t="n"/>
      <c r="CB226" s="12" t="n"/>
      <c r="CC226" s="12" t="n"/>
      <c r="CD226" s="12" t="n"/>
      <c r="CE226" s="12" t="n"/>
      <c r="CG226" s="12" t="n"/>
      <c r="CH226" s="12" t="n"/>
      <c r="CI226" s="12" t="n"/>
      <c r="CJ226" s="12" t="n"/>
      <c r="CL226" s="12" t="n"/>
      <c r="CM226" s="12" t="n"/>
      <c r="CN226" s="12" t="n"/>
      <c r="CO226" s="12" t="n"/>
      <c r="CQ226" s="12" t="n"/>
      <c r="CR226" s="12" t="n"/>
      <c r="CS226" s="12" t="n"/>
      <c r="CT226" s="12" t="n"/>
      <c r="CV226" s="12" t="n"/>
      <c r="CW226" s="12" t="n"/>
      <c r="CX226" s="12" t="n"/>
      <c r="CY226" s="12" t="n"/>
    </row>
    <row r="227" hidden="1" outlineLevel="1">
      <c r="C227" s="57" t="inlineStr">
        <is>
          <t>Calculation of short term debt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  <c r="AL227" s="12" t="n"/>
      <c r="AM227" s="12" t="n"/>
      <c r="AN227" s="12" t="n"/>
      <c r="AO227" s="12" t="n"/>
      <c r="AP227" s="12" t="n"/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7" t="inlineStr">
        <is>
          <t>Cash @ beginning of the period (end of last period)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63">
        <f>AG143</f>
        <v>49670</v>
      </c>
      <c r="AI228" s="12" t="n"/>
      <c r="AJ228" s="12" t="n"/>
      <c r="AK228" s="12" t="n"/>
      <c r="AL228" s="12" t="n"/>
      <c r="AM228" s="63">
        <f>AL143</f>
        <v>232721.942111485</v>
      </c>
      <c r="AN228" s="12" t="n"/>
      <c r="AO228" s="12" t="n"/>
      <c r="AP228" s="12" t="n"/>
      <c r="AQ228" s="12" t="n"/>
      <c r="AR228" s="63">
        <f>AQ143</f>
        <v>1268461.92827036</v>
      </c>
      <c r="AS228" s="12" t="n"/>
      <c r="AT228" s="12" t="n"/>
      <c r="AU228" s="12" t="n"/>
      <c r="AV228" s="12" t="n"/>
      <c r="AW228" s="63">
        <f>AV143</f>
        <v>8365296.38872443</v>
      </c>
      <c r="AX228" s="12" t="n"/>
      <c r="AY228" s="12" t="n"/>
      <c r="AZ228" s="12" t="n"/>
      <c r="BA228" s="12" t="n"/>
      <c r="BB228" s="63">
        <f>BA143</f>
        <v>69317311.1066367</v>
      </c>
      <c r="BC228" s="12" t="n"/>
      <c r="BD228" s="12" t="n"/>
      <c r="BE228" s="12" t="n"/>
      <c r="BF228" s="12" t="n"/>
      <c r="BG228" s="63" t="n"/>
      <c r="BH228" s="12" t="n"/>
      <c r="BI228" s="12" t="n"/>
      <c r="BJ228" s="12" t="n"/>
      <c r="BK228" s="12" t="n"/>
      <c r="BL228" s="63" t="n"/>
      <c r="BM228" s="12" t="n"/>
      <c r="BN228" s="12" t="n"/>
      <c r="BO228" s="12" t="n"/>
      <c r="BP228" s="12" t="n"/>
      <c r="BQ228" s="63" t="n"/>
      <c r="BR228" s="12" t="n"/>
      <c r="BS228" s="12" t="n"/>
      <c r="BT228" s="12" t="n"/>
      <c r="BU228" s="12" t="n"/>
      <c r="BV228" s="63" t="n"/>
      <c r="BW228" s="12" t="n"/>
      <c r="BX228" s="12" t="n"/>
      <c r="BY228" s="12" t="n"/>
      <c r="BZ228" s="12" t="n"/>
      <c r="CA228" s="63" t="n"/>
      <c r="CB228" s="12" t="n"/>
      <c r="CC228" s="12" t="n"/>
      <c r="CD228" s="12" t="n"/>
      <c r="CE228" s="12" t="n"/>
      <c r="CF228" s="63" t="n"/>
      <c r="CG228" s="12" t="n"/>
      <c r="CH228" s="12" t="n"/>
      <c r="CI228" s="12" t="n"/>
      <c r="CJ228" s="12" t="n"/>
      <c r="CK228" s="63" t="n"/>
      <c r="CL228" s="12" t="n"/>
      <c r="CM228" s="12" t="n"/>
      <c r="CN228" s="12" t="n"/>
      <c r="CO228" s="12" t="n"/>
      <c r="CP228" s="63" t="n"/>
      <c r="CQ228" s="12" t="n"/>
      <c r="CR228" s="12" t="n"/>
      <c r="CS228" s="12" t="n"/>
      <c r="CT228" s="12" t="n"/>
      <c r="CU228" s="63" t="n"/>
      <c r="CV228" s="12" t="n"/>
      <c r="CW228" s="12" t="n"/>
      <c r="CX228" s="12" t="n"/>
      <c r="CY228" s="12" t="n"/>
    </row>
    <row r="229" hidden="1" outlineLevel="1">
      <c r="C229" s="57" t="inlineStr">
        <is>
          <t>Plus: Free cash flows prior to debt during period</t>
        </is>
      </c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inlineStr">
        <is>
          <t>% of sales</t>
        </is>
      </c>
      <c r="AH229" s="64">
        <f>(AH291+AH298)+SUM(AH301:AH307)</f>
        <v>-44223</v>
      </c>
      <c r="AI229" s="64">
        <f>(AI291+AI298)+SUM(AI301:AI307)</f>
        <v>-34834</v>
      </c>
      <c r="AJ229" s="64">
        <f>(AJ291+AJ298)+SUM(AJ301:AJ307)</f>
        <v>0</v>
      </c>
      <c r="AK229" s="64">
        <f>(AK291+AK298)+SUM(AK301:AK307)</f>
        <v>0</v>
      </c>
      <c r="AL229" s="12" t="n"/>
      <c r="AM229" s="64">
        <f>(AM291+AM298)+SUM(AM301:AM307)</f>
        <v>0</v>
      </c>
      <c r="AN229" s="64">
        <f>(AN291+AN298)+SUM(AN301:AN307)</f>
        <v>0</v>
      </c>
      <c r="AO229" s="64">
        <f>(AO291+AO298)+SUM(AO301:AO307)</f>
        <v>0</v>
      </c>
      <c r="AP229" s="64">
        <f>(AP291+AP298)+SUM(AP301:AP307)</f>
        <v>0</v>
      </c>
      <c r="AQ229" s="12" t="n"/>
      <c r="AR229" s="64">
        <f>(AR291+AR298)+SUM(AR301:AR307)</f>
        <v>0</v>
      </c>
      <c r="AS229" s="64">
        <f>(AS291+AS298)+SUM(AS301:AS307)</f>
        <v>0</v>
      </c>
      <c r="AT229" s="64">
        <f>(AT291+AT298)+SUM(AT301:AT307)</f>
        <v>0</v>
      </c>
      <c r="AU229" s="64">
        <f>(AU291+AU298)+SUM(AU301:AU307)</f>
        <v>0</v>
      </c>
      <c r="AV229" s="12" t="n"/>
      <c r="AW229" s="64">
        <f>(AW291+AW298)+SUM(AW301:AW307)</f>
        <v>0</v>
      </c>
      <c r="AX229" s="64">
        <f>(AX291+AX298)+SUM(AX301:AX307)</f>
        <v>0</v>
      </c>
      <c r="AY229" s="64">
        <f>(AY291+AY298)+SUM(AY301:AY307)</f>
        <v>0</v>
      </c>
      <c r="AZ229" s="64">
        <f>(AZ291+AZ298)+SUM(AZ301:AZ307)</f>
        <v>0</v>
      </c>
      <c r="BA229" s="12" t="n"/>
      <c r="BB229" s="64">
        <f>(BB291+BB298)+SUM(BB301:BB307)</f>
        <v>0</v>
      </c>
      <c r="BC229" s="64">
        <f>(BC291+BC298)+SUM(BC301:BC307)</f>
        <v>0</v>
      </c>
      <c r="BD229" s="64">
        <f>(BD291+BD298)+SUM(BD301:BD307)</f>
        <v>0</v>
      </c>
      <c r="BE229" s="64">
        <f>(BE291+BE298)+SUM(BE301:BE307)</f>
        <v>0</v>
      </c>
      <c r="BF229" s="12" t="n"/>
      <c r="BG229" s="64" t="n"/>
      <c r="BH229" s="64" t="n"/>
      <c r="BI229" s="64" t="n"/>
      <c r="BJ229" s="64" t="n"/>
      <c r="BK229" s="12" t="n"/>
      <c r="BL229" s="64" t="n"/>
      <c r="BM229" s="64" t="n"/>
      <c r="BN229" s="64" t="n"/>
      <c r="BO229" s="64" t="n"/>
      <c r="BP229" s="12" t="n"/>
      <c r="BQ229" s="64" t="n"/>
      <c r="BR229" s="64" t="n"/>
      <c r="BS229" s="64" t="n"/>
      <c r="BT229" s="64" t="n"/>
      <c r="BU229" s="12" t="n"/>
      <c r="BV229" s="64" t="n"/>
      <c r="BW229" s="64" t="n"/>
      <c r="BX229" s="64" t="n"/>
      <c r="BY229" s="64" t="n"/>
      <c r="BZ229" s="12" t="n"/>
      <c r="CA229" s="64" t="n"/>
      <c r="CB229" s="64" t="n"/>
      <c r="CC229" s="64" t="n"/>
      <c r="CD229" s="64" t="n"/>
      <c r="CE229" s="12" t="n"/>
      <c r="CF229" s="64" t="n"/>
      <c r="CG229" s="64" t="n"/>
      <c r="CH229" s="64" t="n"/>
      <c r="CI229" s="64" t="n"/>
      <c r="CJ229" s="12" t="n"/>
      <c r="CK229" s="64" t="n"/>
      <c r="CL229" s="64" t="n"/>
      <c r="CM229" s="64" t="n"/>
      <c r="CN229" s="64" t="n"/>
      <c r="CO229" s="12" t="n"/>
      <c r="CP229" s="64" t="n"/>
      <c r="CQ229" s="64" t="n"/>
      <c r="CR229" s="64" t="n"/>
      <c r="CS229" s="64" t="n"/>
      <c r="CT229" s="12" t="n"/>
      <c r="CU229" s="64" t="n"/>
      <c r="CV229" s="64" t="n"/>
      <c r="CW229" s="64" t="n"/>
      <c r="CX229" s="64" t="n"/>
      <c r="CY229" s="12" t="n"/>
    </row>
    <row r="230" hidden="1" outlineLevel="1">
      <c r="C230" s="57" t="inlineStr">
        <is>
          <t>Less: Minimum cash balance</t>
        </is>
      </c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52" t="n"/>
      <c r="AH230" s="12">
        <f>($AG$230*AH15)</f>
        <v>0</v>
      </c>
      <c r="AI230" s="12">
        <f>($AG$230*AI15)</f>
        <v>0</v>
      </c>
      <c r="AJ230" s="12">
        <f>($AG$230*AJ15)</f>
        <v>0</v>
      </c>
      <c r="AK230" s="12">
        <f>($AG$230*AK15)</f>
        <v>0</v>
      </c>
      <c r="AL230" s="12" t="n"/>
      <c r="AM230" s="12">
        <f>($AG$230*AM15)</f>
        <v>0</v>
      </c>
      <c r="AN230" s="12">
        <f>($AG$230*AN15)</f>
        <v>0</v>
      </c>
      <c r="AO230" s="12">
        <f>($AG$230*AO15)</f>
        <v>0</v>
      </c>
      <c r="AP230" s="12">
        <f>($AG$230*AP15)</f>
        <v>0</v>
      </c>
      <c r="AQ230" s="12" t="n"/>
      <c r="AR230" s="12">
        <f>($AG$230*AR15)</f>
        <v>0</v>
      </c>
      <c r="AS230" s="12">
        <f>($AG$230*AS15)</f>
        <v>0</v>
      </c>
      <c r="AT230" s="12">
        <f>($AG$230*AT15)</f>
        <v>0</v>
      </c>
      <c r="AU230" s="12">
        <f>($AG$230*AU15)</f>
        <v>0</v>
      </c>
      <c r="AV230" s="12" t="n"/>
      <c r="AW230" s="12">
        <f>($AG$230*AW15)</f>
        <v>0</v>
      </c>
      <c r="AX230" s="12">
        <f>($AG$230*AX15)</f>
        <v>0</v>
      </c>
      <c r="AY230" s="12">
        <f>($AG$230*AY15)</f>
        <v>0</v>
      </c>
      <c r="AZ230" s="12">
        <f>($AG$230*AZ15)</f>
        <v>0</v>
      </c>
      <c r="BA230" s="12" t="n"/>
      <c r="BB230" s="12">
        <f>($AG$230*BB15)</f>
        <v>0</v>
      </c>
      <c r="BC230" s="12">
        <f>($AG$230*BC15)</f>
        <v>0</v>
      </c>
      <c r="BD230" s="12">
        <f>($AG$230*BD15)</f>
        <v>0</v>
      </c>
      <c r="BE230" s="12">
        <f>($AG$230*BE15)</f>
        <v>0</v>
      </c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inlineStr">
        <is>
          <t>Total cash available / (debt required) for short term debt paydown</t>
        </is>
      </c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3">
        <f>AH228+AH229-AH230-AF218+AH220+AH224</f>
        <v>5447</v>
      </c>
      <c r="AI231" s="3">
        <f>AI228+AI229-AI230-AG218+AI220+AI224</f>
        <v>-34834</v>
      </c>
      <c r="AJ231" s="3">
        <f>AJ228+AJ229-AJ230-AH218+AJ220+AJ224</f>
        <v>-999</v>
      </c>
      <c r="AK231" s="3">
        <f>AK228+AK229-AK230-AI218+AK220+AK224</f>
        <v>0</v>
      </c>
      <c r="AL231" s="12" t="n"/>
      <c r="AM231" s="3">
        <f>AM228+AM229-AM230-AK218+AM220+AM224</f>
        <v>232721.942111485</v>
      </c>
      <c r="AN231" s="3">
        <f>AN228+AN229-AN230-AL218+AN220+AN224</f>
        <v>0</v>
      </c>
      <c r="AO231" s="3">
        <f>AO228+AO229-AO230-AM218+AO220+AO224</f>
        <v>-1000</v>
      </c>
      <c r="AP231" s="3">
        <f>AP228+AP229-AP230-AN218+AP220+AP224</f>
        <v>0</v>
      </c>
      <c r="AQ231" s="12" t="n"/>
      <c r="AR231" s="3">
        <f>AR228+AR229-AR230-AP218+AR220+AR224</f>
        <v>1268461.92827036</v>
      </c>
      <c r="AS231" s="3">
        <f>AS228+AS229-AS230-AQ218+AS220+AS224</f>
        <v>0</v>
      </c>
      <c r="AT231" s="3">
        <f>AT228+AT229-AT230-AR218+AT220+AT224</f>
        <v>-1000</v>
      </c>
      <c r="AU231" s="3">
        <f>AU228+AU229-AU230-AS218+AU220+AU224</f>
        <v>0</v>
      </c>
      <c r="AV231" s="12" t="n"/>
      <c r="AW231" s="3">
        <f>AW228+AW229-AW230-AU218+AW220+AW224</f>
        <v>8365296.38872443</v>
      </c>
      <c r="AX231" s="3">
        <f>AX228+AX229-AX230-AV218+AX220+AX224</f>
        <v>0</v>
      </c>
      <c r="AY231" s="3">
        <f>AY228+AY229-AY230-AW218+AY220+AY224</f>
        <v>-1000</v>
      </c>
      <c r="AZ231" s="3">
        <f>AZ228+AZ229-AZ230-AX218+AZ220+AZ224</f>
        <v>0</v>
      </c>
      <c r="BA231" s="12" t="n"/>
      <c r="BB231" s="3">
        <f>BB228+BB229-BB230-AZ218+BB220+BB224</f>
        <v>69317311.1066367</v>
      </c>
      <c r="BC231" s="3">
        <f>BC228+BC229-BC230-BA218+BC220+BC224</f>
        <v>0</v>
      </c>
      <c r="BD231" s="3">
        <f>BD228+BD229-BD230-BB218+BD220+BD224</f>
        <v>-1000</v>
      </c>
      <c r="BE231" s="3">
        <f>BE228+BE229-BE230-BC218+BE220+BE224</f>
        <v>0</v>
      </c>
      <c r="BF231" s="12" t="n"/>
      <c r="BG231" s="3" t="n"/>
      <c r="BH231" s="3" t="n"/>
      <c r="BI231" s="3" t="n"/>
      <c r="BJ231" s="3" t="n"/>
      <c r="BK231" s="12" t="n"/>
      <c r="BL231" s="3" t="n"/>
      <c r="BM231" s="3" t="n"/>
      <c r="BN231" s="3" t="n"/>
      <c r="BO231" s="3" t="n"/>
      <c r="BP231" s="12" t="n"/>
      <c r="BQ231" s="3" t="n"/>
      <c r="BR231" s="3" t="n"/>
      <c r="BS231" s="3" t="n"/>
      <c r="BT231" s="3" t="n"/>
      <c r="BU231" s="12" t="n"/>
      <c r="BV231" s="3" t="n"/>
      <c r="BW231" s="3" t="n"/>
      <c r="BX231" s="3" t="n"/>
      <c r="BY231" s="3" t="n"/>
      <c r="BZ231" s="12" t="n"/>
      <c r="CA231" s="3" t="n"/>
      <c r="CB231" s="3" t="n"/>
      <c r="CC231" s="3" t="n"/>
      <c r="CD231" s="3" t="n"/>
      <c r="CE231" s="12" t="n"/>
      <c r="CF231" s="3" t="n"/>
      <c r="CG231" s="3" t="n"/>
      <c r="CH231" s="3" t="n"/>
      <c r="CI231" s="3" t="n"/>
      <c r="CJ231" s="12" t="n"/>
      <c r="CK231" s="3" t="n"/>
      <c r="CL231" s="3" t="n"/>
      <c r="CM231" s="3" t="n"/>
      <c r="CN231" s="3" t="n"/>
      <c r="CO231" s="12" t="n"/>
      <c r="CP231" s="3" t="n"/>
      <c r="CQ231" s="3" t="n"/>
      <c r="CR231" s="3" t="n"/>
      <c r="CS231" s="3" t="n"/>
      <c r="CT231" s="12" t="n"/>
      <c r="CU231" s="3" t="n"/>
      <c r="CV231" s="3" t="n"/>
      <c r="CW231" s="3" t="n"/>
      <c r="CX231" s="3" t="n"/>
      <c r="CY231" s="12" t="n"/>
    </row>
    <row r="232" hidden="1" outlineLevel="1">
      <c r="C232" s="57" t="inlineStr">
        <is>
          <t>Short term debt</t>
        </is>
      </c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>
        <f>AH212</f>
        <v>0</v>
      </c>
      <c r="AI232" s="12">
        <f>MAX(0,AH232-AI231)</f>
        <v>34834</v>
      </c>
      <c r="AJ232" s="12">
        <f>MAX(0,AI232-AJ231)</f>
        <v>35833</v>
      </c>
      <c r="AK232" s="12">
        <f>MAX(0,AJ232-AK231)</f>
        <v>35833</v>
      </c>
      <c r="AL232" s="12" t="n"/>
      <c r="AM232" s="12">
        <f>AM212</f>
        <v>0</v>
      </c>
      <c r="AN232" s="12">
        <f>MAX(0,AM232-AN231)</f>
        <v>0</v>
      </c>
      <c r="AO232" s="12">
        <f>MAX(0,AN232-AO231)</f>
        <v>1000</v>
      </c>
      <c r="AP232" s="12">
        <f>MAX(0,AO232-AP231)</f>
        <v>1000</v>
      </c>
      <c r="AQ232" s="12" t="n"/>
      <c r="AR232" s="12">
        <f>AR212</f>
        <v>0</v>
      </c>
      <c r="AS232" s="12">
        <f>MAX(0,AR232-AS231)</f>
        <v>0</v>
      </c>
      <c r="AT232" s="12">
        <f>MAX(0,AS232-AT231)</f>
        <v>1000</v>
      </c>
      <c r="AU232" s="12">
        <f>MAX(0,AT232-AU231)</f>
        <v>1000</v>
      </c>
      <c r="AV232" s="12" t="n"/>
      <c r="AW232" s="12">
        <f>AW212</f>
        <v>0</v>
      </c>
      <c r="AX232" s="12">
        <f>MAX(0,AW232-AX231)</f>
        <v>0</v>
      </c>
      <c r="AY232" s="12">
        <f>MAX(0,AX232-AY231)</f>
        <v>1000</v>
      </c>
      <c r="AZ232" s="12">
        <f>MAX(0,AY232-AZ231)</f>
        <v>1000</v>
      </c>
      <c r="BA232" s="12" t="n"/>
      <c r="BB232" s="12">
        <f>BB212</f>
        <v>0</v>
      </c>
      <c r="BC232" s="12">
        <f>MAX(0,BB232-BC231)</f>
        <v>0</v>
      </c>
      <c r="BD232" s="12">
        <f>MAX(0,BC232-BD231)</f>
        <v>1000</v>
      </c>
      <c r="BE232" s="12">
        <f>MAX(0,BD232-BE231)</f>
        <v>1000</v>
      </c>
      <c r="BF232" s="12" t="n"/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 hidden="1" outlineLevel="1">
      <c r="C233" s="57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  <c r="AL233" s="12" t="n"/>
      <c r="AM233" s="12" t="n"/>
      <c r="AN233" s="12" t="n"/>
      <c r="AO233" s="12" t="n"/>
      <c r="AP233" s="12" t="n"/>
      <c r="AQ233" s="12" t="n"/>
      <c r="AR233" s="12" t="n"/>
      <c r="AS233" s="12" t="n"/>
      <c r="AT233" s="12" t="n"/>
      <c r="AU233" s="12" t="n"/>
      <c r="AV233" s="12" t="n"/>
      <c r="AW233" s="12" t="n"/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collapsed="1">
      <c r="C234" s="14" t="inlineStr">
        <is>
          <t>Long term operating leases</t>
        </is>
      </c>
      <c r="D234" s="46" t="n"/>
      <c r="E234" s="46" t="n"/>
      <c r="F234" s="46" t="n"/>
      <c r="G234" s="46" t="n"/>
      <c r="H234" s="12" t="n"/>
      <c r="I234" s="46">
        <f>'Inputs (2)'!D36</f>
        <v>640</v>
      </c>
      <c r="J234" s="46">
        <f>'Inputs (2)'!E36</f>
        <v>716</v>
      </c>
      <c r="K234" s="46">
        <f>'Inputs (2)'!F36</f>
        <v>743</v>
      </c>
      <c r="L234" s="46">
        <f>'Inputs (2)'!G36</f>
        <v>741</v>
      </c>
      <c r="M234" s="12">
        <f>'Inputs (2)'!H36</f>
        <v>741</v>
      </c>
      <c r="N234" s="46">
        <f>'Inputs (2)'!I36</f>
        <v>752</v>
      </c>
      <c r="O234" s="46">
        <f>'Inputs (2)'!J36</f>
        <v>743</v>
      </c>
      <c r="P234" s="46">
        <f>'Inputs (2)'!K36</f>
        <v>798</v>
      </c>
      <c r="Q234" s="46">
        <f>'Inputs (2)'!L36</f>
        <v>902</v>
      </c>
      <c r="R234" s="12">
        <f>'Inputs (2)'!M36</f>
        <v>902</v>
      </c>
      <c r="S234" s="46">
        <f>'Inputs (2)'!N36</f>
        <v>939</v>
      </c>
      <c r="T234" s="46">
        <f>'Inputs (2)'!O36</f>
        <v>1041</v>
      </c>
      <c r="U234" s="46">
        <f>'Inputs (2)'!P36</f>
        <v>1091</v>
      </c>
      <c r="V234" s="46">
        <f>'Inputs (2)'!Q36</f>
        <v>1119</v>
      </c>
      <c r="W234" s="12">
        <f>'Inputs (2)'!R36</f>
        <v>1119</v>
      </c>
      <c r="X234" s="46">
        <f>'Inputs (2)'!S36</f>
        <v>1281</v>
      </c>
      <c r="Y234" s="46">
        <f>'Inputs (2)'!T36</f>
        <v>1304</v>
      </c>
      <c r="Z234" s="46">
        <f>'Inputs (2)'!U36</f>
        <v>1490</v>
      </c>
      <c r="AA234" s="46">
        <f>'Inputs (2)'!V36</f>
        <v>1519</v>
      </c>
      <c r="AB234" s="12">
        <f>'Inputs (2)'!W36</f>
        <v>1519</v>
      </c>
      <c r="AC234" s="46">
        <f>'Inputs (2)'!X36</f>
        <v>1521</v>
      </c>
      <c r="AD234" s="46">
        <f>'Inputs (2)'!Y36</f>
        <v>1831</v>
      </c>
      <c r="AE234" s="46">
        <f>'Inputs (2)'!Z36</f>
        <v>2014</v>
      </c>
      <c r="AF234" s="46">
        <f>'Inputs (2)'!AA36</f>
        <v>2572</v>
      </c>
      <c r="AG234" s="12">
        <f>'Inputs (2)'!AB36</f>
        <v>2572</v>
      </c>
      <c r="AH234" s="12">
        <f>'Inputs (2)'!AC36</f>
        <v>3878</v>
      </c>
      <c r="AI234" s="12">
        <f>'Inputs (2)'!AD36</f>
        <v>4985</v>
      </c>
      <c r="AJ234" s="12">
        <f>AI234</f>
        <v>4985</v>
      </c>
      <c r="AK234" s="12">
        <f>AJ234</f>
        <v>4985</v>
      </c>
      <c r="AL234" s="12">
        <f>AK234</f>
        <v>4985</v>
      </c>
      <c r="AM234" s="12">
        <f>AL234</f>
        <v>4985</v>
      </c>
      <c r="AN234" s="12">
        <f>AM234</f>
        <v>4985</v>
      </c>
      <c r="AO234" s="12">
        <f>AN234</f>
        <v>4985</v>
      </c>
      <c r="AP234" s="12">
        <f>AO234</f>
        <v>4985</v>
      </c>
      <c r="AQ234" s="12">
        <f>AP234</f>
        <v>4985</v>
      </c>
      <c r="AR234" s="12">
        <f>AQ234</f>
        <v>4985</v>
      </c>
      <c r="AS234" s="12">
        <f>AR234</f>
        <v>4985</v>
      </c>
      <c r="AT234" s="12">
        <f>AS234</f>
        <v>4985</v>
      </c>
      <c r="AU234" s="12">
        <f>AT234</f>
        <v>4985</v>
      </c>
      <c r="AV234" s="12">
        <f>AU234</f>
        <v>4985</v>
      </c>
      <c r="AW234" s="12">
        <f>AV234</f>
        <v>4985</v>
      </c>
      <c r="AX234" s="12">
        <f>AW234</f>
        <v>4985</v>
      </c>
      <c r="AY234" s="12">
        <f>AX234</f>
        <v>4985</v>
      </c>
      <c r="AZ234" s="12">
        <f>AY234</f>
        <v>4985</v>
      </c>
      <c r="BA234" s="12">
        <f>AZ234</f>
        <v>4985</v>
      </c>
      <c r="BB234" s="12">
        <f>BA234</f>
        <v>4985</v>
      </c>
      <c r="BC234" s="12">
        <f>BB234</f>
        <v>4985</v>
      </c>
      <c r="BD234" s="12">
        <f>BC234</f>
        <v>4985</v>
      </c>
      <c r="BE234" s="12">
        <f>BD234</f>
        <v>4985</v>
      </c>
      <c r="BF234" s="12">
        <f>BE234</f>
        <v>4985</v>
      </c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>
      <c r="C235" s="59" t="inlineStr">
        <is>
          <t>%(Var.)</t>
        </is>
      </c>
      <c r="D235" s="12" t="n"/>
      <c r="E235" s="40" t="n"/>
      <c r="F235" s="40" t="n"/>
      <c r="G235" s="40" t="n"/>
      <c r="H235" s="12" t="n"/>
      <c r="I235" s="40" t="str">
        <f>""</f>
        <v/>
      </c>
      <c r="J235" s="40">
        <f>IFERROR(IF(I234=0,"",J234/I234-1),"")</f>
        <v>0.11875</v>
      </c>
      <c r="K235" s="40">
        <f>IFERROR(IF(J234=0,"",K234/J234-1),"")</f>
        <v>0.0377094972067038</v>
      </c>
      <c r="L235" s="40">
        <f>IFERROR(IF(K234=0,"",L234/K234-1),"")</f>
        <v>-0.0026917900403769</v>
      </c>
      <c r="M235" s="12">
        <f>IF(L234=0,"",M234/L234-1)</f>
        <v>0</v>
      </c>
      <c r="N235" s="40">
        <f>IFERROR(IF(M234=0,"",N234/M234-1),"")</f>
        <v>0.0148448043184886</v>
      </c>
      <c r="O235" s="40">
        <f>IFERROR(IF(N234=0,"",O234/N234-1),"")</f>
        <v>-0.011968085106383</v>
      </c>
      <c r="P235" s="40">
        <f>IFERROR(IF(O234=0,"",P234/O234-1),"")</f>
        <v>0.0740242261103634</v>
      </c>
      <c r="Q235" s="40">
        <f>IFERROR(IF(P234=0,"",Q234/P234-1),"")</f>
        <v>0.130325814536341</v>
      </c>
      <c r="R235" s="12">
        <f>IF(Q234=0,"",R234/Q234-1)</f>
        <v>0</v>
      </c>
      <c r="S235" s="40">
        <f>IFERROR(IF(R234=0,"",S234/R234-1),"")</f>
        <v>0.041019955654102</v>
      </c>
      <c r="T235" s="40">
        <f>IFERROR(IF(S234=0,"",T234/S234-1),"")</f>
        <v>0.108626198083067</v>
      </c>
      <c r="U235" s="40">
        <f>IFERROR(IF(T234=0,"",U234/T234-1),"")</f>
        <v>0.048030739673391</v>
      </c>
      <c r="V235" s="40">
        <f>IFERROR(IF(U234=0,"",V234/U234-1),"")</f>
        <v>0.0256645279560037</v>
      </c>
      <c r="W235" s="12">
        <f>IF(V234=0,"",W234/V234-1)</f>
        <v>0</v>
      </c>
      <c r="X235" s="40">
        <f>IFERROR(IF(W234=0,"",X234/W234-1),"")</f>
        <v>0.144772117962467</v>
      </c>
      <c r="Y235" s="40">
        <f>IFERROR(IF(X234=0,"",Y234/X234-1),"")</f>
        <v>0.0179547228727557</v>
      </c>
      <c r="Z235" s="40">
        <f>IFERROR(IF(Y234=0,"",Z234/Y234-1),"")</f>
        <v>0.142638036809816</v>
      </c>
      <c r="AA235" s="40">
        <f>IFERROR(IF(Z234=0,"",AA234/Z234-1),"")</f>
        <v>0.0194630872483221</v>
      </c>
      <c r="AB235" s="12">
        <f>IF(AA234=0,"",AB234/AA234-1)</f>
        <v>0</v>
      </c>
      <c r="AC235" s="40">
        <f>IFERROR(IF(AB234=0,"",AC234/AB234-1),"")</f>
        <v>0.00131665569453587</v>
      </c>
      <c r="AD235" s="40">
        <f>IFERROR(IF(AC234=0,"",AD234/AC234-1),"")</f>
        <v>0.203813280736358</v>
      </c>
      <c r="AE235" s="40">
        <f>IFERROR(IF(AD234=0,"",AE234/AD234-1),"")</f>
        <v>0.0999453850354997</v>
      </c>
      <c r="AF235" s="41">
        <f>IFERROR(IF(AE234=0,"",AF234/AE234-1),"")</f>
        <v>0.277060575968223</v>
      </c>
      <c r="AG235" s="12">
        <f>IF(AF234=0,"",AG234/AF234-1)</f>
        <v>0</v>
      </c>
      <c r="AH235" s="11">
        <f>IFERROR(IF(AG234=0,"",AH234/AG234-1),"")</f>
        <v>0.507776049766719</v>
      </c>
      <c r="AI235" s="11">
        <f>IFERROR(IF(AH234=0,"",AI234/AH234-1),"")</f>
        <v>0.285456420835482</v>
      </c>
      <c r="AJ235" s="11">
        <f>IFERROR(IF(AI234=0,"",AJ234/AI234-1),"")</f>
        <v>0</v>
      </c>
      <c r="AK235" s="11">
        <f>IFERROR(IF(AJ234=0,"",AK234/AJ234-1),"")</f>
        <v>0</v>
      </c>
      <c r="AL235" s="12">
        <f>IFERROR(IF(AK234=0,"",AL234/AK234-1),"")</f>
        <v>0</v>
      </c>
      <c r="AM235" s="11">
        <f>IFERROR(IF(AL234=0,"",AM234/AL234-1),"")</f>
        <v>0</v>
      </c>
      <c r="AN235" s="11">
        <f>IFERROR(IF(AM234=0,"",AN234/AM234-1),"")</f>
        <v>0</v>
      </c>
      <c r="AO235" s="11">
        <f>IFERROR(IF(AN234=0,"",AO234/AN234-1),"")</f>
        <v>0</v>
      </c>
      <c r="AP235" s="11">
        <f>IFERROR(IF(AO234=0,"",AP234/AO234-1),"")</f>
        <v>0</v>
      </c>
      <c r="AQ235" s="12">
        <f>IFERROR(IF(AP234=0,"",AQ234/AP234-1),"")</f>
        <v>0</v>
      </c>
      <c r="AR235" s="11">
        <f>IFERROR(IF(AQ234=0,"",AR234/AQ234-1),"")</f>
        <v>0</v>
      </c>
      <c r="AS235" s="11">
        <f>IFERROR(IF(AR234=0,"",AS234/AR234-1),"")</f>
        <v>0</v>
      </c>
      <c r="AT235" s="11">
        <f>IFERROR(IF(AS234=0,"",AT234/AS234-1),"")</f>
        <v>0</v>
      </c>
      <c r="AU235" s="11">
        <f>IFERROR(IF(AT234=0,"",AU234/AT234-1),"")</f>
        <v>0</v>
      </c>
      <c r="AV235" s="12">
        <f>IFERROR(IF(AU234=0,"",AV234/AU234-1),"")</f>
        <v>0</v>
      </c>
      <c r="AW235" s="11">
        <f>IFERROR(IF(AV234=0,"",AW234/AV234-1),"")</f>
        <v>0</v>
      </c>
      <c r="AX235" s="11">
        <f>IFERROR(IF(AW234=0,"",AX234/AW234-1),"")</f>
        <v>0</v>
      </c>
      <c r="AY235" s="11">
        <f>IFERROR(IF(AX234=0,"",AY234/AX234-1),"")</f>
        <v>0</v>
      </c>
      <c r="AZ235" s="11">
        <f>IFERROR(IF(AY234=0,"",AZ234/AY234-1),"")</f>
        <v>0</v>
      </c>
      <c r="BA235" s="12">
        <f>IFERROR(IF(AZ234=0,"",BA234/AZ234-1),"")</f>
        <v>0</v>
      </c>
      <c r="BB235" s="11">
        <f>IFERROR(IF(BA234=0,"",BB234/BA234-1),"")</f>
        <v>0</v>
      </c>
      <c r="BC235" s="11">
        <f>IFERROR(IF(BB234=0,"",BC234/BB234-1),"")</f>
        <v>0</v>
      </c>
      <c r="BD235" s="11">
        <f>IFERROR(IF(BC234=0,"",BD234/BC234-1),"")</f>
        <v>0</v>
      </c>
      <c r="BE235" s="11">
        <f>IFERROR(IF(BD234=0,"",BE234/BD234-1),"")</f>
        <v>0</v>
      </c>
      <c r="BF235" s="12">
        <f>IFERROR(IF(BE234=0,"",BF234/BE234-1),"")</f>
        <v>0</v>
      </c>
      <c r="BG235" s="11" t="n"/>
      <c r="BH235" s="11" t="n"/>
      <c r="BI235" s="11" t="n"/>
      <c r="BJ235" s="11" t="n"/>
      <c r="BK235" s="12" t="n"/>
      <c r="BL235" s="11" t="n"/>
      <c r="BM235" s="11" t="n"/>
      <c r="BN235" s="11" t="n"/>
      <c r="BO235" s="11" t="n"/>
      <c r="BP235" s="12" t="n"/>
      <c r="BQ235" s="11" t="n"/>
      <c r="BR235" s="11" t="n"/>
      <c r="BS235" s="11" t="n"/>
      <c r="BT235" s="11" t="n"/>
      <c r="BU235" s="12" t="n"/>
      <c r="BV235" s="11" t="n"/>
      <c r="BW235" s="11" t="n"/>
      <c r="BX235" s="11" t="n"/>
      <c r="BY235" s="11" t="n"/>
      <c r="BZ235" s="12" t="n"/>
      <c r="CA235" s="11" t="n"/>
      <c r="CB235" s="11" t="n"/>
      <c r="CC235" s="11" t="n"/>
      <c r="CD235" s="11" t="n"/>
      <c r="CE235" s="12" t="n"/>
      <c r="CF235" s="11" t="n"/>
      <c r="CG235" s="11" t="n"/>
      <c r="CH235" s="11" t="n"/>
      <c r="CI235" s="11" t="n"/>
      <c r="CJ235" s="12" t="n"/>
      <c r="CK235" s="11" t="n"/>
      <c r="CL235" s="11" t="n"/>
      <c r="CM235" s="11" t="n"/>
      <c r="CN235" s="11" t="n"/>
      <c r="CO235" s="12" t="n"/>
      <c r="CP235" s="11" t="n"/>
      <c r="CQ235" s="11" t="n"/>
      <c r="CR235" s="11" t="n"/>
      <c r="CS235" s="11" t="n"/>
      <c r="CT235" s="12" t="n"/>
      <c r="CU235" s="11" t="n"/>
      <c r="CV235" s="11" t="n"/>
      <c r="CW235" s="11" t="n"/>
      <c r="CX235" s="11" t="n"/>
      <c r="CY235" s="12" t="n"/>
    </row>
    <row r="236" hidden="1" outlineLevel="1">
      <c r="C236" s="57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collapsed="1">
      <c r="C237" s="14" t="inlineStr">
        <is>
          <t>Convertible debt</t>
        </is>
      </c>
      <c r="D237" s="46" t="n"/>
      <c r="E237" s="46" t="n"/>
      <c r="F237" s="46" t="n"/>
      <c r="G237" s="46" t="n"/>
      <c r="H237" s="12" t="n"/>
      <c r="I237" s="46">
        <f>'Inputs (2)'!D37</f>
        <v>0</v>
      </c>
      <c r="J237" s="46">
        <f>'Inputs (2)'!E37</f>
        <v>0</v>
      </c>
      <c r="K237" s="46">
        <f>'Inputs (2)'!F37</f>
        <v>0</v>
      </c>
      <c r="L237" s="46">
        <f>'Inputs (2)'!G37</f>
        <v>0</v>
      </c>
      <c r="M237" s="12">
        <f>'Inputs (2)'!H37</f>
        <v>0</v>
      </c>
      <c r="N237" s="46">
        <f>'Inputs (2)'!I37</f>
        <v>0</v>
      </c>
      <c r="O237" s="46">
        <f>'Inputs (2)'!J37</f>
        <v>0</v>
      </c>
      <c r="P237" s="46">
        <f>'Inputs (2)'!K37</f>
        <v>0</v>
      </c>
      <c r="Q237" s="46">
        <f>'Inputs (2)'!L37</f>
        <v>0</v>
      </c>
      <c r="R237" s="12">
        <f>'Inputs (2)'!M37</f>
        <v>0</v>
      </c>
      <c r="S237" s="46">
        <f>'Inputs (2)'!N37</f>
        <v>0</v>
      </c>
      <c r="T237" s="46">
        <f>'Inputs (2)'!O37</f>
        <v>0</v>
      </c>
      <c r="U237" s="46">
        <f>'Inputs (2)'!P37</f>
        <v>0</v>
      </c>
      <c r="V237" s="46">
        <f>'Inputs (2)'!Q37</f>
        <v>0</v>
      </c>
      <c r="W237" s="12">
        <f>'Inputs (2)'!R37</f>
        <v>0</v>
      </c>
      <c r="X237" s="46">
        <f>'Inputs (2)'!S37</f>
        <v>0</v>
      </c>
      <c r="Y237" s="46">
        <f>'Inputs (2)'!T37</f>
        <v>0</v>
      </c>
      <c r="Z237" s="46">
        <f>'Inputs (2)'!U37</f>
        <v>0</v>
      </c>
      <c r="AA237" s="46">
        <f>'Inputs (2)'!V37</f>
        <v>0</v>
      </c>
      <c r="AB237" s="12">
        <f>'Inputs (2)'!W37</f>
        <v>0</v>
      </c>
      <c r="AC237" s="46">
        <f>'Inputs (2)'!X37</f>
        <v>0</v>
      </c>
      <c r="AD237" s="46">
        <f>'Inputs (2)'!Y37</f>
        <v>0</v>
      </c>
      <c r="AE237" s="46">
        <f>'Inputs (2)'!Z37</f>
        <v>0</v>
      </c>
      <c r="AF237" s="46">
        <f>'Inputs (2)'!AA37</f>
        <v>0</v>
      </c>
      <c r="AG237" s="12">
        <f>'Inputs (2)'!AB37</f>
        <v>0</v>
      </c>
      <c r="AH237" s="12">
        <f>'Inputs (2)'!AC37</f>
        <v>0</v>
      </c>
      <c r="AI237" s="12">
        <f>'Inputs (2)'!AD37</f>
        <v>0</v>
      </c>
      <c r="AJ237" s="12">
        <f>AI237</f>
        <v>0</v>
      </c>
      <c r="AK237" s="12">
        <f>AJ237</f>
        <v>0</v>
      </c>
      <c r="AL237" s="12">
        <f>AK237</f>
        <v>0</v>
      </c>
      <c r="AM237" s="12">
        <f>AL237</f>
        <v>0</v>
      </c>
      <c r="AN237" s="12">
        <f>AM237</f>
        <v>0</v>
      </c>
      <c r="AO237" s="12">
        <f>AN237</f>
        <v>0</v>
      </c>
      <c r="AP237" s="12">
        <f>AO237</f>
        <v>0</v>
      </c>
      <c r="AQ237" s="12">
        <f>AP237</f>
        <v>0</v>
      </c>
      <c r="AR237" s="12">
        <f>AQ237</f>
        <v>0</v>
      </c>
      <c r="AS237" s="12">
        <f>AR237</f>
        <v>0</v>
      </c>
      <c r="AT237" s="12">
        <f>AS237</f>
        <v>0</v>
      </c>
      <c r="AU237" s="12">
        <f>AT237</f>
        <v>0</v>
      </c>
      <c r="AV237" s="12">
        <f>AU237</f>
        <v>0</v>
      </c>
      <c r="AW237" s="12">
        <f>AV237</f>
        <v>0</v>
      </c>
      <c r="AX237" s="12">
        <f>AW237</f>
        <v>0</v>
      </c>
      <c r="AY237" s="12">
        <f>AX237</f>
        <v>0</v>
      </c>
      <c r="AZ237" s="12">
        <f>AY237</f>
        <v>0</v>
      </c>
      <c r="BA237" s="12">
        <f>AZ237</f>
        <v>0</v>
      </c>
      <c r="BB237" s="12">
        <f>BA237</f>
        <v>0</v>
      </c>
      <c r="BC237" s="12">
        <f>BB237</f>
        <v>0</v>
      </c>
      <c r="BD237" s="12">
        <f>BC237</f>
        <v>0</v>
      </c>
      <c r="BE237" s="12">
        <f>BD237</f>
        <v>0</v>
      </c>
      <c r="BF237" s="12">
        <f>BE237</f>
        <v>0</v>
      </c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>
      <c r="C238" s="14" t="inlineStr">
        <is>
          <t>Deferred income taxes</t>
        </is>
      </c>
      <c r="D238" s="46" t="n"/>
      <c r="E238" s="46" t="n"/>
      <c r="F238" s="46" t="n"/>
      <c r="G238" s="46" t="n"/>
      <c r="H238" s="12" t="n"/>
      <c r="I238" s="46">
        <f>'Inputs (2)'!D38</f>
        <v>0</v>
      </c>
      <c r="J238" s="46">
        <f>'Inputs (2)'!E38</f>
        <v>0</v>
      </c>
      <c r="K238" s="46">
        <f>'Inputs (2)'!F38</f>
        <v>0</v>
      </c>
      <c r="L238" s="46">
        <f>'Inputs (2)'!G38</f>
        <v>0</v>
      </c>
      <c r="M238" s="12">
        <f>'Inputs (2)'!H38</f>
        <v>0</v>
      </c>
      <c r="N238" s="46">
        <f>'Inputs (2)'!I38</f>
        <v>0</v>
      </c>
      <c r="O238" s="46">
        <f>'Inputs (2)'!J38</f>
        <v>0</v>
      </c>
      <c r="P238" s="46">
        <f>'Inputs (2)'!K38</f>
        <v>0</v>
      </c>
      <c r="Q238" s="46">
        <f>'Inputs (2)'!L38</f>
        <v>0</v>
      </c>
      <c r="R238" s="12">
        <f>'Inputs (2)'!M38</f>
        <v>0</v>
      </c>
      <c r="S238" s="46">
        <f>'Inputs (2)'!N38</f>
        <v>0</v>
      </c>
      <c r="T238" s="46">
        <f>'Inputs (2)'!O38</f>
        <v>0</v>
      </c>
      <c r="U238" s="46">
        <f>'Inputs (2)'!P38</f>
        <v>0</v>
      </c>
      <c r="V238" s="46">
        <f>'Inputs (2)'!Q38</f>
        <v>0</v>
      </c>
      <c r="W238" s="12">
        <f>'Inputs (2)'!R38</f>
        <v>0</v>
      </c>
      <c r="X238" s="46">
        <f>'Inputs (2)'!S38</f>
        <v>0</v>
      </c>
      <c r="Y238" s="46">
        <f>'Inputs (2)'!T38</f>
        <v>0</v>
      </c>
      <c r="Z238" s="46">
        <f>'Inputs (2)'!U38</f>
        <v>0</v>
      </c>
      <c r="AA238" s="46">
        <f>'Inputs (2)'!V38</f>
        <v>0</v>
      </c>
      <c r="AB238" s="12">
        <f>'Inputs (2)'!W38</f>
        <v>0</v>
      </c>
      <c r="AC238" s="46">
        <f>'Inputs (2)'!X38</f>
        <v>0</v>
      </c>
      <c r="AD238" s="46">
        <f>'Inputs (2)'!Y38</f>
        <v>0</v>
      </c>
      <c r="AE238" s="46">
        <f>'Inputs (2)'!Z38</f>
        <v>0</v>
      </c>
      <c r="AF238" s="46">
        <f>'Inputs (2)'!AA38</f>
        <v>0</v>
      </c>
      <c r="AG238" s="12">
        <f>'Inputs (2)'!AB38</f>
        <v>0</v>
      </c>
      <c r="AH238" s="12">
        <f>'Inputs (2)'!AC38</f>
        <v>0</v>
      </c>
      <c r="AI238" s="12">
        <f>'Inputs (2)'!AD38</f>
        <v>0</v>
      </c>
      <c r="AJ238" s="12">
        <f>AI238</f>
        <v>0</v>
      </c>
      <c r="AK238" s="12">
        <f>AJ238</f>
        <v>0</v>
      </c>
      <c r="AL238" s="12">
        <f>AK238</f>
        <v>0</v>
      </c>
      <c r="AM238" s="12">
        <f>AL238</f>
        <v>0</v>
      </c>
      <c r="AN238" s="12">
        <f>AM238</f>
        <v>0</v>
      </c>
      <c r="AO238" s="12">
        <f>AN238</f>
        <v>0</v>
      </c>
      <c r="AP238" s="12">
        <f>AO238</f>
        <v>0</v>
      </c>
      <c r="AQ238" s="12">
        <f>AP238</f>
        <v>0</v>
      </c>
      <c r="AR238" s="12">
        <f>AQ238</f>
        <v>0</v>
      </c>
      <c r="AS238" s="12">
        <f>AR238</f>
        <v>0</v>
      </c>
      <c r="AT238" s="12">
        <f>AS238</f>
        <v>0</v>
      </c>
      <c r="AU238" s="12">
        <f>AT238</f>
        <v>0</v>
      </c>
      <c r="AV238" s="12">
        <f>AU238</f>
        <v>0</v>
      </c>
      <c r="AW238" s="12">
        <f>AV238</f>
        <v>0</v>
      </c>
      <c r="AX238" s="12">
        <f>AW238</f>
        <v>0</v>
      </c>
      <c r="AY238" s="12">
        <f>AX238</f>
        <v>0</v>
      </c>
      <c r="AZ238" s="12">
        <f>AY238</f>
        <v>0</v>
      </c>
      <c r="BA238" s="12">
        <f>AZ238</f>
        <v>0</v>
      </c>
      <c r="BB238" s="12">
        <f>BA238</f>
        <v>0</v>
      </c>
      <c r="BC238" s="12">
        <f>BB238</f>
        <v>0</v>
      </c>
      <c r="BD238" s="12">
        <f>BC238</f>
        <v>0</v>
      </c>
      <c r="BE238" s="12">
        <f>BD238</f>
        <v>0</v>
      </c>
      <c r="BF238" s="12">
        <f>BE238</f>
        <v>0</v>
      </c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>
      <c r="C239" s="14" t="inlineStr">
        <is>
          <t>Other non-current liabilities</t>
        </is>
      </c>
      <c r="D239" s="46" t="n"/>
      <c r="E239" s="46" t="n"/>
      <c r="F239" s="46" t="n"/>
      <c r="G239" s="46" t="n"/>
      <c r="H239" s="12" t="n"/>
      <c r="I239" s="46">
        <f>'Inputs (2)'!D39</f>
        <v>1414</v>
      </c>
      <c r="J239" s="46">
        <f>'Inputs (2)'!E39</f>
        <v>1396</v>
      </c>
      <c r="K239" s="46">
        <f>'Inputs (2)'!F39</f>
        <v>1535</v>
      </c>
      <c r="L239" s="46">
        <f>'Inputs (2)'!G39</f>
        <v>1553</v>
      </c>
      <c r="M239" s="12">
        <f>'Inputs (2)'!H39</f>
        <v>1553</v>
      </c>
      <c r="N239" s="46">
        <f>'Inputs (2)'!I39</f>
        <v>1631</v>
      </c>
      <c r="O239" s="46">
        <f>'Inputs (2)'!J39</f>
        <v>1609</v>
      </c>
      <c r="P239" s="46">
        <f>'Inputs (2)'!K39</f>
        <v>1785</v>
      </c>
      <c r="Q239" s="46">
        <f>'Inputs (2)'!L39</f>
        <v>1913</v>
      </c>
      <c r="R239" s="12">
        <f>'Inputs (2)'!M39</f>
        <v>1913</v>
      </c>
      <c r="S239" s="46">
        <f>'Inputs (2)'!N39</f>
        <v>2037</v>
      </c>
      <c r="T239" s="46">
        <f>'Inputs (2)'!O39</f>
        <v>2223</v>
      </c>
      <c r="U239" s="46">
        <f>'Inputs (2)'!P39</f>
        <v>2234</v>
      </c>
      <c r="V239" s="46">
        <f>'Inputs (2)'!Q39</f>
        <v>2541</v>
      </c>
      <c r="W239" s="12">
        <f>'Inputs (2)'!R39</f>
        <v>2541</v>
      </c>
      <c r="X239" s="46">
        <f>'Inputs (2)'!S39</f>
        <v>2966</v>
      </c>
      <c r="Y239" s="46">
        <f>'Inputs (2)'!T39</f>
        <v>3336</v>
      </c>
      <c r="Z239" s="46">
        <f>'Inputs (2)'!U39</f>
        <v>3683</v>
      </c>
      <c r="AA239" s="46">
        <f>'Inputs (2)'!V39</f>
        <v>4245</v>
      </c>
      <c r="AB239" s="12">
        <f>'Inputs (2)'!W39</f>
        <v>4245</v>
      </c>
      <c r="AC239" s="46">
        <f>'Inputs (2)'!X39</f>
        <v>4884</v>
      </c>
      <c r="AD239" s="46">
        <f>'Inputs (2)'!Y39</f>
        <v>6055</v>
      </c>
      <c r="AE239" s="46">
        <f>'Inputs (2)'!Z39</f>
        <v>6694</v>
      </c>
      <c r="AF239" s="46">
        <f>'Inputs (2)'!AA39</f>
        <v>7306</v>
      </c>
      <c r="AG239" s="12">
        <f>'Inputs (2)'!AB39</f>
        <v>7306</v>
      </c>
      <c r="AH239" s="12">
        <f>'Inputs (2)'!AC39</f>
        <v>8768</v>
      </c>
      <c r="AI239" s="12">
        <f>'Inputs (2)'!AD39</f>
        <v>10918</v>
      </c>
      <c r="AJ239" s="12">
        <f>AI239</f>
        <v>10918</v>
      </c>
      <c r="AK239" s="12">
        <f>AJ239</f>
        <v>10918</v>
      </c>
      <c r="AL239" s="12">
        <f>AK239</f>
        <v>10918</v>
      </c>
      <c r="AM239" s="12">
        <f>AL239</f>
        <v>10918</v>
      </c>
      <c r="AN239" s="12">
        <f>AM239</f>
        <v>10918</v>
      </c>
      <c r="AO239" s="12">
        <f>AN239</f>
        <v>10918</v>
      </c>
      <c r="AP239" s="12">
        <f>AO239</f>
        <v>10918</v>
      </c>
      <c r="AQ239" s="12">
        <f>AP239</f>
        <v>10918</v>
      </c>
      <c r="AR239" s="12">
        <f>AQ239</f>
        <v>10918</v>
      </c>
      <c r="AS239" s="12">
        <f>AR239</f>
        <v>10918</v>
      </c>
      <c r="AT239" s="12">
        <f>AS239</f>
        <v>10918</v>
      </c>
      <c r="AU239" s="12">
        <f>AT239</f>
        <v>10918</v>
      </c>
      <c r="AV239" s="12">
        <f>AU239</f>
        <v>10918</v>
      </c>
      <c r="AW239" s="12">
        <f>AV239</f>
        <v>10918</v>
      </c>
      <c r="AX239" s="12">
        <f>AW239</f>
        <v>10918</v>
      </c>
      <c r="AY239" s="12">
        <f>AX239</f>
        <v>10918</v>
      </c>
      <c r="AZ239" s="12">
        <f>AY239</f>
        <v>10918</v>
      </c>
      <c r="BA239" s="12">
        <f>AZ239</f>
        <v>10918</v>
      </c>
      <c r="BB239" s="12">
        <f>BA239</f>
        <v>10918</v>
      </c>
      <c r="BC239" s="12">
        <f>BB239</f>
        <v>10918</v>
      </c>
      <c r="BD239" s="12">
        <f>BC239</f>
        <v>10918</v>
      </c>
      <c r="BE239" s="12">
        <f>BD239</f>
        <v>10918</v>
      </c>
      <c r="BF239" s="12">
        <f>BE239</f>
        <v>10918</v>
      </c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hidden="1" outlineLevel="1" ht="12" customHeight="1">
      <c r="C240" s="59" t="inlineStr">
        <is>
          <t>%(Var.)</t>
        </is>
      </c>
      <c r="D240" s="12" t="n"/>
      <c r="E240" s="40" t="n"/>
      <c r="F240" s="40" t="n"/>
      <c r="G240" s="40" t="n"/>
      <c r="H240" s="12" t="n"/>
      <c r="I240" s="40" t="str">
        <f>""</f>
        <v/>
      </c>
      <c r="J240" s="40">
        <f>IF(I239=0,"",J239/I239-1)</f>
        <v>-0.0127298444130127</v>
      </c>
      <c r="K240" s="40">
        <f>IF(J239=0,"",K239/J239-1)</f>
        <v>0.0995702005730659</v>
      </c>
      <c r="L240" s="40">
        <f>IF(K239=0,"",L239/K239-1)</f>
        <v>0.0117263843648208</v>
      </c>
      <c r="M240" s="12">
        <f>IF(L239=0,"",M239/L239-1)</f>
        <v>0</v>
      </c>
      <c r="N240" s="40">
        <f>IF(M239=0,"",N239/M239-1)</f>
        <v>0.0502253702511268</v>
      </c>
      <c r="O240" s="40">
        <f>IF(N239=0,"",O239/N239-1)</f>
        <v>-0.0134886572654813</v>
      </c>
      <c r="P240" s="40">
        <f>IF(O239=0,"",P239/O239-1)</f>
        <v>0.109384711000621</v>
      </c>
      <c r="Q240" s="40">
        <f>IF(P239=0,"",Q239/P239-1)</f>
        <v>0.0717086834733893</v>
      </c>
      <c r="R240" s="12">
        <f>IF(Q239=0,"",R239/Q239-1)</f>
        <v>0</v>
      </c>
      <c r="S240" s="40">
        <f>IF(R239=0,"",S239/R239-1)</f>
        <v>0.0648196549921589</v>
      </c>
      <c r="T240" s="40">
        <f>IF(S239=0,"",T239/S239-1)</f>
        <v>0.0913107511045654</v>
      </c>
      <c r="U240" s="40">
        <f>IF(T239=0,"",U239/T239-1)</f>
        <v>0.00494826810616278</v>
      </c>
      <c r="V240" s="40">
        <f>IF(U239=0,"",V239/U239-1)</f>
        <v>0.137421665174575</v>
      </c>
      <c r="W240" s="12">
        <f>IF(V239=0,"",W239/V239-1)</f>
        <v>0</v>
      </c>
      <c r="X240" s="40">
        <f>IF(W239=0,"",X239/W239-1)</f>
        <v>0.167256985438804</v>
      </c>
      <c r="Y240" s="40">
        <f>IF(X239=0,"",Y239/X239-1)</f>
        <v>0.124747134187458</v>
      </c>
      <c r="Z240" s="40">
        <f>IF(Y239=0,"",Z239/Y239-1)</f>
        <v>0.104016786570743</v>
      </c>
      <c r="AA240" s="40">
        <f>IF(Z239=0,"",AA239/Z239-1)</f>
        <v>0.152592994841162</v>
      </c>
      <c r="AB240" s="12">
        <f>IF(AA239=0,"",AB239/AA239-1)</f>
        <v>0</v>
      </c>
      <c r="AC240" s="40">
        <f>IF(AB239=0,"",AC239/AB239-1)</f>
        <v>0.150530035335689</v>
      </c>
      <c r="AD240" s="40">
        <f>IF(AC239=0,"",AD239/AC239-1)</f>
        <v>0.23976248976249</v>
      </c>
      <c r="AE240" s="40">
        <f>IF(AD239=0,"",AE239/AD239-1)</f>
        <v>0.105532617671346</v>
      </c>
      <c r="AF240" s="41">
        <f>IF(AE239=0,"",AF239/AE239-1)</f>
        <v>0.0914251568568867</v>
      </c>
      <c r="AG240" s="12">
        <f>IF(AF239=0,"",AG239/AF239-1)</f>
        <v>0</v>
      </c>
      <c r="AH240" s="41">
        <f>IF(AG239=0,"",AH239/AG239-1)</f>
        <v>0.200109499041883</v>
      </c>
      <c r="AI240" s="41">
        <f>IF(AH239=0,"",AI239/AH239-1)</f>
        <v>0.245209854014599</v>
      </c>
      <c r="AJ240" s="41">
        <f>IF(AI239=0,"",AJ239/AI239-1)</f>
        <v>0</v>
      </c>
      <c r="AK240" s="41">
        <f>IF(AJ239=0,"",AK239/AJ239-1)</f>
        <v>0</v>
      </c>
      <c r="AL240" s="12">
        <f>IF(AK239=0,"",AL239/AK239-1)</f>
        <v>0</v>
      </c>
      <c r="AM240" s="41">
        <f>IF(AL239=0,"",AM239/AL239-1)</f>
        <v>0</v>
      </c>
      <c r="AN240" s="41">
        <f>IF(AM239=0,"",AN239/AM239-1)</f>
        <v>0</v>
      </c>
      <c r="AO240" s="41">
        <f>IF(AN239=0,"",AO239/AN239-1)</f>
        <v>0</v>
      </c>
      <c r="AP240" s="41">
        <f>IF(AO239=0,"",AP239/AO239-1)</f>
        <v>0</v>
      </c>
      <c r="AQ240" s="12">
        <f>IF(AP239=0,"",AQ239/AP239-1)</f>
        <v>0</v>
      </c>
      <c r="AR240" s="41">
        <f>IF(AQ239=0,"",AR239/AQ239-1)</f>
        <v>0</v>
      </c>
      <c r="AS240" s="41">
        <f>IF(AR239=0,"",AS239/AR239-1)</f>
        <v>0</v>
      </c>
      <c r="AT240" s="41">
        <f>IF(AS239=0,"",AT239/AS239-1)</f>
        <v>0</v>
      </c>
      <c r="AU240" s="41">
        <f>IF(AT239=0,"",AU239/AT239-1)</f>
        <v>0</v>
      </c>
      <c r="AV240" s="12">
        <f>IF(AU239=0,"",AV239/AU239-1)</f>
        <v>0</v>
      </c>
      <c r="AW240" s="41">
        <f>IF(AV239=0,"",AW239/AV239-1)</f>
        <v>0</v>
      </c>
      <c r="AX240" s="41">
        <f>IF(AW239=0,"",AX239/AW239-1)</f>
        <v>0</v>
      </c>
      <c r="AY240" s="41">
        <f>IF(AX239=0,"",AY239/AX239-1)</f>
        <v>0</v>
      </c>
      <c r="AZ240" s="41">
        <f>IF(AY239=0,"",AZ239/AY239-1)</f>
        <v>0</v>
      </c>
      <c r="BA240" s="12">
        <f>IF(AZ239=0,"",BA239/AZ239-1)</f>
        <v>0</v>
      </c>
      <c r="BB240" s="41">
        <f>IF(BA239=0,"",BB239/BA239-1)</f>
        <v>0</v>
      </c>
      <c r="BC240" s="41">
        <f>IF(BB239=0,"",BC239/BB239-1)</f>
        <v>0</v>
      </c>
      <c r="BD240" s="41">
        <f>IF(BC239=0,"",BD239/BC239-1)</f>
        <v>0</v>
      </c>
      <c r="BE240" s="41">
        <f>IF(BD239=0,"",BE239/BD239-1)</f>
        <v>0</v>
      </c>
      <c r="BF240" s="12">
        <f>IF(BE239=0,"",BF239/BE239-1)</f>
        <v>0</v>
      </c>
      <c r="BG240" s="41" t="n"/>
      <c r="BH240" s="41" t="n"/>
      <c r="BI240" s="41" t="n"/>
      <c r="BJ240" s="41" t="n"/>
      <c r="BK240" s="12" t="n"/>
      <c r="BL240" s="41" t="n"/>
      <c r="BM240" s="41" t="n"/>
      <c r="BN240" s="41" t="n"/>
      <c r="BO240" s="41" t="n"/>
      <c r="BP240" s="12" t="n"/>
      <c r="BQ240" s="41" t="n"/>
      <c r="BR240" s="41" t="n"/>
      <c r="BS240" s="41" t="n"/>
      <c r="BT240" s="41" t="n"/>
      <c r="BU240" s="12" t="n"/>
      <c r="BV240" s="41" t="n"/>
      <c r="BW240" s="41" t="n"/>
      <c r="BX240" s="41" t="n"/>
      <c r="BY240" s="41" t="n"/>
      <c r="BZ240" s="12" t="n"/>
      <c r="CA240" s="41" t="n"/>
      <c r="CB240" s="41" t="n"/>
      <c r="CC240" s="41" t="n"/>
      <c r="CD240" s="41" t="n"/>
      <c r="CE240" s="12" t="n"/>
      <c r="CF240" s="41" t="n"/>
      <c r="CG240" s="41" t="n"/>
      <c r="CH240" s="41" t="n"/>
      <c r="CI240" s="41" t="n"/>
      <c r="CJ240" s="12" t="n"/>
      <c r="CK240" s="41" t="n"/>
      <c r="CL240" s="41" t="n"/>
      <c r="CM240" s="41" t="n"/>
      <c r="CN240" s="41" t="n"/>
      <c r="CO240" s="12" t="n"/>
      <c r="CP240" s="41" t="n"/>
      <c r="CQ240" s="41" t="n"/>
      <c r="CR240" s="41" t="n"/>
      <c r="CS240" s="41" t="n"/>
      <c r="CT240" s="12" t="n"/>
      <c r="CU240" s="41" t="n"/>
      <c r="CV240" s="41" t="n"/>
      <c r="CW240" s="41" t="n"/>
      <c r="CX240" s="41" t="n"/>
      <c r="CY240" s="12" t="n"/>
    </row>
    <row r="241" hidden="1" outlineLevel="1" ht="12" customHeight="1">
      <c r="C241" s="59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  <c r="AL241" s="12" t="n"/>
      <c r="AM241" s="12" t="n"/>
      <c r="AN241" s="12" t="n"/>
      <c r="AO241" s="12" t="n"/>
      <c r="AP241" s="12" t="n"/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 hidden="1" outlineLevel="1">
      <c r="C242" s="57" t="inlineStr">
        <is>
          <t>Contas a pagar pela aquisição de controladas</t>
        </is>
      </c>
      <c r="D242" s="11" t="n"/>
      <c r="E242" s="11" t="n"/>
      <c r="F242" s="11" t="n"/>
      <c r="G242" s="11" t="n"/>
      <c r="H242" s="12" t="n"/>
      <c r="I242" s="11" t="n"/>
      <c r="J242" s="11" t="n"/>
      <c r="K242" s="11" t="n"/>
      <c r="L242" s="11" t="n"/>
      <c r="M242" s="12" t="n"/>
      <c r="N242" s="11" t="n"/>
      <c r="O242" s="11" t="n"/>
      <c r="P242" s="11" t="n"/>
      <c r="Q242" s="11" t="n"/>
      <c r="R242" s="12" t="n"/>
      <c r="S242" s="11" t="n"/>
      <c r="T242" s="11" t="n"/>
      <c r="U242" s="11" t="n"/>
      <c r="V242" s="11" t="n"/>
      <c r="W242" s="12" t="n"/>
      <c r="X242" s="11" t="n"/>
      <c r="Y242" s="11" t="n"/>
      <c r="Z242" s="11" t="n"/>
      <c r="AA242" s="11" t="n"/>
      <c r="AB242" s="12" t="n"/>
      <c r="AC242" s="11" t="n"/>
      <c r="AD242" s="11" t="n"/>
      <c r="AE242" s="11" t="n"/>
      <c r="AF242" s="11" t="n"/>
      <c r="AG242" s="12" t="n"/>
      <c r="AH242" s="12" t="n"/>
      <c r="AI242" s="12" t="n"/>
      <c r="AJ242" s="12" t="n"/>
      <c r="AK242" s="12" t="n"/>
      <c r="AL242" s="12" t="n"/>
      <c r="AM242" s="12" t="n"/>
      <c r="AN242" s="12" t="n"/>
      <c r="AO242" s="12" t="n"/>
      <c r="AP242" s="12" t="n"/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hidden="1" outlineLevel="1">
      <c r="C243" s="57" t="inlineStr">
        <is>
          <t xml:space="preserve">Outras Obrigações </t>
        </is>
      </c>
      <c r="D243" s="11" t="n"/>
      <c r="E243" s="11" t="n"/>
      <c r="F243" s="11" t="n"/>
      <c r="G243" s="11" t="n"/>
      <c r="H243" s="12" t="n"/>
      <c r="I243" s="11" t="n"/>
      <c r="J243" s="11" t="n"/>
      <c r="K243" s="11" t="n"/>
      <c r="L243" s="11" t="n"/>
      <c r="M243" s="12" t="n"/>
      <c r="N243" s="11" t="n"/>
      <c r="O243" s="11" t="n"/>
      <c r="P243" s="11" t="n"/>
      <c r="Q243" s="11" t="n"/>
      <c r="R243" s="12" t="n"/>
      <c r="S243" s="11" t="n"/>
      <c r="T243" s="11" t="n"/>
      <c r="U243" s="11" t="n"/>
      <c r="V243" s="11" t="n"/>
      <c r="W243" s="12" t="n"/>
      <c r="X243" s="11" t="n"/>
      <c r="Y243" s="11" t="n"/>
      <c r="Z243" s="11" t="n"/>
      <c r="AA243" s="11" t="n"/>
      <c r="AB243" s="12" t="n"/>
      <c r="AC243" s="11" t="n"/>
      <c r="AD243" s="11" t="n"/>
      <c r="AE243" s="11" t="n"/>
      <c r="AF243" s="11" t="n"/>
      <c r="AG243" s="12" t="n"/>
      <c r="AH243" s="12" t="n"/>
      <c r="AI243" s="12" t="n"/>
      <c r="AJ243" s="12" t="n"/>
      <c r="AK243" s="12" t="n"/>
      <c r="AL243" s="12" t="n"/>
      <c r="AM243" s="12" t="n"/>
      <c r="AN243" s="12" t="n"/>
      <c r="AO243" s="12" t="n"/>
      <c r="AP243" s="12" t="n"/>
      <c r="AQ243" s="12" t="n"/>
      <c r="AR243" s="12" t="n"/>
      <c r="AS243" s="12" t="n"/>
      <c r="AT243" s="12" t="n"/>
      <c r="AU243" s="12" t="n"/>
      <c r="AV243" s="12" t="n"/>
      <c r="AW243" s="12" t="n"/>
      <c r="AX243" s="12" t="n"/>
      <c r="AY243" s="12" t="n"/>
      <c r="AZ243" s="12" t="n"/>
      <c r="BA243" s="12" t="n"/>
      <c r="BB243" s="12" t="n"/>
      <c r="BC243" s="12" t="n"/>
      <c r="BD243" s="12" t="n"/>
      <c r="BE243" s="12" t="n"/>
      <c r="BF243" s="12" t="n"/>
      <c r="BG243" s="12" t="n"/>
      <c r="BH243" s="12" t="n"/>
      <c r="BI243" s="12" t="n"/>
      <c r="BJ243" s="12" t="n"/>
      <c r="BK243" s="12" t="n"/>
      <c r="BL243" s="12" t="n"/>
      <c r="BM243" s="12" t="n"/>
      <c r="BN243" s="12" t="n"/>
      <c r="BO243" s="12" t="n"/>
      <c r="BP243" s="12" t="n"/>
      <c r="BQ243" s="12" t="n"/>
      <c r="BR243" s="12" t="n"/>
      <c r="BS243" s="12" t="n"/>
      <c r="BT243" s="12" t="n"/>
      <c r="BU243" s="12" t="n"/>
      <c r="BV243" s="12" t="n"/>
      <c r="BW243" s="12" t="n"/>
      <c r="BX243" s="12" t="n"/>
      <c r="BY243" s="12" t="n"/>
      <c r="BZ243" s="12" t="n"/>
      <c r="CA243" s="12" t="n"/>
      <c r="CB243" s="12" t="n"/>
      <c r="CC243" s="12" t="n"/>
      <c r="CD243" s="12" t="n"/>
      <c r="CE243" s="12" t="n"/>
      <c r="CF243" s="12" t="n"/>
      <c r="CG243" s="12" t="n"/>
      <c r="CH243" s="12" t="n"/>
      <c r="CI243" s="12" t="n"/>
      <c r="CJ243" s="12" t="n"/>
      <c r="CK243" s="12" t="n"/>
      <c r="CL243" s="12" t="n"/>
      <c r="CM243" s="12" t="n"/>
      <c r="CN243" s="12" t="n"/>
      <c r="CO243" s="12" t="n"/>
      <c r="CP243" s="12" t="n"/>
      <c r="CQ243" s="12" t="n"/>
      <c r="CR243" s="12" t="n"/>
      <c r="CS243" s="12" t="n"/>
      <c r="CT243" s="12" t="n"/>
      <c r="CU243" s="12" t="n"/>
      <c r="CV243" s="12" t="n"/>
      <c r="CW243" s="12" t="n"/>
      <c r="CX243" s="12" t="n"/>
      <c r="CY243" s="12" t="n"/>
    </row>
    <row r="244" hidden="1" outlineLevel="1">
      <c r="C244" s="57" t="inlineStr">
        <is>
          <t xml:space="preserve">Provisão de Risco Cíveis, Trabalhistas e Tributários </t>
        </is>
      </c>
      <c r="D244" s="11" t="n"/>
      <c r="E244" s="11" t="n"/>
      <c r="F244" s="11" t="n"/>
      <c r="G244" s="11" t="n"/>
      <c r="H244" s="12" t="n"/>
      <c r="I244" s="11" t="n"/>
      <c r="J244" s="11" t="n"/>
      <c r="K244" s="11" t="n"/>
      <c r="L244" s="11" t="n"/>
      <c r="M244" s="12" t="n"/>
      <c r="N244" s="11" t="n"/>
      <c r="O244" s="11" t="n"/>
      <c r="P244" s="11" t="n"/>
      <c r="Q244" s="11" t="n"/>
      <c r="R244" s="12" t="n"/>
      <c r="S244" s="11" t="n"/>
      <c r="T244" s="11" t="n"/>
      <c r="U244" s="11" t="n"/>
      <c r="V244" s="11" t="n"/>
      <c r="W244" s="12" t="n"/>
      <c r="X244" s="11" t="n"/>
      <c r="Y244" s="11" t="n"/>
      <c r="Z244" s="11" t="n"/>
      <c r="AA244" s="11" t="n"/>
      <c r="AB244" s="12" t="n"/>
      <c r="AC244" s="11" t="n"/>
      <c r="AD244" s="11" t="n"/>
      <c r="AE244" s="11" t="n"/>
      <c r="AF244" s="11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 hidden="1" outlineLevel="1">
      <c r="C245" s="57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collapsed="1" customFormat="1" s="32">
      <c r="A246" s="30" t="n"/>
      <c r="B246" s="30" t="n"/>
      <c r="C246" s="65" t="inlineStr">
        <is>
          <t>Total Liabilities</t>
        </is>
      </c>
      <c r="D246" s="35" t="n"/>
      <c r="E246" s="35" t="n"/>
      <c r="F246" s="35" t="n"/>
      <c r="G246" s="35" t="n"/>
      <c r="H246" s="35" t="n"/>
      <c r="I246" s="35">
        <f>SUM(I197+I201+I203+I204+I211+I212+I213+I216+I234+I237+I238+I239)</f>
        <v>12022</v>
      </c>
      <c r="J246" s="35">
        <f>SUM(J197+J201+J203+J204+J211+J212+J213+J216+J234+J237+J238+J239)</f>
        <v>17503</v>
      </c>
      <c r="K246" s="35">
        <f>SUM(K197+K201+K203+K204+K211+K212+K213+K216+K234+K237+K238+K239)</f>
        <v>16834</v>
      </c>
      <c r="L246" s="35">
        <f>SUM(L197+L201+L203+L204+L211+L212+L213+L216+L234+L237+L238+L239)</f>
        <v>17575</v>
      </c>
      <c r="M246" s="35">
        <f>SUM(M197,M201,M203,M204,M211,M212,M216,M213,M234,M237,M238,M239)</f>
        <v>17575</v>
      </c>
      <c r="N246" s="35">
        <f>SUM(N197+N201+N203+N204+N211+N212+N213+N216+N234+N237+N238+N239)</f>
        <v>18892</v>
      </c>
      <c r="O246" s="35">
        <f>SUM(O197+O201+O203+O204+O211+O212+O213+O216+O234+O237+O238+O239)</f>
        <v>19625</v>
      </c>
      <c r="P246" s="35">
        <f>SUM(P197+P201+P203+P204+P211+P212+P213+P216+P234+P237+P238+P239)</f>
        <v>19139</v>
      </c>
      <c r="Q246" s="35">
        <f>SUM(Q197+Q201+Q203+Q204+Q211+Q212+Q213+Q216+Q234+Q237+Q238+Q239)</f>
        <v>19081</v>
      </c>
      <c r="R246" s="35">
        <f>SUM(R197,R201,R203,R204,R211,R212,R216,R213,R234,R237,R238,R239)</f>
        <v>19081</v>
      </c>
      <c r="S246" s="35">
        <f>SUM(S197+S201+S203+S204+S211+S212+S213+S216+S234+S237+S238+S239)</f>
        <v>19940</v>
      </c>
      <c r="T246" s="35">
        <f>SUM(T197+T201+T203+T204+T211+T212+T213+T216+T234+T237+T238+T239)</f>
        <v>22054</v>
      </c>
      <c r="U246" s="35">
        <f>SUM(U197+U201+U203+U204+U211+U212+U213+U216+U234+U237+U238+U239)</f>
        <v>20883</v>
      </c>
      <c r="V246" s="35">
        <f>SUM(V197+V201+V203+V204+V211+V212+V213+V216+V234+V237+V238+V239)</f>
        <v>22750</v>
      </c>
      <c r="W246" s="35">
        <f>SUM(W197,W201,W203,W204,W211,W212,W216,W213,W234,W237,W238,W239)</f>
        <v>22750</v>
      </c>
      <c r="X246" s="35">
        <f>SUM(X197+X201+X203+X204+X211+X212+X213+X216+X234+X237+X238+X239)</f>
        <v>27930</v>
      </c>
      <c r="Y246" s="35">
        <f>SUM(Y197+Y201+Y203+Y204+Y211+Y212+Y213+Y216+Y234+Y237+Y238+Y239)</f>
        <v>27070</v>
      </c>
      <c r="Z246" s="35">
        <f>SUM(Z197+Z201+Z203+Z204+Z211+Z212+Z213+Z216+Z234+Z237+Z238+Z239)</f>
        <v>30114</v>
      </c>
      <c r="AA246" s="35">
        <f>SUM(AA197+AA201+AA203+AA204+AA211+AA212+AA213+AA216+AA234+AA237+AA238+AA239)</f>
        <v>32274</v>
      </c>
      <c r="AB246" s="35">
        <f>SUM(AB197,AB201,AB203,AB204,AB211,AB212,AB216,AB213,AB234,AB237,AB238,AB239)</f>
        <v>32274</v>
      </c>
      <c r="AC246" s="35">
        <f>SUM(AC197+AC201+AC203+AC204+AC211+AC212+AC213+AC216+AC234+AC237+AC238+AC239)</f>
        <v>41411</v>
      </c>
      <c r="AD246" s="35">
        <f>SUM(AD197+AD201+AD203+AD204+AD211+AD212+AD213+AD216+AD234+AD237+AD238+AD239)</f>
        <v>40609</v>
      </c>
      <c r="AE246" s="35">
        <f>SUM(AE197+AE201+AE203+AE204+AE211+AE212+AE213+AE216+AE234+AE237+AE238+AE239)</f>
        <v>42251</v>
      </c>
      <c r="AF246" s="35">
        <f>SUM(AF197+AF201+AF203+AF204+AF211+AF212+AF213+AF216+AF234+AF237+AF238+AF239)</f>
        <v>49510</v>
      </c>
      <c r="AG246" s="35">
        <f>SUM(AG197,AG201,AG203,AG204,AG211,AG212,AG216,AG213,AG234,AG237,AG238,AG239)</f>
        <v>49510</v>
      </c>
      <c r="AH246" s="35">
        <f>SUM(AH197+AH201+AH203+AH204+AH211+AH212+AH213+AH216+AH234+AH237+AH238+AH239)</f>
        <v>64000</v>
      </c>
      <c r="AI246" s="35">
        <f>SUM(AI197+AI201+AI203+AI204+AI211+AI212+AI213+AI216+AI234+AI237+AI238+AI239)</f>
        <v>91288</v>
      </c>
      <c r="AJ246" s="35">
        <f>SUM(AJ197+AJ201+AJ203+AJ204+AJ211+AJ212+AJ213+AJ216+AJ234+AJ237+AJ238+AJ239)</f>
        <v>112899.016732822</v>
      </c>
      <c r="AK246" s="35">
        <f>SUM(AK197+AK201+AK203+AK204+AK211+AK212+AK213+AK216+AK234+AK237+AK238+AK239)</f>
        <v>151656.190995462</v>
      </c>
      <c r="AL246" s="35">
        <f>SUM(AL197,AL201,AL203,AL204,AL211,AL212,AL216,AL213,AL234,AL237,AL238,AL239)</f>
        <v>151656.190995462</v>
      </c>
      <c r="AM246" s="35">
        <f>SUM(AM197+AM201+AM203+AM204+AM211+AM212+AM213+AM216+AM234+AM237+AM238+AM239)</f>
        <v>218379.132770571</v>
      </c>
      <c r="AN246" s="35">
        <f>SUM(AN197+AN201+AN203+AN204+AN211+AN212+AN213+AN216+AN234+AN237+AN238+AN239)</f>
        <v>331592.985386345</v>
      </c>
      <c r="AO246" s="35">
        <f>SUM(AO197+AO201+AO203+AO204+AO211+AO212+AO213+AO216+AO234+AO237+AO238+AO239)</f>
        <v>523795.64391285</v>
      </c>
      <c r="AP246" s="35">
        <f>SUM(AP197+AP201+AP203+AP204+AP211+AP212+AP213+AP216+AP234+AP237+AP238+AP239)</f>
        <v>864929.068288503</v>
      </c>
      <c r="AQ246" s="35">
        <f>SUM(AQ197,AQ201,AQ203,AQ204,AQ211,AQ212,AQ216,AQ213,AQ234,AQ237,AQ238,AQ239)</f>
        <v>864929.068288503</v>
      </c>
      <c r="AR246" s="35">
        <f>SUM(AR197+AR201+AR203+AR204+AR211+AR212+AR213+AR216+AR234+AR237+AR238+AR239)</f>
        <v>1456209.94420043</v>
      </c>
      <c r="AS246" s="35">
        <f>SUM(AS197+AS201+AS203+AS204+AS211+AS212+AS213+AS216+AS234+AS237+AS238+AS239)</f>
        <v>2484507.02049736</v>
      </c>
      <c r="AT246" s="35">
        <f>SUM(AT197+AT201+AT203+AT204+AT211+AT212+AT213+AT216+AT234+AT237+AT238+AT239)</f>
        <v>4269943.18738597</v>
      </c>
      <c r="AU246" s="35">
        <f>SUM(AU197+AU201+AU203+AU204+AU211+AU212+AU213+AU216+AU234+AU237+AU238+AU239)</f>
        <v>7397685.96888386</v>
      </c>
      <c r="AV246" s="35">
        <f>SUM(AV197,AV201,AV203,AV204,AV211,AV212,AV216,AV213,AV234,AV237,AV238,AV239)</f>
        <v>7397685.96888386</v>
      </c>
      <c r="AW246" s="35">
        <f>SUM(AW197+AW201+AW203+AW204+AW211+AW212+AW213+AW216+AW234+AW237+AW238+AW239)</f>
        <v>12823294.4538665</v>
      </c>
      <c r="AX246" s="35">
        <f>SUM(AX197+AX201+AX203+AX204+AX211+AX212+AX213+AX216+AX234+AX237+AX238+AX239)</f>
        <v>22267453.5542473</v>
      </c>
      <c r="AY246" s="35">
        <f>SUM(AY197+AY201+AY203+AY204+AY211+AY212+AY213+AY216+AY234+AY237+AY238+AY239)</f>
        <v>38706223.0810643</v>
      </c>
      <c r="AZ246" s="35">
        <f>SUM(AZ197+AZ201+AZ203+AZ204+AZ211+AZ212+AZ213+AZ216+AZ234+AZ237+AZ238+AZ239)</f>
        <v>67365803.1830913</v>
      </c>
      <c r="BA246" s="35">
        <f>SUM(BA197,BA201,BA203,BA204,BA211,BA212,BA216,BA213,BA234,BA237,BA238,BA239)</f>
        <v>67365803.1830913</v>
      </c>
      <c r="BB246" s="35">
        <f>SUM(BB197+BB201+BB203+BB204+BB211+BB212+BB213+BB216+BB234+BB237+BB238+BB239)</f>
        <v>116965166.912477</v>
      </c>
      <c r="BC246" s="35">
        <f>SUM(BC197+BC201+BC203+BC204+BC211+BC212+BC213+BC216+BC234+BC237+BC238+BC239)</f>
        <v>203132225.089487</v>
      </c>
      <c r="BD246" s="35">
        <f>SUM(BD197+BD201+BD203+BD204+BD211+BD212+BD213+BD216+BD234+BD237+BD238+BD239)</f>
        <v>352825285.712122</v>
      </c>
      <c r="BE246" s="35">
        <f>SUM(BE197+BE201+BE203+BE204+BE211+BE212+BE213+BE216+BE234+BE237+BE238+BE239)</f>
        <v>612957706.498601</v>
      </c>
      <c r="BF246" s="35">
        <f>SUM(BF197,BF201,BF203,BF204,BF211,BF212,BF216,BF213,BF234,BF237,BF238,BF239)</f>
        <v>612957706.498601</v>
      </c>
      <c r="BG246" s="35" t="n"/>
      <c r="BH246" s="35" t="n"/>
      <c r="BI246" s="35" t="n"/>
      <c r="BJ246" s="35" t="n"/>
      <c r="BK246" s="35" t="n"/>
      <c r="BL246" s="35" t="n"/>
      <c r="BM246" s="35" t="n"/>
      <c r="BN246" s="35" t="n"/>
      <c r="BO246" s="35" t="n"/>
      <c r="BP246" s="35" t="n"/>
      <c r="BQ246" s="35" t="n"/>
      <c r="BR246" s="35" t="n"/>
      <c r="BS246" s="35" t="n"/>
      <c r="BT246" s="35" t="n"/>
      <c r="BU246" s="35" t="n"/>
      <c r="BV246" s="35" t="n"/>
      <c r="BW246" s="35" t="n"/>
      <c r="BX246" s="35" t="n"/>
      <c r="BY246" s="35" t="n"/>
      <c r="BZ246" s="35" t="n"/>
      <c r="CA246" s="35" t="n"/>
      <c r="CB246" s="35" t="n"/>
      <c r="CC246" s="35" t="n"/>
      <c r="CD246" s="35" t="n"/>
      <c r="CE246" s="35" t="n"/>
      <c r="CF246" s="35" t="n"/>
      <c r="CG246" s="35" t="n"/>
      <c r="CH246" s="35" t="n"/>
      <c r="CI246" s="35" t="n"/>
      <c r="CJ246" s="35" t="n"/>
      <c r="CK246" s="35" t="n"/>
      <c r="CL246" s="35" t="n"/>
      <c r="CM246" s="35" t="n"/>
      <c r="CN246" s="35" t="n"/>
      <c r="CO246" s="35" t="n"/>
      <c r="CP246" s="35" t="n"/>
      <c r="CQ246" s="35" t="n"/>
      <c r="CR246" s="35" t="n"/>
      <c r="CS246" s="35" t="n"/>
      <c r="CT246" s="35" t="n"/>
      <c r="CU246" s="35" t="n"/>
      <c r="CV246" s="35" t="n"/>
      <c r="CW246" s="35" t="n"/>
      <c r="CX246" s="35" t="n"/>
      <c r="CY246" s="35" t="n"/>
    </row>
    <row r="247">
      <c r="C247" s="14" t="inlineStr">
        <is>
          <t>Minority interest</t>
        </is>
      </c>
      <c r="D247" s="46" t="n"/>
      <c r="E247" s="46" t="n"/>
      <c r="F247" s="46" t="n"/>
      <c r="G247" s="46" t="n"/>
      <c r="H247" s="12" t="n"/>
      <c r="I247" s="46">
        <f>'Inputs (2)'!D41</f>
        <v>0</v>
      </c>
      <c r="J247" s="46">
        <f>'Inputs (2)'!E41</f>
        <v>0</v>
      </c>
      <c r="K247" s="46">
        <f>'Inputs (2)'!F41</f>
        <v>0</v>
      </c>
      <c r="L247" s="46">
        <f>'Inputs (2)'!G41</f>
        <v>0</v>
      </c>
      <c r="M247" s="12">
        <f>'Inputs (2)'!H41</f>
        <v>0</v>
      </c>
      <c r="N247" s="46">
        <f>'Inputs (2)'!I41</f>
        <v>0</v>
      </c>
      <c r="O247" s="46">
        <f>'Inputs (2)'!J41</f>
        <v>0</v>
      </c>
      <c r="P247" s="46">
        <f>'Inputs (2)'!K41</f>
        <v>0</v>
      </c>
      <c r="Q247" s="46">
        <f>'Inputs (2)'!L41</f>
        <v>0</v>
      </c>
      <c r="R247" s="12">
        <f>'Inputs (2)'!M41</f>
        <v>0</v>
      </c>
      <c r="S247" s="46">
        <f>'Inputs (2)'!N41</f>
        <v>0</v>
      </c>
      <c r="T247" s="46">
        <f>'Inputs (2)'!O41</f>
        <v>0</v>
      </c>
      <c r="U247" s="46">
        <f>'Inputs (2)'!P41</f>
        <v>0</v>
      </c>
      <c r="V247" s="46">
        <f>'Inputs (2)'!Q41</f>
        <v>0</v>
      </c>
      <c r="W247" s="12">
        <f>'Inputs (2)'!R41</f>
        <v>0</v>
      </c>
      <c r="X247" s="46">
        <f>'Inputs (2)'!S41</f>
        <v>0</v>
      </c>
      <c r="Y247" s="46">
        <f>'Inputs (2)'!T41</f>
        <v>0</v>
      </c>
      <c r="Z247" s="46">
        <f>'Inputs (2)'!U41</f>
        <v>0</v>
      </c>
      <c r="AA247" s="46">
        <f>'Inputs (2)'!V41</f>
        <v>0</v>
      </c>
      <c r="AB247" s="12">
        <f>'Inputs (2)'!W41</f>
        <v>0</v>
      </c>
      <c r="AC247" s="46">
        <f>'Inputs (2)'!X41</f>
        <v>0</v>
      </c>
      <c r="AD247" s="46">
        <f>'Inputs (2)'!Y41</f>
        <v>0</v>
      </c>
      <c r="AE247" s="46">
        <f>'Inputs (2)'!Z41</f>
        <v>0</v>
      </c>
      <c r="AF247" s="46">
        <f>'Inputs (2)'!AA41</f>
        <v>0</v>
      </c>
      <c r="AG247" s="12">
        <f>'Inputs (2)'!AB41</f>
        <v>0</v>
      </c>
      <c r="AH247" s="12">
        <f>'Inputs (2)'!AC41</f>
        <v>0</v>
      </c>
      <c r="AI247" s="12">
        <f>'Inputs (2)'!AD41</f>
        <v>0</v>
      </c>
      <c r="AJ247" s="12">
        <f>AI247</f>
        <v>0</v>
      </c>
      <c r="AK247" s="12">
        <f>AJ247</f>
        <v>0</v>
      </c>
      <c r="AL247" s="12">
        <f>AK247</f>
        <v>0</v>
      </c>
      <c r="AM247" s="12">
        <f>AL247</f>
        <v>0</v>
      </c>
      <c r="AN247" s="12">
        <f>AM247</f>
        <v>0</v>
      </c>
      <c r="AO247" s="12">
        <f>AN247</f>
        <v>0</v>
      </c>
      <c r="AP247" s="12">
        <f>AO247</f>
        <v>0</v>
      </c>
      <c r="AQ247" s="12">
        <f>AP247</f>
        <v>0</v>
      </c>
      <c r="AR247" s="12">
        <f>AQ247</f>
        <v>0</v>
      </c>
      <c r="AS247" s="12">
        <f>AR247</f>
        <v>0</v>
      </c>
      <c r="AT247" s="12">
        <f>AS247</f>
        <v>0</v>
      </c>
      <c r="AU247" s="12">
        <f>AT247</f>
        <v>0</v>
      </c>
      <c r="AV247" s="12">
        <f>AU247</f>
        <v>0</v>
      </c>
      <c r="AW247" s="12">
        <f>AV247</f>
        <v>0</v>
      </c>
      <c r="AX247" s="12">
        <f>AW247</f>
        <v>0</v>
      </c>
      <c r="AY247" s="12">
        <f>AX247</f>
        <v>0</v>
      </c>
      <c r="AZ247" s="12">
        <f>AY247</f>
        <v>0</v>
      </c>
      <c r="BA247" s="12">
        <f>AZ247</f>
        <v>0</v>
      </c>
      <c r="BB247" s="12">
        <f>BA247</f>
        <v>0</v>
      </c>
      <c r="BC247" s="12">
        <f>BB247</f>
        <v>0</v>
      </c>
      <c r="BD247" s="12">
        <f>BC247</f>
        <v>0</v>
      </c>
      <c r="BE247" s="12">
        <f>BD247</f>
        <v>0</v>
      </c>
      <c r="BF247" s="12">
        <f>BE247</f>
        <v>0</v>
      </c>
      <c r="BG247" s="12" t="n"/>
      <c r="BH247" s="12" t="n"/>
      <c r="BI247" s="12" t="n"/>
      <c r="BJ247" s="12" t="n"/>
      <c r="BK247" s="12" t="n"/>
      <c r="BL247" s="12" t="n"/>
      <c r="BM247" s="12" t="n"/>
      <c r="BN247" s="12" t="n"/>
      <c r="BO247" s="12" t="n"/>
      <c r="BP247" s="12" t="n"/>
      <c r="BQ247" s="12" t="n"/>
      <c r="BR247" s="12" t="n"/>
      <c r="BS247" s="12" t="n"/>
      <c r="BT247" s="12" t="n"/>
      <c r="BU247" s="12" t="n"/>
      <c r="BV247" s="12" t="n"/>
      <c r="BW247" s="12" t="n"/>
      <c r="BX247" s="12" t="n"/>
      <c r="BY247" s="12" t="n"/>
      <c r="BZ247" s="12" t="n"/>
      <c r="CA247" s="12" t="n"/>
      <c r="CB247" s="12" t="n"/>
      <c r="CC247" s="12" t="n"/>
      <c r="CD247" s="12" t="n"/>
      <c r="CE247" s="12" t="n"/>
      <c r="CF247" s="12" t="n"/>
      <c r="CG247" s="12" t="n"/>
      <c r="CH247" s="12" t="n"/>
      <c r="CI247" s="12" t="n"/>
      <c r="CJ247" s="12" t="n"/>
      <c r="CK247" s="12" t="n"/>
      <c r="CL247" s="12" t="n"/>
      <c r="CM247" s="12" t="n"/>
      <c r="CN247" s="12" t="n"/>
      <c r="CO247" s="12" t="n"/>
      <c r="CP247" s="12" t="n"/>
      <c r="CQ247" s="12" t="n"/>
      <c r="CR247" s="12" t="n"/>
      <c r="CS247" s="12" t="n"/>
      <c r="CT247" s="12" t="n"/>
      <c r="CU247" s="12" t="n"/>
      <c r="CV247" s="12" t="n"/>
      <c r="CW247" s="12" t="n"/>
      <c r="CX247" s="12" t="n"/>
      <c r="CY247" s="12" t="n"/>
    </row>
    <row r="248" hidden="1" outlineLevel="1" customFormat="1" s="66">
      <c r="A248" s="37" t="n"/>
      <c r="B248" s="37" t="n"/>
      <c r="C248" s="59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  <c r="BL248" s="42" t="n"/>
      <c r="BM248" s="42" t="n"/>
      <c r="BN248" s="42" t="n"/>
      <c r="BO248" s="42" t="n"/>
      <c r="BP248" s="42" t="n"/>
      <c r="BQ248" s="42" t="n"/>
      <c r="BR248" s="42" t="n"/>
      <c r="BS248" s="42" t="n"/>
      <c r="BT248" s="42" t="n"/>
      <c r="BU248" s="42" t="n"/>
      <c r="BV248" s="42" t="n"/>
      <c r="BW248" s="42" t="n"/>
      <c r="BX248" s="42" t="n"/>
      <c r="BY248" s="42" t="n"/>
      <c r="BZ248" s="42" t="n"/>
      <c r="CA248" s="42" t="n"/>
      <c r="CB248" s="42" t="n"/>
      <c r="CC248" s="42" t="n"/>
      <c r="CD248" s="42" t="n"/>
      <c r="CE248" s="42" t="n"/>
      <c r="CF248" s="42" t="n"/>
      <c r="CG248" s="42" t="n"/>
      <c r="CH248" s="42" t="n"/>
      <c r="CI248" s="42" t="n"/>
      <c r="CJ248" s="42" t="n"/>
      <c r="CK248" s="42" t="n"/>
      <c r="CL248" s="42" t="n"/>
      <c r="CM248" s="42" t="n"/>
      <c r="CN248" s="42" t="n"/>
      <c r="CO248" s="42" t="n"/>
      <c r="CP248" s="42" t="n"/>
      <c r="CQ248" s="42" t="n"/>
      <c r="CR248" s="42" t="n"/>
      <c r="CS248" s="42" t="n"/>
      <c r="CT248" s="42" t="n"/>
      <c r="CU248" s="42" t="n"/>
      <c r="CV248" s="42" t="n"/>
      <c r="CW248" s="42" t="n"/>
      <c r="CX248" s="42" t="n"/>
      <c r="CY248" s="42" t="n"/>
    </row>
    <row r="249" hidden="1" outlineLevel="1" customFormat="1" s="66">
      <c r="A249" s="37" t="n"/>
      <c r="B249" s="37" t="n"/>
      <c r="C249" s="57" t="inlineStr">
        <is>
          <t>Minority Interest Expense - % YoY</t>
        </is>
      </c>
      <c r="D249" s="42" t="n"/>
      <c r="E249" s="58" t="n"/>
      <c r="F249" s="42" t="n"/>
      <c r="G249" s="42" t="n"/>
      <c r="H249" s="58" t="n"/>
      <c r="I249" s="42" t="n"/>
      <c r="J249" s="58">
        <f>IF(I134=0,0,J134/I134-1)</f>
        <v>0</v>
      </c>
      <c r="K249" s="42" t="n"/>
      <c r="L249" s="42" t="n"/>
      <c r="M249" s="58" t="n"/>
      <c r="N249" s="58">
        <f>IF(I134=0,0,N134/I134-1)</f>
        <v>0</v>
      </c>
      <c r="O249" s="58">
        <f>IF(J134=0,0,O134/J134-1)</f>
        <v>0</v>
      </c>
      <c r="P249" s="58">
        <f>IF(K134=0,0,P134/K134-1)</f>
        <v>0</v>
      </c>
      <c r="Q249" s="58">
        <f>IF(L134=0,0,Q134/L134-1)</f>
        <v>0</v>
      </c>
      <c r="R249" s="58" t="n"/>
      <c r="S249" s="58">
        <f>IF(N134=0,0,S134/N134-1)</f>
        <v>0</v>
      </c>
      <c r="T249" s="58">
        <f>IF(O134=0,0,T134/O134-1)</f>
        <v>0</v>
      </c>
      <c r="U249" s="58">
        <f>IF(P134=0,0,U134/P134-1)</f>
        <v>0</v>
      </c>
      <c r="V249" s="58">
        <f>IF(Q134=0,0,V134/Q134-1)</f>
        <v>0</v>
      </c>
      <c r="W249" s="58">
        <f>IF(R135=0,0,W135/R135-1)</f>
        <v>0</v>
      </c>
      <c r="X249" s="58">
        <f>IF(S134=0,0,X134/S134-1)</f>
        <v>0</v>
      </c>
      <c r="Y249" s="58">
        <f>IF(T134=0,0,Y134/T134-1)</f>
        <v>0</v>
      </c>
      <c r="Z249" s="58">
        <f>IF(U134=0,0,Z134/U134-1)</f>
        <v>0</v>
      </c>
      <c r="AA249" s="58">
        <f>IF(V134=0,0,AA134/V134-1)</f>
        <v>0</v>
      </c>
      <c r="AB249" s="58">
        <f>IF(W135=0,0,AB135/W135-1)</f>
        <v>0</v>
      </c>
      <c r="AC249" s="58">
        <f>IF(X134=0,0,AC134/X134-1)</f>
        <v>0</v>
      </c>
      <c r="AD249" s="58">
        <f>IF(Y134=0,0,AD134/Y134-1)</f>
        <v>0</v>
      </c>
      <c r="AE249" s="58">
        <f>IF(Z134=0,0,AE134/Z134-1)</f>
        <v>0</v>
      </c>
      <c r="AF249" s="58">
        <f>IF(AA134=0,0,AF134/AA134-1)</f>
        <v>0</v>
      </c>
      <c r="AG249" s="58">
        <f>IF(AB135=0,0,AG135/AB135-1)</f>
        <v>0</v>
      </c>
      <c r="AH249" s="62">
        <f>IF(AC134=0,0,AH134/AC134-1)</f>
        <v>0</v>
      </c>
      <c r="AI249" s="62">
        <f>IF(AD134=0,0,AI134/AD134-1)</f>
        <v>0</v>
      </c>
      <c r="AJ249" s="62" t="n"/>
      <c r="AK249" s="62" t="n"/>
      <c r="AL249" s="58">
        <f>IF(AG135=0,0,AL135/AG135-1)</f>
        <v>0</v>
      </c>
      <c r="AM249" s="62" t="n"/>
      <c r="AN249" s="62" t="n"/>
      <c r="AO249" s="62" t="n"/>
      <c r="AP249" s="62" t="n"/>
      <c r="AQ249" s="58">
        <f>IF(AL135=0,0,AQ135/AL135-1)</f>
        <v>0</v>
      </c>
      <c r="AR249" s="62" t="n"/>
      <c r="AS249" s="62" t="n"/>
      <c r="AT249" s="62" t="n"/>
      <c r="AU249" s="62" t="n"/>
      <c r="AV249" s="58">
        <f>IF(AQ135=0,0,AV135/AQ135-1)</f>
        <v>0</v>
      </c>
      <c r="AW249" s="62" t="n"/>
      <c r="AX249" s="62" t="n"/>
      <c r="AY249" s="62" t="n"/>
      <c r="AZ249" s="62" t="n"/>
      <c r="BA249" s="58">
        <f>IF(AV135=0,0,BA135/AV135-1)</f>
        <v>0</v>
      </c>
      <c r="BB249" s="62" t="n"/>
      <c r="BC249" s="62" t="n"/>
      <c r="BD249" s="62" t="n"/>
      <c r="BE249" s="62" t="n"/>
      <c r="BF249" s="58">
        <f>IF(BA135=0,0,BF135/BA135-1)</f>
        <v>0</v>
      </c>
      <c r="BG249" s="62" t="n"/>
      <c r="BH249" s="62" t="n"/>
      <c r="BI249" s="62" t="n"/>
      <c r="BJ249" s="62" t="n"/>
      <c r="BK249" s="58" t="n"/>
      <c r="BL249" s="62" t="n"/>
      <c r="BM249" s="62" t="n"/>
      <c r="BN249" s="62" t="n"/>
      <c r="BO249" s="62" t="n"/>
      <c r="BP249" s="58" t="n"/>
      <c r="BQ249" s="62" t="n"/>
      <c r="BR249" s="62" t="n"/>
      <c r="BS249" s="62" t="n"/>
      <c r="BT249" s="62" t="n"/>
      <c r="BU249" s="58" t="n"/>
      <c r="BV249" s="62" t="n"/>
      <c r="BW249" s="62" t="n"/>
      <c r="BX249" s="62" t="n"/>
      <c r="BY249" s="62" t="n"/>
      <c r="BZ249" s="58" t="n"/>
      <c r="CA249" s="62" t="n"/>
      <c r="CB249" s="62" t="n"/>
      <c r="CC249" s="62" t="n"/>
      <c r="CD249" s="62" t="n"/>
      <c r="CE249" s="58" t="n"/>
      <c r="CF249" s="62" t="n"/>
      <c r="CG249" s="62" t="n"/>
      <c r="CH249" s="62" t="n"/>
      <c r="CI249" s="62" t="n"/>
      <c r="CJ249" s="58" t="n"/>
      <c r="CK249" s="62" t="n"/>
      <c r="CL249" s="62" t="n"/>
      <c r="CM249" s="62" t="n"/>
      <c r="CN249" s="62" t="n"/>
      <c r="CO249" s="58" t="n"/>
      <c r="CP249" s="62" t="n"/>
      <c r="CQ249" s="62" t="n"/>
      <c r="CR249" s="62" t="n"/>
      <c r="CS249" s="62" t="n"/>
      <c r="CT249" s="58" t="n"/>
      <c r="CU249" s="62" t="n"/>
      <c r="CV249" s="62" t="n"/>
      <c r="CW249" s="62" t="n"/>
      <c r="CX249" s="62" t="n"/>
      <c r="CY249" s="58" t="n"/>
    </row>
    <row r="250" hidden="1" outlineLevel="1" customFormat="1" s="66">
      <c r="A250" s="37" t="n"/>
      <c r="B250" s="37" t="n"/>
      <c r="C250" s="57" t="inlineStr">
        <is>
          <t>Dividends (enter as -)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62" t="n"/>
      <c r="AI250" s="62" t="n"/>
      <c r="AJ250" s="62" t="n"/>
      <c r="AK250" s="62" t="n"/>
      <c r="AL250" s="42" t="n"/>
      <c r="AM250" s="62" t="n"/>
      <c r="AN250" s="62" t="n"/>
      <c r="AO250" s="62" t="n"/>
      <c r="AP250" s="62" t="n"/>
      <c r="AQ250" s="42" t="n"/>
      <c r="AR250" s="62" t="n"/>
      <c r="AS250" s="62" t="n"/>
      <c r="AT250" s="62" t="n"/>
      <c r="AU250" s="62" t="n"/>
      <c r="AV250" s="42" t="n"/>
      <c r="AW250" s="62" t="n"/>
      <c r="AX250" s="62" t="n"/>
      <c r="AY250" s="62" t="n"/>
      <c r="AZ250" s="62" t="n"/>
      <c r="BA250" s="42" t="n"/>
      <c r="BB250" s="62" t="n"/>
      <c r="BC250" s="62" t="n"/>
      <c r="BD250" s="62" t="n"/>
      <c r="BE250" s="62" t="n"/>
      <c r="BF250" s="42" t="n"/>
      <c r="BG250" s="62" t="n"/>
      <c r="BH250" s="62" t="n"/>
      <c r="BI250" s="62" t="n"/>
      <c r="BJ250" s="62" t="n"/>
      <c r="BK250" s="42" t="n"/>
      <c r="BL250" s="62" t="n"/>
      <c r="BM250" s="62" t="n"/>
      <c r="BN250" s="62" t="n"/>
      <c r="BO250" s="62" t="n"/>
      <c r="BP250" s="42" t="n"/>
      <c r="BQ250" s="62" t="n"/>
      <c r="BR250" s="62" t="n"/>
      <c r="BS250" s="62" t="n"/>
      <c r="BT250" s="62" t="n"/>
      <c r="BU250" s="42" t="n"/>
      <c r="BV250" s="62" t="n"/>
      <c r="BW250" s="62" t="n"/>
      <c r="BX250" s="62" t="n"/>
      <c r="BY250" s="62" t="n"/>
      <c r="BZ250" s="42" t="n"/>
      <c r="CA250" s="62" t="n"/>
      <c r="CB250" s="62" t="n"/>
      <c r="CC250" s="62" t="n"/>
      <c r="CD250" s="62" t="n"/>
      <c r="CE250" s="42" t="n"/>
      <c r="CF250" s="62" t="n"/>
      <c r="CG250" s="62" t="n"/>
      <c r="CH250" s="62" t="n"/>
      <c r="CI250" s="62" t="n"/>
      <c r="CJ250" s="42" t="n"/>
      <c r="CK250" s="62" t="n"/>
      <c r="CL250" s="62" t="n"/>
      <c r="CM250" s="62" t="n"/>
      <c r="CN250" s="62" t="n"/>
      <c r="CO250" s="42" t="n"/>
      <c r="CP250" s="62" t="n"/>
      <c r="CQ250" s="62" t="n"/>
      <c r="CR250" s="62" t="n"/>
      <c r="CS250" s="62" t="n"/>
      <c r="CT250" s="42" t="n"/>
      <c r="CU250" s="62" t="n"/>
      <c r="CV250" s="62" t="n"/>
      <c r="CW250" s="62" t="n"/>
      <c r="CX250" s="62" t="n"/>
      <c r="CY250" s="42" t="n"/>
    </row>
    <row r="251" hidden="1" outlineLevel="1" customFormat="1" s="66">
      <c r="A251" s="37" t="n"/>
      <c r="B251" s="37" t="n"/>
      <c r="C251" s="59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  <c r="BL251" s="42" t="n"/>
      <c r="BM251" s="42" t="n"/>
      <c r="BN251" s="42" t="n"/>
      <c r="BO251" s="42" t="n"/>
      <c r="BP251" s="42" t="n"/>
      <c r="BQ251" s="42" t="n"/>
      <c r="BR251" s="42" t="n"/>
      <c r="BS251" s="42" t="n"/>
      <c r="BT251" s="42" t="n"/>
      <c r="BU251" s="42" t="n"/>
      <c r="BV251" s="42" t="n"/>
      <c r="BW251" s="42" t="n"/>
      <c r="BX251" s="42" t="n"/>
      <c r="BY251" s="42" t="n"/>
      <c r="BZ251" s="42" t="n"/>
      <c r="CA251" s="42" t="n"/>
      <c r="CB251" s="42" t="n"/>
      <c r="CC251" s="42" t="n"/>
      <c r="CD251" s="42" t="n"/>
      <c r="CE251" s="42" t="n"/>
      <c r="CF251" s="42" t="n"/>
      <c r="CG251" s="42" t="n"/>
      <c r="CH251" s="42" t="n"/>
      <c r="CI251" s="42" t="n"/>
      <c r="CJ251" s="42" t="n"/>
      <c r="CK251" s="42" t="n"/>
      <c r="CL251" s="42" t="n"/>
      <c r="CM251" s="42" t="n"/>
      <c r="CN251" s="42" t="n"/>
      <c r="CO251" s="42" t="n"/>
      <c r="CP251" s="42" t="n"/>
      <c r="CQ251" s="42" t="n"/>
      <c r="CR251" s="42" t="n"/>
      <c r="CS251" s="42" t="n"/>
      <c r="CT251" s="42" t="n"/>
      <c r="CU251" s="42" t="n"/>
      <c r="CV251" s="42" t="n"/>
      <c r="CW251" s="42" t="n"/>
      <c r="CX251" s="42" t="n"/>
      <c r="CY251" s="42" t="n"/>
    </row>
    <row r="252" collapsed="1">
      <c r="C252" s="14" t="inlineStr">
        <is>
          <t>Convertible Preferred Stock</t>
        </is>
      </c>
      <c r="D252" s="46" t="n"/>
      <c r="E252" s="46" t="n"/>
      <c r="F252" s="46" t="n"/>
      <c r="G252" s="46" t="n"/>
      <c r="H252" s="12" t="n"/>
      <c r="I252" s="46">
        <f>'Inputs (2)'!D42</f>
        <v>0</v>
      </c>
      <c r="J252" s="46">
        <f>'Inputs (2)'!E42</f>
        <v>0</v>
      </c>
      <c r="K252" s="46">
        <f>'Inputs (2)'!F42</f>
        <v>0</v>
      </c>
      <c r="L252" s="46">
        <f>'Inputs (2)'!G42</f>
        <v>0</v>
      </c>
      <c r="M252" s="12">
        <f>'Inputs (2)'!H42</f>
        <v>0</v>
      </c>
      <c r="N252" s="46">
        <f>'Inputs (2)'!I42</f>
        <v>0</v>
      </c>
      <c r="O252" s="46">
        <f>'Inputs (2)'!J42</f>
        <v>0</v>
      </c>
      <c r="P252" s="46">
        <f>'Inputs (2)'!K42</f>
        <v>0</v>
      </c>
      <c r="Q252" s="46">
        <f>'Inputs (2)'!L42</f>
        <v>0</v>
      </c>
      <c r="R252" s="12">
        <f>'Inputs (2)'!M42</f>
        <v>0</v>
      </c>
      <c r="S252" s="46">
        <f>'Inputs (2)'!N42</f>
        <v>0</v>
      </c>
      <c r="T252" s="46">
        <f>'Inputs (2)'!O42</f>
        <v>0</v>
      </c>
      <c r="U252" s="46">
        <f>'Inputs (2)'!P42</f>
        <v>0</v>
      </c>
      <c r="V252" s="46">
        <f>'Inputs (2)'!Q42</f>
        <v>0</v>
      </c>
      <c r="W252" s="12">
        <f>'Inputs (2)'!R42</f>
        <v>0</v>
      </c>
      <c r="X252" s="46">
        <f>'Inputs (2)'!S42</f>
        <v>0</v>
      </c>
      <c r="Y252" s="46">
        <f>'Inputs (2)'!T42</f>
        <v>0</v>
      </c>
      <c r="Z252" s="46">
        <f>'Inputs (2)'!U42</f>
        <v>0</v>
      </c>
      <c r="AA252" s="46">
        <f>'Inputs (2)'!V42</f>
        <v>0</v>
      </c>
      <c r="AB252" s="12">
        <f>'Inputs (2)'!W42</f>
        <v>0</v>
      </c>
      <c r="AC252" s="46">
        <f>'Inputs (2)'!X42</f>
        <v>0</v>
      </c>
      <c r="AD252" s="46">
        <f>'Inputs (2)'!Y42</f>
        <v>0</v>
      </c>
      <c r="AE252" s="46">
        <f>'Inputs (2)'!Z42</f>
        <v>0</v>
      </c>
      <c r="AF252" s="46">
        <f>'Inputs (2)'!AA42</f>
        <v>0</v>
      </c>
      <c r="AG252" s="12">
        <f>'Inputs (2)'!AB42</f>
        <v>0</v>
      </c>
      <c r="AH252" s="12">
        <f>'Inputs (2)'!AC42</f>
        <v>0</v>
      </c>
      <c r="AI252" s="12">
        <f>'Inputs (2)'!AD42</f>
        <v>0</v>
      </c>
      <c r="AJ252" s="12">
        <f>AI252</f>
        <v>0</v>
      </c>
      <c r="AK252" s="12">
        <f>AJ252</f>
        <v>0</v>
      </c>
      <c r="AL252" s="12">
        <f>AK252</f>
        <v>0</v>
      </c>
      <c r="AM252" s="12">
        <f>AL252</f>
        <v>0</v>
      </c>
      <c r="AN252" s="12">
        <f>AM252</f>
        <v>0</v>
      </c>
      <c r="AO252" s="12">
        <f>AN252</f>
        <v>0</v>
      </c>
      <c r="AP252" s="12">
        <f>AO252</f>
        <v>0</v>
      </c>
      <c r="AQ252" s="12">
        <f>AP252</f>
        <v>0</v>
      </c>
      <c r="AR252" s="12">
        <f>AQ252</f>
        <v>0</v>
      </c>
      <c r="AS252" s="12">
        <f>AR252</f>
        <v>0</v>
      </c>
      <c r="AT252" s="12">
        <f>AS252</f>
        <v>0</v>
      </c>
      <c r="AU252" s="12">
        <f>AT252</f>
        <v>0</v>
      </c>
      <c r="AV252" s="12">
        <f>AU252</f>
        <v>0</v>
      </c>
      <c r="AW252" s="12">
        <f>AV252</f>
        <v>0</v>
      </c>
      <c r="AX252" s="12">
        <f>AW252</f>
        <v>0</v>
      </c>
      <c r="AY252" s="12">
        <f>AX252</f>
        <v>0</v>
      </c>
      <c r="AZ252" s="12">
        <f>AY252</f>
        <v>0</v>
      </c>
      <c r="BA252" s="12">
        <f>AZ252</f>
        <v>0</v>
      </c>
      <c r="BB252" s="12">
        <f>BA252</f>
        <v>0</v>
      </c>
      <c r="BC252" s="12">
        <f>BB252</f>
        <v>0</v>
      </c>
      <c r="BD252" s="12">
        <f>BC252</f>
        <v>0</v>
      </c>
      <c r="BE252" s="12">
        <f>BD252</f>
        <v>0</v>
      </c>
      <c r="BF252" s="12">
        <f>BE252</f>
        <v>0</v>
      </c>
      <c r="BG252" s="12" t="n"/>
      <c r="BH252" s="12" t="n"/>
      <c r="BI252" s="12" t="n"/>
      <c r="BJ252" s="12" t="n"/>
      <c r="BK252" s="12" t="n"/>
      <c r="BL252" s="12" t="n"/>
      <c r="BM252" s="12" t="n"/>
      <c r="BN252" s="12" t="n"/>
      <c r="BO252" s="12" t="n"/>
      <c r="BP252" s="12" t="n"/>
      <c r="BQ252" s="12" t="n"/>
      <c r="BR252" s="12" t="n"/>
      <c r="BS252" s="12" t="n"/>
      <c r="BT252" s="12" t="n"/>
      <c r="BU252" s="12" t="n"/>
      <c r="BV252" s="12" t="n"/>
      <c r="BW252" s="12" t="n"/>
      <c r="BX252" s="12" t="n"/>
      <c r="BY252" s="12" t="n"/>
      <c r="BZ252" s="12" t="n"/>
      <c r="CA252" s="12" t="n"/>
      <c r="CB252" s="12" t="n"/>
      <c r="CC252" s="12" t="n"/>
      <c r="CD252" s="12" t="n"/>
      <c r="CE252" s="12" t="n"/>
      <c r="CF252" s="12" t="n"/>
      <c r="CG252" s="12" t="n"/>
      <c r="CH252" s="12" t="n"/>
      <c r="CI252" s="12" t="n"/>
      <c r="CJ252" s="12" t="n"/>
      <c r="CK252" s="12" t="n"/>
      <c r="CL252" s="12" t="n"/>
      <c r="CM252" s="12" t="n"/>
      <c r="CN252" s="12" t="n"/>
      <c r="CO252" s="12" t="n"/>
      <c r="CP252" s="12" t="n"/>
      <c r="CQ252" s="12" t="n"/>
      <c r="CR252" s="12" t="n"/>
      <c r="CS252" s="12" t="n"/>
      <c r="CT252" s="12" t="n"/>
      <c r="CU252" s="12" t="n"/>
      <c r="CV252" s="12" t="n"/>
      <c r="CW252" s="12" t="n"/>
      <c r="CX252" s="12" t="n"/>
      <c r="CY252" s="12" t="n"/>
    </row>
    <row r="253">
      <c r="C253" s="13" t="inlineStr">
        <is>
          <t>Common Stock and APIC</t>
        </is>
      </c>
      <c r="D253" s="46" t="n"/>
      <c r="E253" s="46" t="n"/>
      <c r="F253" s="46" t="n"/>
      <c r="G253" s="46" t="n"/>
      <c r="H253" s="12" t="n"/>
      <c r="I253" s="46">
        <f>'Inputs (2)'!D43</f>
        <v>9281</v>
      </c>
      <c r="J253" s="46">
        <f>'Inputs (2)'!E43</f>
        <v>9748</v>
      </c>
      <c r="K253" s="46">
        <f>'Inputs (2)'!F43</f>
        <v>10468</v>
      </c>
      <c r="L253" s="46">
        <f>'Inputs (2)'!G43</f>
        <v>10388</v>
      </c>
      <c r="M253" s="12">
        <f>'Inputs (2)'!H43</f>
        <v>10388</v>
      </c>
      <c r="N253" s="46">
        <f>'Inputs (2)'!I43</f>
        <v>10626</v>
      </c>
      <c r="O253" s="46">
        <f>'Inputs (2)'!J43</f>
        <v>10970</v>
      </c>
      <c r="P253" s="46">
        <f>'Inputs (2)'!K43</f>
        <v>11567</v>
      </c>
      <c r="Q253" s="46">
        <f>'Inputs (2)'!L43</f>
        <v>11973</v>
      </c>
      <c r="R253" s="12">
        <f>'Inputs (2)'!M43</f>
        <v>11973</v>
      </c>
      <c r="S253" s="46">
        <f>'Inputs (2)'!N43</f>
        <v>12455</v>
      </c>
      <c r="T253" s="46">
        <f>'Inputs (2)'!O43</f>
        <v>12631</v>
      </c>
      <c r="U253" s="46">
        <f>'Inputs (2)'!P43</f>
        <v>12993</v>
      </c>
      <c r="V253" s="46">
        <f>'Inputs (2)'!Q43</f>
        <v>13134</v>
      </c>
      <c r="W253" s="12">
        <f>'Inputs (2)'!R43</f>
        <v>13134</v>
      </c>
      <c r="X253" s="46">
        <f>'Inputs (2)'!S43</f>
        <v>12653</v>
      </c>
      <c r="Y253" s="46">
        <f>'Inputs (2)'!T43</f>
        <v>12140</v>
      </c>
      <c r="Z253" s="46">
        <f>'Inputs (2)'!U43</f>
        <v>11846</v>
      </c>
      <c r="AA253" s="46">
        <f>'Inputs (2)'!V43</f>
        <v>11261</v>
      </c>
      <c r="AB253" s="12">
        <f>'Inputs (2)'!W43</f>
        <v>11261</v>
      </c>
      <c r="AC253" s="46">
        <f>'Inputs (2)'!X43</f>
        <v>11499</v>
      </c>
      <c r="AD253" s="46">
        <f>'Inputs (2)'!Y43</f>
        <v>11224</v>
      </c>
      <c r="AE253" s="46">
        <f>'Inputs (2)'!Z43</f>
        <v>10650</v>
      </c>
      <c r="AF253" s="46">
        <f>'Inputs (2)'!AA43</f>
        <v>10142</v>
      </c>
      <c r="AG253" s="12">
        <f>'Inputs (2)'!AB43</f>
        <v>10142</v>
      </c>
      <c r="AH253" s="12">
        <f>'Inputs (2)'!AC43</f>
        <v>10299</v>
      </c>
      <c r="AI253" s="12">
        <f>'Inputs (2)'!AD43</f>
        <v>9852</v>
      </c>
      <c r="AJ253" s="12">
        <f>AI253+AJ257</f>
        <v>9852</v>
      </c>
      <c r="AK253" s="12">
        <f>AJ253+AK257</f>
        <v>9852</v>
      </c>
      <c r="AL253" s="12">
        <f>AK253</f>
        <v>9852</v>
      </c>
      <c r="AM253" s="12">
        <f>AL253+AM257</f>
        <v>9852</v>
      </c>
      <c r="AN253" s="12">
        <f>AM253+AN257</f>
        <v>9852</v>
      </c>
      <c r="AO253" s="12">
        <f>AN253+AO257</f>
        <v>9852</v>
      </c>
      <c r="AP253" s="12">
        <f>AO253+AP257</f>
        <v>9852</v>
      </c>
      <c r="AQ253" s="12">
        <f>AP253</f>
        <v>9852</v>
      </c>
      <c r="AR253" s="12">
        <f>AQ253+AR257</f>
        <v>9852</v>
      </c>
      <c r="AS253" s="12">
        <f>AR253+AS257</f>
        <v>9852</v>
      </c>
      <c r="AT253" s="12">
        <f>AS253+AT257</f>
        <v>9852</v>
      </c>
      <c r="AU253" s="12">
        <f>AT253+AU257</f>
        <v>9852</v>
      </c>
      <c r="AV253" s="12">
        <f>AU253</f>
        <v>9852</v>
      </c>
      <c r="AW253" s="12">
        <f>AV253+AW257</f>
        <v>9852</v>
      </c>
      <c r="AX253" s="12">
        <f>AW253+AX257</f>
        <v>9852</v>
      </c>
      <c r="AY253" s="12">
        <f>AX253+AY257</f>
        <v>9852</v>
      </c>
      <c r="AZ253" s="12">
        <f>AY253+AZ257</f>
        <v>9852</v>
      </c>
      <c r="BA253" s="12">
        <f>AZ253</f>
        <v>9852</v>
      </c>
      <c r="BB253" s="12">
        <f>BA253+BB257</f>
        <v>9852</v>
      </c>
      <c r="BC253" s="12">
        <f>BB253+BC257</f>
        <v>9852</v>
      </c>
      <c r="BD253" s="12">
        <f>BC253+BD257</f>
        <v>9852</v>
      </c>
      <c r="BE253" s="12">
        <f>BD253+BE257</f>
        <v>9852</v>
      </c>
      <c r="BF253" s="12">
        <f>BE253</f>
        <v>9852</v>
      </c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</row>
    <row r="254" hidden="1" outlineLevel="1" customFormat="1" s="66">
      <c r="A254" s="37" t="n"/>
      <c r="B254" s="37" t="n"/>
      <c r="C254" s="67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  <c r="AO254" s="42" t="n"/>
      <c r="AP254" s="42" t="n"/>
      <c r="AQ254" s="42" t="n"/>
      <c r="AR254" s="42" t="n"/>
      <c r="AS254" s="42" t="n"/>
      <c r="AT254" s="42" t="n"/>
      <c r="AU254" s="42" t="n"/>
      <c r="AV254" s="42" t="n"/>
      <c r="AW254" s="42" t="n"/>
      <c r="AX254" s="42" t="n"/>
      <c r="AY254" s="42" t="n"/>
      <c r="AZ254" s="42" t="n"/>
      <c r="BA254" s="42" t="n"/>
      <c r="BB254" s="42" t="n"/>
      <c r="BC254" s="42" t="n"/>
      <c r="BD254" s="42" t="n"/>
      <c r="BE254" s="42" t="n"/>
      <c r="BF254" s="42" t="n"/>
      <c r="BG254" s="42" t="n"/>
      <c r="BH254" s="42" t="n"/>
      <c r="BI254" s="42" t="n"/>
      <c r="BJ254" s="42" t="n"/>
      <c r="BK254" s="42" t="n"/>
      <c r="BL254" s="42" t="n"/>
      <c r="BM254" s="42" t="n"/>
      <c r="BN254" s="42" t="n"/>
      <c r="BO254" s="42" t="n"/>
      <c r="BP254" s="42" t="n"/>
      <c r="BQ254" s="42" t="n"/>
      <c r="BR254" s="42" t="n"/>
      <c r="BS254" s="42" t="n"/>
      <c r="BT254" s="42" t="n"/>
      <c r="BU254" s="42" t="n"/>
      <c r="BV254" s="42" t="n"/>
      <c r="BW254" s="42" t="n"/>
      <c r="BX254" s="42" t="n"/>
      <c r="BY254" s="42" t="n"/>
      <c r="BZ254" s="42" t="n"/>
      <c r="CA254" s="42" t="n"/>
      <c r="CB254" s="42" t="n"/>
      <c r="CC254" s="42" t="n"/>
      <c r="CD254" s="42" t="n"/>
      <c r="CE254" s="42" t="n"/>
      <c r="CF254" s="42" t="n"/>
      <c r="CG254" s="42" t="n"/>
      <c r="CH254" s="42" t="n"/>
      <c r="CI254" s="42" t="n"/>
      <c r="CJ254" s="42" t="n"/>
      <c r="CK254" s="42" t="n"/>
      <c r="CL254" s="42" t="n"/>
      <c r="CM254" s="42" t="n"/>
      <c r="CN254" s="42" t="n"/>
      <c r="CO254" s="42" t="n"/>
      <c r="CP254" s="42" t="n"/>
      <c r="CQ254" s="42" t="n"/>
      <c r="CR254" s="42" t="n"/>
      <c r="CS254" s="42" t="n"/>
      <c r="CT254" s="42" t="n"/>
      <c r="CU254" s="42" t="n"/>
      <c r="CV254" s="42" t="n"/>
      <c r="CW254" s="42" t="n"/>
      <c r="CX254" s="42" t="n"/>
      <c r="CY254" s="42" t="n"/>
    </row>
    <row r="255" hidden="1" outlineLevel="1" customFormat="1" s="66">
      <c r="A255" s="37" t="n"/>
      <c r="B255" s="37" t="n"/>
      <c r="C255" s="67" t="inlineStr">
        <is>
          <t>Diluted Shares outstanding</t>
        </is>
      </c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  <c r="AO255" s="42" t="n"/>
      <c r="AP255" s="42" t="n"/>
      <c r="AQ255" s="42" t="n"/>
      <c r="AR255" s="42" t="n"/>
      <c r="AS255" s="42" t="n"/>
      <c r="AT255" s="42" t="n"/>
      <c r="AU255" s="42" t="n"/>
      <c r="AV255" s="42" t="n"/>
      <c r="AW255" s="42" t="n"/>
      <c r="AX255" s="42" t="n"/>
      <c r="AY255" s="42" t="n"/>
      <c r="AZ255" s="42" t="n"/>
      <c r="BA255" s="42" t="n"/>
      <c r="BB255" s="42" t="n"/>
      <c r="BC255" s="42" t="n"/>
      <c r="BD255" s="42" t="n"/>
      <c r="BE255" s="42" t="n"/>
      <c r="BF255" s="42" t="n"/>
      <c r="BG255" s="42" t="n"/>
      <c r="BH255" s="42" t="n"/>
      <c r="BI255" s="42" t="n"/>
      <c r="BJ255" s="42" t="n"/>
      <c r="BK255" s="42" t="n"/>
      <c r="BL255" s="42" t="n"/>
      <c r="BM255" s="42" t="n"/>
      <c r="BN255" s="42" t="n"/>
      <c r="BO255" s="42" t="n"/>
      <c r="BP255" s="42" t="n"/>
      <c r="BQ255" s="42" t="n"/>
      <c r="BR255" s="42" t="n"/>
      <c r="BS255" s="42" t="n"/>
      <c r="BT255" s="42" t="n"/>
      <c r="BU255" s="42" t="n"/>
      <c r="BV255" s="42" t="n"/>
      <c r="BW255" s="42" t="n"/>
      <c r="BX255" s="42" t="n"/>
      <c r="BY255" s="42" t="n"/>
      <c r="BZ255" s="42" t="n"/>
      <c r="CA255" s="42" t="n"/>
      <c r="CB255" s="42" t="n"/>
      <c r="CC255" s="42" t="n"/>
      <c r="CD255" s="42" t="n"/>
      <c r="CE255" s="42" t="n"/>
      <c r="CF255" s="42" t="n"/>
      <c r="CG255" s="42" t="n"/>
      <c r="CH255" s="42" t="n"/>
      <c r="CI255" s="42" t="n"/>
      <c r="CJ255" s="42" t="n"/>
      <c r="CK255" s="42" t="n"/>
      <c r="CL255" s="42" t="n"/>
      <c r="CM255" s="42" t="n"/>
      <c r="CN255" s="42" t="n"/>
      <c r="CO255" s="42" t="n"/>
      <c r="CP255" s="42" t="n"/>
      <c r="CQ255" s="42" t="n"/>
      <c r="CR255" s="42" t="n"/>
      <c r="CS255" s="42" t="n"/>
      <c r="CT255" s="42" t="n"/>
      <c r="CU255" s="42" t="n"/>
      <c r="CV255" s="42" t="n"/>
      <c r="CW255" s="42" t="n"/>
      <c r="CX255" s="42" t="n"/>
      <c r="CY255" s="42" t="n"/>
    </row>
    <row r="256" hidden="1" outlineLevel="1" customFormat="1" s="66">
      <c r="A256" s="37" t="n"/>
      <c r="B256" s="37" t="n"/>
      <c r="C256" s="67" t="inlineStr">
        <is>
          <t>Treasury share $ repurchases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11" t="n"/>
      <c r="AI256" s="11" t="n"/>
      <c r="AJ256" s="11" t="n"/>
      <c r="AK256" s="11" t="n"/>
      <c r="AL256" s="42" t="n"/>
      <c r="AM256" s="11" t="n"/>
      <c r="AN256" s="11" t="n"/>
      <c r="AO256" s="11" t="n"/>
      <c r="AP256" s="11" t="n"/>
      <c r="AQ256" s="42" t="n"/>
      <c r="AR256" s="11" t="n"/>
      <c r="AS256" s="11" t="n"/>
      <c r="AT256" s="11" t="n"/>
      <c r="AU256" s="11" t="n"/>
      <c r="AV256" s="42" t="n"/>
      <c r="AW256" s="11" t="n"/>
      <c r="AX256" s="11" t="n"/>
      <c r="AY256" s="11" t="n"/>
      <c r="AZ256" s="11" t="n"/>
      <c r="BA256" s="42" t="n"/>
      <c r="BB256" s="11" t="n"/>
      <c r="BC256" s="11" t="n"/>
      <c r="BD256" s="11" t="n"/>
      <c r="BE256" s="11" t="n"/>
      <c r="BF256" s="42" t="n"/>
      <c r="BG256" s="11" t="n"/>
      <c r="BH256" s="11" t="n"/>
      <c r="BI256" s="11" t="n"/>
      <c r="BJ256" s="11" t="n"/>
      <c r="BK256" s="42" t="n"/>
      <c r="BL256" s="11" t="n"/>
      <c r="BM256" s="11" t="n"/>
      <c r="BN256" s="11" t="n"/>
      <c r="BO256" s="11" t="n"/>
      <c r="BP256" s="42" t="n"/>
      <c r="BQ256" s="11" t="n"/>
      <c r="BR256" s="11" t="n"/>
      <c r="BS256" s="11" t="n"/>
      <c r="BT256" s="11" t="n"/>
      <c r="BU256" s="42" t="n"/>
      <c r="BV256" s="11" t="n"/>
      <c r="BW256" s="11" t="n"/>
      <c r="BX256" s="11" t="n"/>
      <c r="BY256" s="11" t="n"/>
      <c r="BZ256" s="42" t="n"/>
      <c r="CA256" s="11" t="n"/>
      <c r="CB256" s="11" t="n"/>
      <c r="CC256" s="11" t="n"/>
      <c r="CD256" s="11" t="n"/>
      <c r="CE256" s="42" t="n"/>
      <c r="CF256" s="11" t="n"/>
      <c r="CG256" s="11" t="n"/>
      <c r="CH256" s="11" t="n"/>
      <c r="CI256" s="11" t="n"/>
      <c r="CJ256" s="42" t="n"/>
      <c r="CK256" s="11" t="n"/>
      <c r="CL256" s="11" t="n"/>
      <c r="CM256" s="11" t="n"/>
      <c r="CN256" s="11" t="n"/>
      <c r="CO256" s="42" t="n"/>
      <c r="CP256" s="11" t="n"/>
      <c r="CQ256" s="11" t="n"/>
      <c r="CR256" s="11" t="n"/>
      <c r="CS256" s="11" t="n"/>
      <c r="CT256" s="42" t="n"/>
      <c r="CU256" s="11" t="n"/>
      <c r="CV256" s="11" t="n"/>
      <c r="CW256" s="11" t="n"/>
      <c r="CX256" s="11" t="n"/>
      <c r="CY256" s="42" t="n"/>
    </row>
    <row r="257" hidden="1" outlineLevel="1" customFormat="1" s="66">
      <c r="A257" s="37" t="n"/>
      <c r="B257" s="37" t="n"/>
      <c r="C257" s="67" t="inlineStr">
        <is>
          <t>Value of shares issued</t>
        </is>
      </c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11" t="n"/>
      <c r="AI257" s="11" t="n"/>
      <c r="AJ257" s="11" t="n"/>
      <c r="AK257" s="11" t="n"/>
      <c r="AL257" s="42" t="n"/>
      <c r="AM257" s="11" t="n"/>
      <c r="AN257" s="11" t="n"/>
      <c r="AO257" s="11" t="n"/>
      <c r="AP257" s="11" t="n"/>
      <c r="AQ257" s="42" t="n"/>
      <c r="AR257" s="11" t="n"/>
      <c r="AS257" s="11" t="n"/>
      <c r="AT257" s="11" t="n"/>
      <c r="AU257" s="11" t="n"/>
      <c r="AV257" s="42" t="n"/>
      <c r="AW257" s="11" t="n"/>
      <c r="AX257" s="11" t="n"/>
      <c r="AY257" s="11" t="n"/>
      <c r="AZ257" s="11" t="n"/>
      <c r="BA257" s="42" t="n"/>
      <c r="BB257" s="11" t="n"/>
      <c r="BC257" s="11" t="n"/>
      <c r="BD257" s="11" t="n"/>
      <c r="BE257" s="11" t="n"/>
      <c r="BF257" s="42" t="n"/>
      <c r="BG257" s="11" t="n"/>
      <c r="BH257" s="11" t="n"/>
      <c r="BI257" s="11" t="n"/>
      <c r="BJ257" s="11" t="n"/>
      <c r="BK257" s="42" t="n"/>
      <c r="BL257" s="11" t="n"/>
      <c r="BM257" s="11" t="n"/>
      <c r="BN257" s="11" t="n"/>
      <c r="BO257" s="11" t="n"/>
      <c r="BP257" s="42" t="n"/>
      <c r="BQ257" s="11" t="n"/>
      <c r="BR257" s="11" t="n"/>
      <c r="BS257" s="11" t="n"/>
      <c r="BT257" s="11" t="n"/>
      <c r="BU257" s="42" t="n"/>
      <c r="BV257" s="11" t="n"/>
      <c r="BW257" s="11" t="n"/>
      <c r="BX257" s="11" t="n"/>
      <c r="BY257" s="11" t="n"/>
      <c r="BZ257" s="42" t="n"/>
      <c r="CA257" s="11" t="n"/>
      <c r="CB257" s="11" t="n"/>
      <c r="CC257" s="11" t="n"/>
      <c r="CD257" s="11" t="n"/>
      <c r="CE257" s="42" t="n"/>
      <c r="CF257" s="11" t="n"/>
      <c r="CG257" s="11" t="n"/>
      <c r="CH257" s="11" t="n"/>
      <c r="CI257" s="11" t="n"/>
      <c r="CJ257" s="42" t="n"/>
      <c r="CK257" s="11" t="n"/>
      <c r="CL257" s="11" t="n"/>
      <c r="CM257" s="11" t="n"/>
      <c r="CN257" s="11" t="n"/>
      <c r="CO257" s="42" t="n"/>
      <c r="CP257" s="11" t="n"/>
      <c r="CQ257" s="11" t="n"/>
      <c r="CR257" s="11" t="n"/>
      <c r="CS257" s="11" t="n"/>
      <c r="CT257" s="42" t="n"/>
      <c r="CU257" s="11" t="n"/>
      <c r="CV257" s="11" t="n"/>
      <c r="CW257" s="11" t="n"/>
      <c r="CX257" s="11" t="n"/>
      <c r="CY257" s="42" t="n"/>
    </row>
    <row r="258" hidden="1" outlineLevel="1" customFormat="1" s="66">
      <c r="A258" s="37" t="n"/>
      <c r="B258" s="37" t="n"/>
      <c r="C258" s="67" t="inlineStr">
        <is>
          <t>Expected average share price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68">
        <f>AF258*(1+AH259)</f>
        <v>0</v>
      </c>
      <c r="AI258" s="68">
        <f>AH258*(1+AI259)</f>
        <v>0</v>
      </c>
      <c r="AJ258" s="68">
        <f>AH258*(1+AJ259)</f>
        <v>0</v>
      </c>
      <c r="AK258" s="68">
        <f>AJ258*(1+AK259)</f>
        <v>0</v>
      </c>
      <c r="AL258" s="42" t="n"/>
      <c r="AM258" s="68">
        <f>AK258*(1+AM259)</f>
        <v>0</v>
      </c>
      <c r="AN258" s="68">
        <f>AM258*(1+AN259)</f>
        <v>0</v>
      </c>
      <c r="AO258" s="68">
        <f>AM258*(1+AO259)</f>
        <v>0</v>
      </c>
      <c r="AP258" s="68">
        <f>AO258*(1+AP259)</f>
        <v>0</v>
      </c>
      <c r="AQ258" s="42" t="n"/>
      <c r="AR258" s="68">
        <f>AP258*(1+AR259)</f>
        <v>0</v>
      </c>
      <c r="AS258" s="68">
        <f>AR258*(1+AS259)</f>
        <v>0</v>
      </c>
      <c r="AT258" s="68">
        <f>AR258*(1+AT259)</f>
        <v>0</v>
      </c>
      <c r="AU258" s="68">
        <f>AT258*(1+AU259)</f>
        <v>0</v>
      </c>
      <c r="AV258" s="42" t="n"/>
      <c r="AW258" s="68">
        <f>AU258*(1+AW259)</f>
        <v>0</v>
      </c>
      <c r="AX258" s="68">
        <f>AW258*(1+AX259)</f>
        <v>0</v>
      </c>
      <c r="AY258" s="68">
        <f>AW258*(1+AY259)</f>
        <v>0</v>
      </c>
      <c r="AZ258" s="68">
        <f>AY258*(1+AZ259)</f>
        <v>0</v>
      </c>
      <c r="BA258" s="42" t="n"/>
      <c r="BB258" s="68">
        <f>AZ258*(1+BB259)</f>
        <v>0</v>
      </c>
      <c r="BC258" s="68">
        <f>BB258*(1+BC259)</f>
        <v>0</v>
      </c>
      <c r="BD258" s="68">
        <f>BB258*(1+BD259)</f>
        <v>0</v>
      </c>
      <c r="BE258" s="68">
        <f>BD258*(1+BE259)</f>
        <v>0</v>
      </c>
      <c r="BF258" s="42" t="n"/>
      <c r="BG258" s="68" t="n"/>
      <c r="BH258" s="68" t="n"/>
      <c r="BI258" s="68" t="n"/>
      <c r="BJ258" s="68" t="n"/>
      <c r="BK258" s="42" t="n"/>
      <c r="BL258" s="68" t="n"/>
      <c r="BM258" s="68" t="n"/>
      <c r="BN258" s="68" t="n"/>
      <c r="BO258" s="68" t="n"/>
      <c r="BP258" s="42" t="n"/>
      <c r="BQ258" s="68" t="n"/>
      <c r="BR258" s="68" t="n"/>
      <c r="BS258" s="68" t="n"/>
      <c r="BT258" s="68" t="n"/>
      <c r="BU258" s="42" t="n"/>
      <c r="BV258" s="68" t="n"/>
      <c r="BW258" s="68" t="n"/>
      <c r="BX258" s="68" t="n"/>
      <c r="BY258" s="68" t="n"/>
      <c r="BZ258" s="42" t="n"/>
      <c r="CA258" s="68" t="n"/>
      <c r="CB258" s="68" t="n"/>
      <c r="CC258" s="68" t="n"/>
      <c r="CD258" s="68" t="n"/>
      <c r="CE258" s="42" t="n"/>
      <c r="CF258" s="68" t="n"/>
      <c r="CG258" s="68" t="n"/>
      <c r="CH258" s="68" t="n"/>
      <c r="CI258" s="68" t="n"/>
      <c r="CJ258" s="42" t="n"/>
      <c r="CK258" s="68" t="n"/>
      <c r="CL258" s="68" t="n"/>
      <c r="CM258" s="68" t="n"/>
      <c r="CN258" s="68" t="n"/>
      <c r="CO258" s="42" t="n"/>
      <c r="CP258" s="68" t="n"/>
      <c r="CQ258" s="68" t="n"/>
      <c r="CR258" s="68" t="n"/>
      <c r="CS258" s="68" t="n"/>
      <c r="CT258" s="42" t="n"/>
      <c r="CU258" s="68" t="n"/>
      <c r="CV258" s="68" t="n"/>
      <c r="CW258" s="68" t="n"/>
      <c r="CX258" s="68" t="n"/>
      <c r="CY258" s="42" t="n"/>
    </row>
    <row r="259" hidden="1" outlineLevel="1" customFormat="1" s="66">
      <c r="A259" s="37" t="n"/>
      <c r="B259" s="37" t="n"/>
      <c r="C259" s="67" t="inlineStr">
        <is>
          <t>Consensus EPS growth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58">
        <f>$AL$264</f>
        <v>0</v>
      </c>
      <c r="AI259" s="58">
        <f>$AL$264</f>
        <v>0</v>
      </c>
      <c r="AJ259" s="58">
        <f>$AL$264</f>
        <v>0</v>
      </c>
      <c r="AK259" s="58">
        <f>$AL$264</f>
        <v>0</v>
      </c>
      <c r="AL259" s="42" t="n"/>
      <c r="AM259" s="58">
        <f>$AL$264</f>
        <v>0</v>
      </c>
      <c r="AN259" s="58">
        <f>$AL$264</f>
        <v>0</v>
      </c>
      <c r="AO259" s="58">
        <f>$AL$264</f>
        <v>0</v>
      </c>
      <c r="AP259" s="58">
        <f>$AL$264</f>
        <v>0</v>
      </c>
      <c r="AQ259" s="42" t="n"/>
      <c r="AR259" s="58">
        <f>$AL$264</f>
        <v>0</v>
      </c>
      <c r="AS259" s="58">
        <f>$AL$264</f>
        <v>0</v>
      </c>
      <c r="AT259" s="58">
        <f>$AL$264</f>
        <v>0</v>
      </c>
      <c r="AU259" s="58">
        <f>$AL$264</f>
        <v>0</v>
      </c>
      <c r="AV259" s="42" t="n"/>
      <c r="AW259" s="58">
        <f>$AL$264</f>
        <v>0</v>
      </c>
      <c r="AX259" s="58">
        <f>$AL$264</f>
        <v>0</v>
      </c>
      <c r="AY259" s="58">
        <f>$AL$264</f>
        <v>0</v>
      </c>
      <c r="AZ259" s="58">
        <f>$AL$264</f>
        <v>0</v>
      </c>
      <c r="BA259" s="42" t="n"/>
      <c r="BB259" s="58">
        <f>$AL$264</f>
        <v>0</v>
      </c>
      <c r="BC259" s="58">
        <f>$AL$264</f>
        <v>0</v>
      </c>
      <c r="BD259" s="58">
        <f>$AL$264</f>
        <v>0</v>
      </c>
      <c r="BE259" s="58">
        <f>$AL$264</f>
        <v>0</v>
      </c>
      <c r="BF259" s="42" t="n"/>
      <c r="BG259" s="58" t="n"/>
      <c r="BH259" s="58" t="n"/>
      <c r="BI259" s="58" t="n"/>
      <c r="BJ259" s="58" t="n"/>
      <c r="BK259" s="42" t="n"/>
      <c r="BL259" s="58" t="n"/>
      <c r="BM259" s="58" t="n"/>
      <c r="BN259" s="58" t="n"/>
      <c r="BO259" s="58" t="n"/>
      <c r="BP259" s="42" t="n"/>
      <c r="BQ259" s="58" t="n"/>
      <c r="BR259" s="58" t="n"/>
      <c r="BS259" s="58" t="n"/>
      <c r="BT259" s="58" t="n"/>
      <c r="BU259" s="42" t="n"/>
      <c r="BV259" s="58" t="n"/>
      <c r="BW259" s="58" t="n"/>
      <c r="BX259" s="58" t="n"/>
      <c r="BY259" s="58" t="n"/>
      <c r="BZ259" s="42" t="n"/>
      <c r="CA259" s="58" t="n"/>
      <c r="CB259" s="58" t="n"/>
      <c r="CC259" s="58" t="n"/>
      <c r="CD259" s="58" t="n"/>
      <c r="CE259" s="42" t="n"/>
      <c r="CF259" s="58" t="n"/>
      <c r="CG259" s="58" t="n"/>
      <c r="CH259" s="58" t="n"/>
      <c r="CI259" s="58" t="n"/>
      <c r="CJ259" s="42" t="n"/>
      <c r="CK259" s="58" t="n"/>
      <c r="CL259" s="58" t="n"/>
      <c r="CM259" s="58" t="n"/>
      <c r="CN259" s="58" t="n"/>
      <c r="CO259" s="42" t="n"/>
      <c r="CP259" s="58" t="n"/>
      <c r="CQ259" s="58" t="n"/>
      <c r="CR259" s="58" t="n"/>
      <c r="CS259" s="58" t="n"/>
      <c r="CT259" s="42" t="n"/>
      <c r="CU259" s="58" t="n"/>
      <c r="CV259" s="58" t="n"/>
      <c r="CW259" s="58" t="n"/>
      <c r="CX259" s="58" t="n"/>
      <c r="CY259" s="42" t="n"/>
    </row>
    <row r="260" hidden="1" outlineLevel="1" customFormat="1" s="66">
      <c r="A260" s="37" t="n"/>
      <c r="B260" s="37" t="n"/>
      <c r="C260" s="67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12" t="n"/>
      <c r="AI260" s="12" t="n"/>
      <c r="AJ260" s="12" t="n"/>
      <c r="AK260" s="12" t="n"/>
      <c r="AL260" s="42" t="n"/>
      <c r="AM260" s="12" t="n"/>
      <c r="AN260" s="12" t="n"/>
      <c r="AO260" s="12" t="n"/>
      <c r="AP260" s="12" t="n"/>
      <c r="AQ260" s="42" t="n"/>
      <c r="AR260" s="12" t="n"/>
      <c r="AS260" s="12" t="n"/>
      <c r="AT260" s="12" t="n"/>
      <c r="AU260" s="12" t="n"/>
      <c r="AV260" s="42" t="n"/>
      <c r="AW260" s="12" t="n"/>
      <c r="AX260" s="12" t="n"/>
      <c r="AY260" s="12" t="n"/>
      <c r="AZ260" s="12" t="n"/>
      <c r="BA260" s="42" t="n"/>
      <c r="BB260" s="12" t="n"/>
      <c r="BC260" s="12" t="n"/>
      <c r="BD260" s="12" t="n"/>
      <c r="BE260" s="12" t="n"/>
      <c r="BF260" s="42" t="n"/>
      <c r="BG260" s="12" t="n"/>
      <c r="BH260" s="12" t="n"/>
      <c r="BI260" s="12" t="n"/>
      <c r="BJ260" s="12" t="n"/>
      <c r="BK260" s="42" t="n"/>
      <c r="BL260" s="12" t="n"/>
      <c r="BM260" s="12" t="n"/>
      <c r="BN260" s="12" t="n"/>
      <c r="BO260" s="12" t="n"/>
      <c r="BP260" s="42" t="n"/>
      <c r="BQ260" s="12" t="n"/>
      <c r="BR260" s="12" t="n"/>
      <c r="BS260" s="12" t="n"/>
      <c r="BT260" s="12" t="n"/>
      <c r="BU260" s="42" t="n"/>
      <c r="BV260" s="12" t="n"/>
      <c r="BW260" s="12" t="n"/>
      <c r="BX260" s="12" t="n"/>
      <c r="BY260" s="12" t="n"/>
      <c r="BZ260" s="42" t="n"/>
      <c r="CA260" s="12" t="n"/>
      <c r="CB260" s="12" t="n"/>
      <c r="CC260" s="12" t="n"/>
      <c r="CD260" s="12" t="n"/>
      <c r="CE260" s="42" t="n"/>
      <c r="CF260" s="12" t="n"/>
      <c r="CG260" s="12" t="n"/>
      <c r="CH260" s="12" t="n"/>
      <c r="CI260" s="12" t="n"/>
      <c r="CJ260" s="42" t="n"/>
      <c r="CK260" s="12" t="n"/>
      <c r="CL260" s="12" t="n"/>
      <c r="CM260" s="12" t="n"/>
      <c r="CN260" s="12" t="n"/>
      <c r="CO260" s="42" t="n"/>
      <c r="CP260" s="12" t="n"/>
      <c r="CQ260" s="12" t="n"/>
      <c r="CR260" s="12" t="n"/>
      <c r="CS260" s="12" t="n"/>
      <c r="CT260" s="42" t="n"/>
      <c r="CU260" s="12" t="n"/>
      <c r="CV260" s="12" t="n"/>
      <c r="CW260" s="12" t="n"/>
      <c r="CX260" s="12" t="n"/>
      <c r="CY260" s="42" t="n"/>
    </row>
    <row r="261" hidden="1" outlineLevel="1" customFormat="1" s="66">
      <c r="A261" s="37" t="n"/>
      <c r="B261" s="37" t="n"/>
      <c r="C261" s="67" t="inlineStr">
        <is>
          <t>Shares repurchased</t>
        </is>
      </c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69" t="str">
        <f>IFERROR(-AH256/AH258,"")</f>
        <v/>
      </c>
      <c r="AI261" s="69" t="str">
        <f>IFERROR(-AI256/AI258,"")</f>
        <v/>
      </c>
      <c r="AJ261" s="69" t="str">
        <f>IFERROR(-AJ256/AJ258,"")</f>
        <v/>
      </c>
      <c r="AK261" s="69" t="str">
        <f>IFERROR(-AK256/AK258,"")</f>
        <v/>
      </c>
      <c r="AL261" s="42" t="n"/>
      <c r="AM261" s="69" t="str">
        <f>IFERROR(-AM256/AM258,"")</f>
        <v/>
      </c>
      <c r="AN261" s="69" t="str">
        <f>IFERROR(-AN256/AN258,"")</f>
        <v/>
      </c>
      <c r="AO261" s="69" t="str">
        <f>IFERROR(-AO256/AO258,"")</f>
        <v/>
      </c>
      <c r="AP261" s="69" t="str">
        <f>IFERROR(-AP256/AP258,"")</f>
        <v/>
      </c>
      <c r="AQ261" s="42" t="n"/>
      <c r="AR261" s="69" t="str">
        <f>IFERROR(-AR256/AR258,"")</f>
        <v/>
      </c>
      <c r="AS261" s="69" t="str">
        <f>IFERROR(-AS256/AS258,"")</f>
        <v/>
      </c>
      <c r="AT261" s="69" t="str">
        <f>IFERROR(-AT256/AT258,"")</f>
        <v/>
      </c>
      <c r="AU261" s="69" t="str">
        <f>IFERROR(-AU256/AU258,"")</f>
        <v/>
      </c>
      <c r="AV261" s="42" t="n"/>
      <c r="AW261" s="69" t="str">
        <f>IFERROR(-AW256/AW258,"")</f>
        <v/>
      </c>
      <c r="AX261" s="69" t="str">
        <f>IFERROR(-AX256/AX258,"")</f>
        <v/>
      </c>
      <c r="AY261" s="69" t="str">
        <f>IFERROR(-AY256/AY258,"")</f>
        <v/>
      </c>
      <c r="AZ261" s="69" t="str">
        <f>IFERROR(-AZ256/AZ258,"")</f>
        <v/>
      </c>
      <c r="BA261" s="42" t="n"/>
      <c r="BB261" s="69" t="str">
        <f>IFERROR(-BB256/BB258,"")</f>
        <v/>
      </c>
      <c r="BC261" s="69" t="str">
        <f>IFERROR(-BC256/BC258,"")</f>
        <v/>
      </c>
      <c r="BD261" s="69" t="str">
        <f>IFERROR(-BD256/BD258,"")</f>
        <v/>
      </c>
      <c r="BE261" s="69" t="str">
        <f>IFERROR(-BE256/BE258,"")</f>
        <v/>
      </c>
      <c r="BF261" s="42" t="n"/>
      <c r="BG261" s="69" t="n"/>
      <c r="BH261" s="69" t="n"/>
      <c r="BI261" s="69" t="n"/>
      <c r="BJ261" s="69" t="n"/>
      <c r="BK261" s="42" t="n"/>
      <c r="BL261" s="69" t="n"/>
      <c r="BM261" s="69" t="n"/>
      <c r="BN261" s="69" t="n"/>
      <c r="BO261" s="69" t="n"/>
      <c r="BP261" s="42" t="n"/>
      <c r="BQ261" s="69" t="n"/>
      <c r="BR261" s="69" t="n"/>
      <c r="BS261" s="69" t="n"/>
      <c r="BT261" s="69" t="n"/>
      <c r="BU261" s="42" t="n"/>
      <c r="BV261" s="69" t="n"/>
      <c r="BW261" s="69" t="n"/>
      <c r="BX261" s="69" t="n"/>
      <c r="BY261" s="69" t="n"/>
      <c r="BZ261" s="42" t="n"/>
      <c r="CA261" s="69" t="n"/>
      <c r="CB261" s="69" t="n"/>
      <c r="CC261" s="69" t="n"/>
      <c r="CD261" s="69" t="n"/>
      <c r="CE261" s="42" t="n"/>
      <c r="CF261" s="69" t="n"/>
      <c r="CG261" s="69" t="n"/>
      <c r="CH261" s="69" t="n"/>
      <c r="CI261" s="69" t="n"/>
      <c r="CJ261" s="42" t="n"/>
      <c r="CK261" s="69" t="n"/>
      <c r="CL261" s="69" t="n"/>
      <c r="CM261" s="69" t="n"/>
      <c r="CN261" s="69" t="n"/>
      <c r="CO261" s="42" t="n"/>
      <c r="CP261" s="69" t="n"/>
      <c r="CQ261" s="69" t="n"/>
      <c r="CR261" s="69" t="n"/>
      <c r="CS261" s="69" t="n"/>
      <c r="CT261" s="42" t="n"/>
      <c r="CU261" s="69" t="n"/>
      <c r="CV261" s="69" t="n"/>
      <c r="CW261" s="69" t="n"/>
      <c r="CX261" s="69" t="n"/>
      <c r="CY261" s="42" t="n"/>
    </row>
    <row r="262" hidden="1" outlineLevel="1" customFormat="1" s="66">
      <c r="A262" s="37" t="n"/>
      <c r="B262" s="37" t="n"/>
      <c r="C262" s="67" t="inlineStr">
        <is>
          <t>Shares issued</t>
        </is>
      </c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9" t="n"/>
      <c r="AG262" s="42" t="n"/>
      <c r="AH262" s="69" t="str">
        <f>IFERROR(AH257/AH258,"")</f>
        <v/>
      </c>
      <c r="AI262" s="69" t="str">
        <f>IFERROR(AI257/AI258,"")</f>
        <v/>
      </c>
      <c r="AJ262" s="69" t="str">
        <f>IFERROR(AJ257/AJ258,"")</f>
        <v/>
      </c>
      <c r="AK262" s="69" t="str">
        <f>IFERROR(AK257/AK258,"")</f>
        <v/>
      </c>
      <c r="AL262" s="42" t="n"/>
      <c r="AM262" s="69" t="str">
        <f>IFERROR(AM257/AM258,"")</f>
        <v/>
      </c>
      <c r="AN262" s="69" t="str">
        <f>IFERROR(AN257/AN258,"")</f>
        <v/>
      </c>
      <c r="AO262" s="69" t="str">
        <f>IFERROR(AO257/AO258,"")</f>
        <v/>
      </c>
      <c r="AP262" s="69" t="str">
        <f>IFERROR(AP257/AP258,"")</f>
        <v/>
      </c>
      <c r="AQ262" s="42" t="n"/>
      <c r="AR262" s="69" t="str">
        <f>IFERROR(AR257/AR258,"")</f>
        <v/>
      </c>
      <c r="AS262" s="69" t="str">
        <f>IFERROR(AS257/AS258,"")</f>
        <v/>
      </c>
      <c r="AT262" s="69" t="str">
        <f>IFERROR(AT257/AT258,"")</f>
        <v/>
      </c>
      <c r="AU262" s="69" t="str">
        <f>IFERROR(AU257/AU258,"")</f>
        <v/>
      </c>
      <c r="AV262" s="42" t="n"/>
      <c r="AW262" s="69" t="str">
        <f>IFERROR(AW257/AW258,"")</f>
        <v/>
      </c>
      <c r="AX262" s="69" t="str">
        <f>IFERROR(AX257/AX258,"")</f>
        <v/>
      </c>
      <c r="AY262" s="69" t="str">
        <f>IFERROR(AY257/AY258,"")</f>
        <v/>
      </c>
      <c r="AZ262" s="69" t="str">
        <f>IFERROR(AZ257/AZ258,"")</f>
        <v/>
      </c>
      <c r="BA262" s="42" t="n"/>
      <c r="BB262" s="69" t="str">
        <f>IFERROR(BB257/BB258,"")</f>
        <v/>
      </c>
      <c r="BC262" s="69" t="str">
        <f>IFERROR(BC257/BC258,"")</f>
        <v/>
      </c>
      <c r="BD262" s="69" t="str">
        <f>IFERROR(BD257/BD258,"")</f>
        <v/>
      </c>
      <c r="BE262" s="69" t="str">
        <f>IFERROR(BE257/BE258,"")</f>
        <v/>
      </c>
      <c r="BF262" s="42" t="n"/>
      <c r="BG262" s="69" t="n"/>
      <c r="BH262" s="69" t="n"/>
      <c r="BI262" s="69" t="n"/>
      <c r="BJ262" s="69" t="n"/>
      <c r="BK262" s="42" t="n"/>
      <c r="BL262" s="69" t="n"/>
      <c r="BM262" s="69" t="n"/>
      <c r="BN262" s="69" t="n"/>
      <c r="BO262" s="69" t="n"/>
      <c r="BP262" s="42" t="n"/>
      <c r="BQ262" s="69" t="n"/>
      <c r="BR262" s="69" t="n"/>
      <c r="BS262" s="69" t="n"/>
      <c r="BT262" s="69" t="n"/>
      <c r="BU262" s="42" t="n"/>
      <c r="BV262" s="69" t="n"/>
      <c r="BW262" s="69" t="n"/>
      <c r="BX262" s="69" t="n"/>
      <c r="BY262" s="69" t="n"/>
      <c r="BZ262" s="42" t="n"/>
      <c r="CA262" s="69" t="n"/>
      <c r="CB262" s="69" t="n"/>
      <c r="CC262" s="69" t="n"/>
      <c r="CD262" s="69" t="n"/>
      <c r="CE262" s="42" t="n"/>
      <c r="CF262" s="69" t="n"/>
      <c r="CG262" s="69" t="n"/>
      <c r="CH262" s="69" t="n"/>
      <c r="CI262" s="69" t="n"/>
      <c r="CJ262" s="42" t="n"/>
      <c r="CK262" s="69" t="n"/>
      <c r="CL262" s="69" t="n"/>
      <c r="CM262" s="69" t="n"/>
      <c r="CN262" s="69" t="n"/>
      <c r="CO262" s="42" t="n"/>
      <c r="CP262" s="69" t="n"/>
      <c r="CQ262" s="69" t="n"/>
      <c r="CR262" s="69" t="n"/>
      <c r="CS262" s="69" t="n"/>
      <c r="CT262" s="42" t="n"/>
      <c r="CU262" s="69" t="n"/>
      <c r="CV262" s="69" t="n"/>
      <c r="CW262" s="69" t="n"/>
      <c r="CX262" s="69" t="n"/>
      <c r="CY262" s="42" t="n"/>
    </row>
    <row r="263" hidden="1" outlineLevel="1" customFormat="1" s="66">
      <c r="A263" s="37" t="n"/>
      <c r="B263" s="37" t="n"/>
      <c r="C263" s="67" t="inlineStr">
        <is>
          <t>End of period basic shares outstanding</t>
        </is>
      </c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3" t="str">
        <f>IFERROR(AG263+AH262-AH261,"")</f>
        <v/>
      </c>
      <c r="AI263" s="3" t="str">
        <f>IFERROR(AH263+AI262-AI261,"")</f>
        <v/>
      </c>
      <c r="AJ263" s="69" t="str">
        <f>IFERROR(AH263+AJ262-AJ261,"")</f>
        <v/>
      </c>
      <c r="AK263" s="69" t="str">
        <f>IFERROR(AJ263+AK262-AK261,"")</f>
        <v/>
      </c>
      <c r="AL263" s="42" t="n"/>
      <c r="AM263" s="3" t="str">
        <f>IFERROR(AK263+AM262-AM261,"")</f>
        <v/>
      </c>
      <c r="AN263" s="3" t="str">
        <f>IFERROR(AM263+AN262-AN261,"")</f>
        <v/>
      </c>
      <c r="AO263" s="69" t="str">
        <f>IFERROR(AM263+AO262-AO261,"")</f>
        <v/>
      </c>
      <c r="AP263" s="69" t="str">
        <f>IFERROR(AO263+AP262-AP261,"")</f>
        <v/>
      </c>
      <c r="AQ263" s="42" t="n"/>
      <c r="AR263" s="3" t="str">
        <f>IFERROR(AP263+AR262-AR261,"")</f>
        <v/>
      </c>
      <c r="AS263" s="3" t="str">
        <f>IFERROR(AR263+AS262-AS261,"")</f>
        <v/>
      </c>
      <c r="AT263" s="69" t="str">
        <f>IFERROR(AR263+AT262-AT261,"")</f>
        <v/>
      </c>
      <c r="AU263" s="69" t="str">
        <f>IFERROR(AT263+AU262-AU261,"")</f>
        <v/>
      </c>
      <c r="AV263" s="42" t="n"/>
      <c r="AW263" s="3" t="str">
        <f>IFERROR(AU263+AW262-AW261,"")</f>
        <v/>
      </c>
      <c r="AX263" s="3" t="str">
        <f>IFERROR(AW263+AX262-AX261,"")</f>
        <v/>
      </c>
      <c r="AY263" s="69" t="str">
        <f>IFERROR(AW263+AY262-AY261,"")</f>
        <v/>
      </c>
      <c r="AZ263" s="69" t="str">
        <f>IFERROR(AY263+AZ262-AZ261,"")</f>
        <v/>
      </c>
      <c r="BA263" s="42" t="n"/>
      <c r="BB263" s="3" t="str">
        <f>IFERROR(AZ263+BB262-BB261,"")</f>
        <v/>
      </c>
      <c r="BC263" s="3" t="str">
        <f>IFERROR(BB263+BC262-BC261,"")</f>
        <v/>
      </c>
      <c r="BD263" s="69" t="str">
        <f>IFERROR(BB263+BD262-BD261,"")</f>
        <v/>
      </c>
      <c r="BE263" s="69" t="str">
        <f>IFERROR(BD263+BE262-BE261,"")</f>
        <v/>
      </c>
      <c r="BF263" s="42" t="n"/>
      <c r="BG263" s="3" t="n"/>
      <c r="BH263" s="3" t="n"/>
      <c r="BI263" s="69" t="n"/>
      <c r="BJ263" s="69" t="n"/>
      <c r="BK263" s="42" t="n"/>
      <c r="BL263" s="3" t="n"/>
      <c r="BM263" s="3" t="n"/>
      <c r="BN263" s="69" t="n"/>
      <c r="BO263" s="69" t="n"/>
      <c r="BP263" s="42" t="n"/>
      <c r="BQ263" s="3" t="n"/>
      <c r="BR263" s="3" t="n"/>
      <c r="BS263" s="69" t="n"/>
      <c r="BT263" s="69" t="n"/>
      <c r="BU263" s="42" t="n"/>
      <c r="BV263" s="3" t="n"/>
      <c r="BW263" s="3" t="n"/>
      <c r="BX263" s="69" t="n"/>
      <c r="BY263" s="69" t="n"/>
      <c r="BZ263" s="42" t="n"/>
      <c r="CA263" s="3" t="n"/>
      <c r="CB263" s="3" t="n"/>
      <c r="CC263" s="69" t="n"/>
      <c r="CD263" s="69" t="n"/>
      <c r="CE263" s="42" t="n"/>
      <c r="CF263" s="3" t="n"/>
      <c r="CG263" s="3" t="n"/>
      <c r="CH263" s="69" t="n"/>
      <c r="CI263" s="69" t="n"/>
      <c r="CJ263" s="42" t="n"/>
      <c r="CK263" s="3" t="n"/>
      <c r="CL263" s="3" t="n"/>
      <c r="CM263" s="69" t="n"/>
      <c r="CN263" s="69" t="n"/>
      <c r="CO263" s="42" t="n"/>
      <c r="CP263" s="3" t="n"/>
      <c r="CQ263" s="3" t="n"/>
      <c r="CR263" s="69" t="n"/>
      <c r="CS263" s="69" t="n"/>
      <c r="CT263" s="42" t="n"/>
      <c r="CU263" s="3" t="n"/>
      <c r="CV263" s="3" t="n"/>
      <c r="CW263" s="69" t="n"/>
      <c r="CX263" s="69" t="n"/>
      <c r="CY263" s="42" t="n"/>
    </row>
    <row r="264" hidden="1" outlineLevel="1" customFormat="1" s="66">
      <c r="A264" s="37" t="n"/>
      <c r="B264" s="37" t="n"/>
      <c r="C264" s="67" t="inlineStr">
        <is>
          <t>Weighted average basic shares outstanding</t>
        </is>
      </c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69" t="str">
        <f>IFERROR(AVERAGE(AG263,AH263),"")</f>
        <v/>
      </c>
      <c r="AI264" s="69" t="str">
        <f>IFERROR(AVERAGE(AH263,AI263),"")</f>
        <v/>
      </c>
      <c r="AJ264" s="69" t="str">
        <f>IFERROR(AVERAGE(AH263,AJ263),"")</f>
        <v/>
      </c>
      <c r="AK264" s="69" t="str">
        <f>IFERROR(AVERAGE(AJ263,AK263),"")</f>
        <v/>
      </c>
      <c r="AL264" s="42" t="n"/>
      <c r="AM264" s="69" t="str">
        <f>IFERROR(AVERAGE(AL263,AM263),"")</f>
        <v/>
      </c>
      <c r="AN264" s="69" t="str">
        <f>IFERROR(AVERAGE(AM263,AN263),"")</f>
        <v/>
      </c>
      <c r="AO264" s="69" t="str">
        <f>IFERROR(AVERAGE(AM263,AO263),"")</f>
        <v/>
      </c>
      <c r="AP264" s="69" t="str">
        <f>IFERROR(AVERAGE(AO263,AP263),"")</f>
        <v/>
      </c>
      <c r="AQ264" s="42" t="n"/>
      <c r="AR264" s="69" t="str">
        <f>IFERROR(AVERAGE(AQ263,AR263),"")</f>
        <v/>
      </c>
      <c r="AS264" s="69" t="str">
        <f>IFERROR(AVERAGE(AR263,AS263),"")</f>
        <v/>
      </c>
      <c r="AT264" s="69" t="str">
        <f>IFERROR(AVERAGE(AR263,AT263),"")</f>
        <v/>
      </c>
      <c r="AU264" s="69" t="str">
        <f>IFERROR(AVERAGE(AT263,AU263),"")</f>
        <v/>
      </c>
      <c r="AV264" s="42" t="n"/>
      <c r="AW264" s="69" t="str">
        <f>IFERROR(AVERAGE(AV263,AW263),"")</f>
        <v/>
      </c>
      <c r="AX264" s="69" t="str">
        <f>IFERROR(AVERAGE(AW263,AX263),"")</f>
        <v/>
      </c>
      <c r="AY264" s="69" t="str">
        <f>IFERROR(AVERAGE(AW263,AY263),"")</f>
        <v/>
      </c>
      <c r="AZ264" s="69" t="str">
        <f>IFERROR(AVERAGE(AY263,AZ263),"")</f>
        <v/>
      </c>
      <c r="BA264" s="42" t="n"/>
      <c r="BB264" s="69" t="str">
        <f>IFERROR(AVERAGE(BA263,BB263),"")</f>
        <v/>
      </c>
      <c r="BC264" s="69" t="str">
        <f>IFERROR(AVERAGE(BB263,BC263),"")</f>
        <v/>
      </c>
      <c r="BD264" s="69" t="str">
        <f>IFERROR(AVERAGE(BB263,BD263),"")</f>
        <v/>
      </c>
      <c r="BE264" s="69" t="str">
        <f>IFERROR(AVERAGE(BD263,BE263),"")</f>
        <v/>
      </c>
      <c r="BF264" s="42" t="n"/>
      <c r="BG264" s="69" t="n"/>
      <c r="BH264" s="69" t="n"/>
      <c r="BI264" s="69" t="n"/>
      <c r="BJ264" s="69" t="n"/>
      <c r="BK264" s="42" t="n"/>
      <c r="BL264" s="69" t="n"/>
      <c r="BM264" s="69" t="n"/>
      <c r="BN264" s="69" t="n"/>
      <c r="BO264" s="69" t="n"/>
      <c r="BP264" s="42" t="n"/>
      <c r="BQ264" s="69" t="n"/>
      <c r="BR264" s="69" t="n"/>
      <c r="BS264" s="69" t="n"/>
      <c r="BT264" s="69" t="n"/>
      <c r="BU264" s="42" t="n"/>
      <c r="BV264" s="69" t="n"/>
      <c r="BW264" s="69" t="n"/>
      <c r="BX264" s="69" t="n"/>
      <c r="BY264" s="69" t="n"/>
      <c r="BZ264" s="42" t="n"/>
      <c r="CA264" s="69" t="n"/>
      <c r="CB264" s="69" t="n"/>
      <c r="CC264" s="69" t="n"/>
      <c r="CD264" s="69" t="n"/>
      <c r="CE264" s="42" t="n"/>
      <c r="CF264" s="69" t="n"/>
      <c r="CG264" s="69" t="n"/>
      <c r="CH264" s="69" t="n"/>
      <c r="CI264" s="69" t="n"/>
      <c r="CJ264" s="42" t="n"/>
      <c r="CK264" s="69" t="n"/>
      <c r="CL264" s="69" t="n"/>
      <c r="CM264" s="69" t="n"/>
      <c r="CN264" s="69" t="n"/>
      <c r="CO264" s="42" t="n"/>
      <c r="CP264" s="69" t="n"/>
      <c r="CQ264" s="69" t="n"/>
      <c r="CR264" s="69" t="n"/>
      <c r="CS264" s="69" t="n"/>
      <c r="CT264" s="42" t="n"/>
      <c r="CU264" s="69" t="n"/>
      <c r="CV264" s="69" t="n"/>
      <c r="CW264" s="69" t="n"/>
      <c r="CX264" s="69" t="n"/>
      <c r="CY264" s="42" t="n"/>
    </row>
    <row r="265" hidden="1" outlineLevel="1" customFormat="1" s="66">
      <c r="A265" s="37" t="n"/>
      <c r="B265" s="37" t="n"/>
      <c r="C265" s="67" t="n"/>
      <c r="D265" s="42" t="n"/>
      <c r="E265" s="42" t="n"/>
      <c r="F265" s="42" t="n"/>
      <c r="G265" s="42" t="n"/>
      <c r="H265" s="12" t="n"/>
      <c r="I265" s="42" t="n"/>
      <c r="J265" s="42" t="n"/>
      <c r="K265" s="42" t="n"/>
      <c r="L265" s="42" t="n"/>
      <c r="M265" s="12" t="n"/>
      <c r="N265" s="42" t="n"/>
      <c r="O265" s="42" t="n"/>
      <c r="P265" s="42" t="n"/>
      <c r="Q265" s="42" t="n"/>
      <c r="R265" s="12" t="n"/>
      <c r="S265" s="42" t="n"/>
      <c r="T265" s="42" t="n"/>
      <c r="U265" s="42" t="n"/>
      <c r="V265" s="42" t="n"/>
      <c r="W265" s="12" t="n"/>
      <c r="X265" s="42" t="n"/>
      <c r="Y265" s="42" t="n"/>
      <c r="Z265" s="42" t="n"/>
      <c r="AA265" s="42" t="n"/>
      <c r="AB265" s="12" t="n"/>
      <c r="AC265" s="42" t="n"/>
      <c r="AD265" s="42" t="n"/>
      <c r="AE265" s="42" t="n"/>
      <c r="AF265" s="42" t="n"/>
      <c r="AG265" s="12" t="n"/>
      <c r="AH265" s="42" t="n"/>
      <c r="AI265" s="42" t="n"/>
      <c r="AJ265" s="42" t="n"/>
      <c r="AK265" s="42" t="n"/>
      <c r="AL265" s="12" t="n"/>
      <c r="AM265" s="42" t="n"/>
      <c r="AN265" s="42" t="n"/>
      <c r="AO265" s="42" t="n"/>
      <c r="AP265" s="42" t="n"/>
      <c r="AQ265" s="12" t="n"/>
      <c r="AR265" s="42" t="n"/>
      <c r="AS265" s="42" t="n"/>
      <c r="AT265" s="42" t="n"/>
      <c r="AU265" s="42" t="n"/>
      <c r="AV265" s="12" t="n"/>
      <c r="AW265" s="42" t="n"/>
      <c r="AX265" s="42" t="n"/>
      <c r="AY265" s="42" t="n"/>
      <c r="AZ265" s="42" t="n"/>
      <c r="BA265" s="12" t="n"/>
      <c r="BB265" s="42" t="n"/>
      <c r="BC265" s="42" t="n"/>
      <c r="BD265" s="42" t="n"/>
      <c r="BE265" s="42" t="n"/>
      <c r="BF265" s="12" t="n"/>
      <c r="BG265" s="42" t="n"/>
      <c r="BH265" s="42" t="n"/>
      <c r="BI265" s="42" t="n"/>
      <c r="BJ265" s="42" t="n"/>
      <c r="BK265" s="12" t="n"/>
      <c r="BL265" s="42" t="n"/>
      <c r="BM265" s="42" t="n"/>
      <c r="BN265" s="42" t="n"/>
      <c r="BO265" s="42" t="n"/>
      <c r="BP265" s="12" t="n"/>
      <c r="BQ265" s="42" t="n"/>
      <c r="BR265" s="42" t="n"/>
      <c r="BS265" s="42" t="n"/>
      <c r="BT265" s="42" t="n"/>
      <c r="BU265" s="12" t="n"/>
      <c r="BV265" s="42" t="n"/>
      <c r="BW265" s="42" t="n"/>
      <c r="BX265" s="42" t="n"/>
      <c r="BY265" s="42" t="n"/>
      <c r="BZ265" s="12" t="n"/>
      <c r="CA265" s="42" t="n"/>
      <c r="CB265" s="42" t="n"/>
      <c r="CC265" s="42" t="n"/>
      <c r="CD265" s="42" t="n"/>
      <c r="CE265" s="12" t="n"/>
      <c r="CF265" s="42" t="n"/>
      <c r="CG265" s="42" t="n"/>
      <c r="CH265" s="42" t="n"/>
      <c r="CI265" s="42" t="n"/>
      <c r="CJ265" s="12" t="n"/>
      <c r="CK265" s="42" t="n"/>
      <c r="CL265" s="42" t="n"/>
      <c r="CM265" s="42" t="n"/>
      <c r="CN265" s="42" t="n"/>
      <c r="CO265" s="12" t="n"/>
      <c r="CP265" s="42" t="n"/>
      <c r="CQ265" s="42" t="n"/>
      <c r="CR265" s="42" t="n"/>
      <c r="CS265" s="42" t="n"/>
      <c r="CT265" s="12" t="n"/>
      <c r="CU265" s="42" t="n"/>
      <c r="CV265" s="42" t="n"/>
      <c r="CW265" s="42" t="n"/>
      <c r="CX265" s="42" t="n"/>
      <c r="CY265" s="12" t="n"/>
    </row>
    <row r="266" collapsed="1">
      <c r="C266" s="14" t="inlineStr">
        <is>
          <t>Treasury stock (contra account)</t>
        </is>
      </c>
      <c r="D266" s="46" t="n"/>
      <c r="E266" s="46" t="n"/>
      <c r="F266" s="46" t="n"/>
      <c r="G266" s="46" t="n"/>
      <c r="H266" s="12" t="n"/>
      <c r="I266" s="46">
        <f>'Inputs (2)'!D44</f>
        <v>-11242</v>
      </c>
      <c r="J266" s="46">
        <f>'Inputs (2)'!E44</f>
        <v>-11604</v>
      </c>
      <c r="K266" s="46">
        <f>'Inputs (2)'!F44</f>
        <v>-12038</v>
      </c>
      <c r="L266" s="46">
        <f>'Inputs (2)'!G44</f>
        <v>0</v>
      </c>
      <c r="M266" s="12">
        <f>'Inputs (2)'!H44</f>
        <v>0</v>
      </c>
      <c r="N266" s="46">
        <f>'Inputs (2)'!I44</f>
        <v>0</v>
      </c>
      <c r="O266" s="46">
        <f>'Inputs (2)'!J44</f>
        <v>0</v>
      </c>
      <c r="P266" s="46">
        <f>'Inputs (2)'!K44</f>
        <v>0</v>
      </c>
      <c r="Q266" s="46">
        <f>'Inputs (2)'!L44</f>
        <v>0</v>
      </c>
      <c r="R266" s="12">
        <f>'Inputs (2)'!M44</f>
        <v>0</v>
      </c>
      <c r="S266" s="46">
        <f>'Inputs (2)'!N44</f>
        <v>0</v>
      </c>
      <c r="T266" s="46">
        <f>'Inputs (2)'!O44</f>
        <v>0</v>
      </c>
      <c r="U266" s="46">
        <f>'Inputs (2)'!P44</f>
        <v>0</v>
      </c>
      <c r="V266" s="46">
        <f>'Inputs (2)'!Q44</f>
        <v>0</v>
      </c>
      <c r="W266" s="12">
        <f>'Inputs (2)'!R44</f>
        <v>0</v>
      </c>
      <c r="X266" s="46">
        <f>'Inputs (2)'!S44</f>
        <v>0</v>
      </c>
      <c r="Y266" s="46">
        <f>'Inputs (2)'!T44</f>
        <v>0</v>
      </c>
      <c r="Z266" s="46">
        <f>'Inputs (2)'!U44</f>
        <v>0</v>
      </c>
      <c r="AA266" s="46">
        <f>'Inputs (2)'!V44</f>
        <v>0</v>
      </c>
      <c r="AB266" s="12">
        <f>'Inputs (2)'!W44</f>
        <v>0</v>
      </c>
      <c r="AC266" s="46">
        <f>'Inputs (2)'!X44</f>
        <v>0</v>
      </c>
      <c r="AD266" s="46">
        <f>'Inputs (2)'!Y44</f>
        <v>0</v>
      </c>
      <c r="AE266" s="46">
        <f>'Inputs (2)'!Z44</f>
        <v>0</v>
      </c>
      <c r="AF266" s="46">
        <f>'Inputs (2)'!AA44</f>
        <v>0</v>
      </c>
      <c r="AG266" s="12">
        <f>'Inputs (2)'!AB44</f>
        <v>0</v>
      </c>
      <c r="AH266" s="12">
        <f>'Inputs (2)'!AC44</f>
        <v>0</v>
      </c>
      <c r="AI266" s="12">
        <f>'Inputs (2)'!AD44</f>
        <v>0</v>
      </c>
      <c r="AJ266" s="12">
        <f>AI266</f>
        <v>0</v>
      </c>
      <c r="AK266" s="12">
        <f>AJ266</f>
        <v>0</v>
      </c>
      <c r="AL266" s="12">
        <f>AK266</f>
        <v>0</v>
      </c>
      <c r="AM266" s="12">
        <f>AL266</f>
        <v>0</v>
      </c>
      <c r="AN266" s="12">
        <f>AM266</f>
        <v>0</v>
      </c>
      <c r="AO266" s="12">
        <f>AN266</f>
        <v>0</v>
      </c>
      <c r="AP266" s="12">
        <f>AO266</f>
        <v>0</v>
      </c>
      <c r="AQ266" s="12">
        <f>AP266</f>
        <v>0</v>
      </c>
      <c r="AR266" s="12">
        <f>AQ266</f>
        <v>0</v>
      </c>
      <c r="AS266" s="12">
        <f>AR266</f>
        <v>0</v>
      </c>
      <c r="AT266" s="12">
        <f>AS266</f>
        <v>0</v>
      </c>
      <c r="AU266" s="12">
        <f>AT266</f>
        <v>0</v>
      </c>
      <c r="AV266" s="12">
        <f>AU266</f>
        <v>0</v>
      </c>
      <c r="AW266" s="12">
        <f>AV266</f>
        <v>0</v>
      </c>
      <c r="AX266" s="12">
        <f>AW266</f>
        <v>0</v>
      </c>
      <c r="AY266" s="12">
        <f>AX266</f>
        <v>0</v>
      </c>
      <c r="AZ266" s="12">
        <f>AY266</f>
        <v>0</v>
      </c>
      <c r="BA266" s="12">
        <f>AZ266</f>
        <v>0</v>
      </c>
      <c r="BB266" s="12">
        <f>BA266</f>
        <v>0</v>
      </c>
      <c r="BC266" s="12">
        <f>BB266</f>
        <v>0</v>
      </c>
      <c r="BD266" s="12">
        <f>BC266</f>
        <v>0</v>
      </c>
      <c r="BE266" s="12">
        <f>BD266</f>
        <v>0</v>
      </c>
      <c r="BF266" s="12">
        <f>BE266</f>
        <v>0</v>
      </c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>
      <c r="C267" s="14" t="inlineStr">
        <is>
          <t>Comprehensive (accumulated) loss</t>
        </is>
      </c>
      <c r="D267" s="46" t="n"/>
      <c r="E267" s="46" t="n"/>
      <c r="F267" s="46" t="n"/>
      <c r="G267" s="46" t="n"/>
      <c r="H267" s="12" t="n"/>
      <c r="I267" s="46">
        <f>'Inputs (2)'!D45</f>
        <v>14</v>
      </c>
      <c r="J267" s="46">
        <f>'Inputs (2)'!E45</f>
        <v>8</v>
      </c>
      <c r="K267" s="46">
        <f>'Inputs (2)'!F45</f>
        <v>9</v>
      </c>
      <c r="L267" s="46">
        <f>'Inputs (2)'!G45</f>
        <v>-11</v>
      </c>
      <c r="M267" s="12">
        <f>'Inputs (2)'!H45</f>
        <v>-11</v>
      </c>
      <c r="N267" s="46">
        <f>'Inputs (2)'!I45</f>
        <v>-64</v>
      </c>
      <c r="O267" s="46">
        <f>'Inputs (2)'!J45</f>
        <v>-90</v>
      </c>
      <c r="P267" s="46">
        <f>'Inputs (2)'!K45</f>
        <v>-123</v>
      </c>
      <c r="Q267" s="46">
        <f>'Inputs (2)'!L45</f>
        <v>-43</v>
      </c>
      <c r="R267" s="12">
        <f>'Inputs (2)'!M45</f>
        <v>-43</v>
      </c>
      <c r="S267" s="46">
        <f>'Inputs (2)'!N45</f>
        <v>-50</v>
      </c>
      <c r="T267" s="46">
        <f>'Inputs (2)'!O45</f>
        <v>-51</v>
      </c>
      <c r="U267" s="46">
        <f>'Inputs (2)'!P45</f>
        <v>-88</v>
      </c>
      <c r="V267" s="46">
        <f>'Inputs (2)'!Q45</f>
        <v>27</v>
      </c>
      <c r="W267" s="12">
        <f>'Inputs (2)'!R45</f>
        <v>27</v>
      </c>
      <c r="X267" s="46">
        <f>'Inputs (2)'!S45</f>
        <v>-109</v>
      </c>
      <c r="Y267" s="46">
        <f>'Inputs (2)'!T45</f>
        <v>56</v>
      </c>
      <c r="Z267" s="46">
        <f>'Inputs (2)'!U45</f>
        <v>103</v>
      </c>
      <c r="AA267" s="46">
        <f>'Inputs (2)'!V45</f>
        <v>28</v>
      </c>
      <c r="AB267" s="12">
        <f>'Inputs (2)'!W45</f>
        <v>28</v>
      </c>
      <c r="AC267" s="46">
        <f>'Inputs (2)'!X45</f>
        <v>186</v>
      </c>
      <c r="AD267" s="46">
        <f>'Inputs (2)'!Y45</f>
        <v>170</v>
      </c>
      <c r="AE267" s="46">
        <f>'Inputs (2)'!Z45</f>
        <v>339</v>
      </c>
      <c r="AF267" s="46">
        <f>'Inputs (2)'!AA45</f>
        <v>178</v>
      </c>
      <c r="AG267" s="12">
        <f>'Inputs (2)'!AB45</f>
        <v>178</v>
      </c>
      <c r="AH267" s="12">
        <f>'Inputs (2)'!AC45</f>
        <v>137</v>
      </c>
      <c r="AI267" s="12">
        <f>'Inputs (2)'!AD45</f>
        <v>-25</v>
      </c>
      <c r="AJ267" s="12">
        <f>AI267</f>
        <v>-25</v>
      </c>
      <c r="AK267" s="12">
        <f>AJ267</f>
        <v>-25</v>
      </c>
      <c r="AL267" s="12">
        <f>AK267</f>
        <v>-25</v>
      </c>
      <c r="AM267" s="12">
        <f>AL267</f>
        <v>-25</v>
      </c>
      <c r="AN267" s="12">
        <f>AM267</f>
        <v>-25</v>
      </c>
      <c r="AO267" s="12">
        <f>AN267</f>
        <v>-25</v>
      </c>
      <c r="AP267" s="12">
        <f>AO267</f>
        <v>-25</v>
      </c>
      <c r="AQ267" s="12">
        <f>AP267</f>
        <v>-25</v>
      </c>
      <c r="AR267" s="12">
        <f>AQ267</f>
        <v>-25</v>
      </c>
      <c r="AS267" s="12">
        <f>AR267</f>
        <v>-25</v>
      </c>
      <c r="AT267" s="12">
        <f>AS267</f>
        <v>-25</v>
      </c>
      <c r="AU267" s="12">
        <f>AT267</f>
        <v>-25</v>
      </c>
      <c r="AV267" s="12">
        <f>AU267</f>
        <v>-25</v>
      </c>
      <c r="AW267" s="12">
        <f>AV267</f>
        <v>-25</v>
      </c>
      <c r="AX267" s="12">
        <f>AW267</f>
        <v>-25</v>
      </c>
      <c r="AY267" s="12">
        <f>AX267</f>
        <v>-25</v>
      </c>
      <c r="AZ267" s="12">
        <f>AY267</f>
        <v>-25</v>
      </c>
      <c r="BA267" s="12">
        <f>AZ267</f>
        <v>-25</v>
      </c>
      <c r="BB267" s="12">
        <f>BA267</f>
        <v>-25</v>
      </c>
      <c r="BC267" s="12">
        <f>BB267</f>
        <v>-25</v>
      </c>
      <c r="BD267" s="12">
        <f>BC267</f>
        <v>-25</v>
      </c>
      <c r="BE267" s="12">
        <f>BD267</f>
        <v>-25</v>
      </c>
      <c r="BF267" s="12">
        <f>BE267</f>
        <v>-25</v>
      </c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>
      <c r="C268" s="14" t="inlineStr">
        <is>
          <t>Other equity account</t>
        </is>
      </c>
      <c r="D268" s="46" t="n"/>
      <c r="E268" s="46" t="n"/>
      <c r="F268" s="46" t="n"/>
      <c r="G268" s="46" t="n"/>
      <c r="H268" s="12" t="n"/>
      <c r="I268" s="46">
        <f>'Inputs (2)'!D46</f>
        <v>0</v>
      </c>
      <c r="J268" s="46">
        <f>'Inputs (2)'!E46</f>
        <v>0</v>
      </c>
      <c r="K268" s="46">
        <f>'Inputs (2)'!F46</f>
        <v>0</v>
      </c>
      <c r="L268" s="46">
        <f>'Inputs (2)'!G46</f>
        <v>0</v>
      </c>
      <c r="M268" s="12">
        <f>'Inputs (2)'!H46</f>
        <v>0</v>
      </c>
      <c r="N268" s="46">
        <f>'Inputs (2)'!I46</f>
        <v>0</v>
      </c>
      <c r="O268" s="46">
        <f>'Inputs (2)'!J46</f>
        <v>0</v>
      </c>
      <c r="P268" s="46">
        <f>'Inputs (2)'!K46</f>
        <v>0</v>
      </c>
      <c r="Q268" s="46">
        <f>'Inputs (2)'!L46</f>
        <v>0</v>
      </c>
      <c r="R268" s="12">
        <f>'Inputs (2)'!M46</f>
        <v>0</v>
      </c>
      <c r="S268" s="46">
        <f>'Inputs (2)'!N46</f>
        <v>0</v>
      </c>
      <c r="T268" s="46">
        <f>'Inputs (2)'!O46</f>
        <v>0</v>
      </c>
      <c r="U268" s="46">
        <f>'Inputs (2)'!P46</f>
        <v>0</v>
      </c>
      <c r="V268" s="46">
        <f>'Inputs (2)'!Q46</f>
        <v>0</v>
      </c>
      <c r="W268" s="12">
        <f>'Inputs (2)'!R46</f>
        <v>0</v>
      </c>
      <c r="X268" s="46">
        <f>'Inputs (2)'!S46</f>
        <v>0</v>
      </c>
      <c r="Y268" s="46">
        <f>'Inputs (2)'!T46</f>
        <v>0</v>
      </c>
      <c r="Z268" s="46">
        <f>'Inputs (2)'!U46</f>
        <v>0</v>
      </c>
      <c r="AA268" s="46">
        <f>'Inputs (2)'!V46</f>
        <v>0</v>
      </c>
      <c r="AB268" s="12">
        <f>'Inputs (2)'!W46</f>
        <v>0</v>
      </c>
      <c r="AC268" s="46">
        <f>'Inputs (2)'!X46</f>
        <v>0</v>
      </c>
      <c r="AD268" s="46">
        <f>'Inputs (2)'!Y46</f>
        <v>0</v>
      </c>
      <c r="AE268" s="46">
        <f>'Inputs (2)'!Z46</f>
        <v>0</v>
      </c>
      <c r="AF268" s="46">
        <f>'Inputs (2)'!AA46</f>
        <v>0</v>
      </c>
      <c r="AG268" s="12">
        <f>'Inputs (2)'!AB46</f>
        <v>0</v>
      </c>
      <c r="AH268" s="12">
        <f>'Inputs (2)'!AC46</f>
        <v>0</v>
      </c>
      <c r="AI268" s="12">
        <f>'Inputs (2)'!AD46</f>
        <v>0</v>
      </c>
      <c r="AJ268" s="12">
        <f>AI268</f>
        <v>0</v>
      </c>
      <c r="AK268" s="12">
        <f>AJ268</f>
        <v>0</v>
      </c>
      <c r="AL268" s="12">
        <f>AK268</f>
        <v>0</v>
      </c>
      <c r="AM268" s="12">
        <f>AL268</f>
        <v>0</v>
      </c>
      <c r="AN268" s="12">
        <f>AM268</f>
        <v>0</v>
      </c>
      <c r="AO268" s="12">
        <f>AN268</f>
        <v>0</v>
      </c>
      <c r="AP268" s="12">
        <f>AO268</f>
        <v>0</v>
      </c>
      <c r="AQ268" s="12">
        <f>AP268</f>
        <v>0</v>
      </c>
      <c r="AR268" s="12">
        <f>AQ268</f>
        <v>0</v>
      </c>
      <c r="AS268" s="12">
        <f>AR268</f>
        <v>0</v>
      </c>
      <c r="AT268" s="12">
        <f>AS268</f>
        <v>0</v>
      </c>
      <c r="AU268" s="12">
        <f>AT268</f>
        <v>0</v>
      </c>
      <c r="AV268" s="12">
        <f>AU268</f>
        <v>0</v>
      </c>
      <c r="AW268" s="12">
        <f>AV268</f>
        <v>0</v>
      </c>
      <c r="AX268" s="12">
        <f>AW268</f>
        <v>0</v>
      </c>
      <c r="AY268" s="12">
        <f>AX268</f>
        <v>0</v>
      </c>
      <c r="AZ268" s="12">
        <f>AY268</f>
        <v>0</v>
      </c>
      <c r="BA268" s="12">
        <f>AZ268</f>
        <v>0</v>
      </c>
      <c r="BB268" s="12">
        <f>BA268</f>
        <v>0</v>
      </c>
      <c r="BC268" s="12">
        <f>BB268</f>
        <v>0</v>
      </c>
      <c r="BD268" s="12">
        <f>BC268</f>
        <v>0</v>
      </c>
      <c r="BE268" s="12">
        <f>BD268</f>
        <v>0</v>
      </c>
      <c r="BF268" s="12">
        <f>BE268</f>
        <v>0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>
      <c r="C269" s="15" t="inlineStr">
        <is>
          <t>Retained earnings</t>
        </is>
      </c>
      <c r="D269" s="46" t="n"/>
      <c r="E269" s="46" t="n"/>
      <c r="F269" s="46" t="n"/>
      <c r="G269" s="46" t="n"/>
      <c r="H269" s="12" t="n"/>
      <c r="I269" s="46">
        <f>'Inputs (2)'!D47</f>
        <v>20721</v>
      </c>
      <c r="J269" s="46">
        <f>'Inputs (2)'!E47</f>
        <v>22995</v>
      </c>
      <c r="K269" s="46">
        <f>'Inputs (2)'!F47</f>
        <v>25359</v>
      </c>
      <c r="L269" s="46">
        <f>'Inputs (2)'!G47</f>
        <v>16235</v>
      </c>
      <c r="M269" s="12">
        <f>'Inputs (2)'!H47</f>
        <v>16235</v>
      </c>
      <c r="N269" s="46">
        <f>'Inputs (2)'!I47</f>
        <v>15758</v>
      </c>
      <c r="O269" s="46">
        <f>'Inputs (2)'!J47</f>
        <v>12971</v>
      </c>
      <c r="P269" s="46">
        <f>'Inputs (2)'!K47</f>
        <v>9905</v>
      </c>
      <c r="Q269" s="46">
        <f>'Inputs (2)'!L47</f>
        <v>10171</v>
      </c>
      <c r="R269" s="12">
        <f>'Inputs (2)'!M47</f>
        <v>10171</v>
      </c>
      <c r="S269" s="46">
        <f>'Inputs (2)'!N47</f>
        <v>12115</v>
      </c>
      <c r="T269" s="46">
        <f>'Inputs (2)'!O47</f>
        <v>14921</v>
      </c>
      <c r="U269" s="46">
        <f>'Inputs (2)'!P47</f>
        <v>20360</v>
      </c>
      <c r="V269" s="46">
        <f>'Inputs (2)'!Q47</f>
        <v>29817</v>
      </c>
      <c r="W269" s="12">
        <f>'Inputs (2)'!R47</f>
        <v>29817</v>
      </c>
      <c r="X269" s="46">
        <f>'Inputs (2)'!S47</f>
        <v>36598</v>
      </c>
      <c r="Y269" s="46">
        <f>'Inputs (2)'!T47</f>
        <v>45961</v>
      </c>
      <c r="Z269" s="46">
        <f>'Inputs (2)'!U47</f>
        <v>53950</v>
      </c>
      <c r="AA269" s="46">
        <f>'Inputs (2)'!V47</f>
        <v>68038</v>
      </c>
      <c r="AB269" s="12">
        <f>'Inputs (2)'!W47</f>
        <v>68038</v>
      </c>
      <c r="AC269" s="46">
        <f>'Inputs (2)'!X47</f>
        <v>72158</v>
      </c>
      <c r="AD269" s="46">
        <f>'Inputs (2)'!Y47</f>
        <v>88737</v>
      </c>
      <c r="AE269" s="46">
        <f>'Inputs (2)'!Z47</f>
        <v>107908</v>
      </c>
      <c r="AF269" s="46">
        <f>'Inputs (2)'!AA47</f>
        <v>146973</v>
      </c>
      <c r="AG269" s="12">
        <f>'Inputs (2)'!AB47</f>
        <v>146973</v>
      </c>
      <c r="AH269" s="12">
        <f>'Inputs (2)'!AC47</f>
        <v>185038</v>
      </c>
      <c r="AI269" s="12">
        <f>'Inputs (2)'!AD47</f>
        <v>219157</v>
      </c>
      <c r="AJ269" s="12">
        <f>AI269+AJ136+AJ137</f>
        <v>278843.969193535</v>
      </c>
      <c r="AK269" s="12">
        <f>AJ269+AK136+AK137</f>
        <v>350174.954532761</v>
      </c>
      <c r="AL269" s="12">
        <f>AK269</f>
        <v>350174.954532761</v>
      </c>
      <c r="AM269" s="12">
        <f>AL269+AM136+AM137</f>
        <v>435628.275073236</v>
      </c>
      <c r="AN269" s="12">
        <f>AM269+AN136+AN137</f>
        <v>536374.50990415</v>
      </c>
      <c r="AO269" s="12">
        <f>AN269+AO136+AO137</f>
        <v>640983.118443766</v>
      </c>
      <c r="AP269" s="12">
        <f>AO269+AP136+AP137</f>
        <v>765999.268918776</v>
      </c>
      <c r="AQ269" s="12">
        <f>AP269</f>
        <v>765999.268918776</v>
      </c>
      <c r="AR269" s="12">
        <f>AQ269+AR136+AR137</f>
        <v>915339.247622897</v>
      </c>
      <c r="AS269" s="12">
        <f>AR269+AS136+AS137</f>
        <v>1091405.43754986</v>
      </c>
      <c r="AT269" s="12">
        <f>AS269+AT136+AT137</f>
        <v>1274221.59112665</v>
      </c>
      <c r="AU269" s="12">
        <f>AT269+AU136+AU137</f>
        <v>1492702.38428396</v>
      </c>
      <c r="AV269" s="12">
        <f>AU269</f>
        <v>1492702.38428396</v>
      </c>
      <c r="AW269" s="12">
        <f>AV269+AW136+AW137</f>
        <v>1752945.29951936</v>
      </c>
      <c r="AX269" s="12">
        <f>AW269+AX136+AX137</f>
        <v>2059761.85954957</v>
      </c>
      <c r="AY269" s="12">
        <f>AX269+AY136+AY137</f>
        <v>2378341.04492101</v>
      </c>
      <c r="AZ269" s="12">
        <f>AY269+AZ136+AZ137</f>
        <v>2759070.16399268</v>
      </c>
      <c r="BA269" s="12">
        <f>AZ269</f>
        <v>2759070.16399268</v>
      </c>
      <c r="BB269" s="12">
        <f>BA269+BB136+BB137</f>
        <v>3211273.60046781</v>
      </c>
      <c r="BC269" s="12">
        <f>BB269+BC136+BC137</f>
        <v>3744404.35904249</v>
      </c>
      <c r="BD269" s="12">
        <f>BC269+BD136+BD137</f>
        <v>4297974.09708549</v>
      </c>
      <c r="BE269" s="12">
        <f>BD269+BE136+BE137</f>
        <v>4959536.83686123</v>
      </c>
      <c r="BF269" s="12">
        <f>BE269</f>
        <v>4959536.83686123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 customFormat="1" s="32">
      <c r="A270" s="30" t="inlineStr">
        <is>
          <t xml:space="preserve"> </t>
        </is>
      </c>
      <c r="B270" s="30" t="n"/>
      <c r="C270" s="65" t="inlineStr">
        <is>
          <t>Total Shareholders' Equity</t>
        </is>
      </c>
      <c r="D270" s="35" t="n"/>
      <c r="E270" s="35" t="n"/>
      <c r="F270" s="35" t="n"/>
      <c r="G270" s="35" t="n"/>
      <c r="H270" s="35" t="n"/>
      <c r="I270" s="35">
        <f>SUM(I247+I252+I253+I266+I267+I268+I269)</f>
        <v>18774</v>
      </c>
      <c r="J270" s="35">
        <f>SUM(J247+J252+J253+J266+J267+J268+J269)</f>
        <v>21147</v>
      </c>
      <c r="K270" s="35">
        <f>SUM(K247+K252+K253+K266+K267+K268+K269)</f>
        <v>23798</v>
      </c>
      <c r="L270" s="35">
        <f>SUM(L247+L252+L253+L266+L267+L268+L269)</f>
        <v>26612</v>
      </c>
      <c r="M270" s="35">
        <f>SUM(M247,M252,M253,M266,M267,M268,M269)</f>
        <v>26612</v>
      </c>
      <c r="N270" s="35">
        <f>SUM(N247+N252+N253+N266+N267+N268+N269)</f>
        <v>26320</v>
      </c>
      <c r="O270" s="35">
        <f>SUM(O247+O252+O253+O266+O267+O268+O269)</f>
        <v>23851</v>
      </c>
      <c r="P270" s="35">
        <f>SUM(P247+P252+P253+P266+P267+P268+P269)</f>
        <v>21349</v>
      </c>
      <c r="Q270" s="35">
        <f>SUM(Q247+Q252+Q253+Q266+Q267+Q268+Q269)</f>
        <v>22101</v>
      </c>
      <c r="R270" s="35">
        <f>SUM(R247,R252,R253,R266,R267,R268,R269)</f>
        <v>22101</v>
      </c>
      <c r="S270" s="35">
        <f>SUM(S247+S252+S253+S266+S267+S268+S269)</f>
        <v>24520</v>
      </c>
      <c r="T270" s="35">
        <f>SUM(T247+T252+T253+T266+T267+T268+T269)</f>
        <v>27501</v>
      </c>
      <c r="U270" s="35">
        <f>SUM(U247+U252+U253+U266+U267+U268+U269)</f>
        <v>33265</v>
      </c>
      <c r="V270" s="35">
        <f>SUM(V247+V252+V253+V266+V267+V268+V269)</f>
        <v>42978</v>
      </c>
      <c r="W270" s="35">
        <f>SUM(W247,W252,W253,W266,W267,W268,W269)</f>
        <v>42978</v>
      </c>
      <c r="X270" s="35">
        <f>SUM(X247+X252+X253+X266+X267+X268+X269)</f>
        <v>49142</v>
      </c>
      <c r="Y270" s="35">
        <f>SUM(Y247+Y252+Y253+Y266+Y267+Y268+Y269)</f>
        <v>58157</v>
      </c>
      <c r="Z270" s="35">
        <f>SUM(Z247+Z252+Z253+Z266+Z267+Z268+Z269)</f>
        <v>65899</v>
      </c>
      <c r="AA270" s="35">
        <f>SUM(AA247+AA252+AA253+AA266+AA267+AA268+AA269)</f>
        <v>79327</v>
      </c>
      <c r="AB270" s="35">
        <f>SUM(AB247,AB252,AB253,AB266,AB267,AB268,AB269)</f>
        <v>79327</v>
      </c>
      <c r="AC270" s="35">
        <f>SUM(AC247+AC252+AC253+AC266+AC267+AC268+AC269)</f>
        <v>83843</v>
      </c>
      <c r="AD270" s="35">
        <f>SUM(AD247+AD252+AD253+AD266+AD267+AD268+AD269)</f>
        <v>100131</v>
      </c>
      <c r="AE270" s="35">
        <f>SUM(AE247+AE252+AE253+AE266+AE267+AE268+AE269)</f>
        <v>118897</v>
      </c>
      <c r="AF270" s="35">
        <f>SUM(AF247+AF252+AF253+AF266+AF267+AF268+AF269)</f>
        <v>157293</v>
      </c>
      <c r="AG270" s="35">
        <f>SUM(AG247,AG252,AG253,AG266,AG267,AG268,AG269)</f>
        <v>157293</v>
      </c>
      <c r="AH270" s="35">
        <f>SUM(AH247+AH252+AH253+AH266+AH267+AH268+AH269)</f>
        <v>195474</v>
      </c>
      <c r="AI270" s="35">
        <f>SUM(AI247+AI252+AI253+AI266+AI267+AI268+AI269)</f>
        <v>228984</v>
      </c>
      <c r="AJ270" s="35">
        <f>SUM(AJ247+AJ252+AJ253+AJ266+AJ267+AJ268+AJ269)</f>
        <v>288670.969193535</v>
      </c>
      <c r="AK270" s="35">
        <f>SUM(AK247+AK252+AK253+AK266+AK267+AK268+AK269)</f>
        <v>360001.954532761</v>
      </c>
      <c r="AL270" s="35">
        <f>SUM(AL247,AL252,AL253,AL266,AL267,AL268,AL269)</f>
        <v>360001.954532761</v>
      </c>
      <c r="AM270" s="35">
        <f>SUM(AM247+AM252+AM253+AM266+AM267+AM268+AM269)</f>
        <v>445455.275073236</v>
      </c>
      <c r="AN270" s="35">
        <f>SUM(AN247+AN252+AN253+AN266+AN267+AN268+AN269)</f>
        <v>546201.50990415</v>
      </c>
      <c r="AO270" s="35">
        <f>SUM(AO247+AO252+AO253+AO266+AO267+AO268+AO269)</f>
        <v>650810.118443766</v>
      </c>
      <c r="AP270" s="35">
        <f>SUM(AP247+AP252+AP253+AP266+AP267+AP268+AP269)</f>
        <v>775826.268918776</v>
      </c>
      <c r="AQ270" s="35">
        <f>SUM(AQ247,AQ252,AQ253,AQ266,AQ267,AQ268,AQ269)</f>
        <v>775826.268918776</v>
      </c>
      <c r="AR270" s="35">
        <f>SUM(AR247+AR252+AR253+AR266+AR267+AR268+AR269)</f>
        <v>925166.247622897</v>
      </c>
      <c r="AS270" s="35">
        <f>SUM(AS247+AS252+AS253+AS266+AS267+AS268+AS269)</f>
        <v>1101232.43754986</v>
      </c>
      <c r="AT270" s="35">
        <f>SUM(AT247+AT252+AT253+AT266+AT267+AT268+AT269)</f>
        <v>1284048.59112665</v>
      </c>
      <c r="AU270" s="35">
        <f>SUM(AU247+AU252+AU253+AU266+AU267+AU268+AU269)</f>
        <v>1502529.38428396</v>
      </c>
      <c r="AV270" s="35">
        <f>SUM(AV247,AV252,AV253,AV266,AV267,AV268,AV269)</f>
        <v>1502529.38428396</v>
      </c>
      <c r="AW270" s="35">
        <f>SUM(AW247+AW252+AW253+AW266+AW267+AW268+AW269)</f>
        <v>1762772.29951936</v>
      </c>
      <c r="AX270" s="35">
        <f>SUM(AX247+AX252+AX253+AX266+AX267+AX268+AX269)</f>
        <v>2069588.85954957</v>
      </c>
      <c r="AY270" s="35">
        <f>SUM(AY247+AY252+AY253+AY266+AY267+AY268+AY269)</f>
        <v>2388168.04492101</v>
      </c>
      <c r="AZ270" s="35">
        <f>SUM(AZ247+AZ252+AZ253+AZ266+AZ267+AZ268+AZ269)</f>
        <v>2768897.16399268</v>
      </c>
      <c r="BA270" s="35">
        <f>SUM(BA247,BA252,BA253,BA266,BA267,BA268,BA269)</f>
        <v>2768897.16399268</v>
      </c>
      <c r="BB270" s="35">
        <f>SUM(BB247+BB252+BB253+BB266+BB267+BB268+BB269)</f>
        <v>3221100.60046781</v>
      </c>
      <c r="BC270" s="35">
        <f>SUM(BC247+BC252+BC253+BC266+BC267+BC268+BC269)</f>
        <v>3754231.35904249</v>
      </c>
      <c r="BD270" s="35">
        <f>SUM(BD247+BD252+BD253+BD266+BD267+BD268+BD269)</f>
        <v>4307801.09708549</v>
      </c>
      <c r="BE270" s="35">
        <f>SUM(BE247+BE252+BE253+BE266+BE267+BE268+BE269)</f>
        <v>4969363.83686123</v>
      </c>
      <c r="BF270" s="35">
        <f>SUM(BF247,BF252,BF253,BF266,BF267,BF268,BF269)</f>
        <v>4969363.83686123</v>
      </c>
      <c r="BG270" s="35" t="n"/>
      <c r="BH270" s="35" t="n"/>
      <c r="BI270" s="35" t="n"/>
      <c r="BJ270" s="35" t="n"/>
      <c r="BK270" s="35" t="n"/>
      <c r="BL270" s="35" t="n"/>
      <c r="BM270" s="35" t="n"/>
      <c r="BN270" s="35" t="n"/>
      <c r="BO270" s="35" t="n"/>
      <c r="BP270" s="35" t="n"/>
      <c r="BQ270" s="35" t="n"/>
      <c r="BR270" s="35" t="n"/>
      <c r="BS270" s="35" t="n"/>
      <c r="BT270" s="35" t="n"/>
      <c r="BU270" s="35" t="n"/>
      <c r="BV270" s="35" t="n"/>
      <c r="BW270" s="35" t="n"/>
      <c r="BX270" s="35" t="n"/>
      <c r="BY270" s="35" t="n"/>
      <c r="BZ270" s="35" t="n"/>
      <c r="CA270" s="35" t="n"/>
      <c r="CB270" s="35" t="n"/>
      <c r="CC270" s="35" t="n"/>
      <c r="CD270" s="35" t="n"/>
      <c r="CE270" s="35" t="n"/>
      <c r="CF270" s="35" t="n"/>
      <c r="CG270" s="35" t="n"/>
      <c r="CH270" s="35" t="n"/>
      <c r="CI270" s="35" t="n"/>
      <c r="CJ270" s="35" t="n"/>
      <c r="CK270" s="35" t="n"/>
      <c r="CL270" s="35" t="n"/>
      <c r="CM270" s="35" t="n"/>
      <c r="CN270" s="35" t="n"/>
      <c r="CO270" s="35" t="n"/>
      <c r="CP270" s="35" t="n"/>
      <c r="CQ270" s="35" t="n"/>
      <c r="CR270" s="35" t="n"/>
      <c r="CS270" s="35" t="n"/>
      <c r="CT270" s="35" t="n"/>
      <c r="CU270" s="35" t="n"/>
      <c r="CV270" s="35" t="n"/>
      <c r="CW270" s="35" t="n"/>
      <c r="CX270" s="35" t="n"/>
      <c r="CY270" s="35" t="n"/>
    </row>
    <row r="271">
      <c r="C271" s="10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  <c r="AL271" s="12" t="n"/>
      <c r="AM271" s="12" t="n"/>
      <c r="AN271" s="12" t="n"/>
      <c r="AO271" s="12" t="n"/>
      <c r="AP271" s="12" t="n"/>
      <c r="AQ271" s="12" t="n"/>
      <c r="AR271" s="12" t="n"/>
      <c r="AS271" s="12" t="n"/>
      <c r="AT271" s="12" t="n"/>
      <c r="AU271" s="12" t="n"/>
      <c r="AV271" s="12" t="n"/>
      <c r="AW271" s="12" t="n"/>
      <c r="AX271" s="12" t="n"/>
      <c r="AY271" s="12" t="n"/>
      <c r="AZ271" s="12" t="n"/>
      <c r="BA271" s="12" t="n"/>
      <c r="BB271" s="12" t="n"/>
      <c r="BC271" s="12" t="n"/>
      <c r="BD271" s="12" t="n"/>
      <c r="BE271" s="12" t="n"/>
      <c r="BF271" s="12" t="n"/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customFormat="1" s="32">
      <c r="A272" s="30" t="n"/>
      <c r="B272" s="3" t="n"/>
      <c r="C272" s="33" t="inlineStr">
        <is>
          <t>Total Liabilities + Shareholders' Equity</t>
        </is>
      </c>
      <c r="D272" s="35" t="n"/>
      <c r="E272" s="35" t="n"/>
      <c r="F272" s="35" t="n"/>
      <c r="G272" s="35" t="n"/>
      <c r="H272" s="35" t="n"/>
      <c r="I272" s="35">
        <f>I270+I246</f>
        <v>30796</v>
      </c>
      <c r="J272" s="35">
        <f>J270+J246</f>
        <v>38650</v>
      </c>
      <c r="K272" s="35">
        <f>K270+K246</f>
        <v>40632</v>
      </c>
      <c r="L272" s="35">
        <f>L270+L246</f>
        <v>44187</v>
      </c>
      <c r="M272" s="35">
        <f>M270+M246</f>
        <v>44187</v>
      </c>
      <c r="N272" s="35">
        <f>N270+N246</f>
        <v>45212</v>
      </c>
      <c r="O272" s="35">
        <f>O270+O246</f>
        <v>43476</v>
      </c>
      <c r="P272" s="35">
        <f>P270+P246</f>
        <v>40488</v>
      </c>
      <c r="Q272" s="35">
        <f>Q270+Q246</f>
        <v>41182</v>
      </c>
      <c r="R272" s="35">
        <f>R270+R246</f>
        <v>41182</v>
      </c>
      <c r="S272" s="35">
        <f>S270+S246</f>
        <v>44460</v>
      </c>
      <c r="T272" s="35">
        <f>T270+T246</f>
        <v>49555</v>
      </c>
      <c r="U272" s="35">
        <f>U270+U246</f>
        <v>54148</v>
      </c>
      <c r="V272" s="35">
        <f>V270+V246</f>
        <v>65728</v>
      </c>
      <c r="W272" s="35">
        <f>W270+W246</f>
        <v>65728</v>
      </c>
      <c r="X272" s="35">
        <f>X270+X246</f>
        <v>77072</v>
      </c>
      <c r="Y272" s="35">
        <f>Y270+Y246</f>
        <v>85227</v>
      </c>
      <c r="Z272" s="35">
        <f>Z270+Z246</f>
        <v>96013</v>
      </c>
      <c r="AA272" s="35">
        <f>AA270+AA246</f>
        <v>111601</v>
      </c>
      <c r="AB272" s="35">
        <f>AB270+AB246</f>
        <v>111601</v>
      </c>
      <c r="AC272" s="35">
        <f>AC270+AC246</f>
        <v>125254</v>
      </c>
      <c r="AD272" s="35">
        <f>AD270+AD246</f>
        <v>140740</v>
      </c>
      <c r="AE272" s="35">
        <f>AE270+AE246</f>
        <v>161148</v>
      </c>
      <c r="AF272" s="35">
        <f>AF270+AF246</f>
        <v>206803</v>
      </c>
      <c r="AG272" s="35">
        <f>AG270+AG246</f>
        <v>206803</v>
      </c>
      <c r="AH272" s="35">
        <f>AH270+AH246</f>
        <v>259474</v>
      </c>
      <c r="AI272" s="35">
        <f>AI270+AI246</f>
        <v>320272</v>
      </c>
      <c r="AJ272" s="35">
        <f>AJ270+AJ246</f>
        <v>401569.985926357</v>
      </c>
      <c r="AK272" s="35">
        <f>AK270+AK246</f>
        <v>511658.145528223</v>
      </c>
      <c r="AL272" s="35">
        <f>AL270+AL246</f>
        <v>511658.145528223</v>
      </c>
      <c r="AM272" s="35">
        <f>AM270+AM246</f>
        <v>663834.407843807</v>
      </c>
      <c r="AN272" s="35">
        <f>AN270+AN246</f>
        <v>877794.495290495</v>
      </c>
      <c r="AO272" s="35">
        <f>AO270+AO246</f>
        <v>1174605.76235662</v>
      </c>
      <c r="AP272" s="35">
        <f>AP270+AP246</f>
        <v>1640755.33720728</v>
      </c>
      <c r="AQ272" s="35">
        <f>AQ270+AQ246</f>
        <v>1640755.33720728</v>
      </c>
      <c r="AR272" s="35">
        <f>AR270+AR246</f>
        <v>2381376.19182332</v>
      </c>
      <c r="AS272" s="35">
        <f>AS270+AS246</f>
        <v>3585739.45804722</v>
      </c>
      <c r="AT272" s="35">
        <f>AT270+AT246</f>
        <v>5553991.77851262</v>
      </c>
      <c r="AU272" s="35">
        <f>AU270+AU246</f>
        <v>8900215.35316782</v>
      </c>
      <c r="AV272" s="35">
        <f>AV270+AV246</f>
        <v>8900215.35316782</v>
      </c>
      <c r="AW272" s="35">
        <f>AW270+AW246</f>
        <v>14586066.7533858</v>
      </c>
      <c r="AX272" s="35">
        <f>AX270+AX246</f>
        <v>24337042.4137969</v>
      </c>
      <c r="AY272" s="35">
        <f>AY270+AY246</f>
        <v>41094391.1259853</v>
      </c>
      <c r="AZ272" s="35">
        <f>AZ270+AZ246</f>
        <v>70134700.347084</v>
      </c>
      <c r="BA272" s="35">
        <f>BA270+BA246</f>
        <v>70134700.347084</v>
      </c>
      <c r="BB272" s="35">
        <f>BB270+BB246</f>
        <v>120186267.512945</v>
      </c>
      <c r="BC272" s="35">
        <f>BC270+BC246</f>
        <v>206886456.44853</v>
      </c>
      <c r="BD272" s="35">
        <f>BD270+BD246</f>
        <v>357133086.809207</v>
      </c>
      <c r="BE272" s="35">
        <f>BE270+BE246</f>
        <v>617927070.335462</v>
      </c>
      <c r="BF272" s="35">
        <f>BF270+BF246</f>
        <v>617927070.335462</v>
      </c>
      <c r="BG272" s="35" t="n"/>
      <c r="BH272" s="35" t="n"/>
      <c r="BI272" s="35" t="n"/>
      <c r="BJ272" s="35" t="n"/>
      <c r="BK272" s="35" t="n"/>
      <c r="BL272" s="35" t="n"/>
      <c r="BM272" s="35" t="n"/>
      <c r="BN272" s="35" t="n"/>
      <c r="BO272" s="35" t="n"/>
      <c r="BP272" s="35" t="n"/>
      <c r="BQ272" s="35" t="n"/>
      <c r="BR272" s="35" t="n"/>
      <c r="BS272" s="35" t="n"/>
      <c r="BT272" s="35" t="n"/>
      <c r="BU272" s="35" t="n"/>
      <c r="BV272" s="35" t="n"/>
      <c r="BW272" s="35" t="n"/>
      <c r="BX272" s="35" t="n"/>
      <c r="BY272" s="35" t="n"/>
      <c r="BZ272" s="35" t="n"/>
      <c r="CA272" s="35" t="n"/>
      <c r="CB272" s="35" t="n"/>
      <c r="CC272" s="35" t="n"/>
      <c r="CD272" s="35" t="n"/>
      <c r="CE272" s="35" t="n"/>
      <c r="CF272" s="35" t="n"/>
      <c r="CG272" s="35" t="n"/>
      <c r="CH272" s="35" t="n"/>
      <c r="CI272" s="35" t="n"/>
      <c r="CJ272" s="35" t="n"/>
      <c r="CK272" s="35" t="n"/>
      <c r="CL272" s="35" t="n"/>
      <c r="CM272" s="35" t="n"/>
      <c r="CN272" s="35" t="n"/>
      <c r="CO272" s="35" t="n"/>
      <c r="CP272" s="35" t="n"/>
      <c r="CQ272" s="35" t="n"/>
      <c r="CR272" s="35" t="n"/>
      <c r="CS272" s="35" t="n"/>
      <c r="CT272" s="35" t="n"/>
      <c r="CU272" s="35" t="n"/>
      <c r="CV272" s="35" t="n"/>
      <c r="CW272" s="35" t="n"/>
      <c r="CX272" s="35" t="n"/>
      <c r="CY272" s="35" t="n"/>
    </row>
    <row r="273">
      <c r="C273" s="18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3" t="n"/>
      <c r="AQ273" s="3" t="n"/>
      <c r="AR273" s="3" t="n"/>
      <c r="AS273" s="3" t="n"/>
      <c r="AT273" s="3" t="n"/>
      <c r="AU273" s="3" t="n"/>
      <c r="AV273" s="3" t="n"/>
      <c r="AW273" s="3" t="n"/>
      <c r="AX273" s="3" t="n"/>
      <c r="AY273" s="3" t="n"/>
      <c r="AZ273" s="3" t="n"/>
      <c r="BA273" s="3" t="n"/>
      <c r="BB273" s="3" t="n"/>
      <c r="BC273" s="3" t="n"/>
      <c r="BD273" s="3" t="n"/>
      <c r="BE273" s="3" t="n"/>
      <c r="BF273" s="3" t="n"/>
      <c r="BG273" s="3" t="n"/>
      <c r="BH273" s="3" t="n"/>
      <c r="BI273" s="3" t="n"/>
      <c r="BJ273" s="3" t="n"/>
      <c r="BK273" s="3" t="n"/>
      <c r="BL273" s="3" t="n"/>
      <c r="BM273" s="3" t="n"/>
      <c r="BN273" s="3" t="n"/>
      <c r="BO273" s="3" t="n"/>
      <c r="BP273" s="3" t="n"/>
      <c r="BQ273" s="3" t="n"/>
      <c r="BR273" s="3" t="n"/>
      <c r="BS273" s="3" t="n"/>
      <c r="BT273" s="3" t="n"/>
      <c r="BU273" s="3" t="n"/>
      <c r="BV273" s="3" t="n"/>
      <c r="BW273" s="3" t="n"/>
      <c r="BX273" s="3" t="n"/>
      <c r="BY273" s="3" t="n"/>
      <c r="BZ273" s="3" t="n"/>
      <c r="CA273" s="3" t="n"/>
      <c r="CB273" s="3" t="n"/>
      <c r="CC273" s="3" t="n"/>
      <c r="CD273" s="3" t="n"/>
      <c r="CE273" s="3" t="n"/>
      <c r="CF273" s="3" t="n"/>
      <c r="CG273" s="3" t="n"/>
      <c r="CH273" s="3" t="n"/>
      <c r="CI273" s="3" t="n"/>
      <c r="CJ273" s="3" t="n"/>
      <c r="CK273" s="3" t="n"/>
      <c r="CL273" s="3" t="n"/>
      <c r="CM273" s="3" t="n"/>
      <c r="CN273" s="3" t="n"/>
      <c r="CO273" s="3" t="n"/>
      <c r="CP273" s="3" t="n"/>
      <c r="CQ273" s="3" t="n"/>
      <c r="CR273" s="3" t="n"/>
      <c r="CS273" s="3" t="n"/>
      <c r="CT273" s="3" t="n"/>
      <c r="CU273" s="3" t="n"/>
      <c r="CV273" s="3" t="n"/>
      <c r="CW273" s="3" t="n"/>
      <c r="CX273" s="3" t="n"/>
      <c r="CY273" s="3" t="n"/>
    </row>
    <row r="274" customFormat="1" s="32">
      <c r="A274" s="30" t="n"/>
      <c r="B274" s="30" t="n"/>
      <c r="C274" s="31" t="inlineStr">
        <is>
          <t>Cash Flow Statement</t>
        </is>
      </c>
      <c r="D274" s="70" t="n"/>
      <c r="E274" s="70" t="n"/>
      <c r="F274" s="70" t="n"/>
      <c r="G274" s="70" t="n"/>
      <c r="H274" s="70" t="n"/>
      <c r="I274" s="70" t="str">
        <f>I141</f>
        <v>1Q21</v>
      </c>
      <c r="J274" s="70" t="str">
        <f>J141</f>
        <v>2Q21</v>
      </c>
      <c r="K274" s="70" t="str">
        <f>K141</f>
        <v>3Q21</v>
      </c>
      <c r="L274" s="70" t="str">
        <f>L141</f>
        <v>4Q21</v>
      </c>
      <c r="M274" s="70">
        <f>M141</f>
        <v>2021</v>
      </c>
      <c r="N274" s="70" t="str">
        <f>N141</f>
        <v>1Q22</v>
      </c>
      <c r="O274" s="70" t="str">
        <f>O141</f>
        <v>2Q22</v>
      </c>
      <c r="P274" s="70" t="str">
        <f>P141</f>
        <v>3Q22</v>
      </c>
      <c r="Q274" s="70" t="str">
        <f>Q141</f>
        <v>4Q22</v>
      </c>
      <c r="R274" s="70">
        <f>R141</f>
        <v>2022</v>
      </c>
      <c r="S274" s="70" t="str">
        <f>S141</f>
        <v>1Q23</v>
      </c>
      <c r="T274" s="70" t="str">
        <f>T141</f>
        <v>2Q23</v>
      </c>
      <c r="U274" s="70" t="str">
        <f>U141</f>
        <v>3Q23</v>
      </c>
      <c r="V274" s="70" t="str">
        <f>V141</f>
        <v>4Q23</v>
      </c>
      <c r="W274" s="70">
        <f>W141</f>
        <v>2023</v>
      </c>
      <c r="X274" s="70" t="str">
        <f>X141</f>
        <v>1Q24</v>
      </c>
      <c r="Y274" s="70" t="str">
        <f>Y141</f>
        <v>2Q24</v>
      </c>
      <c r="Z274" s="70" t="str">
        <f>Z141</f>
        <v>3Q24</v>
      </c>
      <c r="AA274" s="70" t="str">
        <f>AA141</f>
        <v>4Q24</v>
      </c>
      <c r="AB274" s="70">
        <f>AB141</f>
        <v>2024</v>
      </c>
      <c r="AC274" s="70" t="str">
        <f>AC141</f>
        <v>1Q25</v>
      </c>
      <c r="AD274" s="70" t="str">
        <f>AD141</f>
        <v>2Q25</v>
      </c>
      <c r="AE274" s="70" t="str">
        <f>AE141</f>
        <v>3Q25</v>
      </c>
      <c r="AF274" s="70" t="str">
        <f>AF141</f>
        <v>4Q25</v>
      </c>
      <c r="AG274" s="70">
        <f>AG141</f>
        <v>2025</v>
      </c>
      <c r="AH274" s="70" t="str">
        <f>AH141</f>
        <v>1Q26</v>
      </c>
      <c r="AI274" s="70" t="str">
        <f>AI141</f>
        <v>2Q26</v>
      </c>
      <c r="AJ274" s="70" t="str">
        <f>AJ141</f>
        <v>3Q26</v>
      </c>
      <c r="AK274" s="70" t="str">
        <f>AK141</f>
        <v>4Q26</v>
      </c>
      <c r="AL274" s="70">
        <f>AL141</f>
        <v>2026</v>
      </c>
      <c r="AM274" s="70" t="str">
        <f>AM141</f>
        <v>1Q27</v>
      </c>
      <c r="AN274" s="70" t="str">
        <f>AN141</f>
        <v>2Q27</v>
      </c>
      <c r="AO274" s="70" t="str">
        <f>AO141</f>
        <v>3Q27</v>
      </c>
      <c r="AP274" s="70" t="str">
        <f>AP141</f>
        <v>4Q27</v>
      </c>
      <c r="AQ274" s="70">
        <f>AQ141</f>
        <v>2027</v>
      </c>
      <c r="AR274" s="70" t="str">
        <f>AR141</f>
        <v>1Q28</v>
      </c>
      <c r="AS274" s="70" t="str">
        <f>AS141</f>
        <v>2Q28</v>
      </c>
      <c r="AT274" s="70" t="str">
        <f>AT141</f>
        <v>3Q28</v>
      </c>
      <c r="AU274" s="70" t="str">
        <f>AU141</f>
        <v>4Q28</v>
      </c>
      <c r="AV274" s="70">
        <f>AV141</f>
        <v>2028</v>
      </c>
      <c r="AW274" s="70" t="str">
        <f>AW141</f>
        <v>1Q29</v>
      </c>
      <c r="AX274" s="70" t="str">
        <f>AX141</f>
        <v>2Q29</v>
      </c>
      <c r="AY274" s="70" t="str">
        <f>AY141</f>
        <v>3Q29</v>
      </c>
      <c r="AZ274" s="70" t="str">
        <f>AZ141</f>
        <v>4Q29</v>
      </c>
      <c r="BA274" s="70">
        <f>BA141</f>
        <v>2029</v>
      </c>
      <c r="BB274" s="70" t="str">
        <f>BB141</f>
        <v>1Q30</v>
      </c>
      <c r="BC274" s="70" t="str">
        <f>BC141</f>
        <v>2Q30</v>
      </c>
      <c r="BD274" s="70" t="str">
        <f>BD141</f>
        <v>3Q30</v>
      </c>
      <c r="BE274" s="70" t="str">
        <f>BE141</f>
        <v>4Q30</v>
      </c>
      <c r="BF274" s="70">
        <f>BF141</f>
        <v>2030</v>
      </c>
      <c r="BG274" s="70" t="n"/>
      <c r="BH274" s="70" t="n"/>
      <c r="BI274" s="70" t="n"/>
      <c r="BJ274" s="70" t="n"/>
      <c r="BK274" s="70" t="n"/>
      <c r="BL274" s="70" t="n"/>
      <c r="BM274" s="70" t="n"/>
      <c r="BN274" s="70" t="n"/>
      <c r="BO274" s="70" t="n"/>
      <c r="BP274" s="70" t="n"/>
      <c r="BQ274" s="70" t="n"/>
      <c r="BR274" s="70" t="n"/>
      <c r="BS274" s="70" t="n"/>
      <c r="BT274" s="70" t="n"/>
      <c r="BU274" s="70" t="n"/>
      <c r="BV274" s="70" t="n"/>
      <c r="BW274" s="70" t="n"/>
      <c r="BX274" s="70" t="n"/>
      <c r="BY274" s="70" t="n"/>
      <c r="BZ274" s="70" t="n"/>
      <c r="CA274" s="70" t="n"/>
      <c r="CB274" s="70" t="n"/>
      <c r="CC274" s="70" t="n"/>
      <c r="CD274" s="70" t="n"/>
      <c r="CE274" s="70" t="n"/>
      <c r="CF274" s="70" t="n"/>
      <c r="CG274" s="70" t="n"/>
      <c r="CH274" s="70" t="n"/>
      <c r="CI274" s="70" t="n"/>
      <c r="CJ274" s="70" t="n"/>
      <c r="CK274" s="70" t="n"/>
      <c r="CL274" s="70" t="n"/>
      <c r="CM274" s="70" t="n"/>
      <c r="CN274" s="70" t="n"/>
      <c r="CO274" s="70" t="n"/>
      <c r="CP274" s="70" t="n"/>
      <c r="CQ274" s="70" t="n"/>
      <c r="CR274" s="70" t="n"/>
      <c r="CS274" s="70" t="n"/>
      <c r="CT274" s="70" t="n"/>
      <c r="CU274" s="70" t="n"/>
      <c r="CV274" s="70" t="n"/>
      <c r="CW274" s="70" t="n"/>
      <c r="CX274" s="70" t="n"/>
      <c r="CY274" s="70" t="n"/>
    </row>
    <row r="275">
      <c r="C275" s="18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  <c r="AY275" s="3" t="n"/>
      <c r="AZ275" s="3" t="n"/>
      <c r="BA275" s="3" t="n"/>
      <c r="BB275" s="3" t="n"/>
      <c r="BC275" s="3" t="n"/>
      <c r="BD275" s="3" t="n"/>
      <c r="BE275" s="3" t="n"/>
      <c r="BF275" s="3" t="n"/>
      <c r="BG275" s="3" t="n"/>
      <c r="BH275" s="3" t="n"/>
      <c r="BI275" s="3" t="n"/>
      <c r="BJ275" s="3" t="n"/>
      <c r="BK275" s="3" t="n"/>
      <c r="BL275" s="3" t="n"/>
      <c r="BM275" s="3" t="n"/>
      <c r="BN275" s="3" t="n"/>
      <c r="BO275" s="3" t="n"/>
      <c r="BP275" s="3" t="n"/>
      <c r="BQ275" s="3" t="n"/>
      <c r="BR275" s="3" t="n"/>
      <c r="BS275" s="3" t="n"/>
      <c r="BT275" s="3" t="n"/>
      <c r="BU275" s="3" t="n"/>
      <c r="BV275" s="3" t="n"/>
      <c r="BW275" s="3" t="n"/>
      <c r="BX275" s="3" t="n"/>
      <c r="BY275" s="3" t="n"/>
      <c r="BZ275" s="3" t="n"/>
      <c r="CA275" s="3" t="n"/>
      <c r="CB275" s="3" t="n"/>
      <c r="CC275" s="3" t="n"/>
      <c r="CD275" s="3" t="n"/>
      <c r="CE275" s="3" t="n"/>
      <c r="CF275" s="3" t="n"/>
      <c r="CG275" s="3" t="n"/>
      <c r="CH275" s="3" t="n"/>
      <c r="CI275" s="3" t="n"/>
      <c r="CJ275" s="3" t="n"/>
      <c r="CK275" s="3" t="n"/>
      <c r="CL275" s="3" t="n"/>
      <c r="CM275" s="3" t="n"/>
      <c r="CN275" s="3" t="n"/>
      <c r="CO275" s="3" t="n"/>
      <c r="CP275" s="3" t="n"/>
      <c r="CQ275" s="3" t="n"/>
      <c r="CR275" s="3" t="n"/>
      <c r="CS275" s="3" t="n"/>
      <c r="CT275" s="3" t="n"/>
      <c r="CU275" s="3" t="n"/>
      <c r="CV275" s="3" t="n"/>
      <c r="CW275" s="3" t="n"/>
      <c r="CX275" s="3" t="n"/>
      <c r="CY275" s="3" t="n"/>
    </row>
    <row r="276">
      <c r="C276" s="10" t="inlineStr">
        <is>
          <t>Net Income</t>
        </is>
      </c>
      <c r="D276" s="12" t="n"/>
      <c r="E276" s="12" t="n"/>
      <c r="F276" s="12" t="n"/>
      <c r="G276" s="12" t="n"/>
      <c r="H276" s="12" t="n"/>
      <c r="I276" s="12" t="n"/>
      <c r="J276" s="12">
        <f>J136</f>
        <v>2374</v>
      </c>
      <c r="K276" s="12">
        <f>K136</f>
        <v>2464</v>
      </c>
      <c r="L276" s="12">
        <f>L136</f>
        <v>3003</v>
      </c>
      <c r="M276" s="12" t="n"/>
      <c r="N276" s="12">
        <f>N136</f>
        <v>1618</v>
      </c>
      <c r="O276" s="12">
        <f>O136</f>
        <v>656</v>
      </c>
      <c r="P276" s="12">
        <f>P136</f>
        <v>680</v>
      </c>
      <c r="Q276" s="12">
        <f>Q136</f>
        <v>1414</v>
      </c>
      <c r="R276" s="12">
        <f>SUM(N276:Q276)</f>
        <v>4368</v>
      </c>
      <c r="S276" s="12">
        <f>S136</f>
        <v>2043</v>
      </c>
      <c r="T276" s="12">
        <f>T136</f>
        <v>6188</v>
      </c>
      <c r="U276" s="12">
        <f>U136</f>
        <v>9243</v>
      </c>
      <c r="V276" s="12">
        <f>V136</f>
        <v>12285</v>
      </c>
      <c r="W276" s="12">
        <f>SUM(S276:V276)</f>
        <v>29759</v>
      </c>
      <c r="X276" s="12">
        <f>X136</f>
        <v>14881</v>
      </c>
      <c r="Y276" s="12">
        <f>Y136</f>
        <v>16599</v>
      </c>
      <c r="Z276" s="12">
        <f>Z136</f>
        <v>19309</v>
      </c>
      <c r="AA276" s="12">
        <f>AA136</f>
        <v>22091</v>
      </c>
      <c r="AB276" s="12">
        <f>SUM(X276:AA276)</f>
        <v>72880</v>
      </c>
      <c r="AC276" s="12">
        <f>AC136</f>
        <v>18775</v>
      </c>
      <c r="AD276" s="12">
        <f>AD136</f>
        <v>26422</v>
      </c>
      <c r="AE276" s="12">
        <f>AE136</f>
        <v>31910</v>
      </c>
      <c r="AF276" s="12">
        <f>AF136</f>
        <v>42960</v>
      </c>
      <c r="AG276" s="12">
        <f>SUM(AC276:AF276)</f>
        <v>120067</v>
      </c>
      <c r="AH276" s="12">
        <f>AH136</f>
        <v>58321</v>
      </c>
      <c r="AI276" s="12">
        <f>AI136</f>
        <v>59688</v>
      </c>
      <c r="AJ276" s="12">
        <f>AJ136</f>
        <v>59686.9691935346</v>
      </c>
      <c r="AK276" s="12">
        <f>AK136</f>
        <v>71330.9853392263</v>
      </c>
      <c r="AL276" s="12">
        <f>SUM(AH276:AK276)</f>
        <v>249026.954532761</v>
      </c>
      <c r="AM276" s="12">
        <f>AM136</f>
        <v>85453.3205404752</v>
      </c>
      <c r="AN276" s="12">
        <f>AN136</f>
        <v>100746.234830914</v>
      </c>
      <c r="AO276" s="12">
        <f>AO136</f>
        <v>104608.608539616</v>
      </c>
      <c r="AP276" s="12">
        <f>AP136</f>
        <v>125016.15047501</v>
      </c>
      <c r="AQ276" s="12">
        <f>SUM(AM276:AP276)</f>
        <v>415824.314386015</v>
      </c>
      <c r="AR276" s="12">
        <f>AR136</f>
        <v>149339.97870412</v>
      </c>
      <c r="AS276" s="12">
        <f>AS136</f>
        <v>176066.189926964</v>
      </c>
      <c r="AT276" s="12">
        <f>AT136</f>
        <v>182816.153576787</v>
      </c>
      <c r="AU276" s="12">
        <f>AU136</f>
        <v>218480.793157312</v>
      </c>
      <c r="AV276" s="12">
        <f>SUM(AR276:AU276)</f>
        <v>726703.115365184</v>
      </c>
      <c r="AW276" s="12">
        <f>AW136</f>
        <v>260242.915235403</v>
      </c>
      <c r="AX276" s="12">
        <f>AX136</f>
        <v>306816.560030211</v>
      </c>
      <c r="AY276" s="12">
        <f>AY136</f>
        <v>318579.185371435</v>
      </c>
      <c r="AZ276" s="12">
        <f>AZ136</f>
        <v>380729.119071672</v>
      </c>
      <c r="BA276" s="12">
        <f>SUM(AW276:AZ276)</f>
        <v>1266367.77970872</v>
      </c>
      <c r="BB276" s="12">
        <f>BB136</f>
        <v>452203.436475126</v>
      </c>
      <c r="BC276" s="12">
        <f>BC136</f>
        <v>533130.758574687</v>
      </c>
      <c r="BD276" s="12">
        <f>BD136</f>
        <v>553569.738043001</v>
      </c>
      <c r="BE276" s="12">
        <f>BE136</f>
        <v>661562.739775734</v>
      </c>
      <c r="BF276" s="12">
        <f>SUM(BB276:BE276)</f>
        <v>2200466.67286855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>
      <c r="C277" s="10" t="inlineStr">
        <is>
          <t>Depreciation &amp; amortization</t>
        </is>
      </c>
      <c r="D277" s="12" t="n"/>
      <c r="E277" s="12" t="n"/>
      <c r="F277" s="12" t="n"/>
      <c r="G277" s="12" t="n"/>
      <c r="H277" s="12" t="n"/>
      <c r="I277" s="12" t="n"/>
      <c r="J277" s="12">
        <f>-J69</f>
        <v>286</v>
      </c>
      <c r="K277" s="12">
        <f>-K69</f>
        <v>298</v>
      </c>
      <c r="L277" s="12">
        <f>-L69</f>
        <v>309</v>
      </c>
      <c r="M277" s="12" t="n"/>
      <c r="N277" s="12">
        <f>-N69</f>
        <v>334</v>
      </c>
      <c r="O277" s="12">
        <f>-O69</f>
        <v>378</v>
      </c>
      <c r="P277" s="12">
        <f>-P69</f>
        <v>406</v>
      </c>
      <c r="Q277" s="12">
        <f>-Q69</f>
        <v>426</v>
      </c>
      <c r="R277" s="12">
        <f>SUM(N277:Q277)</f>
        <v>1544</v>
      </c>
      <c r="S277" s="12">
        <f>-S69</f>
        <v>384</v>
      </c>
      <c r="T277" s="12">
        <f>-T69</f>
        <v>365</v>
      </c>
      <c r="U277" s="12">
        <f>-U69</f>
        <v>372</v>
      </c>
      <c r="V277" s="12">
        <f>-V69</f>
        <v>387</v>
      </c>
      <c r="W277" s="12">
        <f>SUM(S277:V277)</f>
        <v>1508</v>
      </c>
      <c r="X277" s="12">
        <f>-X69</f>
        <v>410</v>
      </c>
      <c r="Y277" s="12">
        <f>-Y69</f>
        <v>433</v>
      </c>
      <c r="Z277" s="12">
        <f>-Z69</f>
        <v>478</v>
      </c>
      <c r="AA277" s="12">
        <f>-AA69</f>
        <v>543</v>
      </c>
      <c r="AB277" s="12">
        <f>SUM(X277:AA277)</f>
        <v>1864</v>
      </c>
      <c r="AC277" s="12">
        <f>-AC69</f>
        <v>611</v>
      </c>
      <c r="AD277" s="12">
        <f>-AD69</f>
        <v>669</v>
      </c>
      <c r="AE277" s="12">
        <f>-AE69</f>
        <v>751</v>
      </c>
      <c r="AF277" s="12">
        <f>-AF69</f>
        <v>812</v>
      </c>
      <c r="AG277" s="12">
        <f>SUM(AC277:AF277)</f>
        <v>2843</v>
      </c>
      <c r="AH277" s="12">
        <f>-AH69</f>
        <v>997</v>
      </c>
      <c r="AI277" s="12">
        <f>-AI69</f>
        <v>1127</v>
      </c>
      <c r="AJ277" s="12">
        <f>-AJ69</f>
        <v>1285.51731925903</v>
      </c>
      <c r="AK277" s="12">
        <f>-AK69</f>
        <v>1536.30211572747</v>
      </c>
      <c r="AL277" s="12">
        <f>SUM(AH277:AK277)</f>
        <v>4945.81943498651</v>
      </c>
      <c r="AM277" s="12">
        <f>-AM69</f>
        <v>1840.46409169782</v>
      </c>
      <c r="AN277" s="12">
        <f>-AN69</f>
        <v>2169.83759562894</v>
      </c>
      <c r="AO277" s="12">
        <f>-AO69</f>
        <v>2253.02406602732</v>
      </c>
      <c r="AP277" s="12">
        <f>-AP69</f>
        <v>2692.55465295308</v>
      </c>
      <c r="AQ277" s="12">
        <f>SUM(AM277:AP277)</f>
        <v>8955.88040630716</v>
      </c>
      <c r="AR277" s="12">
        <f>-AR69</f>
        <v>3216.43286090522</v>
      </c>
      <c r="AS277" s="12">
        <f>-AS69</f>
        <v>3792.05276369737</v>
      </c>
      <c r="AT277" s="12">
        <f>-AT69</f>
        <v>3937.43114851836</v>
      </c>
      <c r="AU277" s="12">
        <f>-AU69</f>
        <v>4705.56383284409</v>
      </c>
      <c r="AV277" s="12">
        <f>SUM(AR277:AU277)</f>
        <v>15651.480605965</v>
      </c>
      <c r="AW277" s="12">
        <f>-AW69</f>
        <v>5605.02198838084</v>
      </c>
      <c r="AX277" s="12">
        <f>-AX69</f>
        <v>6608.10905769764</v>
      </c>
      <c r="AY277" s="12">
        <f>-AY69</f>
        <v>6861.44841803721</v>
      </c>
      <c r="AZ277" s="12">
        <f>-AZ69</f>
        <v>8200.01221583028</v>
      </c>
      <c r="BA277" s="12">
        <f>SUM(AW277:AZ277)</f>
        <v>27274.591679946</v>
      </c>
      <c r="BB277" s="12">
        <f>-BB69</f>
        <v>9739.40136803252</v>
      </c>
      <c r="BC277" s="12">
        <f>-BC69</f>
        <v>11482.3860691473</v>
      </c>
      <c r="BD277" s="12">
        <f>-BD69</f>
        <v>11922.5937467947</v>
      </c>
      <c r="BE277" s="12">
        <f>-BE69</f>
        <v>14248.5097040291</v>
      </c>
      <c r="BF277" s="12">
        <f>SUM(BB277:BE277)</f>
        <v>47392.8908880036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>
      <c r="C278" s="10" t="inlineStr">
        <is>
          <t xml:space="preserve">Changes in working capital </t>
        </is>
      </c>
      <c r="D278" s="12" t="n"/>
      <c r="E278" s="12" t="n"/>
      <c r="F278" s="12" t="n"/>
      <c r="G278" s="12" t="n"/>
      <c r="H278" s="12" t="n"/>
      <c r="I278" s="12" t="n"/>
      <c r="J278" s="12">
        <f>SUM(J279:J288)</f>
        <v>-429</v>
      </c>
      <c r="K278" s="12">
        <f>SUM(K279:K288)</f>
        <v>-204</v>
      </c>
      <c r="L278" s="12">
        <f>SUM(L279:L288)</f>
        <v>-642</v>
      </c>
      <c r="M278" s="12" t="n"/>
      <c r="N278" s="12">
        <f>SUM(N279:N288)</f>
        <v>-951</v>
      </c>
      <c r="O278" s="12">
        <f>SUM(O279:O288)</f>
        <v>-823</v>
      </c>
      <c r="P278" s="12">
        <f>SUM(P279:P288)</f>
        <v>-954</v>
      </c>
      <c r="Q278" s="12">
        <f>SUM(Q279:Q288)</f>
        <v>-624</v>
      </c>
      <c r="R278" s="12">
        <f>SUM(N278:Q278)</f>
        <v>-3352</v>
      </c>
      <c r="S278" s="12">
        <f>SUM(S279:S288)</f>
        <v>-261</v>
      </c>
      <c r="T278" s="12">
        <f>SUM(T279:T288)</f>
        <v>-966</v>
      </c>
      <c r="U278" s="12">
        <f>SUM(U279:U288)</f>
        <v>-3420</v>
      </c>
      <c r="V278" s="12">
        <f>SUM(V279:V288)</f>
        <v>-2554</v>
      </c>
      <c r="W278" s="12">
        <f>SUM(S278:V278)</f>
        <v>-7201</v>
      </c>
      <c r="X278" s="12">
        <f>SUM(X279:X288)</f>
        <v>-1055</v>
      </c>
      <c r="Y278" s="12">
        <f>SUM(Y279:Y288)</f>
        <v>-4326</v>
      </c>
      <c r="Z278" s="12">
        <f>SUM(Z279:Z288)</f>
        <v>-2508</v>
      </c>
      <c r="AA278" s="12">
        <f>SUM(AA279:AA288)</f>
        <v>-6898</v>
      </c>
      <c r="AB278" s="12">
        <f>SUM(X278:AA278)</f>
        <v>-14787</v>
      </c>
      <c r="AC278" s="12">
        <f>SUM(AC279:AC288)</f>
        <v>6828</v>
      </c>
      <c r="AD278" s="12">
        <f>SUM(AD279:AD288)</f>
        <v>-11721</v>
      </c>
      <c r="AE278" s="12">
        <f>SUM(AE279:AE288)</f>
        <v>-9741</v>
      </c>
      <c r="AF278" s="12">
        <f>SUM(AF279:AF288)</f>
        <v>-13547</v>
      </c>
      <c r="AG278" s="12">
        <f>SUM(AC278:AF278)</f>
        <v>-28181</v>
      </c>
      <c r="AH278" s="12">
        <f>SUM(AH279:AH288)</f>
        <v>-11454</v>
      </c>
      <c r="AI278" s="12">
        <f>SUM(AI279:AI288)</f>
        <v>-41483</v>
      </c>
      <c r="AJ278" s="12">
        <f>SUM(AJ279:AJ288)</f>
        <v>27980.9849987809</v>
      </c>
      <c r="AK278" s="12">
        <f>SUM(AK279:AK288)</f>
        <v>21538.2096463845</v>
      </c>
      <c r="AL278" s="12">
        <f>SUM(AH278:AK278)</f>
        <v>-3417.80535483459</v>
      </c>
      <c r="AM278" s="12">
        <f>SUM(AM279:AM288)</f>
        <v>43030.9305438278</v>
      </c>
      <c r="AN278" s="12">
        <f>SUM(AN279:AN288)</f>
        <v>91769.9524193255</v>
      </c>
      <c r="AO278" s="12">
        <f>SUM(AO279:AO288)</f>
        <v>188128.210810873</v>
      </c>
      <c r="AP278" s="12">
        <f>SUM(AP279:AP288)</f>
        <v>310955.113207618</v>
      </c>
      <c r="AQ278" s="12">
        <f>SUM(AM278:AP278)</f>
        <v>633884.206981644</v>
      </c>
      <c r="AR278" s="12">
        <f>SUM(AR279:AR288)</f>
        <v>552884.402401832</v>
      </c>
      <c r="AS278" s="12">
        <f>SUM(AS279:AS288)</f>
        <v>988340.518613305</v>
      </c>
      <c r="AT278" s="12">
        <f>SUM(AT279:AT288)</f>
        <v>1778315.57834699</v>
      </c>
      <c r="AU278" s="12">
        <f>SUM(AU279:AU288)</f>
        <v>3075002.54485576</v>
      </c>
      <c r="AV278" s="12">
        <f>SUM(AR278:AU278)</f>
        <v>6394543.04421788</v>
      </c>
      <c r="AW278" s="12">
        <f>SUM(AW279:AW288)</f>
        <v>5355299.34136677</v>
      </c>
      <c r="AX278" s="12">
        <f>SUM(AX279:AX288)</f>
        <v>9378853.00032707</v>
      </c>
      <c r="AY278" s="12">
        <f>SUM(AY279:AY288)</f>
        <v>16426361.0429244</v>
      </c>
      <c r="AZ278" s="12">
        <f>SUM(AZ279:AZ288)</f>
        <v>28567673.8820513</v>
      </c>
      <c r="BA278" s="12">
        <f>SUM(AW278:AZ278)</f>
        <v>59728187.2666695</v>
      </c>
      <c r="BB278" s="12">
        <f>SUM(BB279:BB288)</f>
        <v>49478808.5444794</v>
      </c>
      <c r="BC278" s="12">
        <f>SUM(BC279:BC288)</f>
        <v>86053580.9557749</v>
      </c>
      <c r="BD278" s="12">
        <f>SUM(BD279:BD288)</f>
        <v>149671499.386077</v>
      </c>
      <c r="BE278" s="12">
        <f>SUM(BE279:BE288)</f>
        <v>259972722.65034</v>
      </c>
      <c r="BF278" s="12">
        <f>SUM(BB278:BE278)</f>
        <v>545176611.536672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Accounts receivable</t>
        </is>
      </c>
      <c r="D279" s="12" t="n"/>
      <c r="E279" s="12" t="n"/>
      <c r="F279" s="12" t="n"/>
      <c r="G279" s="12" t="n"/>
      <c r="H279" s="12" t="n"/>
      <c r="I279" s="12" t="n"/>
      <c r="J279" s="12">
        <f>(J144-I144)*-1</f>
        <v>-562</v>
      </c>
      <c r="K279" s="12">
        <f>(K144-J144)*-1</f>
        <v>-368</v>
      </c>
      <c r="L279" s="12">
        <f>(L144-K144)*-1</f>
        <v>-696</v>
      </c>
      <c r="M279" s="12" t="n"/>
      <c r="N279" s="12">
        <f>(N144-M144)*-1</f>
        <v>-788</v>
      </c>
      <c r="O279" s="12">
        <f>(O144-N144)*-1</f>
        <v>121</v>
      </c>
      <c r="P279" s="12">
        <f>(P144-O144)*-1</f>
        <v>409</v>
      </c>
      <c r="Q279" s="12">
        <f>(Q144-P144)*-1</f>
        <v>1081</v>
      </c>
      <c r="R279" s="12">
        <f>SUM(N279:Q279)</f>
        <v>823</v>
      </c>
      <c r="S279" s="12">
        <f>(S144-R144)*-1</f>
        <v>-253</v>
      </c>
      <c r="T279" s="12">
        <f>(T144-S144)*-1</f>
        <v>-2986</v>
      </c>
      <c r="U279" s="12">
        <f>(U144-T144)*-1</f>
        <v>-1243</v>
      </c>
      <c r="V279" s="12">
        <f>(V144-U144)*-1</f>
        <v>-1690</v>
      </c>
      <c r="W279" s="12">
        <f>SUM(S279:V279)</f>
        <v>-6172</v>
      </c>
      <c r="X279" s="12">
        <f>(X144-W144)*-1</f>
        <v>-2366</v>
      </c>
      <c r="Y279" s="12">
        <f>(Y144-X144)*-1</f>
        <v>-1767</v>
      </c>
      <c r="Z279" s="12">
        <f>(Z144-Y144)*-1</f>
        <v>-3561</v>
      </c>
      <c r="AA279" s="12">
        <f>(AA144-Z144)*-1</f>
        <v>-5372</v>
      </c>
      <c r="AB279" s="12">
        <f>SUM(X279:AA279)</f>
        <v>-13066</v>
      </c>
      <c r="AC279" s="12">
        <f>(AC144-AB144)*-1</f>
        <v>933</v>
      </c>
      <c r="AD279" s="12">
        <f>(AD144-AC144)*-1</f>
        <v>-5676</v>
      </c>
      <c r="AE279" s="12">
        <f>(AE144-AD144)*-1</f>
        <v>-5583</v>
      </c>
      <c r="AF279" s="12">
        <f>(AF144-AE144)*-1</f>
        <v>-5075</v>
      </c>
      <c r="AG279" s="12">
        <f>SUM(AC279:AF279)</f>
        <v>-15401</v>
      </c>
      <c r="AH279" s="12">
        <f>(AH144-AG144)*-1</f>
        <v>-2244</v>
      </c>
      <c r="AI279" s="12">
        <f>(AI144-AH144)*-1</f>
        <v>-22349</v>
      </c>
      <c r="AJ279" s="12">
        <f>(AJ144-AI144)*-1</f>
        <v>7003.21672829624</v>
      </c>
      <c r="AK279" s="12">
        <f>(AK144-AJ144)*-1</f>
        <v>-10935.6272280921</v>
      </c>
      <c r="AL279" s="12">
        <f>SUM(AH279:AK279)</f>
        <v>-28525.4104997959</v>
      </c>
      <c r="AM279" s="12">
        <f>(AM144-AL144)*-1</f>
        <v>-15046.6075564418</v>
      </c>
      <c r="AN279" s="12">
        <f>(AN144-AM144)*-1</f>
        <v>-13618.8501510357</v>
      </c>
      <c r="AO279" s="12">
        <f>(AO144-AN144)*-1</f>
        <v>-2587.64927924013</v>
      </c>
      <c r="AP279" s="12">
        <f>(AP144-AO144)*-1</f>
        <v>-19166.0049638199</v>
      </c>
      <c r="AQ279" s="12">
        <f>SUM(AM279:AP279)</f>
        <v>-50419.1119505375</v>
      </c>
      <c r="AR279" s="12">
        <f>(AR144-AQ144)*-1</f>
        <v>-24385.2943854294</v>
      </c>
      <c r="AS279" s="12">
        <f>(AS144-AR144)*-1</f>
        <v>-25376.0914133817</v>
      </c>
      <c r="AT279" s="12">
        <f>(AT144-AS144)*-1</f>
        <v>-4522.22904635305</v>
      </c>
      <c r="AU279" s="12">
        <f>(AU144-AT144)*-1</f>
        <v>-33494.9040603309</v>
      </c>
      <c r="AV279" s="12">
        <f>SUM(AR279:AU279)</f>
        <v>-87778.5189054952</v>
      </c>
      <c r="AW279" s="12">
        <f>(AW144-AV144)*-1</f>
        <v>-44652.7768913338</v>
      </c>
      <c r="AX279" s="12">
        <f>(AX144-AW144)*-1</f>
        <v>-41475.3837889881</v>
      </c>
      <c r="AY279" s="12">
        <f>(AY144-AX144)*-1</f>
        <v>-7880.52925008663</v>
      </c>
      <c r="AZ279" s="12">
        <f>(AZ144-AY144)*-1</f>
        <v>-58368.908003267</v>
      </c>
      <c r="BA279" s="12">
        <f>SUM(AW279:AZ279)</f>
        <v>-152377.597933675</v>
      </c>
      <c r="BB279" s="12">
        <f>(BB144-BA144)*-1</f>
        <v>-76563.6373574701</v>
      </c>
      <c r="BC279" s="12">
        <f>(BC144-BB144)*-1</f>
        <v>-72068.4790267586</v>
      </c>
      <c r="BD279" s="12">
        <f>(BD144-BC144)*-1</f>
        <v>-13693.3695386422</v>
      </c>
      <c r="BE279" s="12">
        <f>(BE144-BD144)*-1</f>
        <v>-101423.013796562</v>
      </c>
      <c r="BF279" s="12">
        <f>SUM(BB279:BE279)</f>
        <v>-263748.499719433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Inventories</t>
        </is>
      </c>
      <c r="D280" s="12" t="n"/>
      <c r="E280" s="12" t="n"/>
      <c r="F280" s="12" t="n"/>
      <c r="G280" s="12" t="n"/>
      <c r="H280" s="12" t="n"/>
      <c r="I280" s="12" t="n"/>
      <c r="J280" s="12">
        <f>(J148-I148)*-1</f>
        <v>-122</v>
      </c>
      <c r="K280" s="12">
        <f>(K148-J148)*-1</f>
        <v>-119</v>
      </c>
      <c r="L280" s="12">
        <f>(L148-K148)*-1</f>
        <v>-372</v>
      </c>
      <c r="M280" s="12" t="n"/>
      <c r="N280" s="12">
        <f>(N148-M148)*-1</f>
        <v>-558</v>
      </c>
      <c r="O280" s="12">
        <f>(O148-N148)*-1</f>
        <v>-726</v>
      </c>
      <c r="P280" s="12">
        <f>(P148-O148)*-1</f>
        <v>-565</v>
      </c>
      <c r="Q280" s="12">
        <f>(Q148-P148)*-1</f>
        <v>-705</v>
      </c>
      <c r="R280" s="12">
        <f>SUM(N280:Q280)</f>
        <v>-2554</v>
      </c>
      <c r="S280" s="12">
        <f>(S148-R148)*-1</f>
        <v>548</v>
      </c>
      <c r="T280" s="12">
        <f>(T148-S148)*-1</f>
        <v>292</v>
      </c>
      <c r="U280" s="12">
        <f>(U148-T148)*-1</f>
        <v>-460</v>
      </c>
      <c r="V280" s="12">
        <f>(V148-U148)*-1</f>
        <v>-503</v>
      </c>
      <c r="W280" s="12">
        <f>SUM(S280:V280)</f>
        <v>-123</v>
      </c>
      <c r="X280" s="12">
        <f>(X148-W148)*-1</f>
        <v>-582</v>
      </c>
      <c r="Y280" s="12">
        <f>(Y148-X148)*-1</f>
        <v>-811</v>
      </c>
      <c r="Z280" s="12">
        <f>(Z148-Y148)*-1</f>
        <v>-979</v>
      </c>
      <c r="AA280" s="12">
        <f>(AA148-Z148)*-1</f>
        <v>-2426</v>
      </c>
      <c r="AB280" s="12">
        <f>SUM(X280:AA280)</f>
        <v>-4798</v>
      </c>
      <c r="AC280" s="12">
        <f>(AC148-AB148)*-1</f>
        <v>-1253</v>
      </c>
      <c r="AD280" s="12">
        <f>(AD148-AC148)*-1</f>
        <v>-3629</v>
      </c>
      <c r="AE280" s="12">
        <f>(AE148-AD148)*-1</f>
        <v>-4822</v>
      </c>
      <c r="AF280" s="12">
        <f>(AF148-AE148)*-1</f>
        <v>-1619</v>
      </c>
      <c r="AG280" s="12">
        <f>SUM(AC280:AF280)</f>
        <v>-11323</v>
      </c>
      <c r="AH280" s="12">
        <f>(AH148-AG148)*-1</f>
        <v>-4394</v>
      </c>
      <c r="AI280" s="12">
        <f>(AI148-AH148)*-1</f>
        <v>-5778</v>
      </c>
      <c r="AJ280" s="12">
        <f>(AJ148-AI148)*-1</f>
        <v>-633.248462337415</v>
      </c>
      <c r="AK280" s="12">
        <f>(AK148-AJ148)*-1</f>
        <v>-6283.3373881636</v>
      </c>
      <c r="AL280" s="12">
        <f>SUM(AH280:AK280)</f>
        <v>-17088.585850501</v>
      </c>
      <c r="AM280" s="12">
        <f>(AM148-AL148)*-1</f>
        <v>-8645.4036748389</v>
      </c>
      <c r="AN280" s="12">
        <f>(AN148-AM148)*-1</f>
        <v>-7825.05004541286</v>
      </c>
      <c r="AO280" s="12">
        <f>(AO148-AN148)*-1</f>
        <v>-1486.79843639302</v>
      </c>
      <c r="AP280" s="12">
        <f>(AP148-AO148)*-1</f>
        <v>-11012.3062042148</v>
      </c>
      <c r="AQ280" s="12">
        <f>SUM(AM280:AP280)</f>
        <v>-28969.5583608596</v>
      </c>
      <c r="AR280" s="12">
        <f>(AR148-AQ148)*-1</f>
        <v>-14011.1791246634</v>
      </c>
      <c r="AS280" s="12">
        <f>(AS148-AR148)*-1</f>
        <v>-14580.466270244</v>
      </c>
      <c r="AT280" s="12">
        <f>(AT148-AS148)*-1</f>
        <v>-2598.35949526484</v>
      </c>
      <c r="AU280" s="12">
        <f>(AU148-AT148)*-1</f>
        <v>-19245.3325818009</v>
      </c>
      <c r="AV280" s="12">
        <f>SUM(AR280:AU280)</f>
        <v>-50435.3374719732</v>
      </c>
      <c r="AW280" s="12">
        <f>(AW148-AV148)*-1</f>
        <v>-25656.3667245263</v>
      </c>
      <c r="AX280" s="12">
        <f>(AX148-AW148)*-1</f>
        <v>-23830.7162647542</v>
      </c>
      <c r="AY280" s="12">
        <f>(AY148-AX148)*-1</f>
        <v>-4527.95464245405</v>
      </c>
      <c r="AZ280" s="12">
        <f>(AZ148-AY148)*-1</f>
        <v>-33537.3119724744</v>
      </c>
      <c r="BA280" s="12">
        <f>SUM(AW280:AZ280)</f>
        <v>-87552.3496042089</v>
      </c>
      <c r="BB280" s="12">
        <f>(BB148-BA148)*-1</f>
        <v>-43991.5475489304</v>
      </c>
      <c r="BC280" s="12">
        <f>(BC148-BB148)*-1</f>
        <v>-41408.7422085547</v>
      </c>
      <c r="BD280" s="12">
        <f>(BD148-BC148)*-1</f>
        <v>-7867.86701827828</v>
      </c>
      <c r="BE280" s="12">
        <f>(BE148-BD148)*-1</f>
        <v>-58275.1223424205</v>
      </c>
      <c r="BF280" s="12">
        <f>SUM(BB280:BE280)</f>
        <v>-151543.279118184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Deferred income taxes</t>
        </is>
      </c>
      <c r="D281" s="12" t="n"/>
      <c r="E281" s="12" t="n"/>
      <c r="F281" s="12" t="n"/>
      <c r="G281" s="12" t="n"/>
      <c r="H281" s="12" t="n"/>
      <c r="I281" s="12" t="n"/>
      <c r="J281" s="12">
        <f>(J152-I152)*-1</f>
        <v>-180</v>
      </c>
      <c r="K281" s="12">
        <f>(K152-J152)*-1</f>
        <v>-12</v>
      </c>
      <c r="L281" s="12">
        <f>(L152-K152)*-1</f>
        <v>-252</v>
      </c>
      <c r="M281" s="12" t="n"/>
      <c r="N281" s="12">
        <f>(N152-M152)*-1</f>
        <v>-562</v>
      </c>
      <c r="O281" s="12">
        <f>(O152-N152)*-1</f>
        <v>-441</v>
      </c>
      <c r="P281" s="12">
        <f>(P152-O152)*-1</f>
        <v>-537</v>
      </c>
      <c r="Q281" s="12">
        <f>(Q152-P152)*-1</f>
        <v>-634</v>
      </c>
      <c r="R281" s="12">
        <f>SUM(N281:Q281)</f>
        <v>-2174</v>
      </c>
      <c r="S281" s="12">
        <f>(S152-R152)*-1</f>
        <v>-1172</v>
      </c>
      <c r="T281" s="12">
        <f>(T152-S152)*-1</f>
        <v>-830</v>
      </c>
      <c r="U281" s="12">
        <f>(U152-T152)*-1</f>
        <v>-584</v>
      </c>
      <c r="V281" s="12">
        <f>(V152-U152)*-1</f>
        <v>-99</v>
      </c>
      <c r="W281" s="12">
        <f>SUM(S281:V281)</f>
        <v>-2685</v>
      </c>
      <c r="X281" s="12">
        <f>(X152-W152)*-1</f>
        <v>-1717</v>
      </c>
      <c r="Y281" s="12">
        <f>(Y152-X152)*-1</f>
        <v>-1780</v>
      </c>
      <c r="Z281" s="12">
        <f>(Z152-Y152)*-1</f>
        <v>-698</v>
      </c>
      <c r="AA281" s="12">
        <f>(AA152-Z152)*-1</f>
        <v>-703</v>
      </c>
      <c r="AB281" s="12">
        <f>SUM(X281:AA281)</f>
        <v>-4898</v>
      </c>
      <c r="AC281" s="12">
        <f>(AC152-AB152)*-1</f>
        <v>-2339</v>
      </c>
      <c r="AD281" s="12">
        <f>(AD152-AC152)*-1</f>
        <v>-252</v>
      </c>
      <c r="AE281" s="12">
        <f>(AE152-AD152)*-1</f>
        <v>-104</v>
      </c>
      <c r="AF281" s="12">
        <f>(AF152-AE152)*-1</f>
        <v>416</v>
      </c>
      <c r="AG281" s="12">
        <f>SUM(AC281:AF281)</f>
        <v>-2279</v>
      </c>
      <c r="AH281" s="12">
        <f>(AH152-AG152)*-1</f>
        <v>1551</v>
      </c>
      <c r="AI281" s="12">
        <f>(AI152-AH152)*-1</f>
        <v>-452</v>
      </c>
      <c r="AJ281" s="12">
        <f>(AJ152-AI152)*-1</f>
        <v>0</v>
      </c>
      <c r="AK281" s="12">
        <f>(AK152-AJ152)*-1</f>
        <v>0</v>
      </c>
      <c r="AL281" s="12">
        <f>SUM(AH281:AK281)</f>
        <v>1099</v>
      </c>
      <c r="AM281" s="12">
        <f>(AM152-AL152)*-1</f>
        <v>0</v>
      </c>
      <c r="AN281" s="12">
        <f>(AN152-AM152)*-1</f>
        <v>0</v>
      </c>
      <c r="AO281" s="12">
        <f>(AO152-AN152)*-1</f>
        <v>0</v>
      </c>
      <c r="AP281" s="12">
        <f>(AP152-AO152)*-1</f>
        <v>0</v>
      </c>
      <c r="AQ281" s="12">
        <f>SUM(AM281:AP281)</f>
        <v>0</v>
      </c>
      <c r="AR281" s="12">
        <f>(AR152-AQ152)*-1</f>
        <v>0</v>
      </c>
      <c r="AS281" s="12">
        <f>(AS152-AR152)*-1</f>
        <v>0</v>
      </c>
      <c r="AT281" s="12">
        <f>(AT152-AS152)*-1</f>
        <v>0</v>
      </c>
      <c r="AU281" s="12">
        <f>(AU152-AT152)*-1</f>
        <v>0</v>
      </c>
      <c r="AV281" s="12">
        <f>SUM(AR281:AU281)</f>
        <v>0</v>
      </c>
      <c r="AW281" s="12">
        <f>(AW152-AV152)*-1</f>
        <v>0</v>
      </c>
      <c r="AX281" s="12">
        <f>(AX152-AW152)*-1</f>
        <v>0</v>
      </c>
      <c r="AY281" s="12">
        <f>(AY152-AX152)*-1</f>
        <v>0</v>
      </c>
      <c r="AZ281" s="12">
        <f>(AZ152-AY152)*-1</f>
        <v>0</v>
      </c>
      <c r="BA281" s="12">
        <f>SUM(AW281:AZ281)</f>
        <v>0</v>
      </c>
      <c r="BB281" s="12">
        <f>(BB152-BA152)*-1</f>
        <v>0</v>
      </c>
      <c r="BC281" s="12">
        <f>(BC152-BB152)*-1</f>
        <v>0</v>
      </c>
      <c r="BD281" s="12">
        <f>(BD152-BC152)*-1</f>
        <v>0</v>
      </c>
      <c r="BE281" s="12">
        <f>(BE152-BD152)*-1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Prepaid expenses</t>
        </is>
      </c>
      <c r="D282" s="12" t="n"/>
      <c r="E282" s="12" t="n"/>
      <c r="F282" s="12" t="n"/>
      <c r="G282" s="12" t="n"/>
      <c r="H282" s="12" t="n"/>
      <c r="I282" s="12" t="n"/>
      <c r="J282" s="12">
        <f>(J153-I153)*-1</f>
        <v>0</v>
      </c>
      <c r="K282" s="12">
        <f>(K153-J153)*-1</f>
        <v>0</v>
      </c>
      <c r="L282" s="12">
        <f>(L153-K153)*-1</f>
        <v>0</v>
      </c>
      <c r="M282" s="12" t="n"/>
      <c r="N282" s="12">
        <f>(N153-M153)*-1</f>
        <v>0</v>
      </c>
      <c r="O282" s="12">
        <f>(O153-N153)*-1</f>
        <v>0</v>
      </c>
      <c r="P282" s="12">
        <f>(P153-O153)*-1</f>
        <v>0</v>
      </c>
      <c r="Q282" s="12">
        <f>(Q153-P153)*-1</f>
        <v>0</v>
      </c>
      <c r="R282" s="12">
        <f>SUM(N282:Q282)</f>
        <v>0</v>
      </c>
      <c r="S282" s="12">
        <f>(S153-R153)*-1</f>
        <v>0</v>
      </c>
      <c r="T282" s="12">
        <f>(T153-S153)*-1</f>
        <v>0</v>
      </c>
      <c r="U282" s="12">
        <f>(U153-T153)*-1</f>
        <v>0</v>
      </c>
      <c r="V282" s="12">
        <f>(V153-U153)*-1</f>
        <v>0</v>
      </c>
      <c r="W282" s="12">
        <f>SUM(S282:V282)</f>
        <v>0</v>
      </c>
      <c r="X282" s="12">
        <f>(X153-W153)*-1</f>
        <v>0</v>
      </c>
      <c r="Y282" s="12">
        <f>(Y153-X153)*-1</f>
        <v>0</v>
      </c>
      <c r="Z282" s="12">
        <f>(Z153-Y153)*-1</f>
        <v>0</v>
      </c>
      <c r="AA282" s="12">
        <f>(AA153-Z153)*-1</f>
        <v>0</v>
      </c>
      <c r="AB282" s="12">
        <f>SUM(X282:AA282)</f>
        <v>0</v>
      </c>
      <c r="AC282" s="12">
        <f>(AC153-AB153)*-1</f>
        <v>0</v>
      </c>
      <c r="AD282" s="12">
        <f>(AD153-AC153)*-1</f>
        <v>0</v>
      </c>
      <c r="AE282" s="12">
        <f>(AE153-AD153)*-1</f>
        <v>0</v>
      </c>
      <c r="AF282" s="12">
        <f>(AF153-AE153)*-1</f>
        <v>0</v>
      </c>
      <c r="AG282" s="12">
        <f>SUM(AC282:AF282)</f>
        <v>0</v>
      </c>
      <c r="AH282" s="12">
        <f>(AH153-AG153)*-1</f>
        <v>0</v>
      </c>
      <c r="AI282" s="12">
        <f>(AI153-AH153)*-1</f>
        <v>0</v>
      </c>
      <c r="AJ282" s="12">
        <f>(AJ153-AI153)*-1</f>
        <v>0</v>
      </c>
      <c r="AK282" s="12">
        <f>(AK153-AJ153)*-1</f>
        <v>0</v>
      </c>
      <c r="AL282" s="12">
        <f>SUM(AH282:AK282)</f>
        <v>0</v>
      </c>
      <c r="AM282" s="12">
        <f>(AM153-AL153)*-1</f>
        <v>0</v>
      </c>
      <c r="AN282" s="12">
        <f>(AN153-AM153)*-1</f>
        <v>0</v>
      </c>
      <c r="AO282" s="12">
        <f>(AO153-AN153)*-1</f>
        <v>0</v>
      </c>
      <c r="AP282" s="12">
        <f>(AP153-AO153)*-1</f>
        <v>0</v>
      </c>
      <c r="AQ282" s="12">
        <f>SUM(AM282:AP282)</f>
        <v>0</v>
      </c>
      <c r="AR282" s="12">
        <f>(AR153-AQ153)*-1</f>
        <v>0</v>
      </c>
      <c r="AS282" s="12">
        <f>(AS153-AR153)*-1</f>
        <v>0</v>
      </c>
      <c r="AT282" s="12">
        <f>(AT153-AS153)*-1</f>
        <v>0</v>
      </c>
      <c r="AU282" s="12">
        <f>(AU153-AT153)*-1</f>
        <v>0</v>
      </c>
      <c r="AV282" s="12">
        <f>SUM(AR282:AU282)</f>
        <v>0</v>
      </c>
      <c r="AW282" s="12">
        <f>(AW153-AV153)*-1</f>
        <v>0</v>
      </c>
      <c r="AX282" s="12">
        <f>(AX153-AW153)*-1</f>
        <v>0</v>
      </c>
      <c r="AY282" s="12">
        <f>(AY153-AX153)*-1</f>
        <v>0</v>
      </c>
      <c r="AZ282" s="12">
        <f>(AZ153-AY153)*-1</f>
        <v>0</v>
      </c>
      <c r="BA282" s="12">
        <f>SUM(AW282:AZ282)</f>
        <v>0</v>
      </c>
      <c r="BB282" s="12">
        <f>(BB153-BA153)*-1</f>
        <v>0</v>
      </c>
      <c r="BC282" s="12">
        <f>(BC153-BB153)*-1</f>
        <v>0</v>
      </c>
      <c r="BD282" s="12">
        <f>(BD153-BC153)*-1</f>
        <v>0</v>
      </c>
      <c r="BE282" s="12">
        <f>(BE153-BD153)*-1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Other current assets</t>
        </is>
      </c>
      <c r="D283" s="12" t="n"/>
      <c r="E283" s="12" t="n"/>
      <c r="F283" s="12" t="n"/>
      <c r="G283" s="12" t="n"/>
      <c r="H283" s="12" t="n"/>
      <c r="I283" s="12" t="n"/>
      <c r="J283" s="12">
        <f>(J154-I154)*-1</f>
        <v>-8</v>
      </c>
      <c r="K283" s="12">
        <f>(K154-J154)*-1</f>
        <v>131</v>
      </c>
      <c r="L283" s="12">
        <f>(L154-K154)*-1</f>
        <v>-45</v>
      </c>
      <c r="M283" s="12" t="n"/>
      <c r="N283" s="12">
        <f>(N154-M154)*-1</f>
        <v>-270</v>
      </c>
      <c r="O283" s="12">
        <f>(O154-N154)*-1</f>
        <v>-539</v>
      </c>
      <c r="P283" s="12">
        <f>(P154-O154)*-1</f>
        <v>457</v>
      </c>
      <c r="Q283" s="12">
        <f>(Q154-P154)*-1</f>
        <v>-73</v>
      </c>
      <c r="R283" s="12">
        <f>SUM(N283:Q283)</f>
        <v>-425</v>
      </c>
      <c r="S283" s="12">
        <f>(S154-R154)*-1</f>
        <v>-81</v>
      </c>
      <c r="T283" s="12">
        <f>(T154-S154)*-1</f>
        <v>-517</v>
      </c>
      <c r="U283" s="12">
        <f>(U154-T154)*-1</f>
        <v>100</v>
      </c>
      <c r="V283" s="12">
        <f>(V154-U154)*-1</f>
        <v>-1791</v>
      </c>
      <c r="W283" s="12">
        <f>SUM(S283:V283)</f>
        <v>-2289</v>
      </c>
      <c r="X283" s="12">
        <f>(X154-W154)*-1</f>
        <v>-982</v>
      </c>
      <c r="Y283" s="12">
        <f>(Y154-X154)*-1</f>
        <v>36</v>
      </c>
      <c r="Z283" s="12">
        <f>(Z154-Y154)*-1</f>
        <v>220</v>
      </c>
      <c r="AA283" s="12">
        <f>(AA154-Z154)*-1</f>
        <v>35</v>
      </c>
      <c r="AB283" s="12">
        <f>SUM(X283:AA283)</f>
        <v>-691</v>
      </c>
      <c r="AC283" s="12">
        <f>(AC154-AB154)*-1</f>
        <v>992</v>
      </c>
      <c r="AD283" s="12">
        <f>(AD154-AC154)*-1</f>
        <v>121</v>
      </c>
      <c r="AE283" s="12">
        <f>(AE154-AD154)*-1</f>
        <v>-51</v>
      </c>
      <c r="AF283" s="12">
        <f>(AF154-AE154)*-1</f>
        <v>-13357</v>
      </c>
      <c r="AG283" s="12">
        <f>SUM(AC283:AF283)</f>
        <v>-12295</v>
      </c>
      <c r="AH283" s="12">
        <f>(AH154-AG154)*-1</f>
        <v>-18087</v>
      </c>
      <c r="AI283" s="12">
        <f>(AI154-AH154)*-1</f>
        <v>-12039</v>
      </c>
      <c r="AJ283" s="12">
        <f>(AJ154-AI154)*-1</f>
        <v>0</v>
      </c>
      <c r="AK283" s="12">
        <f>(AK154-AJ154)*-1</f>
        <v>0</v>
      </c>
      <c r="AL283" s="12">
        <f>SUM(AH283:AK283)</f>
        <v>-30126</v>
      </c>
      <c r="AM283" s="12">
        <f>(AM154-AL154)*-1</f>
        <v>0</v>
      </c>
      <c r="AN283" s="12">
        <f>(AN154-AM154)*-1</f>
        <v>0</v>
      </c>
      <c r="AO283" s="12">
        <f>(AO154-AN154)*-1</f>
        <v>0</v>
      </c>
      <c r="AP283" s="12">
        <f>(AP154-AO154)*-1</f>
        <v>0</v>
      </c>
      <c r="AQ283" s="12">
        <f>SUM(AM283:AP283)</f>
        <v>0</v>
      </c>
      <c r="AR283" s="12">
        <f>(AR154-AQ154)*-1</f>
        <v>0</v>
      </c>
      <c r="AS283" s="12">
        <f>(AS154-AR154)*-1</f>
        <v>0</v>
      </c>
      <c r="AT283" s="12">
        <f>(AT154-AS154)*-1</f>
        <v>0</v>
      </c>
      <c r="AU283" s="12">
        <f>(AU154-AT154)*-1</f>
        <v>0</v>
      </c>
      <c r="AV283" s="12">
        <f>SUM(AR283:AU283)</f>
        <v>0</v>
      </c>
      <c r="AW283" s="12">
        <f>(AW154-AV154)*-1</f>
        <v>0</v>
      </c>
      <c r="AX283" s="12">
        <f>(AX154-AW154)*-1</f>
        <v>0</v>
      </c>
      <c r="AY283" s="12">
        <f>(AY154-AX154)*-1</f>
        <v>0</v>
      </c>
      <c r="AZ283" s="12">
        <f>(AZ154-AY154)*-1</f>
        <v>0</v>
      </c>
      <c r="BA283" s="12">
        <f>SUM(AW283:AZ283)</f>
        <v>0</v>
      </c>
      <c r="BB283" s="12">
        <f>(BB154-BA154)*-1</f>
        <v>0</v>
      </c>
      <c r="BC283" s="12">
        <f>(BC154-BB154)*-1</f>
        <v>0</v>
      </c>
      <c r="BD283" s="12">
        <f>(BD154-BC154)*-1</f>
        <v>0</v>
      </c>
      <c r="BE283" s="12">
        <f>(BE154-BD154)*-1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hidden="1" outlineLevel="1">
      <c r="C284" s="10" t="inlineStr">
        <is>
          <t>Accounts payable</t>
        </is>
      </c>
      <c r="D284" s="12" t="n"/>
      <c r="E284" s="12" t="n"/>
      <c r="F284" s="12" t="n"/>
      <c r="G284" s="12" t="n"/>
      <c r="H284" s="12" t="n"/>
      <c r="I284" s="12" t="n"/>
      <c r="J284" s="12">
        <f>J197-I197</f>
        <v>256</v>
      </c>
      <c r="K284" s="12">
        <f>K197-J197</f>
        <v>190</v>
      </c>
      <c r="L284" s="12">
        <f>L197-K197</f>
        <v>119</v>
      </c>
      <c r="M284" s="12" t="n"/>
      <c r="N284" s="12">
        <f>N197-M197</f>
        <v>216</v>
      </c>
      <c r="O284" s="12">
        <f>O197-N197</f>
        <v>422</v>
      </c>
      <c r="P284" s="12">
        <f>P197-O197</f>
        <v>-930</v>
      </c>
      <c r="Q284" s="12">
        <f>Q197-P197</f>
        <v>-298</v>
      </c>
      <c r="R284" s="12">
        <f>SUM(N284:Q284)</f>
        <v>-590</v>
      </c>
      <c r="S284" s="12">
        <f>S197-R197</f>
        <v>-52</v>
      </c>
      <c r="T284" s="12">
        <f>T197-S197</f>
        <v>788</v>
      </c>
      <c r="U284" s="12">
        <f>U197-T197</f>
        <v>451</v>
      </c>
      <c r="V284" s="12">
        <f>V197-U197</f>
        <v>319</v>
      </c>
      <c r="W284" s="12">
        <f>SUM(S284:V284)</f>
        <v>1506</v>
      </c>
      <c r="X284" s="12">
        <f>X197-W197</f>
        <v>16</v>
      </c>
      <c r="Y284" s="12">
        <f>Y197-X197</f>
        <v>965</v>
      </c>
      <c r="Z284" s="12">
        <f>Z197-Y197</f>
        <v>1673</v>
      </c>
      <c r="AA284" s="12">
        <f>AA197-Z197</f>
        <v>957</v>
      </c>
      <c r="AB284" s="12">
        <f>SUM(X284:AA284)</f>
        <v>3611</v>
      </c>
      <c r="AC284" s="12">
        <f>AC197-AB197</f>
        <v>1021</v>
      </c>
      <c r="AD284" s="12">
        <f>AD197-AC197</f>
        <v>1733</v>
      </c>
      <c r="AE284" s="12">
        <f>AE197-AD197</f>
        <v>-440</v>
      </c>
      <c r="AF284" s="12">
        <f>AF197-AE197</f>
        <v>1188</v>
      </c>
      <c r="AG284" s="12">
        <f>SUM(AC284:AF284)</f>
        <v>3502</v>
      </c>
      <c r="AH284" s="12">
        <f>AH197-AG197</f>
        <v>3285</v>
      </c>
      <c r="AI284" s="12">
        <f>AI197-AH197</f>
        <v>1962</v>
      </c>
      <c r="AJ284" s="12">
        <f>AJ197-AI197</f>
        <v>1320.36681150668</v>
      </c>
      <c r="AK284" s="12">
        <f>AK197-AJ197</f>
        <v>3195.36431797996</v>
      </c>
      <c r="AL284" s="12">
        <f>SUM(AH284:AK284)</f>
        <v>9762.73112948665</v>
      </c>
      <c r="AM284" s="12">
        <f>AM197-AL197</f>
        <v>4396.58301162576</v>
      </c>
      <c r="AN284" s="12">
        <f>AN197-AM197</f>
        <v>3979.39568685607</v>
      </c>
      <c r="AO284" s="12">
        <f>AO197-AN197</f>
        <v>756.1049770506</v>
      </c>
      <c r="AP284" s="12">
        <f>AP197-AO197</f>
        <v>5600.2611557839</v>
      </c>
      <c r="AQ284" s="12">
        <f>SUM(AM284:AP284)</f>
        <v>14732.3448313163</v>
      </c>
      <c r="AR284" s="12">
        <f>AR197-AQ197</f>
        <v>7125.32513566969</v>
      </c>
      <c r="AS284" s="12">
        <f>AS197-AR197</f>
        <v>7414.83367536702</v>
      </c>
      <c r="AT284" s="12">
        <f>AT197-AS197</f>
        <v>1321.3845928589</v>
      </c>
      <c r="AU284" s="12">
        <f>AU197-AT197</f>
        <v>9787.13145905364</v>
      </c>
      <c r="AV284" s="12">
        <f>SUM(AR284:AU284)</f>
        <v>25648.6748629493</v>
      </c>
      <c r="AW284" s="12">
        <f>AW197-AV197</f>
        <v>13047.4354146563</v>
      </c>
      <c r="AX284" s="12">
        <f>AX197-AW197</f>
        <v>12119.0086923784</v>
      </c>
      <c r="AY284" s="12">
        <f>AY197-AX197</f>
        <v>2302.67194074039</v>
      </c>
      <c r="AZ284" s="12">
        <f>AZ197-AY197</f>
        <v>17055.2563673693</v>
      </c>
      <c r="BA284" s="12">
        <f>SUM(AW284:AZ284)</f>
        <v>44524.3724151443</v>
      </c>
      <c r="BB284" s="12">
        <f>BB197-BA197</f>
        <v>22371.7130955552</v>
      </c>
      <c r="BC284" s="12">
        <f>BC197-BB197</f>
        <v>21058.2385015486</v>
      </c>
      <c r="BD284" s="12">
        <f>BD197-BC197</f>
        <v>4001.17007502686</v>
      </c>
      <c r="BE284" s="12">
        <f>BE197-BD197</f>
        <v>29635.5638819691</v>
      </c>
      <c r="BF284" s="12">
        <f>SUM(BB284:BE284)</f>
        <v>77066.6855540998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hidden="1" outlineLevel="1">
      <c r="C285" s="10" t="inlineStr">
        <is>
          <t>Accrued expenses</t>
        </is>
      </c>
      <c r="D285" s="12" t="n"/>
      <c r="E285" s="12" t="n"/>
      <c r="F285" s="12" t="n"/>
      <c r="G285" s="12" t="n"/>
      <c r="H285" s="12" t="n"/>
      <c r="I285" s="12" t="n"/>
      <c r="J285" s="12">
        <f>J201-I201</f>
        <v>187</v>
      </c>
      <c r="K285" s="12">
        <f>K201-J201</f>
        <v>-26</v>
      </c>
      <c r="L285" s="12">
        <f>L201-K201</f>
        <v>604</v>
      </c>
      <c r="M285" s="12" t="n"/>
      <c r="N285" s="12">
        <f>N201-M201</f>
        <v>1011</v>
      </c>
      <c r="O285" s="12">
        <f>O201-N201</f>
        <v>340</v>
      </c>
      <c r="P285" s="12">
        <f>P201-O201</f>
        <v>212</v>
      </c>
      <c r="Q285" s="12">
        <f>Q201-P201</f>
        <v>5</v>
      </c>
      <c r="R285" s="12">
        <f>SUM(N285:Q285)</f>
        <v>1568</v>
      </c>
      <c r="S285" s="12">
        <f>S201-R201</f>
        <v>749</v>
      </c>
      <c r="T285" s="12">
        <f>T201-S201</f>
        <v>2287</v>
      </c>
      <c r="U285" s="12">
        <f>U201-T201</f>
        <v>-1684</v>
      </c>
      <c r="V285" s="12">
        <f>V201-U201</f>
        <v>1210</v>
      </c>
      <c r="W285" s="12">
        <f>SUM(S285:V285)</f>
        <v>2562</v>
      </c>
      <c r="X285" s="12">
        <f>X201-W201</f>
        <v>4576</v>
      </c>
      <c r="Y285" s="12">
        <f>Y201-X201</f>
        <v>-969</v>
      </c>
      <c r="Z285" s="12">
        <f>Z201-Y201</f>
        <v>837</v>
      </c>
      <c r="AA285" s="12">
        <f>AA201-Z201</f>
        <v>611</v>
      </c>
      <c r="AB285" s="12">
        <f>SUM(X285:AA285)</f>
        <v>5055</v>
      </c>
      <c r="AC285" s="12">
        <f>AC201-AB201</f>
        <v>7474</v>
      </c>
      <c r="AD285" s="12">
        <f>AD201-AC201</f>
        <v>-4018</v>
      </c>
      <c r="AE285" s="12">
        <f>AE201-AD201</f>
        <v>1259</v>
      </c>
      <c r="AF285" s="12">
        <f>AF201-AE201</f>
        <v>4900</v>
      </c>
      <c r="AG285" s="12">
        <f>SUM(AC285:AF285)</f>
        <v>9615</v>
      </c>
      <c r="AH285" s="12">
        <f>AH201-AG201</f>
        <v>8435</v>
      </c>
      <c r="AI285" s="12">
        <f>AI201-AH201</f>
        <v>-2827</v>
      </c>
      <c r="AJ285" s="12">
        <f>AJ201-AI201</f>
        <v>20290.6499213154</v>
      </c>
      <c r="AK285" s="12">
        <f>AK201-AJ201</f>
        <v>35561.8099446602</v>
      </c>
      <c r="AL285" s="12">
        <f>SUM(AH285:AK285)</f>
        <v>61460.4598659756</v>
      </c>
      <c r="AM285" s="12">
        <f>AM201-AL201</f>
        <v>62326.3587634827</v>
      </c>
      <c r="AN285" s="12">
        <f>AN201-AM201</f>
        <v>109234.456928918</v>
      </c>
      <c r="AO285" s="12">
        <f>AO201-AN201</f>
        <v>191446.553549455</v>
      </c>
      <c r="AP285" s="12">
        <f>AP201-AO201</f>
        <v>335533.163219869</v>
      </c>
      <c r="AQ285" s="12">
        <f>SUM(AM285:AP285)</f>
        <v>698540.532461725</v>
      </c>
      <c r="AR285" s="12">
        <f>AR201-AQ201</f>
        <v>584155.550776255</v>
      </c>
      <c r="AS285" s="12">
        <f>AS201-AR201</f>
        <v>1020882.24262156</v>
      </c>
      <c r="AT285" s="12">
        <f>AT201-AS201</f>
        <v>1784114.78229575</v>
      </c>
      <c r="AU285" s="12">
        <f>AU201-AT201</f>
        <v>3117955.65003883</v>
      </c>
      <c r="AV285" s="12">
        <f>SUM(AR285:AU285)</f>
        <v>6507108.2257324</v>
      </c>
      <c r="AW285" s="12">
        <f>AW201-AV201</f>
        <v>5412561.04956797</v>
      </c>
      <c r="AX285" s="12">
        <f>AX201-AW201</f>
        <v>9432040.09168843</v>
      </c>
      <c r="AY285" s="12">
        <f>AY201-AX201</f>
        <v>16436466.8548762</v>
      </c>
      <c r="AZ285" s="12">
        <f>AZ201-AY201</f>
        <v>28642524.8456597</v>
      </c>
      <c r="BA285" s="12">
        <f>SUM(AW285:AZ285)</f>
        <v>59923592.8417923</v>
      </c>
      <c r="BB285" s="12">
        <f>BB201-BA201</f>
        <v>49576992.0162903</v>
      </c>
      <c r="BC285" s="12">
        <f>BC201-BB201</f>
        <v>86145999.9385086</v>
      </c>
      <c r="BD285" s="12">
        <f>BD201-BC201</f>
        <v>149689059.452559</v>
      </c>
      <c r="BE285" s="12">
        <f>BE201-BD201</f>
        <v>260102785.222597</v>
      </c>
      <c r="BF285" s="12">
        <f>SUM(BB285:BE285)</f>
        <v>545514836.629956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 hidden="1" outlineLevel="1">
      <c r="C286" s="10" t="inlineStr">
        <is>
          <t>Taxes payable</t>
        </is>
      </c>
      <c r="D286" s="12" t="n"/>
      <c r="E286" s="12" t="n"/>
      <c r="F286" s="12" t="n"/>
      <c r="G286" s="12" t="n"/>
      <c r="H286" s="12" t="n"/>
      <c r="I286" s="12" t="n"/>
      <c r="J286" s="12">
        <f>J203-I203</f>
        <v>0</v>
      </c>
      <c r="K286" s="12">
        <f>K203-J203</f>
        <v>0</v>
      </c>
      <c r="L286" s="12">
        <f>L203-K203</f>
        <v>0</v>
      </c>
      <c r="M286" s="12" t="n"/>
      <c r="N286" s="12">
        <f>N203-M203</f>
        <v>0</v>
      </c>
      <c r="O286" s="12">
        <f>O203-N203</f>
        <v>0</v>
      </c>
      <c r="P286" s="12">
        <f>P203-O203</f>
        <v>0</v>
      </c>
      <c r="Q286" s="12">
        <f>Q203-P203</f>
        <v>0</v>
      </c>
      <c r="R286" s="12">
        <f>SUM(N286:Q286)</f>
        <v>0</v>
      </c>
      <c r="S286" s="12">
        <f>S203-R203</f>
        <v>0</v>
      </c>
      <c r="T286" s="12">
        <f>T203-S203</f>
        <v>0</v>
      </c>
      <c r="U286" s="12">
        <f>U203-T203</f>
        <v>0</v>
      </c>
      <c r="V286" s="12">
        <f>V203-U203</f>
        <v>0</v>
      </c>
      <c r="W286" s="12">
        <f>SUM(S286:V286)</f>
        <v>0</v>
      </c>
      <c r="X286" s="12">
        <f>X203-W203</f>
        <v>0</v>
      </c>
      <c r="Y286" s="12">
        <f>Y203-X203</f>
        <v>0</v>
      </c>
      <c r="Z286" s="12">
        <f>Z203-Y203</f>
        <v>0</v>
      </c>
      <c r="AA286" s="12">
        <f>AA203-Z203</f>
        <v>0</v>
      </c>
      <c r="AB286" s="12">
        <f>SUM(X286:AA286)</f>
        <v>0</v>
      </c>
      <c r="AC286" s="12">
        <f>AC203-AB203</f>
        <v>0</v>
      </c>
      <c r="AD286" s="12">
        <f>AD203-AC203</f>
        <v>0</v>
      </c>
      <c r="AE286" s="12">
        <f>AE203-AD203</f>
        <v>0</v>
      </c>
      <c r="AF286" s="12">
        <f>AF203-AE203</f>
        <v>0</v>
      </c>
      <c r="AG286" s="12">
        <f>SUM(AC286:AF286)</f>
        <v>0</v>
      </c>
      <c r="AH286" s="12">
        <f>AH203-AG203</f>
        <v>0</v>
      </c>
      <c r="AI286" s="12">
        <f>AI203-AH203</f>
        <v>0</v>
      </c>
      <c r="AJ286" s="12">
        <f>AJ203-AI203</f>
        <v>0</v>
      </c>
      <c r="AK286" s="12">
        <f>AK203-AJ203</f>
        <v>0</v>
      </c>
      <c r="AL286" s="12">
        <f>SUM(AH286:AK286)</f>
        <v>0</v>
      </c>
      <c r="AM286" s="12">
        <f>AM203-AL203</f>
        <v>0</v>
      </c>
      <c r="AN286" s="12">
        <f>AN203-AM203</f>
        <v>0</v>
      </c>
      <c r="AO286" s="12">
        <f>AO203-AN203</f>
        <v>0</v>
      </c>
      <c r="AP286" s="12">
        <f>AP203-AO203</f>
        <v>0</v>
      </c>
      <c r="AQ286" s="12">
        <f>SUM(AM286:AP286)</f>
        <v>0</v>
      </c>
      <c r="AR286" s="12">
        <f>AR203-AQ203</f>
        <v>0</v>
      </c>
      <c r="AS286" s="12">
        <f>AS203-AR203</f>
        <v>0</v>
      </c>
      <c r="AT286" s="12">
        <f>AT203-AS203</f>
        <v>0</v>
      </c>
      <c r="AU286" s="12">
        <f>AU203-AT203</f>
        <v>0</v>
      </c>
      <c r="AV286" s="12">
        <f>SUM(AR286:AU286)</f>
        <v>0</v>
      </c>
      <c r="AW286" s="12">
        <f>AW203-AV203</f>
        <v>0</v>
      </c>
      <c r="AX286" s="12">
        <f>AX203-AW203</f>
        <v>0</v>
      </c>
      <c r="AY286" s="12">
        <f>AY203-AX203</f>
        <v>0</v>
      </c>
      <c r="AZ286" s="12">
        <f>AZ203-AY203</f>
        <v>0</v>
      </c>
      <c r="BA286" s="12">
        <f>SUM(AW286:AZ286)</f>
        <v>0</v>
      </c>
      <c r="BB286" s="12">
        <f>BB203-BA203</f>
        <v>0</v>
      </c>
      <c r="BC286" s="12">
        <f>BC203-BB203</f>
        <v>0</v>
      </c>
      <c r="BD286" s="12">
        <f>BD203-BC203</f>
        <v>0</v>
      </c>
      <c r="BE286" s="12">
        <f>BE203-BD203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 hidden="1" outlineLevel="1">
      <c r="C287" s="10" t="inlineStr">
        <is>
          <t>Other current liabilities (non-debt)</t>
        </is>
      </c>
      <c r="D287" s="12" t="n"/>
      <c r="E287" s="12" t="n"/>
      <c r="F287" s="12" t="n"/>
      <c r="G287" s="12" t="n"/>
      <c r="H287" s="12" t="n"/>
      <c r="I287" s="12" t="n"/>
      <c r="J287" s="12">
        <f>J204-I204</f>
        <v>0</v>
      </c>
      <c r="K287" s="12">
        <f>K204-J204</f>
        <v>0</v>
      </c>
      <c r="L287" s="12">
        <f>L204-K204</f>
        <v>0</v>
      </c>
      <c r="M287" s="12" t="n"/>
      <c r="N287" s="12">
        <f>N204-M204</f>
        <v>0</v>
      </c>
      <c r="O287" s="12">
        <f>O204-N204</f>
        <v>0</v>
      </c>
      <c r="P287" s="12">
        <f>P204-O204</f>
        <v>0</v>
      </c>
      <c r="Q287" s="12">
        <f>Q204-P204</f>
        <v>0</v>
      </c>
      <c r="R287" s="12">
        <f>SUM(N287:Q287)</f>
        <v>0</v>
      </c>
      <c r="S287" s="12">
        <f>S204-R204</f>
        <v>0</v>
      </c>
      <c r="T287" s="12">
        <f>T204-S204</f>
        <v>0</v>
      </c>
      <c r="U287" s="12">
        <f>U204-T204</f>
        <v>0</v>
      </c>
      <c r="V287" s="12">
        <f>V204-U204</f>
        <v>0</v>
      </c>
      <c r="W287" s="12">
        <f>SUM(S287:V287)</f>
        <v>0</v>
      </c>
      <c r="X287" s="12">
        <f>X204-W204</f>
        <v>0</v>
      </c>
      <c r="Y287" s="12">
        <f>Y204-X204</f>
        <v>0</v>
      </c>
      <c r="Z287" s="12">
        <f>Z204-Y204</f>
        <v>0</v>
      </c>
      <c r="AA287" s="12">
        <f>AA204-Z204</f>
        <v>0</v>
      </c>
      <c r="AB287" s="12">
        <f>SUM(X287:AA287)</f>
        <v>0</v>
      </c>
      <c r="AC287" s="12">
        <f>AC204-AB204</f>
        <v>0</v>
      </c>
      <c r="AD287" s="12">
        <f>AD204-AC204</f>
        <v>0</v>
      </c>
      <c r="AE287" s="12">
        <f>AE204-AD204</f>
        <v>0</v>
      </c>
      <c r="AF287" s="12">
        <f>AF204-AE204</f>
        <v>0</v>
      </c>
      <c r="AG287" s="12">
        <f>SUM(AC287:AF287)</f>
        <v>0</v>
      </c>
      <c r="AH287" s="12">
        <f>AH204-AG204</f>
        <v>0</v>
      </c>
      <c r="AI287" s="12">
        <f>AI204-AH204</f>
        <v>0</v>
      </c>
      <c r="AJ287" s="12">
        <f>AJ204-AI204</f>
        <v>0</v>
      </c>
      <c r="AK287" s="12">
        <f>AK204-AJ204</f>
        <v>0</v>
      </c>
      <c r="AL287" s="12">
        <f>SUM(AH287:AK287)</f>
        <v>0</v>
      </c>
      <c r="AM287" s="12">
        <f>AM204-AL204</f>
        <v>0</v>
      </c>
      <c r="AN287" s="12">
        <f>AN204-AM204</f>
        <v>0</v>
      </c>
      <c r="AO287" s="12">
        <f>AO204-AN204</f>
        <v>0</v>
      </c>
      <c r="AP287" s="12">
        <f>AP204-AO204</f>
        <v>0</v>
      </c>
      <c r="AQ287" s="12">
        <f>SUM(AM287:AP287)</f>
        <v>0</v>
      </c>
      <c r="AR287" s="12">
        <f>AR204-AQ204</f>
        <v>0</v>
      </c>
      <c r="AS287" s="12">
        <f>AS204-AR204</f>
        <v>0</v>
      </c>
      <c r="AT287" s="12">
        <f>AT204-AS204</f>
        <v>0</v>
      </c>
      <c r="AU287" s="12">
        <f>AU204-AT204</f>
        <v>0</v>
      </c>
      <c r="AV287" s="12">
        <f>SUM(AR287:AU287)</f>
        <v>0</v>
      </c>
      <c r="AW287" s="12">
        <f>AW204-AV204</f>
        <v>0</v>
      </c>
      <c r="AX287" s="12">
        <f>AX204-AW204</f>
        <v>0</v>
      </c>
      <c r="AY287" s="12">
        <f>AY204-AX204</f>
        <v>0</v>
      </c>
      <c r="AZ287" s="12">
        <f>AZ204-AY204</f>
        <v>0</v>
      </c>
      <c r="BA287" s="12">
        <f>SUM(AW287:AZ287)</f>
        <v>0</v>
      </c>
      <c r="BB287" s="12">
        <f>BB204-BA204</f>
        <v>0</v>
      </c>
      <c r="BC287" s="12">
        <f>BC204-BB204</f>
        <v>0</v>
      </c>
      <c r="BD287" s="12">
        <f>BD204-BC204</f>
        <v>0</v>
      </c>
      <c r="BE287" s="12">
        <f>BE204-BD204</f>
        <v>0</v>
      </c>
      <c r="BF287" s="12">
        <f>SUM(BB287:BE287)</f>
        <v>0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 hidden="1" outlineLevel="1">
      <c r="C288" s="10" t="inlineStr">
        <is>
          <t>Deferred income taxes</t>
        </is>
      </c>
      <c r="D288" s="12" t="n"/>
      <c r="E288" s="12" t="n"/>
      <c r="F288" s="12" t="n"/>
      <c r="G288" s="12" t="n"/>
      <c r="H288" s="12" t="n"/>
      <c r="I288" s="12" t="n"/>
      <c r="J288" s="12">
        <f>J238-I238</f>
        <v>0</v>
      </c>
      <c r="K288" s="12">
        <f>K238-J238</f>
        <v>0</v>
      </c>
      <c r="L288" s="12">
        <f>L238-K238</f>
        <v>0</v>
      </c>
      <c r="M288" s="12" t="n"/>
      <c r="N288" s="12">
        <f>N238-M238</f>
        <v>0</v>
      </c>
      <c r="O288" s="12">
        <f>O238-N238</f>
        <v>0</v>
      </c>
      <c r="P288" s="12">
        <f>P238-O238</f>
        <v>0</v>
      </c>
      <c r="Q288" s="12">
        <f>Q238-P238</f>
        <v>0</v>
      </c>
      <c r="R288" s="12">
        <f>SUM(N288:Q288)</f>
        <v>0</v>
      </c>
      <c r="S288" s="12">
        <f>S238-R238</f>
        <v>0</v>
      </c>
      <c r="T288" s="12">
        <f>T238-S238</f>
        <v>0</v>
      </c>
      <c r="U288" s="12">
        <f>U238-T238</f>
        <v>0</v>
      </c>
      <c r="V288" s="12">
        <f>V238-U238</f>
        <v>0</v>
      </c>
      <c r="W288" s="12">
        <f>SUM(S288:V288)</f>
        <v>0</v>
      </c>
      <c r="X288" s="12">
        <f>X238-W238</f>
        <v>0</v>
      </c>
      <c r="Y288" s="12">
        <f>Y238-X238</f>
        <v>0</v>
      </c>
      <c r="Z288" s="12">
        <f>Z238-Y238</f>
        <v>0</v>
      </c>
      <c r="AA288" s="12">
        <f>AA238-Z238</f>
        <v>0</v>
      </c>
      <c r="AB288" s="12">
        <f>SUM(X288:AA288)</f>
        <v>0</v>
      </c>
      <c r="AC288" s="12">
        <f>AC238-AB238</f>
        <v>0</v>
      </c>
      <c r="AD288" s="12">
        <f>AD238-AC238</f>
        <v>0</v>
      </c>
      <c r="AE288" s="12">
        <f>AE238-AD238</f>
        <v>0</v>
      </c>
      <c r="AF288" s="12">
        <f>AF238-AE238</f>
        <v>0</v>
      </c>
      <c r="AG288" s="12">
        <f>SUM(AC288:AF288)</f>
        <v>0</v>
      </c>
      <c r="AH288" s="12">
        <f>AH238-AG238</f>
        <v>0</v>
      </c>
      <c r="AI288" s="12">
        <f>AI238-AH238</f>
        <v>0</v>
      </c>
      <c r="AJ288" s="12">
        <f>AJ238-AI238</f>
        <v>0</v>
      </c>
      <c r="AK288" s="12">
        <f>AK238-AJ238</f>
        <v>0</v>
      </c>
      <c r="AL288" s="12">
        <f>SUM(AH288:AK288)</f>
        <v>0</v>
      </c>
      <c r="AM288" s="12">
        <f>AM238-AL238</f>
        <v>0</v>
      </c>
      <c r="AN288" s="12">
        <f>AN238-AM238</f>
        <v>0</v>
      </c>
      <c r="AO288" s="12">
        <f>AO238-AN238</f>
        <v>0</v>
      </c>
      <c r="AP288" s="12">
        <f>AP238-AO238</f>
        <v>0</v>
      </c>
      <c r="AQ288" s="12">
        <f>SUM(AM288:AP288)</f>
        <v>0</v>
      </c>
      <c r="AR288" s="12">
        <f>AR238-AQ238</f>
        <v>0</v>
      </c>
      <c r="AS288" s="12">
        <f>AS238-AR238</f>
        <v>0</v>
      </c>
      <c r="AT288" s="12">
        <f>AT238-AS238</f>
        <v>0</v>
      </c>
      <c r="AU288" s="12">
        <f>AU238-AT238</f>
        <v>0</v>
      </c>
      <c r="AV288" s="12">
        <f>SUM(AR288:AU288)</f>
        <v>0</v>
      </c>
      <c r="AW288" s="12">
        <f>AW238-AV238</f>
        <v>0</v>
      </c>
      <c r="AX288" s="12">
        <f>AX238-AW238</f>
        <v>0</v>
      </c>
      <c r="AY288" s="12">
        <f>AY238-AX238</f>
        <v>0</v>
      </c>
      <c r="AZ288" s="12">
        <f>AZ238-AY238</f>
        <v>0</v>
      </c>
      <c r="BA288" s="12">
        <f>SUM(AW288:AZ288)</f>
        <v>0</v>
      </c>
      <c r="BB288" s="12">
        <f>BB238-BA238</f>
        <v>0</v>
      </c>
      <c r="BC288" s="12">
        <f>BC238-BB238</f>
        <v>0</v>
      </c>
      <c r="BD288" s="12">
        <f>BD238-BC238</f>
        <v>0</v>
      </c>
      <c r="BE288" s="12">
        <f>BE238-BD238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 collapsed="1">
      <c r="C289" s="10" t="inlineStr">
        <is>
          <t>Equity income in affiliates</t>
        </is>
      </c>
      <c r="D289" s="12" t="n"/>
      <c r="E289" s="12" t="n"/>
      <c r="F289" s="12" t="n"/>
      <c r="G289" s="12" t="n"/>
      <c r="H289" s="12" t="n"/>
      <c r="I289" s="12" t="n"/>
      <c r="J289" s="12">
        <f>(J160-I160)*-1</f>
        <v>0</v>
      </c>
      <c r="K289" s="12">
        <f>(K160-J160)*-1</f>
        <v>0</v>
      </c>
      <c r="L289" s="12">
        <f>(L160-K160)*-1</f>
        <v>0</v>
      </c>
      <c r="M289" s="12" t="n"/>
      <c r="N289" s="12">
        <f>(N160-M160)*-1</f>
        <v>0</v>
      </c>
      <c r="O289" s="12">
        <f>(O160-N160)*-1</f>
        <v>0</v>
      </c>
      <c r="P289" s="12">
        <f>(P160-O160)*-1</f>
        <v>0</v>
      </c>
      <c r="Q289" s="12">
        <f>(Q160-P160)*-1</f>
        <v>0</v>
      </c>
      <c r="R289" s="12">
        <f>SUM(N289:Q289)</f>
        <v>0</v>
      </c>
      <c r="S289" s="12">
        <f>(S160-R160)*-1</f>
        <v>0</v>
      </c>
      <c r="T289" s="12">
        <f>(T160-S160)*-1</f>
        <v>0</v>
      </c>
      <c r="U289" s="12">
        <f>(U160-T160)*-1</f>
        <v>0</v>
      </c>
      <c r="V289" s="12">
        <f>(V160-U160)*-1</f>
        <v>0</v>
      </c>
      <c r="W289" s="12">
        <f>SUM(S289:V289)</f>
        <v>0</v>
      </c>
      <c r="X289" s="12">
        <f>(X160-W160)*-1</f>
        <v>0</v>
      </c>
      <c r="Y289" s="12">
        <f>(Y160-X160)*-1</f>
        <v>0</v>
      </c>
      <c r="Z289" s="12">
        <f>(Z160-Y160)*-1</f>
        <v>0</v>
      </c>
      <c r="AA289" s="12">
        <f>(AA160-Z160)*-1</f>
        <v>0</v>
      </c>
      <c r="AB289" s="12">
        <f>SUM(X289:AA289)</f>
        <v>0</v>
      </c>
      <c r="AC289" s="12">
        <f>(AC160-AB160)*-1</f>
        <v>0</v>
      </c>
      <c r="AD289" s="12">
        <f>(AD160-AC160)*-1</f>
        <v>0</v>
      </c>
      <c r="AE289" s="12">
        <f>(AE160-AD160)*-1</f>
        <v>0</v>
      </c>
      <c r="AF289" s="12">
        <f>(AF160-AE160)*-1</f>
        <v>0</v>
      </c>
      <c r="AG289" s="12">
        <f>SUM(AC289:AF289)</f>
        <v>0</v>
      </c>
      <c r="AH289" s="12">
        <f>(AH160-AG160)*-1</f>
        <v>0</v>
      </c>
      <c r="AI289" s="12">
        <f>(AI160-AH160)*-1</f>
        <v>0</v>
      </c>
      <c r="AJ289" s="12">
        <f>(AJ160-AI160)*-1</f>
        <v>0</v>
      </c>
      <c r="AK289" s="12">
        <f>(AK160-AJ160)*-1</f>
        <v>0</v>
      </c>
      <c r="AL289" s="12">
        <f>SUM(AH289:AK289)</f>
        <v>0</v>
      </c>
      <c r="AM289" s="12">
        <f>(AM160-AL160)*-1</f>
        <v>0</v>
      </c>
      <c r="AN289" s="12">
        <f>(AN160-AM160)*-1</f>
        <v>0</v>
      </c>
      <c r="AO289" s="12">
        <f>(AO160-AN160)*-1</f>
        <v>0</v>
      </c>
      <c r="AP289" s="12">
        <f>(AP160-AO160)*-1</f>
        <v>0</v>
      </c>
      <c r="AQ289" s="12">
        <f>SUM(AM289:AP289)</f>
        <v>0</v>
      </c>
      <c r="AR289" s="12">
        <f>(AR160-AQ160)*-1</f>
        <v>0</v>
      </c>
      <c r="AS289" s="12">
        <f>(AS160-AR160)*-1</f>
        <v>0</v>
      </c>
      <c r="AT289" s="12">
        <f>(AT160-AS160)*-1</f>
        <v>0</v>
      </c>
      <c r="AU289" s="12">
        <f>(AU160-AT160)*-1</f>
        <v>0</v>
      </c>
      <c r="AV289" s="12">
        <f>SUM(AR289:AU289)</f>
        <v>0</v>
      </c>
      <c r="AW289" s="12">
        <f>(AW160-AV160)*-1</f>
        <v>0</v>
      </c>
      <c r="AX289" s="12">
        <f>(AX160-AW160)*-1</f>
        <v>0</v>
      </c>
      <c r="AY289" s="12">
        <f>(AY160-AX160)*-1</f>
        <v>0</v>
      </c>
      <c r="AZ289" s="12">
        <f>(AZ160-AY160)*-1</f>
        <v>0</v>
      </c>
      <c r="BA289" s="12">
        <f>SUM(AW289:AZ289)</f>
        <v>0</v>
      </c>
      <c r="BB289" s="12">
        <f>(BB160-BA160)*-1</f>
        <v>0</v>
      </c>
      <c r="BC289" s="12">
        <f>(BC160-BB160)*-1</f>
        <v>0</v>
      </c>
      <c r="BD289" s="12">
        <f>(BD160-BC160)*-1</f>
        <v>0</v>
      </c>
      <c r="BE289" s="12">
        <f>(BE160-BD160)*-1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0" t="inlineStr">
        <is>
          <t>Dividends received from affiliates</t>
        </is>
      </c>
      <c r="D290" s="12" t="n"/>
      <c r="E290" s="12" t="n"/>
      <c r="F290" s="12" t="n"/>
      <c r="G290" s="12" t="n"/>
      <c r="H290" s="12" t="n"/>
      <c r="I290" s="12" t="n"/>
      <c r="J290" s="12">
        <f>-J163</f>
        <v>0</v>
      </c>
      <c r="K290" s="12">
        <f>-K163</f>
        <v>0</v>
      </c>
      <c r="L290" s="12">
        <f>-L163</f>
        <v>0</v>
      </c>
      <c r="M290" s="12" t="n"/>
      <c r="N290" s="12">
        <f>-N163</f>
        <v>0</v>
      </c>
      <c r="O290" s="12">
        <f>-O163</f>
        <v>0</v>
      </c>
      <c r="P290" s="12">
        <f>-P163</f>
        <v>0</v>
      </c>
      <c r="Q290" s="12">
        <f>-Q163</f>
        <v>0</v>
      </c>
      <c r="R290" s="12">
        <f>SUM(N290:Q290)</f>
        <v>0</v>
      </c>
      <c r="S290" s="12">
        <f>-S163</f>
        <v>0</v>
      </c>
      <c r="T290" s="12">
        <f>-T163</f>
        <v>0</v>
      </c>
      <c r="U290" s="12">
        <f>-U163</f>
        <v>0</v>
      </c>
      <c r="V290" s="12">
        <f>-V163</f>
        <v>0</v>
      </c>
      <c r="W290" s="12">
        <f>SUM(S290:V290)</f>
        <v>0</v>
      </c>
      <c r="X290" s="12">
        <f>-X163</f>
        <v>0</v>
      </c>
      <c r="Y290" s="12">
        <f>-Y163</f>
        <v>0</v>
      </c>
      <c r="Z290" s="12">
        <f>-Z163</f>
        <v>0</v>
      </c>
      <c r="AA290" s="12">
        <f>-AA163</f>
        <v>0</v>
      </c>
      <c r="AB290" s="12">
        <f>SUM(X290:AA290)</f>
        <v>0</v>
      </c>
      <c r="AC290" s="12">
        <f>-AC163</f>
        <v>0</v>
      </c>
      <c r="AD290" s="12">
        <f>-AD163</f>
        <v>0</v>
      </c>
      <c r="AE290" s="12">
        <f>-AE163</f>
        <v>0</v>
      </c>
      <c r="AF290" s="12">
        <f>-AF163</f>
        <v>0</v>
      </c>
      <c r="AG290" s="12">
        <f>SUM(AC290:AF290)</f>
        <v>0</v>
      </c>
      <c r="AH290" s="12">
        <f>-AH163</f>
        <v>0</v>
      </c>
      <c r="AI290" s="12">
        <f>-AI163</f>
        <v>0</v>
      </c>
      <c r="AJ290" s="12">
        <f>-AJ163</f>
        <v>0</v>
      </c>
      <c r="AK290" s="12">
        <f>-AK163</f>
        <v>0</v>
      </c>
      <c r="AL290" s="12">
        <f>SUM(AH290:AK290)</f>
        <v>0</v>
      </c>
      <c r="AM290" s="12">
        <f>-AM163</f>
        <v>0</v>
      </c>
      <c r="AN290" s="12">
        <f>-AN163</f>
        <v>0</v>
      </c>
      <c r="AO290" s="12">
        <f>-AO163</f>
        <v>0</v>
      </c>
      <c r="AP290" s="12">
        <f>-AP163</f>
        <v>0</v>
      </c>
      <c r="AQ290" s="12">
        <f>SUM(AM290:AP290)</f>
        <v>0</v>
      </c>
      <c r="AR290" s="12">
        <f>-AR163</f>
        <v>0</v>
      </c>
      <c r="AS290" s="12">
        <f>-AS163</f>
        <v>0</v>
      </c>
      <c r="AT290" s="12">
        <f>-AT163</f>
        <v>0</v>
      </c>
      <c r="AU290" s="12">
        <f>-AU163</f>
        <v>0</v>
      </c>
      <c r="AV290" s="12">
        <f>SUM(AR290:AU290)</f>
        <v>0</v>
      </c>
      <c r="AW290" s="12">
        <f>-AW163</f>
        <v>0</v>
      </c>
      <c r="AX290" s="12">
        <f>-AX163</f>
        <v>0</v>
      </c>
      <c r="AY290" s="12">
        <f>-AY163</f>
        <v>0</v>
      </c>
      <c r="AZ290" s="12">
        <f>-AZ163</f>
        <v>0</v>
      </c>
      <c r="BA290" s="12">
        <f>SUM(AW290:AZ290)</f>
        <v>0</v>
      </c>
      <c r="BB290" s="12">
        <f>-BB163</f>
        <v>0</v>
      </c>
      <c r="BC290" s="12">
        <f>-BC163</f>
        <v>0</v>
      </c>
      <c r="BD290" s="12">
        <f>-BD163</f>
        <v>0</v>
      </c>
      <c r="BE290" s="12">
        <f>-BE163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71" t="inlineStr">
        <is>
          <t>Minority interest expense</t>
        </is>
      </c>
      <c r="D291" s="12" t="n"/>
      <c r="E291" s="12" t="n"/>
      <c r="F291" s="12" t="n"/>
      <c r="G291" s="12" t="n"/>
      <c r="H291" s="12" t="n"/>
      <c r="I291" s="12" t="n"/>
      <c r="J291" s="12">
        <f>-J135</f>
        <v>0</v>
      </c>
      <c r="K291" s="12">
        <f>-K135</f>
        <v>0</v>
      </c>
      <c r="L291" s="12">
        <f>-L135</f>
        <v>0</v>
      </c>
      <c r="M291" s="12" t="n"/>
      <c r="N291" s="12">
        <f>-N135</f>
        <v>0</v>
      </c>
      <c r="O291" s="12">
        <f>-O135</f>
        <v>0</v>
      </c>
      <c r="P291" s="12">
        <f>-P135</f>
        <v>0</v>
      </c>
      <c r="Q291" s="12">
        <f>-Q135</f>
        <v>0</v>
      </c>
      <c r="R291" s="12">
        <f>SUM(N291:Q291)</f>
        <v>0</v>
      </c>
      <c r="S291" s="12">
        <f>-S135</f>
        <v>0</v>
      </c>
      <c r="T291" s="12">
        <f>-T135</f>
        <v>0</v>
      </c>
      <c r="U291" s="12">
        <f>-U135</f>
        <v>0</v>
      </c>
      <c r="V291" s="12">
        <f>-V135</f>
        <v>0</v>
      </c>
      <c r="W291" s="12">
        <f>SUM(S291:V291)</f>
        <v>0</v>
      </c>
      <c r="X291" s="12">
        <f>-X135</f>
        <v>0</v>
      </c>
      <c r="Y291" s="12">
        <f>-Y135</f>
        <v>0</v>
      </c>
      <c r="Z291" s="12">
        <f>-Z135</f>
        <v>0</v>
      </c>
      <c r="AA291" s="12">
        <f>-AA135</f>
        <v>0</v>
      </c>
      <c r="AB291" s="12">
        <f>SUM(X291:AA291)</f>
        <v>0</v>
      </c>
      <c r="AC291" s="12">
        <f>-AC135</f>
        <v>0</v>
      </c>
      <c r="AD291" s="12">
        <f>-AD135</f>
        <v>0</v>
      </c>
      <c r="AE291" s="12">
        <f>-AE135</f>
        <v>0</v>
      </c>
      <c r="AF291" s="12">
        <f>-AF135</f>
        <v>0</v>
      </c>
      <c r="AG291" s="12">
        <f>SUM(AC291:AF291)</f>
        <v>0</v>
      </c>
      <c r="AH291" s="12">
        <f>-AH135</f>
        <v>0</v>
      </c>
      <c r="AI291" s="12">
        <f>-AI135</f>
        <v>0</v>
      </c>
      <c r="AJ291" s="12">
        <f>-AJ135</f>
        <v>0</v>
      </c>
      <c r="AK291" s="12">
        <f>-AK135</f>
        <v>0</v>
      </c>
      <c r="AL291" s="12">
        <f>SUM(AH291:AK291)</f>
        <v>0</v>
      </c>
      <c r="AM291" s="12">
        <f>-AM135</f>
        <v>0</v>
      </c>
      <c r="AN291" s="12">
        <f>-AN135</f>
        <v>0</v>
      </c>
      <c r="AO291" s="12">
        <f>-AO135</f>
        <v>0</v>
      </c>
      <c r="AP291" s="12">
        <f>-AP135</f>
        <v>0</v>
      </c>
      <c r="AQ291" s="12">
        <f>SUM(AM291:AP291)</f>
        <v>0</v>
      </c>
      <c r="AR291" s="12">
        <f>-AR135</f>
        <v>0</v>
      </c>
      <c r="AS291" s="12">
        <f>-AS135</f>
        <v>0</v>
      </c>
      <c r="AT291" s="12">
        <f>-AT135</f>
        <v>0</v>
      </c>
      <c r="AU291" s="12">
        <f>-AU135</f>
        <v>0</v>
      </c>
      <c r="AV291" s="12">
        <f>SUM(AR291:AU291)</f>
        <v>0</v>
      </c>
      <c r="AW291" s="12">
        <f>-AW135</f>
        <v>0</v>
      </c>
      <c r="AX291" s="12">
        <f>-AX135</f>
        <v>0</v>
      </c>
      <c r="AY291" s="12">
        <f>-AY135</f>
        <v>0</v>
      </c>
      <c r="AZ291" s="12">
        <f>-AZ135</f>
        <v>0</v>
      </c>
      <c r="BA291" s="12">
        <f>SUM(AW291:AZ291)</f>
        <v>0</v>
      </c>
      <c r="BB291" s="12">
        <f>-BB135</f>
        <v>0</v>
      </c>
      <c r="BC291" s="12">
        <f>-BC135</f>
        <v>0</v>
      </c>
      <c r="BD291" s="12">
        <f>-BD135</f>
        <v>0</v>
      </c>
      <c r="BE291" s="12">
        <f>-BE135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4" t="inlineStr">
        <is>
          <t>Cash from operations</t>
        </is>
      </c>
      <c r="D292" s="12" t="n"/>
      <c r="E292" s="12" t="n"/>
      <c r="F292" s="12" t="n"/>
      <c r="G292" s="12" t="n"/>
      <c r="H292" s="12" t="n"/>
      <c r="I292" s="12" t="n"/>
      <c r="J292" s="12">
        <f>SUM(J276,J277,J278,J289,J290,J291)</f>
        <v>2231</v>
      </c>
      <c r="K292" s="12">
        <f>SUM(K276,K277,K278,K289,K290,K291)</f>
        <v>2558</v>
      </c>
      <c r="L292" s="12">
        <f>SUM(L276,L277,L278,L289,L290,L291)</f>
        <v>2670</v>
      </c>
      <c r="M292" s="12" t="n"/>
      <c r="N292" s="12">
        <f>SUM(N276,N277,N278,N289,N290,N291)</f>
        <v>1001</v>
      </c>
      <c r="O292" s="12">
        <f>SUM(O276,O277,O278,O289,O290,O291)</f>
        <v>211</v>
      </c>
      <c r="P292" s="12">
        <f>SUM(P276,P277,P278,P289,P290,P291)</f>
        <v>132</v>
      </c>
      <c r="Q292" s="12">
        <f>SUM(Q276,Q277,Q278,Q289,Q290,Q291)</f>
        <v>1216</v>
      </c>
      <c r="R292" s="12">
        <f>SUM(R276,R277,R278,R289,R290,R291)</f>
        <v>2560</v>
      </c>
      <c r="S292" s="12">
        <f>SUM(S276,S277,S278,S289,S290,S291)</f>
        <v>2166</v>
      </c>
      <c r="T292" s="12">
        <f>SUM(T276,T277,T278,T289,T290,T291)</f>
        <v>5587</v>
      </c>
      <c r="U292" s="12">
        <f>SUM(U276,U277,U278,U289,U290,U291)</f>
        <v>6195</v>
      </c>
      <c r="V292" s="12">
        <f>SUM(V276,V277,V278,V289,V290,V291)</f>
        <v>10118</v>
      </c>
      <c r="W292" s="12">
        <f>SUM(W276,W277,W278,W289,W290,W291)</f>
        <v>24066</v>
      </c>
      <c r="X292" s="12">
        <f>SUM(X276,X277,X278,X289,X290,X291)</f>
        <v>14236</v>
      </c>
      <c r="Y292" s="12">
        <f>SUM(Y276,Y277,Y278,Y289,Y290,Y291)</f>
        <v>12706</v>
      </c>
      <c r="Z292" s="12">
        <f>SUM(Z276,Z277,Z278,Z289,Z290,Z291)</f>
        <v>17279</v>
      </c>
      <c r="AA292" s="12">
        <f>SUM(AA276,AA277,AA278,AA289,AA290,AA291)</f>
        <v>15736</v>
      </c>
      <c r="AB292" s="12">
        <f>SUM(AB276,AB277,AB278,AB289,AB290,AB291)</f>
        <v>59957</v>
      </c>
      <c r="AC292" s="12">
        <f>SUM(AC276,AC277,AC278,AC289,AC290,AC291)</f>
        <v>26214</v>
      </c>
      <c r="AD292" s="12">
        <f>SUM(AD276,AD277,AD278,AD289,AD290,AD291)</f>
        <v>15370</v>
      </c>
      <c r="AE292" s="12">
        <f>SUM(AE276,AE277,AE278,AE289,AE290,AE291)</f>
        <v>22920</v>
      </c>
      <c r="AF292" s="12">
        <f>SUM(AF276,AF277,AF278,AF289,AF290,AF291)</f>
        <v>30225</v>
      </c>
      <c r="AG292" s="12">
        <f>SUM(AG276,AG277,AG278,AG289,AG290,AG291)</f>
        <v>94729</v>
      </c>
      <c r="AH292" s="12">
        <f>SUM(AH276,AH277,AH278,AH289,AH290,AH291)</f>
        <v>47864</v>
      </c>
      <c r="AI292" s="12">
        <f>SUM(AI276,AI277,AI278,AI289,AI290,AI291)</f>
        <v>19332</v>
      </c>
      <c r="AJ292" s="12">
        <f>SUM(AJ276,AJ277,AJ278,AJ289,AJ290,AJ291)</f>
        <v>88953.4715115746</v>
      </c>
      <c r="AK292" s="12">
        <f>SUM(AK276,AK277,AK278,AK289,AK290,AK291)</f>
        <v>94405.4971013383</v>
      </c>
      <c r="AL292" s="12">
        <f>SUM(AL276,AL277,AL278,AL289,AL290,AL291)</f>
        <v>250554.968612913</v>
      </c>
      <c r="AM292" s="12">
        <f>SUM(AM276,AM277,AM278,AM289,AM290,AM291)</f>
        <v>130324.715176001</v>
      </c>
      <c r="AN292" s="12">
        <f>SUM(AN276,AN277,AN278,AN289,AN290,AN291)</f>
        <v>194686.024845869</v>
      </c>
      <c r="AO292" s="12">
        <f>SUM(AO276,AO277,AO278,AO289,AO290,AO291)</f>
        <v>294989.843416516</v>
      </c>
      <c r="AP292" s="12">
        <f>SUM(AP276,AP277,AP278,AP289,AP290,AP291)</f>
        <v>438663.818335581</v>
      </c>
      <c r="AQ292" s="12">
        <f>SUM(AQ276,AQ277,AQ278,AQ289,AQ290,AQ291)</f>
        <v>1058664.40177397</v>
      </c>
      <c r="AR292" s="12">
        <f>SUM(AR276,AR277,AR278,AR289,AR290,AR291)</f>
        <v>705440.813966857</v>
      </c>
      <c r="AS292" s="12">
        <f>SUM(AS276,AS277,AS278,AS289,AS290,AS291)</f>
        <v>1168198.76130397</v>
      </c>
      <c r="AT292" s="12">
        <f>SUM(AT276,AT277,AT278,AT289,AT290,AT291)</f>
        <v>1965069.1630723</v>
      </c>
      <c r="AU292" s="12">
        <f>SUM(AU276,AU277,AU278,AU289,AU290,AU291)</f>
        <v>3298188.90184591</v>
      </c>
      <c r="AV292" s="12">
        <f>SUM(AV276,AV277,AV278,AV289,AV290,AV291)</f>
        <v>7136897.64018903</v>
      </c>
      <c r="AW292" s="12">
        <f>SUM(AW276,AW277,AW278,AW289,AW290,AW291)</f>
        <v>5621147.27859055</v>
      </c>
      <c r="AX292" s="12">
        <f>SUM(AX276,AX277,AX278,AX289,AX290,AX291)</f>
        <v>9692277.66941498</v>
      </c>
      <c r="AY292" s="12">
        <f>SUM(AY276,AY277,AY278,AY289,AY290,AY291)</f>
        <v>16751801.6767139</v>
      </c>
      <c r="AZ292" s="12">
        <f>SUM(AZ276,AZ277,AZ278,AZ289,AZ290,AZ291)</f>
        <v>28956603.0133388</v>
      </c>
      <c r="BA292" s="12">
        <f>SUM(BA276,BA277,BA278,BA289,BA290,BA291)</f>
        <v>61021829.6380582</v>
      </c>
      <c r="BB292" s="12">
        <f>SUM(BB276,BB277,BB278,BB289,BB290,BB291)</f>
        <v>49940751.3823226</v>
      </c>
      <c r="BC292" s="12">
        <f>SUM(BC276,BC277,BC278,BC289,BC290,BC291)</f>
        <v>86598194.1004187</v>
      </c>
      <c r="BD292" s="12">
        <f>SUM(BD276,BD277,BD278,BD289,BD290,BD291)</f>
        <v>150236991.717867</v>
      </c>
      <c r="BE292" s="12">
        <f>SUM(BE276,BE277,BE278,BE289,BE290,BE291)</f>
        <v>260648533.89982</v>
      </c>
      <c r="BF292" s="12">
        <f>SUM(BF276,BF277,BF278,BF289,BF290,BF291)</f>
        <v>547424471.100429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4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0" t="inlineStr">
        <is>
          <t>Purchase of fixed assets (capital expenditures)</t>
        </is>
      </c>
      <c r="D294" s="12" t="n"/>
      <c r="E294" s="12" t="n"/>
      <c r="F294" s="12" t="n"/>
      <c r="G294" s="12" t="n"/>
      <c r="H294" s="12" t="n"/>
      <c r="I294" s="12" t="n"/>
      <c r="J294" s="12">
        <f>-J167</f>
        <v>-382</v>
      </c>
      <c r="K294" s="12">
        <f>-K167</f>
        <v>-443</v>
      </c>
      <c r="L294" s="12">
        <f>-L167</f>
        <v>-578</v>
      </c>
      <c r="M294" s="12" t="n"/>
      <c r="N294" s="12">
        <f>-N167</f>
        <v>-472</v>
      </c>
      <c r="O294" s="12">
        <f>-O167</f>
        <v>-695</v>
      </c>
      <c r="P294" s="12">
        <f>-P167</f>
        <v>-947</v>
      </c>
      <c r="Q294" s="12">
        <f>-Q167</f>
        <v>-459</v>
      </c>
      <c r="R294" s="12">
        <f>SUM(N294:Q294)</f>
        <v>-2573</v>
      </c>
      <c r="S294" s="12">
        <f>-S167</f>
        <v>-317</v>
      </c>
      <c r="T294" s="12">
        <f>-T167</f>
        <v>-424</v>
      </c>
      <c r="U294" s="12">
        <f>-U167</f>
        <v>-417</v>
      </c>
      <c r="V294" s="12">
        <f>-V167</f>
        <v>-457</v>
      </c>
      <c r="W294" s="12">
        <f>SUM(S294:V294)</f>
        <v>-1615</v>
      </c>
      <c r="X294" s="12">
        <f>-X167</f>
        <v>-502</v>
      </c>
      <c r="Y294" s="12">
        <f>-Y167</f>
        <v>-1312</v>
      </c>
      <c r="Z294" s="12">
        <f>-Z167</f>
        <v>-936</v>
      </c>
      <c r="AA294" s="12">
        <f>-AA167</f>
        <v>-1483</v>
      </c>
      <c r="AB294" s="12">
        <f>SUM(X294:AA294)</f>
        <v>-4233</v>
      </c>
      <c r="AC294" s="12">
        <f>-AC167</f>
        <v>-1464</v>
      </c>
      <c r="AD294" s="12">
        <f>-AD167</f>
        <v>-2674</v>
      </c>
      <c r="AE294" s="12">
        <f>-AE167</f>
        <v>-1390</v>
      </c>
      <c r="AF294" s="12">
        <f>-AF167</f>
        <v>-1415</v>
      </c>
      <c r="AG294" s="12">
        <f>SUM(AC294:AF294)</f>
        <v>-6943</v>
      </c>
      <c r="AH294" s="12">
        <f>-AH167</f>
        <v>-3017</v>
      </c>
      <c r="AI294" s="12">
        <f>-AI167</f>
        <v>-3009</v>
      </c>
      <c r="AJ294" s="12">
        <f>-AJ167</f>
        <v>-3290.54564935234</v>
      </c>
      <c r="AK294" s="12">
        <f>-AK167</f>
        <v>-3932.48085207569</v>
      </c>
      <c r="AL294" s="12">
        <f>SUM(AH294:AK294)</f>
        <v>-13249.026501428</v>
      </c>
      <c r="AM294" s="12">
        <f>-AM167</f>
        <v>-4711.04591046366</v>
      </c>
      <c r="AN294" s="12">
        <f>-AN167</f>
        <v>-5554.14505361421</v>
      </c>
      <c r="AO294" s="12">
        <f>-AO167</f>
        <v>-5767.07791274684</v>
      </c>
      <c r="AP294" s="12">
        <f>-AP167</f>
        <v>-6892.14673826797</v>
      </c>
      <c r="AQ294" s="12">
        <f>SUM(AM294:AP294)</f>
        <v>-22924.4156150927</v>
      </c>
      <c r="AR294" s="12">
        <f>-AR167</f>
        <v>-8233.12062647746</v>
      </c>
      <c r="AS294" s="12">
        <f>-AS167</f>
        <v>-9706.53801139849</v>
      </c>
      <c r="AT294" s="12">
        <f>-AT167</f>
        <v>-10078.6638509463</v>
      </c>
      <c r="AU294" s="12">
        <f>-AU167</f>
        <v>-12044.8572461394</v>
      </c>
      <c r="AV294" s="12">
        <f>SUM(AR294:AU294)</f>
        <v>-40063.1797349616</v>
      </c>
      <c r="AW294" s="12">
        <f>-AW167</f>
        <v>-14347.2051617489</v>
      </c>
      <c r="AX294" s="12">
        <f>-AX167</f>
        <v>-16914.812569609</v>
      </c>
      <c r="AY294" s="12">
        <f>-AY167</f>
        <v>-17563.2867033185</v>
      </c>
      <c r="AZ294" s="12">
        <f>-AZ167</f>
        <v>-20989.6157112756</v>
      </c>
      <c r="BA294" s="12">
        <f>SUM(AW294:AZ294)</f>
        <v>-69814.9201459519</v>
      </c>
      <c r="BB294" s="12">
        <f>-BB167</f>
        <v>-24929.9984673469</v>
      </c>
      <c r="BC294" s="12">
        <f>-BC167</f>
        <v>-29391.5258534165</v>
      </c>
      <c r="BD294" s="12">
        <f>-BD167</f>
        <v>-30518.3278317275</v>
      </c>
      <c r="BE294" s="12">
        <f>-BE167</f>
        <v>-36471.9875134565</v>
      </c>
      <c r="BF294" s="12">
        <f>SUM(BB294:BE294)</f>
        <v>-121311.839665947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0" t="inlineStr">
        <is>
          <t>Proceeds from sale of fixed assets</t>
        </is>
      </c>
      <c r="D295" s="12" t="n"/>
      <c r="E295" s="12" t="n"/>
      <c r="F295" s="12" t="n"/>
      <c r="G295" s="12" t="n"/>
      <c r="H295" s="12" t="n"/>
      <c r="I295" s="12" t="n"/>
      <c r="J295" s="12">
        <f>-J168</f>
        <v>0</v>
      </c>
      <c r="K295" s="12">
        <f>-K168</f>
        <v>0</v>
      </c>
      <c r="L295" s="12">
        <f>-L168</f>
        <v>0</v>
      </c>
      <c r="M295" s="12" t="n"/>
      <c r="N295" s="12">
        <f>-N168</f>
        <v>0</v>
      </c>
      <c r="O295" s="12">
        <f>-O168</f>
        <v>0</v>
      </c>
      <c r="P295" s="12">
        <f>-P168</f>
        <v>0</v>
      </c>
      <c r="Q295" s="12">
        <f>-Q168</f>
        <v>0</v>
      </c>
      <c r="R295" s="12">
        <f>SUM(N295:Q295)</f>
        <v>0</v>
      </c>
      <c r="S295" s="12">
        <f>-S168</f>
        <v>0</v>
      </c>
      <c r="T295" s="12">
        <f>-T168</f>
        <v>0</v>
      </c>
      <c r="U295" s="12">
        <f>-U168</f>
        <v>0</v>
      </c>
      <c r="V295" s="12">
        <f>-V168</f>
        <v>0</v>
      </c>
      <c r="W295" s="12">
        <f>SUM(S295:V295)</f>
        <v>0</v>
      </c>
      <c r="X295" s="12">
        <f>-X168</f>
        <v>0</v>
      </c>
      <c r="Y295" s="12">
        <f>-Y168</f>
        <v>0</v>
      </c>
      <c r="Z295" s="12">
        <f>-Z168</f>
        <v>0</v>
      </c>
      <c r="AA295" s="12">
        <f>-AA168</f>
        <v>0</v>
      </c>
      <c r="AB295" s="12">
        <f>SUM(X295:AA295)</f>
        <v>0</v>
      </c>
      <c r="AC295" s="12">
        <f>-AC168</f>
        <v>0</v>
      </c>
      <c r="AD295" s="12">
        <f>-AD168</f>
        <v>0</v>
      </c>
      <c r="AE295" s="12">
        <f>-AE168</f>
        <v>0</v>
      </c>
      <c r="AF295" s="12">
        <f>-AF168</f>
        <v>0</v>
      </c>
      <c r="AG295" s="12">
        <f>SUM(AC295:AF295)</f>
        <v>0</v>
      </c>
      <c r="AH295" s="12">
        <f>-AH168</f>
        <v>0</v>
      </c>
      <c r="AI295" s="12">
        <f>-AI168</f>
        <v>0</v>
      </c>
      <c r="AJ295" s="12">
        <f>-AJ168</f>
        <v>0</v>
      </c>
      <c r="AK295" s="12">
        <f>-AK168</f>
        <v>0</v>
      </c>
      <c r="AL295" s="12">
        <f>SUM(AH295:AK295)</f>
        <v>0</v>
      </c>
      <c r="AM295" s="12">
        <f>-AM168</f>
        <v>0</v>
      </c>
      <c r="AN295" s="12">
        <f>-AN168</f>
        <v>0</v>
      </c>
      <c r="AO295" s="12">
        <f>-AO168</f>
        <v>0</v>
      </c>
      <c r="AP295" s="12">
        <f>-AP168</f>
        <v>0</v>
      </c>
      <c r="AQ295" s="12">
        <f>SUM(AM295:AP295)</f>
        <v>0</v>
      </c>
      <c r="AR295" s="12">
        <f>-AR168</f>
        <v>0</v>
      </c>
      <c r="AS295" s="12">
        <f>-AS168</f>
        <v>0</v>
      </c>
      <c r="AT295" s="12">
        <f>-AT168</f>
        <v>0</v>
      </c>
      <c r="AU295" s="12">
        <f>-AU168</f>
        <v>0</v>
      </c>
      <c r="AV295" s="12">
        <f>SUM(AR295:AU295)</f>
        <v>0</v>
      </c>
      <c r="AW295" s="12">
        <f>-AW168</f>
        <v>0</v>
      </c>
      <c r="AX295" s="12">
        <f>-AX168</f>
        <v>0</v>
      </c>
      <c r="AY295" s="12">
        <f>-AY168</f>
        <v>0</v>
      </c>
      <c r="AZ295" s="12">
        <f>-AZ168</f>
        <v>0</v>
      </c>
      <c r="BA295" s="12">
        <f>SUM(AW295:AZ295)</f>
        <v>0</v>
      </c>
      <c r="BB295" s="12">
        <f>-BB168</f>
        <v>0</v>
      </c>
      <c r="BC295" s="12">
        <f>-BC168</f>
        <v>0</v>
      </c>
      <c r="BD295" s="12">
        <f>-BD168</f>
        <v>0</v>
      </c>
      <c r="BE295" s="12">
        <f>-BE168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0" t="inlineStr">
        <is>
          <t>Var.Right-of-use-assets</t>
        </is>
      </c>
      <c r="D296" s="12" t="n"/>
      <c r="E296" s="12" t="n"/>
      <c r="F296" s="12" t="n"/>
      <c r="G296" s="12" t="n"/>
      <c r="H296" s="12" t="n"/>
      <c r="I296" s="12" t="n"/>
      <c r="J296" s="12">
        <f>(J175-I175)*-1</f>
        <v>-74</v>
      </c>
      <c r="K296" s="12">
        <f>(K175-J175)*-1</f>
        <v>-29</v>
      </c>
      <c r="L296" s="12">
        <f>(L175-K175)*-1</f>
        <v>1</v>
      </c>
      <c r="M296" s="12" t="n"/>
      <c r="N296" s="12">
        <f>(N175-M175)*-1</f>
        <v>-27</v>
      </c>
      <c r="O296" s="12">
        <f>(O175-N175)*-1</f>
        <v>4</v>
      </c>
      <c r="P296" s="12">
        <f>(P175-O175)*-1</f>
        <v>-75</v>
      </c>
      <c r="Q296" s="12">
        <f>(Q175-P175)*-1</f>
        <v>-111</v>
      </c>
      <c r="R296" s="12">
        <f>SUM(N296:Q296)</f>
        <v>-209</v>
      </c>
      <c r="S296" s="12">
        <f>(S175-R175)*-1</f>
        <v>-56</v>
      </c>
      <c r="T296" s="12">
        <f>(T175-S175)*-1</f>
        <v>-141</v>
      </c>
      <c r="U296" s="12">
        <f>(U175-T175)*-1</f>
        <v>-81</v>
      </c>
      <c r="V296" s="12">
        <f>(V175-U175)*-1</f>
        <v>-30</v>
      </c>
      <c r="W296" s="12">
        <f>SUM(S296:V296)</f>
        <v>-308</v>
      </c>
      <c r="X296" s="12">
        <f>(X175-W175)*-1</f>
        <v>-186</v>
      </c>
      <c r="Y296" s="12">
        <f>(Y175-X175)*-1</f>
        <v>-24</v>
      </c>
      <c r="Z296" s="12">
        <f>(Z175-Y175)*-1</f>
        <v>-199</v>
      </c>
      <c r="AA296" s="12">
        <f>(AA175-Z175)*-1</f>
        <v>-38</v>
      </c>
      <c r="AB296" s="12">
        <f>SUM(X296:AA296)</f>
        <v>-447</v>
      </c>
      <c r="AC296" s="12">
        <f>(AC175-AB175)*-1</f>
        <v>-17</v>
      </c>
      <c r="AD296" s="12">
        <f>(AD175-AC175)*-1</f>
        <v>-274</v>
      </c>
      <c r="AE296" s="12">
        <f>(AE175-AD175)*-1</f>
        <v>-197</v>
      </c>
      <c r="AF296" s="12">
        <f>(AF175-AE175)*-1</f>
        <v>-586</v>
      </c>
      <c r="AG296" s="12">
        <f>SUM(AC296:AF296)</f>
        <v>-1074</v>
      </c>
      <c r="AH296" s="12">
        <f>(AH175-AG175)*-1</f>
        <v>-1391</v>
      </c>
      <c r="AI296" s="12">
        <f>(AI175-AH175)*-1</f>
        <v>-1132</v>
      </c>
      <c r="AJ296" s="12">
        <f>(AJ175-AI175)*-1</f>
        <v>0</v>
      </c>
      <c r="AK296" s="12">
        <f>(AK175-AJ175)*-1</f>
        <v>0</v>
      </c>
      <c r="AL296" s="12">
        <f>SUM(AH296:AK296)</f>
        <v>-2523</v>
      </c>
      <c r="AM296" s="12">
        <f>(AM175-AL175)*-1</f>
        <v>0</v>
      </c>
      <c r="AN296" s="12">
        <f>(AN175-AM175)*-1</f>
        <v>0</v>
      </c>
      <c r="AO296" s="12">
        <f>(AO175-AN175)*-1</f>
        <v>0</v>
      </c>
      <c r="AP296" s="12">
        <f>(AP175-AO175)*-1</f>
        <v>0</v>
      </c>
      <c r="AQ296" s="12">
        <f>SUM(AM296:AP296)</f>
        <v>0</v>
      </c>
      <c r="AR296" s="12">
        <f>(AR175-AQ175)*-1</f>
        <v>0</v>
      </c>
      <c r="AS296" s="12">
        <f>(AS175-AR175)*-1</f>
        <v>0</v>
      </c>
      <c r="AT296" s="12">
        <f>(AT175-AS175)*-1</f>
        <v>0</v>
      </c>
      <c r="AU296" s="12">
        <f>(AU175-AT175)*-1</f>
        <v>0</v>
      </c>
      <c r="AV296" s="12">
        <f>SUM(AR296:AU296)</f>
        <v>0</v>
      </c>
      <c r="AW296" s="12">
        <f>(AW175-AV175)*-1</f>
        <v>0</v>
      </c>
      <c r="AX296" s="12">
        <f>(AX175-AW175)*-1</f>
        <v>0</v>
      </c>
      <c r="AY296" s="12">
        <f>(AY175-AX175)*-1</f>
        <v>0</v>
      </c>
      <c r="AZ296" s="12">
        <f>(AZ175-AY175)*-1</f>
        <v>0</v>
      </c>
      <c r="BA296" s="12">
        <f>SUM(AW296:AZ296)</f>
        <v>0</v>
      </c>
      <c r="BB296" s="12">
        <f>(BB175-BA175)*-1</f>
        <v>0</v>
      </c>
      <c r="BC296" s="12">
        <f>(BC175-BB175)*-1</f>
        <v>0</v>
      </c>
      <c r="BD296" s="12">
        <f>(BD175-BC175)*-1</f>
        <v>0</v>
      </c>
      <c r="BE296" s="12">
        <f>(BE175-BD175)*-1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  <c r="CZ296" s="12" t="n"/>
      <c r="DA296" s="12" t="n"/>
      <c r="DB296" s="12" t="n"/>
      <c r="DC296" s="12" t="n"/>
    </row>
    <row r="297">
      <c r="C297" s="10" t="inlineStr">
        <is>
          <t>Purchases of intangible assets</t>
        </is>
      </c>
      <c r="D297" s="12" t="n"/>
      <c r="E297" s="12" t="n"/>
      <c r="F297" s="12" t="n"/>
      <c r="G297" s="12" t="n"/>
      <c r="H297" s="12" t="n"/>
      <c r="I297" s="12" t="n"/>
      <c r="J297" s="12">
        <f>((J179-I179)*-1)+((J178-I178)*-1)</f>
        <v>135</v>
      </c>
      <c r="K297" s="12">
        <f>((K179-J179)*-1)+((K178-J178)*-1)</f>
        <v>-85</v>
      </c>
      <c r="L297" s="12">
        <f>((L179-K179)*-1)+((L178-K178)*-1)</f>
        <v>68</v>
      </c>
      <c r="M297" s="12" t="n"/>
      <c r="N297" s="12">
        <f>((N179-M179)*-1)+((N178-M178)*-1)</f>
        <v>112</v>
      </c>
      <c r="O297" s="12">
        <f>((O179-N179)*-1)+((O178-N178)*-1)</f>
        <v>168</v>
      </c>
      <c r="P297" s="12">
        <f>((P179-O179)*-1)+((P178-O178)*-1)</f>
        <v>186</v>
      </c>
      <c r="Q297" s="12">
        <f>((Q179-P179)*-1)+((Q178-P178)*-1)</f>
        <v>174</v>
      </c>
      <c r="R297" s="12">
        <f>SUM(N297:Q297)</f>
        <v>640</v>
      </c>
      <c r="S297" s="12">
        <f>((S179-R179)*-1)+((S178-R178)*-1)</f>
        <v>77</v>
      </c>
      <c r="T297" s="12">
        <f>((T179-S179)*-1)+((T178-S178)*-1)</f>
        <v>146</v>
      </c>
      <c r="U297" s="12">
        <f>((U179-T179)*-1)+((U178-T178)*-1)</f>
        <v>144</v>
      </c>
      <c r="V297" s="12">
        <f>((V179-U179)*-1)+((V178-U178)*-1)</f>
        <v>139</v>
      </c>
      <c r="W297" s="12">
        <f>SUM(S297:V297)</f>
        <v>506</v>
      </c>
      <c r="X297" s="12">
        <f>((X179-W179)*-1)+((X178-W178)*-1)</f>
        <v>103</v>
      </c>
      <c r="Y297" s="12">
        <f>((Y179-X179)*-1)+((Y178-X178)*-1)</f>
        <v>-135</v>
      </c>
      <c r="Z297" s="12">
        <f>((Z179-Y179)*-1)+((Z178-Y178)*-1)</f>
        <v>12</v>
      </c>
      <c r="AA297" s="12">
        <f>((AA179-Z179)*-1)+((AA178-Z178)*-1)</f>
        <v>-433</v>
      </c>
      <c r="AB297" s="12">
        <f>SUM(X297:AA297)</f>
        <v>-453</v>
      </c>
      <c r="AC297" s="12">
        <f>((AC179-AB179)*-1)+((AC178-AB178)*-1)</f>
        <v>-272</v>
      </c>
      <c r="AD297" s="12">
        <f>((AD179-AC179)*-1)+((AD178-AC178)*-1)</f>
        <v>-243</v>
      </c>
      <c r="AE297" s="12">
        <f>((AE179-AD179)*-1)+((AE178-AD178)*-1)</f>
        <v>-687</v>
      </c>
      <c r="AF297" s="12">
        <f>((AF179-AE179)*-1)+((AF178-AE178)*-1)</f>
        <v>-16941</v>
      </c>
      <c r="AG297" s="12">
        <f>SUM(AC297:AF297)</f>
        <v>-18143</v>
      </c>
      <c r="AH297" s="12">
        <f>((AH179-AG179)*-1)+((AH178-AG178)*-1)</f>
        <v>124</v>
      </c>
      <c r="AI297" s="12">
        <f>((AI179-AH179)*-1)+((AI178-AH178)*-1)</f>
        <v>-109</v>
      </c>
      <c r="AJ297" s="12">
        <f>((AJ179-AI179)*-1)+((AJ178-AI178)*-1)</f>
        <v>0</v>
      </c>
      <c r="AK297" s="12">
        <f>((AK179-AJ179)*-1)+((AK178-AJ178)*-1)</f>
        <v>0</v>
      </c>
      <c r="AL297" s="12">
        <f>SUM(AH297:AK297)</f>
        <v>15</v>
      </c>
      <c r="AM297" s="12">
        <f>((AM179-AL179)*-1)+((AM178-AL178)*-1)</f>
        <v>0</v>
      </c>
      <c r="AN297" s="12">
        <f>((AN179-AM179)*-1)+((AN178-AM178)*-1)</f>
        <v>0</v>
      </c>
      <c r="AO297" s="12">
        <f>((AO179-AN179)*-1)+((AO178-AN178)*-1)</f>
        <v>0</v>
      </c>
      <c r="AP297" s="12">
        <f>((AP179-AO179)*-1)+((AP178-AO178)*-1)</f>
        <v>0</v>
      </c>
      <c r="AQ297" s="12">
        <f>SUM(AM297:AP297)</f>
        <v>0</v>
      </c>
      <c r="AR297" s="12">
        <f>((AR179-AQ179)*-1)+((AR178-AQ178)*-1)</f>
        <v>0</v>
      </c>
      <c r="AS297" s="12">
        <f>((AS179-AR179)*-1)+((AS178-AR178)*-1)</f>
        <v>0</v>
      </c>
      <c r="AT297" s="12">
        <f>((AT179-AS179)*-1)+((AT178-AS178)*-1)</f>
        <v>0</v>
      </c>
      <c r="AU297" s="12">
        <f>((AU179-AT179)*-1)+((AU178-AT178)*-1)</f>
        <v>0</v>
      </c>
      <c r="AV297" s="12">
        <f>SUM(AR297:AU297)</f>
        <v>0</v>
      </c>
      <c r="AW297" s="12">
        <f>((AW179-AV179)*-1)+((AW178-AV178)*-1)</f>
        <v>0</v>
      </c>
      <c r="AX297" s="12">
        <f>((AX179-AW179)*-1)+((AX178-AW178)*-1)</f>
        <v>0</v>
      </c>
      <c r="AY297" s="12">
        <f>((AY179-AX179)*-1)+((AY178-AX178)*-1)</f>
        <v>0</v>
      </c>
      <c r="AZ297" s="12">
        <f>((AZ179-AY179)*-1)+((AZ178-AY178)*-1)</f>
        <v>0</v>
      </c>
      <c r="BA297" s="12">
        <f>SUM(AW297:AZ297)</f>
        <v>0</v>
      </c>
      <c r="BB297" s="12">
        <f>((BB179-BA179)*-1)+((BB178-BA178)*-1)</f>
        <v>0</v>
      </c>
      <c r="BC297" s="12">
        <f>((BC179-BB179)*-1)+((BC178-BB178)*-1)</f>
        <v>0</v>
      </c>
      <c r="BD297" s="12">
        <f>((BD179-BC179)*-1)+((BD178-BC178)*-1)</f>
        <v>0</v>
      </c>
      <c r="BE297" s="12">
        <f>((BE179-BD179)*-1)+((BE178-BD178)*-1)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  <c r="CZ297" s="12" t="n"/>
      <c r="DA297" s="12" t="n"/>
      <c r="DB297" s="12" t="n"/>
      <c r="DC297" s="12" t="n"/>
    </row>
    <row r="298">
      <c r="C298" s="71" t="inlineStr">
        <is>
          <t>Purchases/Proceeds from other long-term assets</t>
        </is>
      </c>
      <c r="D298" s="12" t="n"/>
      <c r="E298" s="12" t="n"/>
      <c r="F298" s="12" t="n"/>
      <c r="G298" s="12" t="n"/>
      <c r="H298" s="12" t="n"/>
      <c r="I298" s="12" t="n"/>
      <c r="J298" s="12">
        <f>((J188-I188)*-1)+(J239-I239)</f>
        <v>22</v>
      </c>
      <c r="K298" s="12">
        <f>((K188-J188)*-1)+(K239-J239)</f>
        <v>-1572</v>
      </c>
      <c r="L298" s="12">
        <f>((L188-K188)*-1)+(L239-K239)</f>
        <v>-62</v>
      </c>
      <c r="M298" s="12" t="n"/>
      <c r="N298" s="12">
        <f>((N188-M188)*-1)+(N239-M239)</f>
        <v>414</v>
      </c>
      <c r="O298" s="12">
        <f>((O188-N188)*-1)+(O239-N239)</f>
        <v>143</v>
      </c>
      <c r="P298" s="12">
        <f>((P188-O188)*-1)+(P239-O239)</f>
        <v>-64</v>
      </c>
      <c r="Q298" s="12">
        <f>((Q188-P188)*-1)+(Q239-P239)</f>
        <v>-112</v>
      </c>
      <c r="R298" s="12">
        <f>SUM(N298:Q298)</f>
        <v>381</v>
      </c>
      <c r="S298" s="12">
        <f>((S188-R188)*-1)+(S239-R239)</f>
        <v>-260</v>
      </c>
      <c r="T298" s="12">
        <f>((T188-S188)*-1)+(T239-S239)</f>
        <v>-111</v>
      </c>
      <c r="U298" s="12">
        <f>((U188-T188)*-1)+(U239-T239)</f>
        <v>-155</v>
      </c>
      <c r="V298" s="12">
        <f>((V188-U188)*-1)+(V239-U239)</f>
        <v>474</v>
      </c>
      <c r="W298" s="12">
        <f>SUM(S298:V298)</f>
        <v>-52</v>
      </c>
      <c r="X298" s="12">
        <f>((X188-W188)*-1)+(X239-W239)</f>
        <v>357</v>
      </c>
      <c r="Y298" s="12">
        <f>((Y188-X188)*-1)+(Y239-X239)</f>
        <v>937</v>
      </c>
      <c r="Z298" s="12">
        <f>((Z188-Y188)*-1)+(Z239-Y239)</f>
        <v>-1089</v>
      </c>
      <c r="AA298" s="12">
        <f>((AA188-Z188)*-1)+(AA239-Z239)</f>
        <v>-426</v>
      </c>
      <c r="AB298" s="12">
        <f>SUM(X298:AA298)</f>
        <v>-221</v>
      </c>
      <c r="AC298" s="12">
        <f>((AC188-AB188)*-1)+(AC239-AB239)</f>
        <v>276</v>
      </c>
      <c r="AD298" s="12">
        <f>((AD188-AC188)*-1)+(AD239-AC239)</f>
        <v>743</v>
      </c>
      <c r="AE298" s="12">
        <f>((AE188-AD188)*-1)+(AE239-AD239)</f>
        <v>-3869</v>
      </c>
      <c r="AF298" s="12">
        <f>((AF188-AE188)*-1)+(AF239-AE239)</f>
        <v>-18216</v>
      </c>
      <c r="AG298" s="12">
        <f>SUM(AC298:AF298)</f>
        <v>-21066</v>
      </c>
      <c r="AH298" s="12">
        <f>((AH188-AG188)*-1)+(AH239-AG239)</f>
        <v>-24083</v>
      </c>
      <c r="AI298" s="12">
        <f>((AI188-AH188)*-1)+(AI239-AH239)</f>
        <v>-8656</v>
      </c>
      <c r="AJ298" s="12">
        <f>((AJ188-AI188)*-1)+(AJ239-AI239)</f>
        <v>0</v>
      </c>
      <c r="AK298" s="12">
        <f>((AK188-AJ188)*-1)+(AK239-AJ239)</f>
        <v>0</v>
      </c>
      <c r="AL298" s="12">
        <f>SUM(AH298:AK298)</f>
        <v>-32739</v>
      </c>
      <c r="AM298" s="12">
        <f>((AM188-AL188)*-1)+(AM239-AL239)</f>
        <v>0</v>
      </c>
      <c r="AN298" s="12">
        <f>((AN188-AM188)*-1)+(AN239-AM239)</f>
        <v>0</v>
      </c>
      <c r="AO298" s="12">
        <f>((AO188-AN188)*-1)+(AO239-AN239)</f>
        <v>0</v>
      </c>
      <c r="AP298" s="12">
        <f>((AP188-AO188)*-1)+(AP239-AO239)</f>
        <v>0</v>
      </c>
      <c r="AQ298" s="12">
        <f>SUM(AM298:AP298)</f>
        <v>0</v>
      </c>
      <c r="AR298" s="12">
        <f>((AR188-AQ188)*-1)+(AR239-AQ239)</f>
        <v>0</v>
      </c>
      <c r="AS298" s="12">
        <f>((AS188-AR188)*-1)+(AS239-AR239)</f>
        <v>0</v>
      </c>
      <c r="AT298" s="12">
        <f>((AT188-AS188)*-1)+(AT239-AS239)</f>
        <v>0</v>
      </c>
      <c r="AU298" s="12">
        <f>((AU188-AT188)*-1)+(AU239-AT239)</f>
        <v>0</v>
      </c>
      <c r="AV298" s="12">
        <f>SUM(AR298:AU298)</f>
        <v>0</v>
      </c>
      <c r="AW298" s="12">
        <f>((AW188-AV188)*-1)+(AW239-AV239)</f>
        <v>0</v>
      </c>
      <c r="AX298" s="12">
        <f>((AX188-AW188)*-1)+(AX239-AW239)</f>
        <v>0</v>
      </c>
      <c r="AY298" s="12">
        <f>((AY188-AX188)*-1)+(AY239-AX239)</f>
        <v>0</v>
      </c>
      <c r="AZ298" s="12">
        <f>((AZ188-AY188)*-1)+(AZ239-AY239)</f>
        <v>0</v>
      </c>
      <c r="BA298" s="12">
        <f>SUM(AW298:AZ298)</f>
        <v>0</v>
      </c>
      <c r="BB298" s="12">
        <f>((BB188-BA188)*-1)+(BB239-BA239)</f>
        <v>0</v>
      </c>
      <c r="BC298" s="12">
        <f>((BC188-BB188)*-1)+(BC239-BB239)</f>
        <v>0</v>
      </c>
      <c r="BD298" s="12">
        <f>((BD188-BC188)*-1)+(BD239-BC239)</f>
        <v>0</v>
      </c>
      <c r="BE298" s="12">
        <f>((BE188-BD188)*-1)+(BE239-BD239)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Cash from investing</t>
        </is>
      </c>
      <c r="D299" s="12" t="n"/>
      <c r="E299" s="12" t="n"/>
      <c r="F299" s="12" t="n"/>
      <c r="G299" s="12" t="n"/>
      <c r="H299" s="12" t="n"/>
      <c r="I299" s="12" t="n"/>
      <c r="J299" s="12">
        <f>SUM(J294,J295,J297,J298,J296)</f>
        <v>-299</v>
      </c>
      <c r="K299" s="12">
        <f>SUM(K294,K295,K297,K298,K296)</f>
        <v>-2129</v>
      </c>
      <c r="L299" s="12">
        <f>SUM(L294,L295,L297,L298,L296)</f>
        <v>-571</v>
      </c>
      <c r="M299" s="12" t="n"/>
      <c r="N299" s="12">
        <f>SUM(N294,N295,N297,N298,N296)</f>
        <v>27</v>
      </c>
      <c r="O299" s="12">
        <f>SUM(O294,O295,O297,O298,O296)</f>
        <v>-380</v>
      </c>
      <c r="P299" s="12">
        <f>SUM(P294,P295,P297,P298,P296)</f>
        <v>-900</v>
      </c>
      <c r="Q299" s="12">
        <f>SUM(Q294,Q295,Q297,Q298,Q296)</f>
        <v>-508</v>
      </c>
      <c r="R299" s="12">
        <f>SUM(R294,R295,R297,R298)</f>
        <v>-1552</v>
      </c>
      <c r="S299" s="12">
        <f>SUM(S294,S295,S297,S298,S296)</f>
        <v>-556</v>
      </c>
      <c r="T299" s="12">
        <f>SUM(T294,T295,T297,T298,T296)</f>
        <v>-530</v>
      </c>
      <c r="U299" s="12">
        <f>SUM(U294,U295,U297,U298,U296)</f>
        <v>-509</v>
      </c>
      <c r="V299" s="12">
        <f>SUM(V294,V295,V297,V298,V296)</f>
        <v>126</v>
      </c>
      <c r="W299" s="12">
        <f>SUM(W294,W295,W297,W298)</f>
        <v>-1161</v>
      </c>
      <c r="X299" s="12">
        <f>SUM(X294,X295,X297,X298,X296)</f>
        <v>-228</v>
      </c>
      <c r="Y299" s="12">
        <f>SUM(Y294,Y295,Y297,Y298,Y296)</f>
        <v>-534</v>
      </c>
      <c r="Z299" s="12">
        <f>SUM(Z294,Z295,Z297,Z298,Z296)</f>
        <v>-2212</v>
      </c>
      <c r="AA299" s="12">
        <f>SUM(AA294,AA295,AA297,AA298,AA296)</f>
        <v>-2380</v>
      </c>
      <c r="AB299" s="12">
        <f>SUM(AB294,AB295,AB297,AB298)</f>
        <v>-4907</v>
      </c>
      <c r="AC299" s="12">
        <f>SUM(AC294,AC295,AC297,AC298,AC296)</f>
        <v>-1477</v>
      </c>
      <c r="AD299" s="12">
        <f>SUM(AD294,AD295,AD297,AD298,AD296)</f>
        <v>-2448</v>
      </c>
      <c r="AE299" s="12">
        <f>SUM(AE294,AE295,AE297,AE298,AE296)</f>
        <v>-6143</v>
      </c>
      <c r="AF299" s="12">
        <f>SUM(AF294,AF295,AF297,AF298,AF296)</f>
        <v>-37158</v>
      </c>
      <c r="AG299" s="12">
        <f>SUM(AG294,AG295,AG297,AG298)</f>
        <v>-46152</v>
      </c>
      <c r="AH299" s="12">
        <f>SUM(AH294,AH295,AH297,AH298,AH296)</f>
        <v>-28367</v>
      </c>
      <c r="AI299" s="12">
        <f>SUM(AI294,AI295,AI297,AI298,AI296)</f>
        <v>-12906</v>
      </c>
      <c r="AJ299" s="12">
        <f>SUM(AJ294,AJ295,AJ297,AJ298,AJ296)</f>
        <v>-3290.54564935234</v>
      </c>
      <c r="AK299" s="12">
        <f>SUM(AK294,AK295,AK297,AK298,AK296)</f>
        <v>-3932.48085207569</v>
      </c>
      <c r="AL299" s="12">
        <f>SUM(AL294,AL295,AL297,AL298)</f>
        <v>-45973.026501428</v>
      </c>
      <c r="AM299" s="12">
        <f>SUM(AM294,AM295,AM297,AM298,AM296)</f>
        <v>-4711.04591046366</v>
      </c>
      <c r="AN299" s="12">
        <f>SUM(AN294,AN295,AN297,AN298,AN296)</f>
        <v>-5554.14505361421</v>
      </c>
      <c r="AO299" s="12">
        <f>SUM(AO294,AO295,AO297,AO298,AO296)</f>
        <v>-5767.07791274684</v>
      </c>
      <c r="AP299" s="12">
        <f>SUM(AP294,AP295,AP297,AP298,AP296)</f>
        <v>-6892.14673826797</v>
      </c>
      <c r="AQ299" s="12">
        <f>SUM(AQ294,AQ295,AQ297,AQ298)</f>
        <v>-22924.4156150927</v>
      </c>
      <c r="AR299" s="12">
        <f>SUM(AR294,AR295,AR297,AR298,AR296)</f>
        <v>-8233.12062647746</v>
      </c>
      <c r="AS299" s="12">
        <f>SUM(AS294,AS295,AS297,AS298,AS296)</f>
        <v>-9706.53801139849</v>
      </c>
      <c r="AT299" s="12">
        <f>SUM(AT294,AT295,AT297,AT298,AT296)</f>
        <v>-10078.6638509463</v>
      </c>
      <c r="AU299" s="12">
        <f>SUM(AU294,AU295,AU297,AU298,AU296)</f>
        <v>-12044.8572461394</v>
      </c>
      <c r="AV299" s="12">
        <f>SUM(AV294,AV295,AV297,AV298)</f>
        <v>-40063.1797349616</v>
      </c>
      <c r="AW299" s="12">
        <f>SUM(AW294,AW295,AW297,AW298,AW296)</f>
        <v>-14347.2051617489</v>
      </c>
      <c r="AX299" s="12">
        <f>SUM(AX294,AX295,AX297,AX298,AX296)</f>
        <v>-16914.812569609</v>
      </c>
      <c r="AY299" s="12">
        <f>SUM(AY294,AY295,AY297,AY298,AY296)</f>
        <v>-17563.2867033185</v>
      </c>
      <c r="AZ299" s="12">
        <f>SUM(AZ294,AZ295,AZ297,AZ298,AZ296)</f>
        <v>-20989.6157112756</v>
      </c>
      <c r="BA299" s="12">
        <f>SUM(BA294,BA295,BA297,BA298)</f>
        <v>-69814.9201459519</v>
      </c>
      <c r="BB299" s="12">
        <f>SUM(BB294,BB295,BB297,BB298,BB296)</f>
        <v>-24929.9984673469</v>
      </c>
      <c r="BC299" s="12">
        <f>SUM(BC294,BC295,BC297,BC298,BC296)</f>
        <v>-29391.5258534165</v>
      </c>
      <c r="BD299" s="12">
        <f>SUM(BD294,BD295,BD297,BD298,BD296)</f>
        <v>-30518.3278317275</v>
      </c>
      <c r="BE299" s="12">
        <f>SUM(BE294,BE295,BE297,BE298,BE296)</f>
        <v>-36471.9875134565</v>
      </c>
      <c r="BF299" s="12">
        <f>SUM(BF294,BF295,BF297,BF298)</f>
        <v>-121311.839665947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  <c r="AL300" s="12" t="n"/>
      <c r="AM300" s="12" t="n"/>
      <c r="AN300" s="12" t="n"/>
      <c r="AO300" s="12" t="n"/>
      <c r="AP300" s="12" t="n"/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4" t="inlineStr">
        <is>
          <t>Convertible preferred stock</t>
        </is>
      </c>
      <c r="D301" s="12" t="n"/>
      <c r="E301" s="12" t="n"/>
      <c r="F301" s="12" t="n"/>
      <c r="G301" s="12" t="n"/>
      <c r="H301" s="12" t="n"/>
      <c r="I301" s="12" t="n"/>
      <c r="J301" s="12">
        <f>J252-I252</f>
        <v>0</v>
      </c>
      <c r="K301" s="12">
        <f>K252-J252</f>
        <v>0</v>
      </c>
      <c r="L301" s="12">
        <f>L252-K252</f>
        <v>0</v>
      </c>
      <c r="M301" s="12" t="n"/>
      <c r="N301" s="12">
        <f>N252-M252</f>
        <v>0</v>
      </c>
      <c r="O301" s="12">
        <f>O252-N252</f>
        <v>0</v>
      </c>
      <c r="P301" s="12">
        <f>P252-O252</f>
        <v>0</v>
      </c>
      <c r="Q301" s="12">
        <f>Q252-P252</f>
        <v>0</v>
      </c>
      <c r="R301" s="12">
        <f>SUM(N301:Q301)</f>
        <v>0</v>
      </c>
      <c r="S301" s="12">
        <f>S252-R252</f>
        <v>0</v>
      </c>
      <c r="T301" s="12">
        <f>T252-S252</f>
        <v>0</v>
      </c>
      <c r="U301" s="12">
        <f>U252-T252</f>
        <v>0</v>
      </c>
      <c r="V301" s="12">
        <f>V252-U252</f>
        <v>0</v>
      </c>
      <c r="W301" s="12">
        <f>SUM(S301:V301)</f>
        <v>0</v>
      </c>
      <c r="X301" s="12">
        <f>X252-W252</f>
        <v>0</v>
      </c>
      <c r="Y301" s="12">
        <f>Y252-X252</f>
        <v>0</v>
      </c>
      <c r="Z301" s="12">
        <f>Z252-Y252</f>
        <v>0</v>
      </c>
      <c r="AA301" s="12">
        <f>AA252-Z252</f>
        <v>0</v>
      </c>
      <c r="AB301" s="12">
        <f>SUM(X301:AA301)</f>
        <v>0</v>
      </c>
      <c r="AC301" s="12">
        <f>AC252-AB252</f>
        <v>0</v>
      </c>
      <c r="AD301" s="12">
        <f>AD252-AC252</f>
        <v>0</v>
      </c>
      <c r="AE301" s="12">
        <f>AE252-AD252</f>
        <v>0</v>
      </c>
      <c r="AF301" s="12">
        <f>AF252-AE252</f>
        <v>0</v>
      </c>
      <c r="AG301" s="12">
        <f>SUM(AC301:AF301)</f>
        <v>0</v>
      </c>
      <c r="AH301" s="12">
        <f>AH252-AG252</f>
        <v>0</v>
      </c>
      <c r="AI301" s="12">
        <f>AI252-AH252</f>
        <v>0</v>
      </c>
      <c r="AJ301" s="12">
        <f>AJ252-AI252</f>
        <v>0</v>
      </c>
      <c r="AK301" s="12">
        <f>AK252-AJ252</f>
        <v>0</v>
      </c>
      <c r="AL301" s="12">
        <f>SUM(AH301:AK301)</f>
        <v>0</v>
      </c>
      <c r="AM301" s="12">
        <f>AM252-AL252</f>
        <v>0</v>
      </c>
      <c r="AN301" s="12">
        <f>AN252-AM252</f>
        <v>0</v>
      </c>
      <c r="AO301" s="12">
        <f>AO252-AN252</f>
        <v>0</v>
      </c>
      <c r="AP301" s="12">
        <f>AP252-AO252</f>
        <v>0</v>
      </c>
      <c r="AQ301" s="12">
        <f>SUM(AM301:AP301)</f>
        <v>0</v>
      </c>
      <c r="AR301" s="12">
        <f>AR252-AQ252</f>
        <v>0</v>
      </c>
      <c r="AS301" s="12">
        <f>AS252-AR252</f>
        <v>0</v>
      </c>
      <c r="AT301" s="12">
        <f>AT252-AS252</f>
        <v>0</v>
      </c>
      <c r="AU301" s="12">
        <f>AU252-AT252</f>
        <v>0</v>
      </c>
      <c r="AV301" s="12">
        <f>SUM(AR301:AU301)</f>
        <v>0</v>
      </c>
      <c r="AW301" s="12">
        <f>AW252-AV252</f>
        <v>0</v>
      </c>
      <c r="AX301" s="12">
        <f>AX252-AW252</f>
        <v>0</v>
      </c>
      <c r="AY301" s="12">
        <f>AY252-AX252</f>
        <v>0</v>
      </c>
      <c r="AZ301" s="12">
        <f>AZ252-AY252</f>
        <v>0</v>
      </c>
      <c r="BA301" s="12">
        <f>SUM(AW301:AZ301)</f>
        <v>0</v>
      </c>
      <c r="BB301" s="12">
        <f>BB252-BA252</f>
        <v>0</v>
      </c>
      <c r="BC301" s="12">
        <f>BC252-BB252</f>
        <v>0</v>
      </c>
      <c r="BD301" s="12">
        <f>BD252-BC252</f>
        <v>0</v>
      </c>
      <c r="BE301" s="12">
        <f>BE252-BD252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Common stock and APIC</t>
        </is>
      </c>
      <c r="D302" s="12" t="n"/>
      <c r="E302" s="12" t="n"/>
      <c r="F302" s="12" t="n"/>
      <c r="G302" s="12" t="n"/>
      <c r="H302" s="12" t="n"/>
      <c r="I302" s="12" t="n"/>
      <c r="J302" s="12">
        <f>J253-I253</f>
        <v>467</v>
      </c>
      <c r="K302" s="12">
        <f>K253-J253</f>
        <v>720</v>
      </c>
      <c r="L302" s="12">
        <f>L253-K253</f>
        <v>-80</v>
      </c>
      <c r="M302" s="12" t="n"/>
      <c r="N302" s="12">
        <f>N253-M253</f>
        <v>238</v>
      </c>
      <c r="O302" s="12">
        <f>O253-N253</f>
        <v>344</v>
      </c>
      <c r="P302" s="12">
        <f>P253-O253</f>
        <v>597</v>
      </c>
      <c r="Q302" s="12">
        <f>Q253-P253</f>
        <v>406</v>
      </c>
      <c r="R302" s="12">
        <f>SUM(N302:Q302)</f>
        <v>1585</v>
      </c>
      <c r="S302" s="12">
        <f>S253-R253</f>
        <v>482</v>
      </c>
      <c r="T302" s="12">
        <f>T253-S253</f>
        <v>176</v>
      </c>
      <c r="U302" s="12">
        <f>U253-T253</f>
        <v>362</v>
      </c>
      <c r="V302" s="12">
        <f>V253-U253</f>
        <v>141</v>
      </c>
      <c r="W302" s="12">
        <f>SUM(S302:V302)</f>
        <v>1161</v>
      </c>
      <c r="X302" s="12">
        <f>X253-W253</f>
        <v>-481</v>
      </c>
      <c r="Y302" s="12">
        <f>Y253-X253</f>
        <v>-513</v>
      </c>
      <c r="Z302" s="12">
        <f>Z253-Y253</f>
        <v>-294</v>
      </c>
      <c r="AA302" s="12">
        <f>AA253-Z253</f>
        <v>-585</v>
      </c>
      <c r="AB302" s="12">
        <f>SUM(X302:AA302)</f>
        <v>-1873</v>
      </c>
      <c r="AC302" s="12">
        <f>AC253-AB253</f>
        <v>238</v>
      </c>
      <c r="AD302" s="12">
        <f>AD253-AC253</f>
        <v>-275</v>
      </c>
      <c r="AE302" s="12">
        <f>AE253-AD253</f>
        <v>-574</v>
      </c>
      <c r="AF302" s="12">
        <f>AF253-AE253</f>
        <v>-508</v>
      </c>
      <c r="AG302" s="12">
        <f>SUM(AC302:AF302)</f>
        <v>-1119</v>
      </c>
      <c r="AH302" s="12">
        <f>AH253-AG253</f>
        <v>157</v>
      </c>
      <c r="AI302" s="12">
        <f>AI253-AH253</f>
        <v>-447</v>
      </c>
      <c r="AJ302" s="12">
        <f>AJ253-AI253</f>
        <v>0</v>
      </c>
      <c r="AK302" s="12">
        <f>AK253-AJ253</f>
        <v>0</v>
      </c>
      <c r="AL302" s="12">
        <f>SUM(AH302:AK302)</f>
        <v>-290</v>
      </c>
      <c r="AM302" s="12">
        <f>AM253-AL253</f>
        <v>0</v>
      </c>
      <c r="AN302" s="12">
        <f>AN253-AM253</f>
        <v>0</v>
      </c>
      <c r="AO302" s="12">
        <f>AO253-AN253</f>
        <v>0</v>
      </c>
      <c r="AP302" s="12">
        <f>AP253-AO253</f>
        <v>0</v>
      </c>
      <c r="AQ302" s="12">
        <f>SUM(AM302:AP302)</f>
        <v>0</v>
      </c>
      <c r="AR302" s="12">
        <f>AR253-AQ253</f>
        <v>0</v>
      </c>
      <c r="AS302" s="12">
        <f>AS253-AR253</f>
        <v>0</v>
      </c>
      <c r="AT302" s="12">
        <f>AT253-AS253</f>
        <v>0</v>
      </c>
      <c r="AU302" s="12">
        <f>AU253-AT253</f>
        <v>0</v>
      </c>
      <c r="AV302" s="12">
        <f>SUM(AR302:AU302)</f>
        <v>0</v>
      </c>
      <c r="AW302" s="12">
        <f>AW253-AV253</f>
        <v>0</v>
      </c>
      <c r="AX302" s="12">
        <f>AX253-AW253</f>
        <v>0</v>
      </c>
      <c r="AY302" s="12">
        <f>AY253-AX253</f>
        <v>0</v>
      </c>
      <c r="AZ302" s="12">
        <f>AZ253-AY253</f>
        <v>0</v>
      </c>
      <c r="BA302" s="12">
        <f>SUM(AW302:AZ302)</f>
        <v>0</v>
      </c>
      <c r="BB302" s="12">
        <f>BB253-BA253</f>
        <v>0</v>
      </c>
      <c r="BC302" s="12">
        <f>BC253-BB253</f>
        <v>0</v>
      </c>
      <c r="BD302" s="12">
        <f>BD253-BC253</f>
        <v>0</v>
      </c>
      <c r="BE302" s="12">
        <f>BE253-BD253</f>
        <v>0</v>
      </c>
      <c r="BF302" s="12">
        <f>SUM(BB302:BE302)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inlineStr">
        <is>
          <t>Treasury stock repurchases</t>
        </is>
      </c>
      <c r="D303" s="12" t="n"/>
      <c r="E303" s="12" t="n"/>
      <c r="F303" s="12" t="n"/>
      <c r="G303" s="12" t="n"/>
      <c r="H303" s="12" t="n"/>
      <c r="I303" s="12" t="n"/>
      <c r="J303" s="12">
        <f>J266-I266</f>
        <v>-362</v>
      </c>
      <c r="K303" s="12">
        <f>K266-J266</f>
        <v>-434</v>
      </c>
      <c r="L303" s="12">
        <f>L266-K266</f>
        <v>12038</v>
      </c>
      <c r="M303" s="12" t="n"/>
      <c r="N303" s="12">
        <f>N266-M266</f>
        <v>0</v>
      </c>
      <c r="O303" s="12">
        <f>O266-N266</f>
        <v>0</v>
      </c>
      <c r="P303" s="12">
        <f>P266-O266</f>
        <v>0</v>
      </c>
      <c r="Q303" s="12">
        <f>Q266-P266</f>
        <v>0</v>
      </c>
      <c r="R303" s="12">
        <f>SUM(N303:Q303)</f>
        <v>0</v>
      </c>
      <c r="S303" s="12">
        <f>S266-R266</f>
        <v>0</v>
      </c>
      <c r="T303" s="12">
        <f>T266-S266</f>
        <v>0</v>
      </c>
      <c r="U303" s="12">
        <f>U266-T266</f>
        <v>0</v>
      </c>
      <c r="V303" s="12">
        <f>V266-U266</f>
        <v>0</v>
      </c>
      <c r="W303" s="12">
        <f>SUM(S303:V303)</f>
        <v>0</v>
      </c>
      <c r="X303" s="12">
        <f>X266-W266</f>
        <v>0</v>
      </c>
      <c r="Y303" s="12">
        <f>Y266-X266</f>
        <v>0</v>
      </c>
      <c r="Z303" s="12">
        <f>Z266-Y266</f>
        <v>0</v>
      </c>
      <c r="AA303" s="12">
        <f>AA266-Z266</f>
        <v>0</v>
      </c>
      <c r="AB303" s="12">
        <f>SUM(X303:AA303)</f>
        <v>0</v>
      </c>
      <c r="AC303" s="12">
        <f>AC266-AB266</f>
        <v>0</v>
      </c>
      <c r="AD303" s="12">
        <f>AD266-AC266</f>
        <v>0</v>
      </c>
      <c r="AE303" s="12">
        <f>AE266-AD266</f>
        <v>0</v>
      </c>
      <c r="AF303" s="12">
        <f>AF266-AE266</f>
        <v>0</v>
      </c>
      <c r="AG303" s="12">
        <f>SUM(AC303:AF303)</f>
        <v>0</v>
      </c>
      <c r="AH303" s="12">
        <f>AH266-AG266</f>
        <v>0</v>
      </c>
      <c r="AI303" s="12">
        <f>AI266-AH266</f>
        <v>0</v>
      </c>
      <c r="AJ303" s="12">
        <f>AJ266-AI266</f>
        <v>0</v>
      </c>
      <c r="AK303" s="12">
        <f>AK266-AJ266</f>
        <v>0</v>
      </c>
      <c r="AL303" s="12">
        <f>SUM(AH303:AK303)</f>
        <v>0</v>
      </c>
      <c r="AM303" s="12">
        <f>AM266-AL266</f>
        <v>0</v>
      </c>
      <c r="AN303" s="12">
        <f>AN266-AM266</f>
        <v>0</v>
      </c>
      <c r="AO303" s="12">
        <f>AO266-AN266</f>
        <v>0</v>
      </c>
      <c r="AP303" s="12">
        <f>AP266-AO266</f>
        <v>0</v>
      </c>
      <c r="AQ303" s="12">
        <f>SUM(AM303:AP303)</f>
        <v>0</v>
      </c>
      <c r="AR303" s="12">
        <f>AR266-AQ266</f>
        <v>0</v>
      </c>
      <c r="AS303" s="12">
        <f>AS266-AR266</f>
        <v>0</v>
      </c>
      <c r="AT303" s="12">
        <f>AT266-AS266</f>
        <v>0</v>
      </c>
      <c r="AU303" s="12">
        <f>AU266-AT266</f>
        <v>0</v>
      </c>
      <c r="AV303" s="12">
        <f>SUM(AR303:AU303)</f>
        <v>0</v>
      </c>
      <c r="AW303" s="12">
        <f>AW266-AV266</f>
        <v>0</v>
      </c>
      <c r="AX303" s="12">
        <f>AX266-AW266</f>
        <v>0</v>
      </c>
      <c r="AY303" s="12">
        <f>AY266-AX266</f>
        <v>0</v>
      </c>
      <c r="AZ303" s="12">
        <f>AZ266-AY266</f>
        <v>0</v>
      </c>
      <c r="BA303" s="12">
        <f>SUM(AW303:AZ303)</f>
        <v>0</v>
      </c>
      <c r="BB303" s="12">
        <f>BB266-BA266</f>
        <v>0</v>
      </c>
      <c r="BC303" s="12">
        <f>BC266-BB266</f>
        <v>0</v>
      </c>
      <c r="BD303" s="12">
        <f>BD266-BC266</f>
        <v>0</v>
      </c>
      <c r="BE303" s="12">
        <f>BE266-BD266</f>
        <v>0</v>
      </c>
      <c r="BF303" s="12">
        <f>SUM(BB303:BE303)</f>
        <v>0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Comprehensive accumulated loss</t>
        </is>
      </c>
      <c r="D304" s="12" t="n"/>
      <c r="E304" s="12" t="n"/>
      <c r="F304" s="12" t="n"/>
      <c r="G304" s="12" t="n"/>
      <c r="H304" s="12" t="n"/>
      <c r="I304" s="12" t="n"/>
      <c r="J304" s="12">
        <f>J267-I267</f>
        <v>-6</v>
      </c>
      <c r="K304" s="12">
        <f>K267-J267</f>
        <v>1</v>
      </c>
      <c r="L304" s="12">
        <f>L267-K267</f>
        <v>-20</v>
      </c>
      <c r="M304" s="12" t="n"/>
      <c r="N304" s="12">
        <f>N267-M267</f>
        <v>-53</v>
      </c>
      <c r="O304" s="12">
        <f>O267-N267</f>
        <v>-26</v>
      </c>
      <c r="P304" s="12">
        <f>P267-O267</f>
        <v>-33</v>
      </c>
      <c r="Q304" s="12">
        <f>Q267-P267</f>
        <v>80</v>
      </c>
      <c r="R304" s="12">
        <f>SUM(N304:Q304)</f>
        <v>-32</v>
      </c>
      <c r="S304" s="12">
        <f>S267-R267</f>
        <v>-7</v>
      </c>
      <c r="T304" s="12">
        <f>T267-S267</f>
        <v>-1</v>
      </c>
      <c r="U304" s="12">
        <f>U267-T267</f>
        <v>-37</v>
      </c>
      <c r="V304" s="12">
        <f>V267-U267</f>
        <v>115</v>
      </c>
      <c r="W304" s="12">
        <f>SUM(S304:V304)</f>
        <v>70</v>
      </c>
      <c r="X304" s="12">
        <f>X267-W267</f>
        <v>-136</v>
      </c>
      <c r="Y304" s="12">
        <f>Y267-X267</f>
        <v>165</v>
      </c>
      <c r="Z304" s="12">
        <f>Z267-Y267</f>
        <v>47</v>
      </c>
      <c r="AA304" s="12">
        <f>AA267-Z267</f>
        <v>-75</v>
      </c>
      <c r="AB304" s="12">
        <f>SUM(X304:AA304)</f>
        <v>1</v>
      </c>
      <c r="AC304" s="12">
        <f>AC267-AB267</f>
        <v>158</v>
      </c>
      <c r="AD304" s="12">
        <f>AD267-AC267</f>
        <v>-16</v>
      </c>
      <c r="AE304" s="12">
        <f>AE267-AD267</f>
        <v>169</v>
      </c>
      <c r="AF304" s="12">
        <f>AF267-AE267</f>
        <v>-161</v>
      </c>
      <c r="AG304" s="12">
        <f>SUM(AC304:AF304)</f>
        <v>150</v>
      </c>
      <c r="AH304" s="12">
        <f>AH267-AG267</f>
        <v>-41</v>
      </c>
      <c r="AI304" s="12">
        <f>AI267-AH267</f>
        <v>-162</v>
      </c>
      <c r="AJ304" s="12">
        <f>AJ267-AI267</f>
        <v>0</v>
      </c>
      <c r="AK304" s="12">
        <f>AK267-AJ267</f>
        <v>0</v>
      </c>
      <c r="AL304" s="12">
        <f>SUM(AH304:AK304)</f>
        <v>-203</v>
      </c>
      <c r="AM304" s="12">
        <f>AM267-AL267</f>
        <v>0</v>
      </c>
      <c r="AN304" s="12">
        <f>AN267-AM267</f>
        <v>0</v>
      </c>
      <c r="AO304" s="12">
        <f>AO267-AN267</f>
        <v>0</v>
      </c>
      <c r="AP304" s="12">
        <f>AP267-AO267</f>
        <v>0</v>
      </c>
      <c r="AQ304" s="12">
        <f>SUM(AM304:AP304)</f>
        <v>0</v>
      </c>
      <c r="AR304" s="12">
        <f>AR267-AQ267</f>
        <v>0</v>
      </c>
      <c r="AS304" s="12">
        <f>AS267-AR267</f>
        <v>0</v>
      </c>
      <c r="AT304" s="12">
        <f>AT267-AS267</f>
        <v>0</v>
      </c>
      <c r="AU304" s="12">
        <f>AU267-AT267</f>
        <v>0</v>
      </c>
      <c r="AV304" s="12">
        <f>SUM(AR304:AU304)</f>
        <v>0</v>
      </c>
      <c r="AW304" s="12">
        <f>AW267-AV267</f>
        <v>0</v>
      </c>
      <c r="AX304" s="12">
        <f>AX267-AW267</f>
        <v>0</v>
      </c>
      <c r="AY304" s="12">
        <f>AY267-AX267</f>
        <v>0</v>
      </c>
      <c r="AZ304" s="12">
        <f>AZ267-AY267</f>
        <v>0</v>
      </c>
      <c r="BA304" s="12">
        <f>SUM(AW304:AZ304)</f>
        <v>0</v>
      </c>
      <c r="BB304" s="12">
        <f>BB267-BA267</f>
        <v>0</v>
      </c>
      <c r="BC304" s="12">
        <f>BC267-BB267</f>
        <v>0</v>
      </c>
      <c r="BD304" s="12">
        <f>BD267-BC267</f>
        <v>0</v>
      </c>
      <c r="BE304" s="12">
        <f>BE267-BD267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inlineStr">
        <is>
          <t>Other equity account</t>
        </is>
      </c>
      <c r="D305" s="12" t="n"/>
      <c r="E305" s="12" t="n"/>
      <c r="F305" s="12" t="n"/>
      <c r="G305" s="12" t="n"/>
      <c r="H305" s="12" t="n"/>
      <c r="I305" s="12" t="n"/>
      <c r="J305" s="12">
        <f>J268-I268</f>
        <v>0</v>
      </c>
      <c r="K305" s="12">
        <f>K268-J268</f>
        <v>0</v>
      </c>
      <c r="L305" s="12">
        <f>L268-K268</f>
        <v>0</v>
      </c>
      <c r="M305" s="12" t="n"/>
      <c r="N305" s="12">
        <f>N268-M268</f>
        <v>0</v>
      </c>
      <c r="O305" s="12">
        <f>O268-N268</f>
        <v>0</v>
      </c>
      <c r="P305" s="12">
        <f>P268-O268</f>
        <v>0</v>
      </c>
      <c r="Q305" s="12">
        <f>Q268-P268</f>
        <v>0</v>
      </c>
      <c r="R305" s="12">
        <f>SUM(N305:Q305)</f>
        <v>0</v>
      </c>
      <c r="S305" s="12">
        <f>S268-R268</f>
        <v>0</v>
      </c>
      <c r="T305" s="12">
        <f>T268-S268</f>
        <v>0</v>
      </c>
      <c r="U305" s="12">
        <f>U268-T268</f>
        <v>0</v>
      </c>
      <c r="V305" s="12">
        <f>V268-U268</f>
        <v>0</v>
      </c>
      <c r="W305" s="12">
        <f>SUM(S305:V305)</f>
        <v>0</v>
      </c>
      <c r="X305" s="12">
        <f>X268-W268</f>
        <v>0</v>
      </c>
      <c r="Y305" s="12">
        <f>Y268-X268</f>
        <v>0</v>
      </c>
      <c r="Z305" s="12">
        <f>Z268-Y268</f>
        <v>0</v>
      </c>
      <c r="AA305" s="12">
        <f>AA268-Z268</f>
        <v>0</v>
      </c>
      <c r="AB305" s="12">
        <f>SUM(X305:AA305)</f>
        <v>0</v>
      </c>
      <c r="AC305" s="12">
        <f>AC268-AB268</f>
        <v>0</v>
      </c>
      <c r="AD305" s="12">
        <f>AD268-AC268</f>
        <v>0</v>
      </c>
      <c r="AE305" s="12">
        <f>AE268-AD268</f>
        <v>0</v>
      </c>
      <c r="AF305" s="12">
        <f>AF268-AE268</f>
        <v>0</v>
      </c>
      <c r="AG305" s="12">
        <f>SUM(AC305:AF305)</f>
        <v>0</v>
      </c>
      <c r="AH305" s="12">
        <f>AH268-AG268</f>
        <v>0</v>
      </c>
      <c r="AI305" s="12">
        <f>AI268-AH268</f>
        <v>0</v>
      </c>
      <c r="AJ305" s="12">
        <f>AJ268-AI268</f>
        <v>0</v>
      </c>
      <c r="AK305" s="12">
        <f>AK268-AJ268</f>
        <v>0</v>
      </c>
      <c r="AL305" s="12">
        <f>SUM(AH305:AK305)</f>
        <v>0</v>
      </c>
      <c r="AM305" s="12">
        <f>AM268-AL268</f>
        <v>0</v>
      </c>
      <c r="AN305" s="12">
        <f>AN268-AM268</f>
        <v>0</v>
      </c>
      <c r="AO305" s="12">
        <f>AO268-AN268</f>
        <v>0</v>
      </c>
      <c r="AP305" s="12">
        <f>AP268-AO268</f>
        <v>0</v>
      </c>
      <c r="AQ305" s="12">
        <f>SUM(AM305:AP305)</f>
        <v>0</v>
      </c>
      <c r="AR305" s="12">
        <f>AR268-AQ268</f>
        <v>0</v>
      </c>
      <c r="AS305" s="12">
        <f>AS268-AR268</f>
        <v>0</v>
      </c>
      <c r="AT305" s="12">
        <f>AT268-AS268</f>
        <v>0</v>
      </c>
      <c r="AU305" s="12">
        <f>AU268-AT268</f>
        <v>0</v>
      </c>
      <c r="AV305" s="12">
        <f>SUM(AR305:AU305)</f>
        <v>0</v>
      </c>
      <c r="AW305" s="12">
        <f>AW268-AV268</f>
        <v>0</v>
      </c>
      <c r="AX305" s="12">
        <f>AX268-AW268</f>
        <v>0</v>
      </c>
      <c r="AY305" s="12">
        <f>AY268-AX268</f>
        <v>0</v>
      </c>
      <c r="AZ305" s="12">
        <f>AZ268-AY268</f>
        <v>0</v>
      </c>
      <c r="BA305" s="12">
        <f>SUM(AW305:AZ305)</f>
        <v>0</v>
      </c>
      <c r="BB305" s="12">
        <f>BB268-BA268</f>
        <v>0</v>
      </c>
      <c r="BC305" s="12">
        <f>BC268-BB268</f>
        <v>0</v>
      </c>
      <c r="BD305" s="12">
        <f>BD268-BC268</f>
        <v>0</v>
      </c>
      <c r="BE305" s="12">
        <f>BE268-BD268</f>
        <v>0</v>
      </c>
      <c r="BF305" s="12">
        <f>SUM(BB305:BE305)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0" t="inlineStr">
        <is>
          <t>Common and preferred dividends</t>
        </is>
      </c>
      <c r="D306" s="12" t="n"/>
      <c r="E306" s="12" t="n"/>
      <c r="F306" s="12" t="n"/>
      <c r="G306" s="12" t="n"/>
      <c r="H306" s="12" t="n"/>
      <c r="I306" s="12" t="n"/>
      <c r="J306" s="12">
        <f>(J269-I269)-J276</f>
        <v>-100</v>
      </c>
      <c r="K306" s="12">
        <f>(K269-J269)-K276</f>
        <v>-100</v>
      </c>
      <c r="L306" s="12">
        <f>(L269-K269)-L276</f>
        <v>-12127</v>
      </c>
      <c r="M306" s="12" t="n"/>
      <c r="N306" s="12">
        <f>(N269-M269)-N276</f>
        <v>-2095</v>
      </c>
      <c r="O306" s="12">
        <f>(O269-N269)-O276</f>
        <v>-3443</v>
      </c>
      <c r="P306" s="12">
        <f>(P269-O269)-P276</f>
        <v>-3746</v>
      </c>
      <c r="Q306" s="12">
        <f>(Q269-P269)-Q276</f>
        <v>-1148</v>
      </c>
      <c r="R306" s="12">
        <f>SUM(N306:Q306)</f>
        <v>-10432</v>
      </c>
      <c r="S306" s="12">
        <f>(S269-R269)-S276</f>
        <v>-99</v>
      </c>
      <c r="T306" s="12">
        <f>(T269-S269)-T276</f>
        <v>-3382</v>
      </c>
      <c r="U306" s="12">
        <f>(U269-T269)-U276</f>
        <v>-3804</v>
      </c>
      <c r="V306" s="12">
        <f>(V269-U269)-V276</f>
        <v>-2828</v>
      </c>
      <c r="W306" s="12">
        <f>SUM(S306:V306)</f>
        <v>-10113</v>
      </c>
      <c r="X306" s="12">
        <f>(X269-W269)-X276</f>
        <v>-8100</v>
      </c>
      <c r="Y306" s="12">
        <f>(Y269-X269)-Y276</f>
        <v>-7236</v>
      </c>
      <c r="Z306" s="12">
        <f>(Z269-Y269)-Z276</f>
        <v>-11320</v>
      </c>
      <c r="AA306" s="12">
        <f>(AA269-Z269)-AA276</f>
        <v>-8003</v>
      </c>
      <c r="AB306" s="12">
        <f>SUM(X306:AA306)</f>
        <v>-34659</v>
      </c>
      <c r="AC306" s="12">
        <f>(AC269-AB269)-AC276</f>
        <v>-14655</v>
      </c>
      <c r="AD306" s="12">
        <f>(AD269-AC269)-AD276</f>
        <v>-9843</v>
      </c>
      <c r="AE306" s="12">
        <f>(AE269-AD269)-AE276</f>
        <v>-12739</v>
      </c>
      <c r="AF306" s="12">
        <f>(AF269-AE269)-AF276</f>
        <v>-3895</v>
      </c>
      <c r="AG306" s="12">
        <f>SUM(AC306:AF306)</f>
        <v>-41132</v>
      </c>
      <c r="AH306" s="12">
        <f>(AH269-AG269)-AH276</f>
        <v>-20256</v>
      </c>
      <c r="AI306" s="12">
        <f>(AI269-AH269)-AI276</f>
        <v>-25569</v>
      </c>
      <c r="AJ306" s="12">
        <f>(AJ269-AI269)-AJ276</f>
        <v>0</v>
      </c>
      <c r="AK306" s="12">
        <f>(AK269-AJ269)-AK276</f>
        <v>0</v>
      </c>
      <c r="AL306" s="12">
        <f>SUM(AH306:AK306)</f>
        <v>-45825</v>
      </c>
      <c r="AM306" s="12">
        <f>(AM269-AL269)-AM276</f>
        <v>0</v>
      </c>
      <c r="AN306" s="12">
        <f>(AN269-AM269)-AN276</f>
        <v>0</v>
      </c>
      <c r="AO306" s="12">
        <f>(AO269-AN269)-AO276</f>
        <v>0</v>
      </c>
      <c r="AP306" s="12">
        <f>(AP269-AO269)-AP276</f>
        <v>0</v>
      </c>
      <c r="AQ306" s="12">
        <f>SUM(AM306:AP306)</f>
        <v>0</v>
      </c>
      <c r="AR306" s="12">
        <f>(AR269-AQ269)-AR276</f>
        <v>0</v>
      </c>
      <c r="AS306" s="12">
        <f>(AS269-AR269)-AS276</f>
        <v>0</v>
      </c>
      <c r="AT306" s="12">
        <f>(AT269-AS269)-AT276</f>
        <v>0</v>
      </c>
      <c r="AU306" s="12">
        <f>(AU269-AT269)-AU276</f>
        <v>0</v>
      </c>
      <c r="AV306" s="12">
        <f>SUM(AR306:AU306)</f>
        <v>0</v>
      </c>
      <c r="AW306" s="12">
        <f>(AW269-AV269)-AW276</f>
        <v>0</v>
      </c>
      <c r="AX306" s="12">
        <f>(AX269-AW269)-AX276</f>
        <v>0</v>
      </c>
      <c r="AY306" s="12">
        <f>(AY269-AX269)-AY276</f>
        <v>0</v>
      </c>
      <c r="AZ306" s="12">
        <f>(AZ269-AY269)-AZ276</f>
        <v>0</v>
      </c>
      <c r="BA306" s="12">
        <f>SUM(AW306:AZ306)</f>
        <v>0</v>
      </c>
      <c r="BB306" s="12">
        <f>(BB269-BA269)-BB276</f>
        <v>0</v>
      </c>
      <c r="BC306" s="12">
        <f>(BC269-BB269)-BC276</f>
        <v>0</v>
      </c>
      <c r="BD306" s="12">
        <f>(BD269-BC269)-BD276</f>
        <v>0</v>
      </c>
      <c r="BE306" s="12">
        <f>(BE269-BD269)-BE276</f>
        <v>0</v>
      </c>
      <c r="BF306" s="12">
        <f>SUM(BB306:BE306)</f>
        <v>0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inlineStr">
        <is>
          <t>Dividends to minority interests</t>
        </is>
      </c>
      <c r="D307" s="12" t="n"/>
      <c r="E307" s="12" t="n"/>
      <c r="F307" s="12" t="n"/>
      <c r="G307" s="12" t="n"/>
      <c r="H307" s="12" t="n"/>
      <c r="I307" s="12" t="n"/>
      <c r="J307" s="12">
        <f>(J247-I247)+J135</f>
        <v>0</v>
      </c>
      <c r="K307" s="12">
        <f>(K247-J247)+K135</f>
        <v>0</v>
      </c>
      <c r="L307" s="12">
        <f>(L247-K247)+L135</f>
        <v>0</v>
      </c>
      <c r="M307" s="12" t="n"/>
      <c r="N307" s="12">
        <f>(N247-M247)+N135</f>
        <v>0</v>
      </c>
      <c r="O307" s="12">
        <f>(O247-N247)+O135</f>
        <v>0</v>
      </c>
      <c r="P307" s="12">
        <f>(P247-O247)+P135</f>
        <v>0</v>
      </c>
      <c r="Q307" s="12">
        <f>(Q247-P247)+Q135</f>
        <v>0</v>
      </c>
      <c r="R307" s="12">
        <f>SUM(N307:Q307)</f>
        <v>0</v>
      </c>
      <c r="S307" s="12">
        <f>(S247-R247)+S135</f>
        <v>0</v>
      </c>
      <c r="T307" s="12">
        <f>(T247-S247)+T135</f>
        <v>0</v>
      </c>
      <c r="U307" s="12">
        <f>(U247-T247)+U135</f>
        <v>0</v>
      </c>
      <c r="V307" s="12">
        <f>(V247-U247)+V135</f>
        <v>0</v>
      </c>
      <c r="W307" s="12">
        <f>SUM(S307:V307)</f>
        <v>0</v>
      </c>
      <c r="X307" s="12">
        <f>(X247-W247)+X135</f>
        <v>0</v>
      </c>
      <c r="Y307" s="12">
        <f>(Y247-X247)+Y135</f>
        <v>0</v>
      </c>
      <c r="Z307" s="12">
        <f>(Z247-Y247)+Z135</f>
        <v>0</v>
      </c>
      <c r="AA307" s="12">
        <f>(AA247-Z247)+AA135</f>
        <v>0</v>
      </c>
      <c r="AB307" s="12">
        <f>SUM(X307:AA307)</f>
        <v>0</v>
      </c>
      <c r="AC307" s="12">
        <f>(AC247-AB247)+AC135</f>
        <v>0</v>
      </c>
      <c r="AD307" s="12">
        <f>(AD247-AC247)+AD135</f>
        <v>0</v>
      </c>
      <c r="AE307" s="12">
        <f>(AE247-AD247)+AE135</f>
        <v>0</v>
      </c>
      <c r="AF307" s="12">
        <f>(AF247-AE247)+AF135</f>
        <v>0</v>
      </c>
      <c r="AG307" s="12">
        <f>SUM(AC307:AF307)</f>
        <v>0</v>
      </c>
      <c r="AH307" s="12">
        <f>(AH247-AG247)+AH135</f>
        <v>0</v>
      </c>
      <c r="AI307" s="12">
        <f>(AI247-AH247)+AI135</f>
        <v>0</v>
      </c>
      <c r="AJ307" s="12">
        <f>(AJ247-AI247)+AJ135</f>
        <v>0</v>
      </c>
      <c r="AK307" s="12">
        <f>(AK247-AJ247)+AK135</f>
        <v>0</v>
      </c>
      <c r="AL307" s="12">
        <f>SUM(AH307:AK307)</f>
        <v>0</v>
      </c>
      <c r="AM307" s="12">
        <f>(AM247-AL247)+AM135</f>
        <v>0</v>
      </c>
      <c r="AN307" s="12">
        <f>(AN247-AM247)+AN135</f>
        <v>0</v>
      </c>
      <c r="AO307" s="12">
        <f>(AO247-AN247)+AO135</f>
        <v>0</v>
      </c>
      <c r="AP307" s="12">
        <f>(AP247-AO247)+AP135</f>
        <v>0</v>
      </c>
      <c r="AQ307" s="12">
        <f>SUM(AM307:AP307)</f>
        <v>0</v>
      </c>
      <c r="AR307" s="12">
        <f>(AR247-AQ247)+AR135</f>
        <v>0</v>
      </c>
      <c r="AS307" s="12">
        <f>(AS247-AR247)+AS135</f>
        <v>0</v>
      </c>
      <c r="AT307" s="12">
        <f>(AT247-AS247)+AT135</f>
        <v>0</v>
      </c>
      <c r="AU307" s="12">
        <f>(AU247-AT247)+AU135</f>
        <v>0</v>
      </c>
      <c r="AV307" s="12">
        <f>SUM(AR307:AU307)</f>
        <v>0</v>
      </c>
      <c r="AW307" s="12">
        <f>(AW247-AV247)+AW135</f>
        <v>0</v>
      </c>
      <c r="AX307" s="12">
        <f>(AX247-AW247)+AX135</f>
        <v>0</v>
      </c>
      <c r="AY307" s="12">
        <f>(AY247-AX247)+AY135</f>
        <v>0</v>
      </c>
      <c r="AZ307" s="12">
        <f>(AZ247-AY247)+AZ135</f>
        <v>0</v>
      </c>
      <c r="BA307" s="12">
        <f>SUM(AW307:AZ307)</f>
        <v>0</v>
      </c>
      <c r="BB307" s="12">
        <f>(BB247-BA247)+BB135</f>
        <v>0</v>
      </c>
      <c r="BC307" s="12">
        <f>(BC247-BB247)+BC135</f>
        <v>0</v>
      </c>
      <c r="BD307" s="12">
        <f>(BD247-BC247)+BD135</f>
        <v>0</v>
      </c>
      <c r="BE307" s="12">
        <f>(BE247-BD247)+BE135</f>
        <v>0</v>
      </c>
      <c r="BF307" s="12">
        <f>SUM(BB307:BE307)</f>
        <v>0</v>
      </c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5" t="inlineStr">
        <is>
          <t>Increases / (decreases) in debt</t>
        </is>
      </c>
      <c r="D308" s="12" t="n"/>
      <c r="E308" s="12" t="n"/>
      <c r="F308" s="12" t="n"/>
      <c r="G308" s="12" t="n"/>
      <c r="H308" s="12" t="n"/>
      <c r="I308" s="12" t="n"/>
      <c r="J308" s="12">
        <f>SUM(J211:J213,J216,J237,J234)-SUM(I211:I213,I216,I237,I234)</f>
        <v>5056</v>
      </c>
      <c r="K308" s="12">
        <f>SUM(K211:K213,K216,K237,K234)-SUM(J211:J213,J216,J237,J234)</f>
        <v>-972</v>
      </c>
      <c r="L308" s="12">
        <f>SUM(L211:L213,L216,L237,L234)-SUM(K211:K213,K216,K237,K234)</f>
        <v>0</v>
      </c>
      <c r="M308" s="12" t="n"/>
      <c r="N308" s="12">
        <f>SUM(N211:N213,N216,N237,N234)-SUM(M211:M213,M216,M237,M234)</f>
        <v>12</v>
      </c>
      <c r="O308" s="12">
        <f>SUM(O211:O213,O216,O237,O234)-SUM(N211:N213,N216,N237,N234)</f>
        <v>-7</v>
      </c>
      <c r="P308" s="12">
        <f>SUM(P211:P213,P216,P237,P234)-SUM(O211:O213,O216,O237,O234)</f>
        <v>56</v>
      </c>
      <c r="Q308" s="12">
        <f>SUM(Q211:Q213,Q216,Q237,Q234)-SUM(P211:P213,P216,P237,P234)</f>
        <v>107</v>
      </c>
      <c r="R308" s="12">
        <f>SUM(N308:Q308)</f>
        <v>168</v>
      </c>
      <c r="S308" s="12">
        <f>SUM(S211:S213,S216,S237,S234)-SUM(R211:R213,R216,R237,R234)</f>
        <v>38</v>
      </c>
      <c r="T308" s="12">
        <f>SUM(T211:T213,T216,T237,T234)-SUM(S211:S213,S216,S237,S234)</f>
        <v>-1147</v>
      </c>
      <c r="U308" s="12">
        <f>SUM(U211:U213,U216,U237,U234)-SUM(T211:T213,T216,T237,T234)</f>
        <v>51</v>
      </c>
      <c r="V308" s="12">
        <f>SUM(V211:V213,V216,V237,V234)-SUM(U211:U213,U216,U237,U234)</f>
        <v>31</v>
      </c>
      <c r="W308" s="12">
        <f>SUM(S308:V308)</f>
        <v>-1027</v>
      </c>
      <c r="X308" s="12">
        <f>SUM(X211:X213,X216,X237,X234)-SUM(W211:W213,W216,W237,W234)</f>
        <v>163</v>
      </c>
      <c r="Y308" s="12">
        <f>SUM(Y211:Y213,Y216,Y237,Y234)-SUM(X211:X213,X216,X237,X234)</f>
        <v>-1226</v>
      </c>
      <c r="Z308" s="12">
        <f>SUM(Z211:Z213,Z216,Z237,Z234)-SUM(Y211:Y213,Y216,Y237,Y234)</f>
        <v>187</v>
      </c>
      <c r="AA308" s="12">
        <f>SUM(AA211:AA213,AA216,AA237,AA234)-SUM(Z211:Z213,Z216,Z237,Z234)</f>
        <v>30</v>
      </c>
      <c r="AB308" s="12">
        <f>SUM(X308:AA308)</f>
        <v>-846</v>
      </c>
      <c r="AC308" s="12">
        <f>SUM(AC211:AC213,AC216,AC237,AC234)-SUM(AB211:AB213,AB216,AB237,AB234)</f>
        <v>3</v>
      </c>
      <c r="AD308" s="12">
        <f>SUM(AD211:AD213,AD216,AD237,AD234)-SUM(AC211:AC213,AC216,AC237,AC234)</f>
        <v>312</v>
      </c>
      <c r="AE308" s="12">
        <f>SUM(AE211:AE213,AE216,AE237,AE234)-SUM(AD211:AD213,AD216,AD237,AD234)</f>
        <v>184</v>
      </c>
      <c r="AF308" s="12">
        <f>SUM(AF211:AF213,AF216,AF237,AF234)-SUM(AE211:AE213,AE216,AE237,AE234)</f>
        <v>559</v>
      </c>
      <c r="AG308" s="12">
        <f>SUM(AC308:AF308)</f>
        <v>1058</v>
      </c>
      <c r="AH308" s="12">
        <f>SUM(AH211:AH213,AH216,AH237,AH234)-SUM(AG211:AG213,AG216,AG237,AG234)</f>
        <v>1308</v>
      </c>
      <c r="AI308" s="12">
        <f>SUM(AI211:AI213,AI216,AI237,AI234)-SUM(AH211:AH213,AH216,AH237,AH234)</f>
        <v>26003</v>
      </c>
      <c r="AJ308" s="12">
        <f>SUM(AJ211:AJ213,AJ216,AJ237,AJ234)-SUM(AI211:AI213,AI216,AI237,AI234)</f>
        <v>0</v>
      </c>
      <c r="AK308" s="12">
        <f>SUM(AK211:AK213,AK216,AK237,AK234)-SUM(AJ211:AJ213,AJ216,AJ237,AJ234)</f>
        <v>0</v>
      </c>
      <c r="AL308" s="12">
        <f>SUM(AH308:AK308)</f>
        <v>27311</v>
      </c>
      <c r="AM308" s="12">
        <f>SUM(AM211:AM213,AM216,AM237,AM234)-SUM(AL211:AL213,AL216,AL237,AL234)</f>
        <v>0</v>
      </c>
      <c r="AN308" s="12">
        <f>SUM(AN211:AN213,AN216,AN237,AN234)-SUM(AM211:AM213,AM216,AM237,AM234)</f>
        <v>0</v>
      </c>
      <c r="AO308" s="12">
        <f>SUM(AO211:AO213,AO216,AO237,AO234)-SUM(AN211:AN213,AN216,AN237,AN234)</f>
        <v>0</v>
      </c>
      <c r="AP308" s="12">
        <f>SUM(AP211:AP213,AP216,AP237,AP234)-SUM(AO211:AO213,AO216,AO237,AO234)</f>
        <v>0</v>
      </c>
      <c r="AQ308" s="12">
        <f>SUM(AM308:AP308)</f>
        <v>0</v>
      </c>
      <c r="AR308" s="12">
        <f>SUM(AR211:AR213,AR216,AR237,AR234)-SUM(AQ211:AQ213,AQ216,AQ237,AQ234)</f>
        <v>0</v>
      </c>
      <c r="AS308" s="12">
        <f>SUM(AS211:AS213,AS216,AS237,AS234)-SUM(AR211:AR213,AR216,AR237,AR234)</f>
        <v>0</v>
      </c>
      <c r="AT308" s="12">
        <f>SUM(AT211:AT213,AT216,AT237,AT234)-SUM(AS211:AS213,AS216,AS237,AS234)</f>
        <v>0</v>
      </c>
      <c r="AU308" s="12">
        <f>SUM(AU211:AU213,AU216,AU237,AU234)-SUM(AT211:AT213,AT216,AT237,AT234)</f>
        <v>0</v>
      </c>
      <c r="AV308" s="12">
        <f>SUM(AR308:AU308)</f>
        <v>0</v>
      </c>
      <c r="AW308" s="12">
        <f>SUM(AW211:AW213,AW216,AW237,AW234)-SUM(AV211:AV213,AV216,AV237,AV234)</f>
        <v>0</v>
      </c>
      <c r="AX308" s="12">
        <f>SUM(AX211:AX213,AX216,AX237,AX234)-SUM(AW211:AW213,AW216,AW237,AW234)</f>
        <v>0</v>
      </c>
      <c r="AY308" s="12">
        <f>SUM(AY211:AY213,AY216,AY237,AY234)-SUM(AX211:AX213,AX216,AX237,AX234)</f>
        <v>0</v>
      </c>
      <c r="AZ308" s="12">
        <f>SUM(AZ211:AZ213,AZ216,AZ237,AZ234)-SUM(AY211:AY213,AY216,AY237,AY234)</f>
        <v>0</v>
      </c>
      <c r="BA308" s="12">
        <f>SUM(AW308:AZ308)</f>
        <v>0</v>
      </c>
      <c r="BB308" s="12">
        <f>SUM(BB211:BB213,BB216,BB237,BB234)-SUM(BA211:BA213,BA216,BA237,BA234)</f>
        <v>0</v>
      </c>
      <c r="BC308" s="12">
        <f>SUM(BC211:BC213,BC216,BC237,BC234)-SUM(BB211:BB213,BB216,BB237,BB234)</f>
        <v>0</v>
      </c>
      <c r="BD308" s="12">
        <f>SUM(BD211:BD213,BD216,BD237,BD234)-SUM(BC211:BC213,BC216,BC237,BC234)</f>
        <v>0</v>
      </c>
      <c r="BE308" s="12">
        <f>SUM(BE211:BE213,BE216,BE237,BE234)-SUM(BD211:BD213,BD216,BD237,BD234)</f>
        <v>0</v>
      </c>
      <c r="BF308" s="12">
        <f>SUM(BB308:BE308)</f>
        <v>0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  <c r="CZ308" s="12" t="n"/>
      <c r="DA308" s="12" t="n"/>
      <c r="DB308" s="12" t="n"/>
      <c r="DC308" s="12" t="n"/>
    </row>
    <row r="309">
      <c r="C309" s="14" t="inlineStr">
        <is>
          <t>Cash from financing</t>
        </is>
      </c>
      <c r="D309" s="12" t="n"/>
      <c r="E309" s="12" t="n"/>
      <c r="F309" s="12" t="n"/>
      <c r="G309" s="12" t="n"/>
      <c r="H309" s="12" t="n"/>
      <c r="I309" s="12" t="n"/>
      <c r="J309" s="12">
        <f>SUM(J301,J302,J303,J304,J305,J306,J307,J308)</f>
        <v>5055</v>
      </c>
      <c r="K309" s="12">
        <f>SUM(K301,K302,K303,K304,K305,K306,K307,K308)</f>
        <v>-785</v>
      </c>
      <c r="L309" s="12">
        <f>SUM(L301,L302,L303,L304,L305,L306,L307,L308)</f>
        <v>-189</v>
      </c>
      <c r="M309" s="12" t="n"/>
      <c r="N309" s="12">
        <f>SUM(N301,N302,N303,N304,N305,N306,N307,N308)</f>
        <v>-1898</v>
      </c>
      <c r="O309" s="12">
        <f>SUM(O301,O302,O303,O304,O305,O306,O307,O308)</f>
        <v>-3132</v>
      </c>
      <c r="P309" s="12">
        <f>SUM(P301,P302,P303,P304,P305,P306,P307,P308)</f>
        <v>-3126</v>
      </c>
      <c r="Q309" s="12">
        <f>SUM(Q301,Q302,Q303,Q304,Q305,Q306,Q307,Q308)</f>
        <v>-555</v>
      </c>
      <c r="R309" s="12">
        <f>SUM(R301,R302,R303,R304,R305,R306,R307,R308)</f>
        <v>-8711</v>
      </c>
      <c r="S309" s="12">
        <f>SUM(S301,S302,S303,S304,S305,S306,S307,S308)</f>
        <v>414</v>
      </c>
      <c r="T309" s="12">
        <f>SUM(T301,T302,T303,T304,T305,T306,T307,T308)</f>
        <v>-4354</v>
      </c>
      <c r="U309" s="12">
        <f>SUM(U301,U302,U303,U304,U305,U306,U307,U308)</f>
        <v>-3428</v>
      </c>
      <c r="V309" s="12">
        <f>SUM(V301,V302,V303,V304,V305,V306,V307,V308)</f>
        <v>-2541</v>
      </c>
      <c r="W309" s="12">
        <f>SUM(W301,W302,W303,W304,W305,W306,W307,W308)</f>
        <v>-9909</v>
      </c>
      <c r="X309" s="12">
        <f>SUM(X301,X302,X303,X304,X305,X306,X307,X308)</f>
        <v>-8554</v>
      </c>
      <c r="Y309" s="12">
        <f>SUM(Y301,Y302,Y303,Y304,Y305,Y306,Y307,Y308)</f>
        <v>-8810</v>
      </c>
      <c r="Z309" s="12">
        <f>SUM(Z301,Z302,Z303,Z304,Z305,Z306,Z307,Z308)</f>
        <v>-11380</v>
      </c>
      <c r="AA309" s="12">
        <f>SUM(AA301,AA302,AA303,AA304,AA305,AA306,AA307,AA308)</f>
        <v>-8633</v>
      </c>
      <c r="AB309" s="12">
        <f>SUM(AB301,AB302,AB303,AB304,AB305,AB306,AB307,AB308)</f>
        <v>-37377</v>
      </c>
      <c r="AC309" s="12">
        <f>SUM(AC301,AC302,AC303,AC304,AC305,AC306,AC307,AC308)</f>
        <v>-14256</v>
      </c>
      <c r="AD309" s="12">
        <f>SUM(AD301,AD302,AD303,AD304,AD305,AD306,AD307,AD308)</f>
        <v>-9822</v>
      </c>
      <c r="AE309" s="12">
        <f>SUM(AE301,AE302,AE303,AE304,AE305,AE306,AE307,AE308)</f>
        <v>-12960</v>
      </c>
      <c r="AF309" s="12">
        <f>SUM(AF301,AF302,AF303,AF304,AF305,AF306,AF307,AF308)</f>
        <v>-4005</v>
      </c>
      <c r="AG309" s="12">
        <f>SUM(AG301,AG302,AG303,AG304,AG305,AG306,AG307,AG308)</f>
        <v>-41043</v>
      </c>
      <c r="AH309" s="12">
        <f>SUM(AH301,AH302,AH303,AH304,AH305,AH306,AH307,AH308)</f>
        <v>-18832</v>
      </c>
      <c r="AI309" s="12">
        <f>SUM(AI301,AI302,AI303,AI304,AI305,AI306,AI307,AI308)</f>
        <v>-175</v>
      </c>
      <c r="AJ309" s="12">
        <f>SUM(AJ301,AJ302,AJ303,AJ304,AJ305,AJ306,AJ307,AJ308)</f>
        <v>0</v>
      </c>
      <c r="AK309" s="12">
        <f>SUM(AK301,AK302,AK303,AK304,AK305,AK306,AK307,AK308)</f>
        <v>0</v>
      </c>
      <c r="AL309" s="12">
        <f>SUM(AL301,AL302,AL303,AL304,AL305,AL306,AL307,AL308)</f>
        <v>-19007</v>
      </c>
      <c r="AM309" s="12">
        <f>SUM(AM301,AM302,AM303,AM304,AM305,AM306,AM307,AM308)</f>
        <v>0</v>
      </c>
      <c r="AN309" s="12">
        <f>SUM(AN301,AN302,AN303,AN304,AN305,AN306,AN307,AN308)</f>
        <v>0</v>
      </c>
      <c r="AO309" s="12">
        <f>SUM(AO301,AO302,AO303,AO304,AO305,AO306,AO307,AO308)</f>
        <v>0</v>
      </c>
      <c r="AP309" s="12">
        <f>SUM(AP301,AP302,AP303,AP304,AP305,AP306,AP307,AP308)</f>
        <v>0</v>
      </c>
      <c r="AQ309" s="12">
        <f>SUM(AQ301,AQ302,AQ303,AQ304,AQ305,AQ306,AQ307,AQ308)</f>
        <v>0</v>
      </c>
      <c r="AR309" s="12">
        <f>SUM(AR301,AR302,AR303,AR304,AR305,AR306,AR307,AR308)</f>
        <v>0</v>
      </c>
      <c r="AS309" s="12">
        <f>SUM(AS301,AS302,AS303,AS304,AS305,AS306,AS307,AS308)</f>
        <v>0</v>
      </c>
      <c r="AT309" s="12">
        <f>SUM(AT301,AT302,AT303,AT304,AT305,AT306,AT307,AT308)</f>
        <v>0</v>
      </c>
      <c r="AU309" s="12">
        <f>SUM(AU301,AU302,AU303,AU304,AU305,AU306,AU307,AU308)</f>
        <v>0</v>
      </c>
      <c r="AV309" s="12">
        <f>SUM(AV301,AV302,AV303,AV304,AV305,AV306,AV307,AV308)</f>
        <v>0</v>
      </c>
      <c r="AW309" s="12">
        <f>SUM(AW301,AW302,AW303,AW304,AW305,AW306,AW307,AW308)</f>
        <v>0</v>
      </c>
      <c r="AX309" s="12">
        <f>SUM(AX301,AX302,AX303,AX304,AX305,AX306,AX307,AX308)</f>
        <v>0</v>
      </c>
      <c r="AY309" s="12">
        <f>SUM(AY301,AY302,AY303,AY304,AY305,AY306,AY307,AY308)</f>
        <v>0</v>
      </c>
      <c r="AZ309" s="12">
        <f>SUM(AZ301,AZ302,AZ303,AZ304,AZ305,AZ306,AZ307,AZ308)</f>
        <v>0</v>
      </c>
      <c r="BA309" s="12">
        <f>SUM(BA301,BA302,BA303,BA304,BA305,BA306,BA307,BA308)</f>
        <v>0</v>
      </c>
      <c r="BB309" s="12">
        <f>SUM(BB301,BB302,BB303,BB304,BB305,BB306,BB307,BB308)</f>
        <v>0</v>
      </c>
      <c r="BC309" s="12">
        <f>SUM(BC301,BC302,BC303,BC304,BC305,BC306,BC307,BC308)</f>
        <v>0</v>
      </c>
      <c r="BD309" s="12">
        <f>SUM(BD301,BD302,BD303,BD304,BD305,BD306,BD307,BD308)</f>
        <v>0</v>
      </c>
      <c r="BE309" s="12">
        <f>SUM(BE301,BE302,BE303,BE304,BE305,BE306,BE307,BE308)</f>
        <v>0</v>
      </c>
      <c r="BF309" s="12">
        <f>SUM(BF301,BF302,BF303,BF304,BF305,BF306,BF307,BF308)</f>
        <v>0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4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  <c r="AL310" s="12" t="n"/>
      <c r="AM310" s="12" t="n"/>
      <c r="AN310" s="12" t="n"/>
      <c r="AO310" s="12" t="n"/>
      <c r="AP310" s="12" t="n"/>
      <c r="AQ310" s="12" t="n"/>
      <c r="AR310" s="12" t="n"/>
      <c r="AS310" s="12" t="n"/>
      <c r="AT310" s="12" t="n"/>
      <c r="AU310" s="12" t="n"/>
      <c r="AV310" s="12" t="n"/>
      <c r="AW310" s="12" t="n"/>
      <c r="AX310" s="12" t="n"/>
      <c r="AY310" s="12" t="n"/>
      <c r="AZ310" s="12" t="n"/>
      <c r="BA310" s="12" t="n"/>
      <c r="BB310" s="12" t="n"/>
      <c r="BC310" s="12" t="n"/>
      <c r="BD310" s="12" t="n"/>
      <c r="BE310" s="12" t="n"/>
      <c r="BF310" s="12" t="n"/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14" t="inlineStr">
        <is>
          <t>Others / cash reconciliation plug</t>
        </is>
      </c>
      <c r="D311" s="12" t="n"/>
      <c r="E311" s="12" t="n"/>
      <c r="F311" s="12" t="n"/>
      <c r="G311" s="12" t="n"/>
      <c r="H311" s="12" t="n"/>
      <c r="I311" s="12" t="n"/>
      <c r="J311" s="12">
        <f>J143-I143-SUM(J292,J299,J309)</f>
        <v>0</v>
      </c>
      <c r="K311" s="12">
        <f>K143-J143-SUM(K292,K299,K309)</f>
        <v>0</v>
      </c>
      <c r="L311" s="12">
        <f>L143-K143-SUM(L292,L299,L309)</f>
        <v>0</v>
      </c>
      <c r="M311" s="12" t="n"/>
      <c r="N311" s="12">
        <f>N143-M143-SUM(N292,N299,N309)</f>
        <v>0</v>
      </c>
      <c r="O311" s="12">
        <f>O143-N143-SUM(O292,O299,O309)</f>
        <v>0</v>
      </c>
      <c r="P311" s="12">
        <f>P143-O143-SUM(P292,P299,P309)</f>
        <v>0</v>
      </c>
      <c r="Q311" s="12">
        <f>Q143-P143-SUM(Q292,Q299,Q309)</f>
        <v>0</v>
      </c>
      <c r="R311" s="12">
        <f>SUM(N311:Q311)</f>
        <v>0</v>
      </c>
      <c r="S311" s="12">
        <f>S143-R143-SUM(S292,S299,S309)</f>
        <v>0</v>
      </c>
      <c r="T311" s="12">
        <f>T143-S143-SUM(T292,T299,T309)</f>
        <v>0</v>
      </c>
      <c r="U311" s="12">
        <f>U143-T143-SUM(U292,U299,U309)</f>
        <v>0</v>
      </c>
      <c r="V311" s="12">
        <f>V143-U143-SUM(V292,V299,V309)</f>
        <v>0</v>
      </c>
      <c r="W311" s="12">
        <f>SUM(S311:V311)</f>
        <v>0</v>
      </c>
      <c r="X311" s="12">
        <f>X143-W143-SUM(X292,X299,X309)</f>
        <v>0</v>
      </c>
      <c r="Y311" s="12">
        <f>Y143-X143-SUM(Y292,Y299,Y309)</f>
        <v>0</v>
      </c>
      <c r="Z311" s="12">
        <f>Z143-Y143-SUM(Z292,Z299,Z309)</f>
        <v>0</v>
      </c>
      <c r="AA311" s="12">
        <f>AA143-Z143-SUM(AA292,AA299,AA309)</f>
        <v>0</v>
      </c>
      <c r="AB311" s="12">
        <f>SUM(X311:AA311)</f>
        <v>0</v>
      </c>
      <c r="AC311" s="12">
        <f>AC143-AB143-SUM(AC292,AC299,AC309)</f>
        <v>0</v>
      </c>
      <c r="AD311" s="12">
        <f>AD143-AC143-SUM(AD292,AD299,AD309)</f>
        <v>0</v>
      </c>
      <c r="AE311" s="12">
        <f>AE143-AD143-SUM(AE292,AE299,AE309)</f>
        <v>0</v>
      </c>
      <c r="AF311" s="12">
        <f>AF143-AE143-SUM(AF292,AF299,AF309)</f>
        <v>0</v>
      </c>
      <c r="AG311" s="12">
        <f>SUM(AC311:AF311)</f>
        <v>0</v>
      </c>
      <c r="AH311" s="12">
        <f>AH143-AG143-SUM(AH292,AH299,AH309)</f>
        <v>0</v>
      </c>
      <c r="AI311" s="12">
        <f>AI143-AH143-SUM(AI292,AI299,AI309)</f>
        <v>0</v>
      </c>
      <c r="AJ311" s="12">
        <f>AJ143-AI143-SUM(AJ292,AJ299,AJ309)</f>
        <v>0</v>
      </c>
      <c r="AK311" s="12">
        <f>AK143-AJ143-SUM(AK292,AK299,AK309)</f>
        <v>0</v>
      </c>
      <c r="AL311" s="12">
        <f>SUM(AH311:AK311)</f>
        <v>0</v>
      </c>
      <c r="AM311" s="12">
        <f>AM143-AL143-SUM(AM292,AM299,AM309)</f>
        <v>0</v>
      </c>
      <c r="AN311" s="12">
        <f>AN143-AM143-SUM(AN292,AN299,AN309)</f>
        <v>0</v>
      </c>
      <c r="AO311" s="12">
        <f>AO143-AN143-SUM(AO292,AO299,AO309)</f>
        <v>0</v>
      </c>
      <c r="AP311" s="12">
        <f>AP143-AO143-SUM(AP292,AP299,AP309)</f>
        <v>0</v>
      </c>
      <c r="AQ311" s="12">
        <f>SUM(AM311:AP311)</f>
        <v>0</v>
      </c>
      <c r="AR311" s="12">
        <f>AR143-AQ143-SUM(AR292,AR299,AR309)</f>
        <v>0</v>
      </c>
      <c r="AS311" s="12">
        <f>AS143-AR143-SUM(AS292,AS299,AS309)</f>
        <v>0</v>
      </c>
      <c r="AT311" s="12">
        <f>AT143-AS143-SUM(AT292,AT299,AT309)</f>
        <v>0</v>
      </c>
      <c r="AU311" s="12">
        <f>AU143-AT143-SUM(AU292,AU299,AU309)</f>
        <v>0</v>
      </c>
      <c r="AV311" s="12">
        <f>SUM(AR311:AU311)</f>
        <v>0</v>
      </c>
      <c r="AW311" s="12">
        <f>AW143-AV143-SUM(AW292,AW299,AW309)</f>
        <v>0</v>
      </c>
      <c r="AX311" s="12">
        <f>AX143-AW143-SUM(AX292,AX299,AX309)</f>
        <v>0</v>
      </c>
      <c r="AY311" s="12">
        <f>AY143-AX143-SUM(AY292,AY299,AY309)</f>
        <v>0</v>
      </c>
      <c r="AZ311" s="12">
        <f>AZ143-AY143-SUM(AZ292,AZ299,AZ309)</f>
        <v>0</v>
      </c>
      <c r="BA311" s="12">
        <f>SUM(AW311:AZ311)</f>
        <v>0</v>
      </c>
      <c r="BB311" s="12">
        <f>BB143-BA143-SUM(BB292,BB299,BB309)</f>
        <v>0</v>
      </c>
      <c r="BC311" s="12">
        <f>BC143-BB143-SUM(BC292,BC299,BC309)</f>
        <v>0</v>
      </c>
      <c r="BD311" s="12">
        <f>BD143-BC143-SUM(BD292,BD299,BD309)</f>
        <v>0</v>
      </c>
      <c r="BE311" s="12">
        <f>BE143-BD143-SUM(BE292,BE299,BE309)</f>
        <v>0</v>
      </c>
      <c r="BF311" s="12">
        <f>SUM(BB311:BE311)</f>
        <v>0</v>
      </c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</row>
    <row r="312">
      <c r="C312" s="14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  <c r="AL312" s="12" t="n"/>
      <c r="AM312" s="12" t="n"/>
      <c r="AN312" s="12" t="n"/>
      <c r="AO312" s="12" t="n"/>
      <c r="AP312" s="12" t="n"/>
      <c r="AQ312" s="12" t="n"/>
      <c r="AR312" s="12" t="n"/>
      <c r="AS312" s="12" t="n"/>
      <c r="AT312" s="12" t="n"/>
      <c r="AU312" s="12" t="n"/>
      <c r="AV312" s="12" t="n"/>
      <c r="AW312" s="12" t="n"/>
      <c r="AX312" s="12" t="n"/>
      <c r="AY312" s="12" t="n"/>
      <c r="AZ312" s="12" t="n"/>
      <c r="BA312" s="12" t="n"/>
      <c r="BB312" s="12" t="n"/>
      <c r="BC312" s="12" t="n"/>
      <c r="BD312" s="12" t="n"/>
      <c r="BE312" s="12" t="n"/>
      <c r="BF312" s="12" t="n"/>
      <c r="BG312" s="12" t="n"/>
      <c r="BH312" s="12" t="n"/>
      <c r="BI312" s="12" t="n"/>
      <c r="BJ312" s="12" t="n"/>
      <c r="BK312" s="12" t="n"/>
      <c r="BL312" s="12" t="n"/>
      <c r="BM312" s="12" t="n"/>
      <c r="BN312" s="12" t="n"/>
      <c r="BO312" s="12" t="n"/>
      <c r="BP312" s="12" t="n"/>
      <c r="BQ312" s="12" t="n"/>
      <c r="BR312" s="12" t="n"/>
      <c r="BS312" s="12" t="n"/>
      <c r="BT312" s="12" t="n"/>
      <c r="BU312" s="12" t="n"/>
      <c r="BV312" s="12" t="n"/>
      <c r="BW312" s="12" t="n"/>
      <c r="BX312" s="12" t="n"/>
      <c r="BY312" s="12" t="n"/>
      <c r="BZ312" s="12" t="n"/>
      <c r="CA312" s="12" t="n"/>
      <c r="CB312" s="12" t="n"/>
      <c r="CC312" s="12" t="n"/>
      <c r="CD312" s="12" t="n"/>
      <c r="CE312" s="12" t="n"/>
      <c r="CF312" s="12" t="n"/>
      <c r="CG312" s="12" t="n"/>
      <c r="CH312" s="12" t="n"/>
      <c r="CI312" s="12" t="n"/>
      <c r="CJ312" s="12" t="n"/>
      <c r="CK312" s="12" t="n"/>
      <c r="CL312" s="12" t="n"/>
      <c r="CM312" s="12" t="n"/>
      <c r="CN312" s="12" t="n"/>
      <c r="CO312" s="12" t="n"/>
      <c r="CP312" s="12" t="n"/>
      <c r="CQ312" s="12" t="n"/>
      <c r="CR312" s="12" t="n"/>
      <c r="CS312" s="12" t="n"/>
      <c r="CT312" s="12" t="n"/>
      <c r="CU312" s="12" t="n"/>
      <c r="CV312" s="12" t="n"/>
      <c r="CW312" s="12" t="n"/>
      <c r="CX312" s="12" t="n"/>
      <c r="CY312" s="12" t="n"/>
    </row>
    <row r="313">
      <c r="C313" s="14" t="inlineStr">
        <is>
          <t>Total increase/decrease of cash</t>
        </is>
      </c>
      <c r="D313" s="12" t="n"/>
      <c r="E313" s="12" t="n"/>
      <c r="F313" s="12" t="n"/>
      <c r="G313" s="12" t="n"/>
      <c r="H313" s="12" t="n"/>
      <c r="I313" s="12" t="n"/>
      <c r="J313" s="12">
        <f>SUM(J292,J299,J309,J311)</f>
        <v>6987</v>
      </c>
      <c r="K313" s="12">
        <f>SUM(K292,K299,K309,K311)</f>
        <v>-356</v>
      </c>
      <c r="L313" s="12">
        <f>SUM(L292,L299,L309,L311)</f>
        <v>1910</v>
      </c>
      <c r="M313" s="12" t="n"/>
      <c r="N313" s="12">
        <f>SUM(N292,N299,N309,N311)</f>
        <v>-870</v>
      </c>
      <c r="O313" s="12">
        <f>SUM(O292,O299,O309,O311)</f>
        <v>-3301</v>
      </c>
      <c r="P313" s="12">
        <f>SUM(P292,P299,P309,P311)</f>
        <v>-3894</v>
      </c>
      <c r="Q313" s="12">
        <f>SUM(Q292,Q299,Q309,Q311)</f>
        <v>153</v>
      </c>
      <c r="R313" s="12">
        <f>SUM(N313:Q313)</f>
        <v>-7912</v>
      </c>
      <c r="S313" s="12">
        <f>SUM(S292,S299,S309,S311)</f>
        <v>2024</v>
      </c>
      <c r="T313" s="12">
        <f>SUM(T292,T299,T309,T311)</f>
        <v>703</v>
      </c>
      <c r="U313" s="12">
        <f>SUM(U292,U299,U309,U311)</f>
        <v>2258</v>
      </c>
      <c r="V313" s="12">
        <f>SUM(V292,V299,V309,V311)</f>
        <v>7703</v>
      </c>
      <c r="W313" s="12">
        <f>SUM(S313:V313)</f>
        <v>12688</v>
      </c>
      <c r="X313" s="12">
        <f>SUM(X292,X299,X309,X311)</f>
        <v>5454</v>
      </c>
      <c r="Y313" s="12">
        <f>SUM(Y292,Y299,Y309,Y311)</f>
        <v>3362</v>
      </c>
      <c r="Z313" s="12">
        <f>SUM(Z292,Z299,Z309,Z311)</f>
        <v>3687</v>
      </c>
      <c r="AA313" s="12">
        <f>SUM(AA292,AA299,AA309,AA311)</f>
        <v>4723</v>
      </c>
      <c r="AB313" s="12">
        <f>SUM(X313:AA313)</f>
        <v>17226</v>
      </c>
      <c r="AC313" s="12">
        <f>SUM(AC292,AC299,AC309,AC311)</f>
        <v>10481</v>
      </c>
      <c r="AD313" s="12">
        <f>SUM(AD292,AD299,AD309,AD311)</f>
        <v>3100</v>
      </c>
      <c r="AE313" s="12">
        <f>SUM(AE292,AE299,AE309,AE311)</f>
        <v>3817</v>
      </c>
      <c r="AF313" s="12">
        <f>SUM(AF292,AF299,AF309,AF311)</f>
        <v>-10938</v>
      </c>
      <c r="AG313" s="12">
        <f>SUM(AC313:AF313)</f>
        <v>6460</v>
      </c>
      <c r="AH313" s="12">
        <f>SUM(AH292,AH299,AH309,AH311)</f>
        <v>665</v>
      </c>
      <c r="AI313" s="12">
        <f>SUM(AI292,AI299,AI309,AI311)</f>
        <v>6251</v>
      </c>
      <c r="AJ313" s="12">
        <f>SUM(AJ292,AJ299,AJ309,AJ311)</f>
        <v>85662.9258622222</v>
      </c>
      <c r="AK313" s="12">
        <f>SUM(AK292,AK299,AK309,AK311)</f>
        <v>90473.0162492626</v>
      </c>
      <c r="AL313" s="12">
        <f>SUM(AH313:AK313)</f>
        <v>183051.942111485</v>
      </c>
      <c r="AM313" s="12">
        <f>SUM(AM292,AM299,AM309,AM311)</f>
        <v>125613.669265537</v>
      </c>
      <c r="AN313" s="12">
        <f>SUM(AN292,AN299,AN309,AN311)</f>
        <v>189131.879792254</v>
      </c>
      <c r="AO313" s="12">
        <f>SUM(AO292,AO299,AO309,AO311)</f>
        <v>289222.765503769</v>
      </c>
      <c r="AP313" s="12">
        <f>SUM(AP292,AP299,AP309,AP311)</f>
        <v>431771.671597313</v>
      </c>
      <c r="AQ313" s="12">
        <f>SUM(AM313:AP313)</f>
        <v>1035739.98615887</v>
      </c>
      <c r="AR313" s="12">
        <f>SUM(AR292,AR299,AR309,AR311)</f>
        <v>697207.69334038</v>
      </c>
      <c r="AS313" s="12">
        <f>SUM(AS292,AS299,AS309,AS311)</f>
        <v>1158492.22329257</v>
      </c>
      <c r="AT313" s="12">
        <f>SUM(AT292,AT299,AT309,AT311)</f>
        <v>1954990.49922135</v>
      </c>
      <c r="AU313" s="12">
        <f>SUM(AU292,AU299,AU309,AU311)</f>
        <v>3286144.04459977</v>
      </c>
      <c r="AV313" s="12">
        <f>SUM(AR313:AU313)</f>
        <v>7096834.46045407</v>
      </c>
      <c r="AW313" s="12">
        <f>SUM(AW292,AW299,AW309,AW311)</f>
        <v>5606800.0734288</v>
      </c>
      <c r="AX313" s="12">
        <f>SUM(AX292,AX299,AX309,AX311)</f>
        <v>9675362.85684537</v>
      </c>
      <c r="AY313" s="12">
        <f>SUM(AY292,AY299,AY309,AY311)</f>
        <v>16734238.3900106</v>
      </c>
      <c r="AZ313" s="12">
        <f>SUM(AZ292,AZ299,AZ309,AZ311)</f>
        <v>28935613.3976275</v>
      </c>
      <c r="BA313" s="12">
        <f>SUM(AW313:AZ313)</f>
        <v>60952014.7179123</v>
      </c>
      <c r="BB313" s="12">
        <f>SUM(BB292,BB299,BB309,BB311)</f>
        <v>49915821.3838552</v>
      </c>
      <c r="BC313" s="12">
        <f>SUM(BC292,BC299,BC309,BC311)</f>
        <v>86568802.5745653</v>
      </c>
      <c r="BD313" s="12">
        <f>SUM(BD292,BD299,BD309,BD311)</f>
        <v>150206473.390035</v>
      </c>
      <c r="BE313" s="12">
        <f>SUM(BE292,BE299,BE309,BE311)</f>
        <v>260612061.912307</v>
      </c>
      <c r="BF313" s="12">
        <f>SUM(BB313:BE313)</f>
        <v>547303159.260763</v>
      </c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</row>
    <row r="314">
      <c r="C314" s="4" t="inlineStr">
        <is>
          <t>Check</t>
        </is>
      </c>
      <c r="E314" s="72" t="n"/>
      <c r="F314" s="72" t="n"/>
      <c r="G314" s="72" t="n"/>
      <c r="I314" s="72" t="str">
        <f>""</f>
        <v/>
      </c>
      <c r="J314" s="72">
        <f>J143-I143-J313</f>
        <v>0</v>
      </c>
      <c r="K314" s="72">
        <f>K143-J143-K313</f>
        <v>0</v>
      </c>
      <c r="L314" s="72">
        <f>L143-K143-L313</f>
        <v>0</v>
      </c>
      <c r="M314" s="4" t="str">
        <f>""</f>
        <v/>
      </c>
      <c r="N314" s="72">
        <f>N143-M143-N313</f>
        <v>0</v>
      </c>
      <c r="O314" s="72">
        <f>O143-N143-O313</f>
        <v>0</v>
      </c>
      <c r="P314" s="72">
        <f>P143-O143-P313</f>
        <v>0</v>
      </c>
      <c r="Q314" s="72">
        <f>Q143-P143-Q313</f>
        <v>0</v>
      </c>
      <c r="R314" s="4">
        <f>R143-M143-R313</f>
        <v>0</v>
      </c>
      <c r="S314" s="72">
        <f>S143-R143-S313</f>
        <v>0</v>
      </c>
      <c r="T314" s="72">
        <f>T143-S143-T313</f>
        <v>0</v>
      </c>
      <c r="U314" s="72">
        <f>U143-T143-U313</f>
        <v>0</v>
      </c>
      <c r="V314" s="72">
        <f>V143-U143-V313</f>
        <v>0</v>
      </c>
      <c r="W314" s="4">
        <f>W143-R143-W313</f>
        <v>0</v>
      </c>
      <c r="X314" s="72">
        <f>X143-W143-X313</f>
        <v>0</v>
      </c>
      <c r="Y314" s="72">
        <f>Y143-X143-Y313</f>
        <v>0</v>
      </c>
      <c r="Z314" s="72">
        <f>Z143-Y143-Z313</f>
        <v>0</v>
      </c>
      <c r="AA314" s="72">
        <f>AA143-Z143-AA313</f>
        <v>0</v>
      </c>
      <c r="AB314" s="4">
        <f>AB143-W143-AB313</f>
        <v>0</v>
      </c>
      <c r="AC314" s="72">
        <f>AC143-AB143-AC313</f>
        <v>0</v>
      </c>
      <c r="AD314" s="72">
        <f>AD143-AC143-AD313</f>
        <v>0</v>
      </c>
      <c r="AE314" s="72">
        <f>AE143-AD143-AE313</f>
        <v>0</v>
      </c>
      <c r="AF314" s="72">
        <f>AF143-AE143-AF313</f>
        <v>0</v>
      </c>
      <c r="AG314" s="4">
        <f>AG143-AB143-AG313</f>
        <v>0</v>
      </c>
      <c r="AH314" s="72">
        <f>AH143-AG143-AH313</f>
        <v>0</v>
      </c>
      <c r="AI314" s="72">
        <f>AI143-AH143-AI313</f>
        <v>0</v>
      </c>
      <c r="AJ314" s="72">
        <f>AJ143-AI143-AJ313</f>
        <v>0</v>
      </c>
      <c r="AK314" s="72">
        <f>AK143-AJ143-AK313</f>
        <v>0</v>
      </c>
      <c r="AL314" s="4">
        <f>AL143-AG143-AL313</f>
        <v>0</v>
      </c>
      <c r="AM314" s="72">
        <f>AM143-AL143-AM313</f>
        <v>0</v>
      </c>
      <c r="AN314" s="72">
        <f>AN143-AM143-AN313</f>
        <v>0</v>
      </c>
      <c r="AO314" s="72">
        <f>AO143-AN143-AO313</f>
        <v>0</v>
      </c>
      <c r="AP314" s="72">
        <f>AP143-AO143-AP313</f>
        <v>0</v>
      </c>
      <c r="AQ314" s="4">
        <f>AQ143-AL143-AQ313</f>
        <v>0</v>
      </c>
      <c r="AR314" s="72">
        <f>AR143-AQ143-AR313</f>
        <v>0</v>
      </c>
      <c r="AS314" s="72">
        <f>AS143-AR143-AS313</f>
        <v>0</v>
      </c>
      <c r="AT314" s="72">
        <f>AT143-AS143-AT313</f>
        <v>0</v>
      </c>
      <c r="AU314" s="72">
        <f>AU143-AT143-AU313</f>
        <v>0</v>
      </c>
      <c r="AV314" s="4">
        <f>AV143-AQ143-AV313</f>
        <v>0</v>
      </c>
      <c r="AW314" s="72">
        <f>AW143-AV143-AW313</f>
        <v>0</v>
      </c>
      <c r="AX314" s="72">
        <f>AX143-AW143-AX313</f>
        <v>0</v>
      </c>
      <c r="AY314" s="72">
        <f>AY143-AX143-AY313</f>
        <v>0</v>
      </c>
      <c r="AZ314" s="72">
        <f>AZ143-AY143-AZ313</f>
        <v>0</v>
      </c>
      <c r="BA314" s="4">
        <f>BA143-AV143-BA313</f>
        <v>0</v>
      </c>
      <c r="BB314" s="72">
        <f>BB143-BA143-BB313</f>
        <v>0</v>
      </c>
      <c r="BC314" s="72">
        <f>BC143-BB143-BC313</f>
        <v>0</v>
      </c>
      <c r="BD314" s="72">
        <f>BD143-BC143-BD313</f>
        <v>0</v>
      </c>
      <c r="BE314" s="72">
        <f>BE143-BD143-BE313</f>
        <v>0</v>
      </c>
      <c r="BF314" s="4">
        <f>BF143-BA143-BF313</f>
        <v>0</v>
      </c>
      <c r="BG314" s="72" t="n"/>
      <c r="BH314" s="72" t="n"/>
      <c r="BI314" s="72" t="n"/>
      <c r="BJ314" s="72" t="n"/>
      <c r="BL314" s="72" t="n"/>
      <c r="BM314" s="72" t="n"/>
      <c r="BN314" s="72" t="n"/>
      <c r="BO314" s="72" t="n"/>
      <c r="BQ314" s="72" t="n"/>
      <c r="BR314" s="72" t="n"/>
      <c r="BS314" s="72" t="n"/>
      <c r="BT314" s="72" t="n"/>
      <c r="BV314" s="72" t="n"/>
      <c r="BW314" s="72" t="n"/>
      <c r="BX314" s="72" t="n"/>
      <c r="BY314" s="72" t="n"/>
      <c r="CA314" s="72" t="n"/>
      <c r="CB314" s="72" t="n"/>
      <c r="CC314" s="72" t="n"/>
      <c r="CD314" s="72" t="n"/>
      <c r="CF314" s="72" t="n"/>
      <c r="CG314" s="72" t="n"/>
      <c r="CH314" s="72" t="n"/>
      <c r="CI314" s="72" t="n"/>
      <c r="CK314" s="72" t="n"/>
      <c r="CL314" s="72" t="n"/>
      <c r="CM314" s="72" t="n"/>
      <c r="CN314" s="72" t="n"/>
      <c r="CP314" s="72" t="n"/>
      <c r="CQ314" s="72" t="n"/>
      <c r="CR314" s="72" t="n"/>
      <c r="CS314" s="72" t="n"/>
      <c r="CU314" s="72" t="n"/>
      <c r="CV314" s="72" t="n"/>
      <c r="CW314" s="72" t="n"/>
      <c r="CX314" s="72" t="n"/>
    </row>
    <row r="315"/>
    <row r="316">
      <c r="C316" s="73" t="inlineStr">
        <is>
          <t>Ratio Analysis</t>
        </is>
      </c>
      <c r="D316" s="73" t="n"/>
      <c r="E316" s="73" t="n"/>
      <c r="F316" s="73" t="n"/>
      <c r="G316" s="73" t="n"/>
      <c r="H316" s="73" t="n"/>
      <c r="I316" s="73" t="n"/>
      <c r="J316" s="73" t="n"/>
      <c r="K316" s="73" t="n"/>
      <c r="L316" s="73" t="n"/>
      <c r="M316" s="73" t="n"/>
      <c r="N316" s="73" t="n"/>
      <c r="O316" s="73" t="n"/>
      <c r="P316" s="73" t="n"/>
      <c r="Q316" s="73" t="n"/>
      <c r="R316" s="73" t="n"/>
      <c r="S316" s="73" t="n"/>
      <c r="T316" s="73" t="n"/>
      <c r="U316" s="73" t="n"/>
      <c r="V316" s="73" t="n"/>
      <c r="W316" s="73" t="n"/>
      <c r="X316" s="73" t="n"/>
      <c r="Y316" s="73" t="n"/>
      <c r="Z316" s="73" t="n"/>
      <c r="AA316" s="73" t="n"/>
      <c r="AB316" s="73" t="n"/>
      <c r="AC316" s="73" t="n"/>
      <c r="AD316" s="73" t="n"/>
      <c r="AE316" s="73" t="n"/>
      <c r="AF316" s="73" t="n"/>
      <c r="AG316" s="73" t="n"/>
      <c r="AH316" s="73" t="n"/>
      <c r="AI316" s="73" t="n"/>
      <c r="AJ316" s="73" t="n"/>
      <c r="AK316" s="73" t="n"/>
      <c r="AL316" s="73" t="n"/>
      <c r="AM316" s="73" t="n"/>
      <c r="AN316" s="73" t="n"/>
      <c r="AO316" s="73" t="n"/>
      <c r="AP316" s="73" t="n"/>
      <c r="AQ316" s="73" t="n"/>
      <c r="AR316" s="73" t="n"/>
      <c r="AS316" s="73" t="n"/>
      <c r="AT316" s="73" t="n"/>
      <c r="AU316" s="73" t="n"/>
      <c r="AV316" s="73" t="n"/>
      <c r="AW316" s="73" t="n"/>
      <c r="AX316" s="73" t="n"/>
      <c r="AY316" s="73" t="n"/>
      <c r="AZ316" s="73" t="n"/>
      <c r="BA316" s="73" t="n"/>
      <c r="BB316" s="73" t="n"/>
      <c r="BC316" s="73" t="n"/>
      <c r="BD316" s="73" t="n"/>
      <c r="BE316" s="73" t="n"/>
      <c r="BF316" s="73" t="n"/>
      <c r="BG316" s="73" t="n"/>
      <c r="BH316" s="73" t="n"/>
      <c r="BI316" s="73" t="n"/>
      <c r="BJ316" s="73" t="n"/>
      <c r="BK316" s="73" t="n"/>
      <c r="BL316" s="73" t="n"/>
      <c r="BM316" s="73" t="n"/>
      <c r="BN316" s="73" t="n"/>
      <c r="BO316" s="73" t="n"/>
      <c r="BP316" s="73" t="n"/>
      <c r="BQ316" s="73" t="n"/>
      <c r="BR316" s="73" t="n"/>
      <c r="BS316" s="73" t="n"/>
      <c r="BT316" s="73" t="n"/>
      <c r="BU316" s="73" t="n"/>
      <c r="BV316" s="73" t="n"/>
      <c r="BW316" s="73" t="n"/>
      <c r="BX316" s="73" t="n"/>
      <c r="BY316" s="73" t="n"/>
      <c r="BZ316" s="73" t="n"/>
      <c r="CA316" s="73" t="n"/>
      <c r="CB316" s="73" t="n"/>
      <c r="CC316" s="73" t="n"/>
      <c r="CD316" s="73" t="n"/>
      <c r="CE316" s="73" t="n"/>
      <c r="CF316" s="73" t="n"/>
      <c r="CG316" s="73" t="n"/>
      <c r="CH316" s="73" t="n"/>
      <c r="CI316" s="73" t="n"/>
      <c r="CJ316" s="73" t="n"/>
      <c r="CK316" s="73" t="n"/>
      <c r="CL316" s="73" t="n"/>
      <c r="CM316" s="73" t="n"/>
      <c r="CN316" s="73" t="n"/>
      <c r="CO316" s="73" t="n"/>
      <c r="CP316" s="73" t="n"/>
      <c r="CQ316" s="73" t="n"/>
      <c r="CR316" s="73" t="n"/>
      <c r="CS316" s="73" t="n"/>
      <c r="CT316" s="73" t="n"/>
      <c r="CU316" s="73" t="n"/>
      <c r="CV316" s="73" t="n"/>
      <c r="CW316" s="73" t="n"/>
      <c r="CX316" s="73" t="n"/>
      <c r="CY316" s="73" t="n"/>
    </row>
    <row r="317"/>
    <row r="318" customFormat="1" s="74">
      <c r="C318" s="74" t="inlineStr">
        <is>
          <t>YEAR</t>
        </is>
      </c>
      <c r="D318">
        <f>IFERROR(D274,"")</f>
        <v>0</v>
      </c>
      <c r="E318" s="75">
        <f>IFERROR(E274,"")</f>
        <v>0</v>
      </c>
      <c r="F318" s="75">
        <f>IFERROR(F274,"")</f>
        <v>0</v>
      </c>
      <c r="G318" s="75">
        <f>IFERROR(G274,"")</f>
        <v>0</v>
      </c>
      <c r="H318" s="75">
        <f>IFERROR(H274,"")</f>
        <v>0</v>
      </c>
      <c r="I318" s="75" t="str">
        <f>IFERROR(I274,"")</f>
        <v>1Q21</v>
      </c>
      <c r="J318" s="75" t="str">
        <f>IFERROR(J274,"")</f>
        <v>2Q21</v>
      </c>
      <c r="K318" s="75" t="str">
        <f>IFERROR(K274,"")</f>
        <v>3Q21</v>
      </c>
      <c r="L318" s="75" t="str">
        <f>IFERROR(L274,"")</f>
        <v>4Q21</v>
      </c>
      <c r="M318" s="75">
        <f>IFERROR(M274,"")</f>
        <v>2021</v>
      </c>
      <c r="N318" s="75" t="str">
        <f>IFERROR(N274,"")</f>
        <v>1Q22</v>
      </c>
      <c r="O318" s="75" t="str">
        <f>IFERROR(O274,"")</f>
        <v>2Q22</v>
      </c>
      <c r="P318" s="75" t="str">
        <f>IFERROR(P274,"")</f>
        <v>3Q22</v>
      </c>
      <c r="Q318" s="75" t="str">
        <f>IFERROR(Q274,"")</f>
        <v>4Q22</v>
      </c>
      <c r="R318" s="75">
        <f>IFERROR(R274,"")</f>
        <v>2022</v>
      </c>
      <c r="S318" s="75" t="str">
        <f>IFERROR(S274,"")</f>
        <v>1Q23</v>
      </c>
      <c r="T318" s="75" t="str">
        <f>IFERROR(T274,"")</f>
        <v>2Q23</v>
      </c>
      <c r="U318" s="75" t="str">
        <f>IFERROR(U274,"")</f>
        <v>3Q23</v>
      </c>
      <c r="V318" s="75" t="str">
        <f>IFERROR(V274,"")</f>
        <v>4Q23</v>
      </c>
      <c r="W318" s="75">
        <f>IFERROR(W274,"")</f>
        <v>2023</v>
      </c>
      <c r="X318" s="75" t="str">
        <f>IFERROR(X274,"")</f>
        <v>1Q24</v>
      </c>
      <c r="Y318" s="75" t="str">
        <f>IFERROR(Y274,"")</f>
        <v>2Q24</v>
      </c>
      <c r="Z318" s="75" t="str">
        <f>IFERROR(Z274,"")</f>
        <v>3Q24</v>
      </c>
      <c r="AA318" s="75" t="str">
        <f>IFERROR(AA274,"")</f>
        <v>4Q24</v>
      </c>
      <c r="AB318" s="75">
        <f>IFERROR(AB274,"")</f>
        <v>2024</v>
      </c>
      <c r="AC318" s="75" t="str">
        <f>IFERROR(AC274,"")</f>
        <v>1Q25</v>
      </c>
      <c r="AD318" s="75" t="str">
        <f>IFERROR(AD274,"")</f>
        <v>2Q25</v>
      </c>
      <c r="AE318" s="75" t="str">
        <f>IFERROR(AE274,"")</f>
        <v>3Q25</v>
      </c>
      <c r="AF318" s="75" t="str">
        <f>IFERROR(AF274,"")</f>
        <v>4Q25</v>
      </c>
      <c r="AG318" s="75">
        <f>IFERROR(AG274,"")</f>
        <v>2025</v>
      </c>
      <c r="AH318" s="75" t="str">
        <f>IFERROR(AH274,"")</f>
        <v>1Q26</v>
      </c>
      <c r="AI318" s="75" t="str">
        <f>IFERROR(AI274,"")</f>
        <v>2Q26</v>
      </c>
      <c r="AJ318" s="75" t="str">
        <f>IFERROR(AJ274,"")</f>
        <v>3Q26</v>
      </c>
      <c r="AK318" s="75" t="str">
        <f>IFERROR(AK274,"")</f>
        <v>4Q26</v>
      </c>
      <c r="AL318" s="75">
        <f>IFERROR(AL274,"")</f>
        <v>2026</v>
      </c>
      <c r="AM318" s="75" t="str">
        <f>IFERROR(AM274,"")</f>
        <v>1Q27</v>
      </c>
      <c r="AN318" s="75" t="str">
        <f>IFERROR(AN274,"")</f>
        <v>2Q27</v>
      </c>
      <c r="AO318" s="75" t="str">
        <f>IFERROR(AO274,"")</f>
        <v>3Q27</v>
      </c>
      <c r="AP318" s="75" t="str">
        <f>IFERROR(AP274,"")</f>
        <v>4Q27</v>
      </c>
      <c r="AQ318" s="75">
        <f>IFERROR(AQ274,"")</f>
        <v>2027</v>
      </c>
      <c r="AR318" s="75" t="str">
        <f>IFERROR(AR274,"")</f>
        <v>1Q28</v>
      </c>
      <c r="AS318" s="75" t="str">
        <f>IFERROR(AS274,"")</f>
        <v>2Q28</v>
      </c>
      <c r="AT318" s="75" t="str">
        <f>IFERROR(AT274,"")</f>
        <v>3Q28</v>
      </c>
      <c r="AU318" s="75" t="str">
        <f>IFERROR(AU274,"")</f>
        <v>4Q28</v>
      </c>
      <c r="AV318" s="75">
        <f>IFERROR(AV274,"")</f>
        <v>2028</v>
      </c>
      <c r="AW318" s="75" t="str">
        <f>IFERROR(AW274,"")</f>
        <v>1Q29</v>
      </c>
      <c r="AX318" s="75" t="str">
        <f>IFERROR(AX274,"")</f>
        <v>2Q29</v>
      </c>
      <c r="AY318" s="75" t="str">
        <f>IFERROR(AY274,"")</f>
        <v>3Q29</v>
      </c>
      <c r="AZ318" s="75" t="str">
        <f>IFERROR(AZ274,"")</f>
        <v>4Q29</v>
      </c>
      <c r="BA318" s="75">
        <f>IFERROR(BA274,"")</f>
        <v>2029</v>
      </c>
      <c r="BB318" s="75" t="str">
        <f>IFERROR(BB274,"")</f>
        <v>1Q30</v>
      </c>
      <c r="BC318" s="75" t="str">
        <f>IFERROR(BC274,"")</f>
        <v>2Q30</v>
      </c>
      <c r="BD318" s="75" t="str">
        <f>IFERROR(BD274,"")</f>
        <v>3Q30</v>
      </c>
      <c r="BE318" s="75" t="str">
        <f>IFERROR(BE274,"")</f>
        <v>4Q30</v>
      </c>
      <c r="BF318" s="75">
        <f>IFERROR(BF274,"")</f>
        <v>2030</v>
      </c>
      <c r="BG318" s="75" t="n"/>
      <c r="BH318" s="75" t="n"/>
      <c r="BI318" s="75" t="n"/>
      <c r="BJ318" s="75" t="n"/>
      <c r="BK318" s="75" t="n"/>
      <c r="BL318" s="75" t="n"/>
      <c r="BM318" s="75" t="n"/>
      <c r="BN318" s="75" t="n"/>
      <c r="BO318" s="75" t="n"/>
      <c r="BP318" s="75" t="n"/>
      <c r="BQ318" s="75" t="n"/>
      <c r="BR318" s="75" t="n"/>
      <c r="BS318" s="75" t="n"/>
      <c r="BT318" s="75" t="n"/>
      <c r="BU318" s="75" t="n"/>
      <c r="BV318" s="75" t="n"/>
      <c r="BW318" s="75" t="n"/>
      <c r="BX318" s="75" t="n"/>
      <c r="BY318" s="75" t="n"/>
      <c r="BZ318" s="75" t="n"/>
      <c r="CA318" s="75" t="n"/>
      <c r="CB318" s="75" t="n"/>
      <c r="CC318" s="75" t="n"/>
      <c r="CD318" s="75" t="n"/>
      <c r="CE318" s="75" t="n"/>
      <c r="CF318" s="75" t="n"/>
      <c r="CG318" s="75" t="n"/>
      <c r="CH318" s="75" t="n"/>
      <c r="CI318" s="75" t="n"/>
      <c r="CJ318" s="75" t="n"/>
      <c r="CK318" s="75" t="n"/>
      <c r="CL318" s="75" t="n"/>
      <c r="CM318" s="75" t="n"/>
      <c r="CN318" s="75" t="n"/>
      <c r="CO318" s="75" t="n"/>
      <c r="CP318" s="75" t="n"/>
      <c r="CQ318" s="75" t="n"/>
      <c r="CR318" s="75" t="n"/>
      <c r="CS318" s="75" t="n"/>
      <c r="CT318" s="75" t="n"/>
      <c r="CU318" s="75" t="n"/>
      <c r="CV318" s="75" t="n"/>
      <c r="CW318" s="75" t="n"/>
      <c r="CX318" s="75" t="n"/>
      <c r="CY318" s="75" t="n"/>
    </row>
    <row r="319" customFormat="1" s="77">
      <c r="A319" s="76" t="n"/>
      <c r="B319" s="76" t="n"/>
      <c r="C319" s="74" t="inlineStr">
        <is>
          <t>GROWTH &amp; MARGINS</t>
        </is>
      </c>
    </row>
    <row r="320" customFormat="1" s="77">
      <c r="A320" s="76" t="n"/>
      <c r="B320" s="76" t="n"/>
      <c r="C320" s="77" t="inlineStr">
        <is>
          <t>NET REVENUE GROWTH (YoY)</t>
        </is>
      </c>
      <c r="E320" s="78" t="str">
        <f>IFERROR(E15/D15-1,"")</f>
        <v/>
      </c>
      <c r="F320" s="78" t="str">
        <f>IFERROR(F15/E15-1,"")</f>
        <v/>
      </c>
      <c r="G320" s="78" t="str">
        <f>IFERROR(G15/F15-1,"")</f>
        <v/>
      </c>
      <c r="H320" s="257" t="str">
        <f>""</f>
        <v/>
      </c>
      <c r="I320" s="257" t="str">
        <f>""</f>
        <v/>
      </c>
      <c r="J320" s="257" t="str">
        <f>""</f>
        <v/>
      </c>
      <c r="K320" s="257" t="str">
        <f>""</f>
        <v/>
      </c>
      <c r="L320" s="257" t="str">
        <f>""</f>
        <v/>
      </c>
      <c r="M320" s="257" t="str">
        <f>IFERROR(IF(AND(ISNUMBER(M15),ISNUMBER(H15),H15&lt;&gt;0),M15/H15-1,""),"")</f>
        <v/>
      </c>
      <c r="N320" s="257">
        <f>IFERROR(IF(AND(ISNUMBER(N15),ISNUMBER(I15),I15&lt;&gt;0),N15/I15-1,""),"")</f>
        <v>0.464052287581699</v>
      </c>
      <c r="O320" s="257">
        <f>IFERROR(IF(AND(ISNUMBER(O15),ISNUMBER(J15),J15&lt;&gt;0),O15/J15-1,""),"")</f>
        <v>0.0302750883663747</v>
      </c>
      <c r="P320" s="257">
        <f>IFERROR(IF(AND(ISNUMBER(P15),ISNUMBER(K15),K15&lt;&gt;0),P15/K15-1,""),"")</f>
        <v>-0.165000703927918</v>
      </c>
      <c r="Q320" s="257">
        <f>IFERROR(IF(AND(ISNUMBER(Q15),ISNUMBER(L15),L15&lt;&gt;0),Q15/L15-1,""),"")</f>
        <v>-0.208295172052859</v>
      </c>
      <c r="R320" s="257">
        <f>IFERROR(IF(AND(ISNUMBER(R15),ISNUMBER(M15),M15&lt;&gt;0),R15/M15-1,""),"")</f>
        <v>0.00222932302890699</v>
      </c>
      <c r="S320" s="257">
        <f>IFERROR(IF(AND(ISNUMBER(S15),ISNUMBER(N15),N15&lt;&gt;0),S15/N15-1,""),"")</f>
        <v>-0.132239382239382</v>
      </c>
      <c r="T320" s="257">
        <f>IFERROR(IF(AND(ISNUMBER(T15),ISNUMBER(O15),O15&lt;&gt;0),T15/O15-1,""),"")</f>
        <v>1.01476730310263</v>
      </c>
      <c r="U320" s="257">
        <f>IFERROR(IF(AND(ISNUMBER(U15),ISNUMBER(P15),P15&lt;&gt;0),U15/P15-1,""),"")</f>
        <v>2.05513404147699</v>
      </c>
      <c r="V320" s="257">
        <f>IFERROR(IF(AND(ISNUMBER(V15),ISNUMBER(Q15),Q15&lt;&gt;0),V15/Q15-1,""),"")</f>
        <v>2.65278466369195</v>
      </c>
      <c r="W320" s="257">
        <f>IFERROR(IF(AND(ISNUMBER(W15),ISNUMBER(R15),R15&lt;&gt;0),W15/R15-1,""),"")</f>
        <v>1.25854526581152</v>
      </c>
      <c r="X320" s="257">
        <f>IFERROR(IF(AND(ISNUMBER(X15),ISNUMBER(S15),S15&lt;&gt;0),X15/S15-1,""),"")</f>
        <v>2.62124582869855</v>
      </c>
      <c r="Y320" s="257">
        <f>IFERROR(IF(AND(ISNUMBER(Y15),ISNUMBER(T15),T15&lt;&gt;0),Y15/T15-1,""),"")</f>
        <v>1.22403198341601</v>
      </c>
      <c r="Z320" s="257">
        <f>IFERROR(IF(AND(ISNUMBER(Z15),ISNUMBER(U15),U15&lt;&gt;0),Z15/U15-1,""),"")</f>
        <v>0.936092715231788</v>
      </c>
      <c r="AA320" s="257">
        <f>IFERROR(IF(AND(ISNUMBER(AA15),ISNUMBER(V15),V15&lt;&gt;0),AA15/V15-1,""),"")</f>
        <v>0.779441704745962</v>
      </c>
      <c r="AB320" s="257">
        <f>IFERROR(IF(AND(ISNUMBER(AB15),ISNUMBER(W15),W15&lt;&gt;0),AB15/W15-1,""),"")</f>
        <v>1.14203407635994</v>
      </c>
      <c r="AC320" s="257">
        <f>IFERROR(IF(AND(ISNUMBER(AC15),ISNUMBER(X15),X15&lt;&gt;0),AC15/X15-1,""),"")</f>
        <v>0.691829212102596</v>
      </c>
      <c r="AD320" s="257">
        <f>IFERROR(IF(AND(ISNUMBER(AD15),ISNUMBER(Y15),Y15&lt;&gt;0),AD15/Y15-1,""),"")</f>
        <v>0.556025299600533</v>
      </c>
      <c r="AE320" s="257">
        <f>IFERROR(IF(AND(ISNUMBER(AE15),ISNUMBER(Z15),Z15&lt;&gt;0),AE15/Z15-1,""),"")</f>
        <v>0.624935864545921</v>
      </c>
      <c r="AF320" s="257">
        <f>IFERROR(IF(AND(ISNUMBER(AF15),ISNUMBER(AA15),AA15&lt;&gt;0),AF15/AA15-1,""),"")</f>
        <v>0.732145127253312</v>
      </c>
      <c r="AG320" s="257">
        <f>IFERROR(IF(AND(ISNUMBER(AG15),ISNUMBER(AB15),AB15&lt;&gt;0),AG15/AB15-1,""),"")</f>
        <v>0.654735357900948</v>
      </c>
      <c r="AH320" s="257">
        <f>IFERROR(IF(AND(ISNUMBER(AH15),ISNUMBER(AC15),AC15&lt;&gt;0),AH15/AC15-1,""),"")</f>
        <v>0.852276337887522</v>
      </c>
      <c r="AI320" s="257">
        <f>IFERROR(IF(AND(ISNUMBER(AI15),ISNUMBER(AD15),AD15&lt;&gt;0),AI15/AD15-1,""),"")</f>
        <v>1.05851143486725</v>
      </c>
      <c r="AJ320" s="257">
        <f>IFERROR(IF(AND(ISNUMBER(AJ15),ISNUMBER(AE15),AE15&lt;&gt;0),AJ15/AE15-1,""),"")</f>
        <v>0.752620546042856</v>
      </c>
      <c r="AK320" s="257">
        <f>IFERROR(IF(AND(ISNUMBER(AK15),ISNUMBER(AF15),AF15&lt;&gt;0),AK15/AF15-1,""),"")</f>
        <v>0.752620546042856</v>
      </c>
      <c r="AL320" s="257">
        <f>IFERROR(IF(AND(ISNUMBER(AL15),ISNUMBER(AG15),AG15&lt;&gt;0),AL15/AG15-1,""),"")</f>
        <v>0.839169885744893</v>
      </c>
      <c r="AM320" s="257">
        <f>IFERROR(IF(AND(ISNUMBER(AM15),ISNUMBER(AH15),AH15&lt;&gt;0),AM15/AH15-1,""),"")</f>
        <v>0.752620546042856</v>
      </c>
      <c r="AN320" s="257">
        <f>IFERROR(IF(AND(ISNUMBER(AN15),ISNUMBER(AI15),AI15&lt;&gt;0),AN15/AI15-1,""),"")</f>
        <v>0.752620546042856</v>
      </c>
      <c r="AO320" s="257">
        <f>IFERROR(IF(AND(ISNUMBER(AO15),ISNUMBER(AJ15),AJ15&lt;&gt;0),AO15/AJ15-1,""),"")</f>
        <v>0.752620546042856</v>
      </c>
      <c r="AP320" s="257">
        <f>IFERROR(IF(AND(ISNUMBER(AP15),ISNUMBER(AK15),AK15&lt;&gt;0),AP15/AK15-1,""),"")</f>
        <v>0.752620546042856</v>
      </c>
      <c r="AQ320" s="257">
        <f>IFERROR(IF(AND(ISNUMBER(AQ15),ISNUMBER(AL15),AL15&lt;&gt;0),AQ15/AL15-1,""),"")</f>
        <v>0.752620546042856</v>
      </c>
      <c r="AR320" s="257">
        <f>IFERROR(IF(AND(ISNUMBER(AR15),ISNUMBER(AM15),AM15&lt;&gt;0),AR15/AM15-1,""),"")</f>
        <v>0.747620546042856</v>
      </c>
      <c r="AS320" s="257">
        <f>IFERROR(IF(AND(ISNUMBER(AS15),ISNUMBER(AN15),AN15&lt;&gt;0),AS15/AN15-1,""),"")</f>
        <v>0.747620546042856</v>
      </c>
      <c r="AT320" s="257">
        <f>IFERROR(IF(AND(ISNUMBER(AT15),ISNUMBER(AO15),AO15&lt;&gt;0),AT15/AO15-1,""),"")</f>
        <v>0.747620546042856</v>
      </c>
      <c r="AU320" s="257">
        <f>IFERROR(IF(AND(ISNUMBER(AU15),ISNUMBER(AP15),AP15&lt;&gt;0),AU15/AP15-1,""),"")</f>
        <v>0.747620546042856</v>
      </c>
      <c r="AV320" s="257">
        <f>IFERROR(IF(AND(ISNUMBER(AV15),ISNUMBER(AQ15),AQ15&lt;&gt;0),AV15/AQ15-1,""),"")</f>
        <v>0.747620546042856</v>
      </c>
      <c r="AW320" s="257">
        <f>IFERROR(IF(AND(ISNUMBER(AW15),ISNUMBER(AR15),AR15&lt;&gt;0),AW15/AR15-1,""),"")</f>
        <v>0.742620546042856</v>
      </c>
      <c r="AX320" s="257">
        <f>IFERROR(IF(AND(ISNUMBER(AX15),ISNUMBER(AS15),AS15&lt;&gt;0),AX15/AS15-1,""),"")</f>
        <v>0.742620546042856</v>
      </c>
      <c r="AY320" s="257">
        <f>IFERROR(IF(AND(ISNUMBER(AY15),ISNUMBER(AT15),AT15&lt;&gt;0),AY15/AT15-1,""),"")</f>
        <v>0.742620546042856</v>
      </c>
      <c r="AZ320" s="257">
        <f>IFERROR(IF(AND(ISNUMBER(AZ15),ISNUMBER(AU15),AU15&lt;&gt;0),AZ15/AU15-1,""),"")</f>
        <v>0.742620546042856</v>
      </c>
      <c r="BA320" s="257">
        <f>IFERROR(IF(AND(ISNUMBER(BA15),ISNUMBER(AV15),AV15&lt;&gt;0),BA15/AV15-1,""),"")</f>
        <v>0.742620546042856</v>
      </c>
      <c r="BB320" s="257">
        <f>IFERROR(IF(AND(ISNUMBER(BB15),ISNUMBER(AW15),AW15&lt;&gt;0),BB15/AW15-1,""),"")</f>
        <v>0.737620546042856</v>
      </c>
      <c r="BC320" s="257">
        <f>IFERROR(IF(AND(ISNUMBER(BC15),ISNUMBER(AX15),AX15&lt;&gt;0),BC15/AX15-1,""),"")</f>
        <v>0.737620546042856</v>
      </c>
      <c r="BD320" s="257">
        <f>IFERROR(IF(AND(ISNUMBER(BD15),ISNUMBER(AY15),AY15&lt;&gt;0),BD15/AY15-1,""),"")</f>
        <v>0.737620546042856</v>
      </c>
      <c r="BE320" s="257">
        <f>IFERROR(IF(AND(ISNUMBER(BE15),ISNUMBER(AZ15),AZ15&lt;&gt;0),BE15/AZ15-1,""),"")</f>
        <v>0.737620546042856</v>
      </c>
      <c r="BF320" s="257">
        <f>IFERROR(IF(AND(ISNUMBER(BF15),ISNUMBER(BA15),BA15&lt;&gt;0),BF15/BA15-1,""),"")</f>
        <v>0.737620546042856</v>
      </c>
      <c r="BG320" s="79" t="n"/>
      <c r="BH320" s="79" t="n"/>
      <c r="BI320" s="79" t="n"/>
      <c r="BJ320" s="79" t="n"/>
      <c r="BK320" s="78" t="n"/>
      <c r="BL320" s="79" t="n"/>
      <c r="BM320" s="79" t="n"/>
      <c r="BN320" s="79" t="n"/>
      <c r="BO320" s="79" t="n"/>
      <c r="BP320" s="78" t="n"/>
      <c r="BQ320" s="79" t="n"/>
      <c r="BR320" s="79" t="n"/>
      <c r="BS320" s="79" t="n"/>
      <c r="BT320" s="79" t="n"/>
      <c r="BU320" s="78" t="n"/>
      <c r="BV320" s="79" t="n"/>
      <c r="BW320" s="79" t="n"/>
      <c r="BX320" s="79" t="n"/>
      <c r="BY320" s="79" t="n"/>
      <c r="BZ320" s="78" t="n"/>
      <c r="CA320" s="79" t="n"/>
      <c r="CB320" s="79" t="n"/>
      <c r="CC320" s="79" t="n"/>
      <c r="CD320" s="79" t="n"/>
      <c r="CE320" s="78" t="n"/>
      <c r="CF320" s="79" t="n"/>
      <c r="CG320" s="79" t="n"/>
      <c r="CH320" s="79" t="n"/>
      <c r="CI320" s="79" t="n"/>
      <c r="CJ320" s="78" t="n"/>
      <c r="CK320" s="79" t="n"/>
      <c r="CL320" s="79" t="n"/>
      <c r="CM320" s="79" t="n"/>
      <c r="CN320" s="79" t="n"/>
      <c r="CO320" s="78" t="n"/>
      <c r="CP320" s="79" t="n"/>
      <c r="CQ320" s="79" t="n"/>
      <c r="CR320" s="79" t="n"/>
      <c r="CS320" s="79" t="n"/>
      <c r="CT320" s="78" t="n"/>
      <c r="CU320" s="79" t="n"/>
      <c r="CV320" s="79" t="n"/>
      <c r="CW320" s="79" t="n"/>
      <c r="CX320" s="79" t="n"/>
      <c r="CY320" s="78" t="n"/>
    </row>
    <row r="321" customFormat="1" s="77">
      <c r="A321" s="76" t="n"/>
      <c r="B321" s="76" t="n"/>
      <c r="C321" s="77" t="inlineStr">
        <is>
          <t>GROSS MARGIN</t>
        </is>
      </c>
      <c r="D321" s="79" t="str">
        <f>IFERROR(SUM(D15,D53)/D15,"")</f>
        <v/>
      </c>
      <c r="E321" s="79" t="str">
        <f>IFERROR(SUM(E15,E53)/E15,"")</f>
        <v/>
      </c>
      <c r="F321" s="79" t="str">
        <f>IFERROR(SUM(F15,F53)/F15,"")</f>
        <v/>
      </c>
      <c r="G321" s="79" t="str">
        <f>IFERROR(SUM(G15,G53)/G15,"")</f>
        <v/>
      </c>
      <c r="H321" s="258" t="str">
        <f>IFERROR(IF(N(H15)&lt;&gt;0,(H15+H53)/H15,""),"")</f>
        <v/>
      </c>
      <c r="I321" s="258">
        <f>IFERROR(IF(N(I15)&lt;&gt;0,(I15+I53)/I15,""),"")</f>
        <v>0.641052817523406</v>
      </c>
      <c r="J321" s="258">
        <f>IFERROR(IF(N(J15)&lt;&gt;0,(J15+J53)/J15,""),"")</f>
        <v>0.647763946519133</v>
      </c>
      <c r="K321" s="258">
        <f>IFERROR(IF(N(K15)&lt;&gt;0,(K15+K53)/K15,""),"")</f>
        <v>0.651978037448965</v>
      </c>
      <c r="L321" s="258">
        <f>IFERROR(IF(N(L15)&lt;&gt;0,(L15+L53)/L15,""),"")</f>
        <v>0.654062540887086</v>
      </c>
      <c r="M321" s="258">
        <f>IFERROR(IF(N(M15)&lt;&gt;0,(M15+M53)/M15,""),"")</f>
        <v>0.649253176785316</v>
      </c>
      <c r="N321" s="258">
        <f>IFERROR(IF(N(N15)&lt;&gt;0,(N15+N53)/N15,""),"")</f>
        <v>0.655284749034749</v>
      </c>
      <c r="O321" s="258">
        <f>IFERROR(IF(N(O15)&lt;&gt;0,(O15+O53)/O15,""),"")</f>
        <v>0.434815035799523</v>
      </c>
      <c r="P321" s="258">
        <f>IFERROR(IF(N(P15)&lt;&gt;0,(P15+P53)/P15,""),"")</f>
        <v>0.535660091047041</v>
      </c>
      <c r="Q321" s="258">
        <f>IFERROR(IF(N(Q15)&lt;&gt;0,(Q15+Q53)/Q15,""),"")</f>
        <v>0.633449016691456</v>
      </c>
      <c r="R321" s="258">
        <f>IFERROR(IF(N(R15)&lt;&gt;0,(R15+R53)/R15,""),"")</f>
        <v>0.569288944909913</v>
      </c>
      <c r="S321" s="258">
        <f>IFERROR(IF(N(S15)&lt;&gt;0,(S15+S53)/S15,""),"")</f>
        <v>0.646273637374861</v>
      </c>
      <c r="T321" s="258">
        <f>IFERROR(IF(N(T15)&lt;&gt;0,(T15+T53)/T15,""),"")</f>
        <v>0.700525653364922</v>
      </c>
      <c r="U321" s="258">
        <f>IFERROR(IF(N(U15)&lt;&gt;0,(U15+U53)/U15,""),"")</f>
        <v>0.739514348785872</v>
      </c>
      <c r="V321" s="258">
        <f>IFERROR(IF(N(V15)&lt;&gt;0,(V15+V53)/V15,""),"")</f>
        <v>0.759670632945754</v>
      </c>
      <c r="W321" s="258">
        <f>IFERROR(IF(N(W15)&lt;&gt;0,(W15+W53)/W15,""),"")</f>
        <v>0.72717573290437</v>
      </c>
      <c r="X321" s="258">
        <f>IFERROR(IF(N(X15)&lt;&gt;0,(X15+X53)/X15,""),"")</f>
        <v>0.783520196590386</v>
      </c>
      <c r="Y321" s="258">
        <f>IFERROR(IF(N(Y15)&lt;&gt;0,(Y15+Y53)/Y15,""),"")</f>
        <v>0.751464713715047</v>
      </c>
      <c r="Z321" s="258">
        <f>IFERROR(IF(N(Z15)&lt;&gt;0,(Z15+Z53)/Z15,""),"")</f>
        <v>0.745567527506984</v>
      </c>
      <c r="AA321" s="258">
        <f>IFERROR(IF(N(AA15)&lt;&gt;0,(AA15+AA53)/AA15,""),"")</f>
        <v>0.730289084945717</v>
      </c>
      <c r="AB321" s="258">
        <f>IFERROR(IF(N(AB15)&lt;&gt;0,(AB15+AB53)/AB15,""),"")</f>
        <v>0.749894633593109</v>
      </c>
      <c r="AC321" s="258">
        <f>IFERROR(IF(N(AC15)&lt;&gt;0,(AC15+AC53)/AC15,""),"")</f>
        <v>0.60523807362353</v>
      </c>
      <c r="AD321" s="258">
        <f>IFERROR(IF(N(AD15)&lt;&gt;0,(AD15+AD53)/AD15,""),"")</f>
        <v>0.724236784117408</v>
      </c>
      <c r="AE321" s="258">
        <f>IFERROR(IF(N(AE15)&lt;&gt;0,(AE15+AE53)/AE15,""),"")</f>
        <v>0.734115707118549</v>
      </c>
      <c r="AF321" s="258">
        <f>IFERROR(IF(N(AF15)&lt;&gt;0,(AF15+AF53)/AF15,""),"")</f>
        <v>0.749966973446651</v>
      </c>
      <c r="AG321" s="258">
        <f>IFERROR(IF(N(AG15)&lt;&gt;0,(AG15+AG53)/AG15,""),"")</f>
        <v>0.710680843575471</v>
      </c>
      <c r="AH321" s="258">
        <f>IFERROR(IF(N(AH15)&lt;&gt;0,(AH15+AH53)/AH15,""),"")</f>
        <v>0.749335293757275</v>
      </c>
      <c r="AI321" s="258">
        <f>IFERROR(IF(N(AI15)&lt;&gt;0,(AI15+AI53)/AI15,""),"")</f>
        <v>0.749753172384407</v>
      </c>
      <c r="AJ321" s="258">
        <f>IFERROR(IF(N(AJ15)&lt;&gt;0,(AJ15+AJ53)/AJ15,""),"")</f>
        <v>0.718774334074637</v>
      </c>
      <c r="AK321" s="258">
        <f>IFERROR(IF(N(AK15)&lt;&gt;0,(AK15+AK53)/AK15,""),"")</f>
        <v>0.718774334074637</v>
      </c>
      <c r="AL321" s="258">
        <f>IFERROR(IF(N(AL15)&lt;&gt;0,(AL15+AL53)/AL15,""),"")</f>
        <v>0.732560292722568</v>
      </c>
      <c r="AM321" s="258">
        <f>IFERROR(IF(N(AM15)&lt;&gt;0,(AM15+AM53)/AM15,""),"")</f>
        <v>0.718774334074637</v>
      </c>
      <c r="AN321" s="258">
        <f>IFERROR(IF(N(AN15)&lt;&gt;0,(AN15+AN53)/AN15,""),"")</f>
        <v>0.718774334074637</v>
      </c>
      <c r="AO321" s="258">
        <f>IFERROR(IF(N(AO15)&lt;&gt;0,(AO15+AO53)/AO15,""),"")</f>
        <v>0.718774334074637</v>
      </c>
      <c r="AP321" s="258">
        <f>IFERROR(IF(N(AP15)&lt;&gt;0,(AP15+AP53)/AP15,""),"")</f>
        <v>0.718774334074637</v>
      </c>
      <c r="AQ321" s="258">
        <f>IFERROR(IF(N(AQ15)&lt;&gt;0,(AQ15+AQ53)/AQ15,""),"")</f>
        <v>0.718774334074637</v>
      </c>
      <c r="AR321" s="258">
        <f>IFERROR(IF(N(AR15)&lt;&gt;0,(AR15+AR53)/AR15,""),"")</f>
        <v>0.718774334074637</v>
      </c>
      <c r="AS321" s="258">
        <f>IFERROR(IF(N(AS15)&lt;&gt;0,(AS15+AS53)/AS15,""),"")</f>
        <v>0.718774334074637</v>
      </c>
      <c r="AT321" s="258">
        <f>IFERROR(IF(N(AT15)&lt;&gt;0,(AT15+AT53)/AT15,""),"")</f>
        <v>0.718774334074637</v>
      </c>
      <c r="AU321" s="258">
        <f>IFERROR(IF(N(AU15)&lt;&gt;0,(AU15+AU53)/AU15,""),"")</f>
        <v>0.718774334074637</v>
      </c>
      <c r="AV321" s="258">
        <f>IFERROR(IF(N(AV15)&lt;&gt;0,(AV15+AV53)/AV15,""),"")</f>
        <v>0.718774334074637</v>
      </c>
      <c r="AW321" s="258">
        <f>IFERROR(IF(N(AW15)&lt;&gt;0,(AW15+AW53)/AW15,""),"")</f>
        <v>0.718774334074637</v>
      </c>
      <c r="AX321" s="258">
        <f>IFERROR(IF(N(AX15)&lt;&gt;0,(AX15+AX53)/AX15,""),"")</f>
        <v>0.718774334074637</v>
      </c>
      <c r="AY321" s="258">
        <f>IFERROR(IF(N(AY15)&lt;&gt;0,(AY15+AY53)/AY15,""),"")</f>
        <v>0.718774334074637</v>
      </c>
      <c r="AZ321" s="258">
        <f>IFERROR(IF(N(AZ15)&lt;&gt;0,(AZ15+AZ53)/AZ15,""),"")</f>
        <v>0.718774334074637</v>
      </c>
      <c r="BA321" s="258">
        <f>IFERROR(IF(N(BA15)&lt;&gt;0,(BA15+BA53)/BA15,""),"")</f>
        <v>0.718774334074637</v>
      </c>
      <c r="BB321" s="258">
        <f>IFERROR(IF(N(BB15)&lt;&gt;0,(BB15+BB53)/BB15,""),"")</f>
        <v>0.718774334074637</v>
      </c>
      <c r="BC321" s="258">
        <f>IFERROR(IF(N(BC15)&lt;&gt;0,(BC15+BC53)/BC15,""),"")</f>
        <v>0.718774334074637</v>
      </c>
      <c r="BD321" s="258">
        <f>IFERROR(IF(N(BD15)&lt;&gt;0,(BD15+BD53)/BD15,""),"")</f>
        <v>0.718774334074637</v>
      </c>
      <c r="BE321" s="258">
        <f>IFERROR(IF(N(BE15)&lt;&gt;0,(BE15+BE53)/BE15,""),"")</f>
        <v>0.718774334074637</v>
      </c>
      <c r="BF321" s="258">
        <f>IFERROR(IF(N(BF15)&lt;&gt;0,(BF15+BF53)/BF15,""),"")</f>
        <v>0.718774334074637</v>
      </c>
      <c r="BG321" s="80" t="n"/>
      <c r="BH321" s="80" t="n"/>
      <c r="BI321" s="80" t="n"/>
      <c r="BJ321" s="80" t="n"/>
      <c r="BL321" s="80" t="n"/>
      <c r="BM321" s="80" t="n"/>
      <c r="BN321" s="80" t="n"/>
      <c r="BO321" s="80" t="n"/>
      <c r="BQ321" s="80" t="n"/>
      <c r="BR321" s="80" t="n"/>
      <c r="BS321" s="80" t="n"/>
      <c r="BT321" s="80" t="n"/>
      <c r="BV321" s="80" t="n"/>
      <c r="BW321" s="80" t="n"/>
      <c r="BX321" s="80" t="n"/>
      <c r="BY321" s="80" t="n"/>
      <c r="CA321" s="80" t="n"/>
      <c r="CB321" s="80" t="n"/>
      <c r="CC321" s="80" t="n"/>
      <c r="CD321" s="80" t="n"/>
      <c r="CF321" s="80" t="n"/>
      <c r="CG321" s="80" t="n"/>
      <c r="CH321" s="80" t="n"/>
      <c r="CI321" s="80" t="n"/>
      <c r="CK321" s="80" t="n"/>
      <c r="CL321" s="80" t="n"/>
      <c r="CM321" s="80" t="n"/>
      <c r="CN321" s="80" t="n"/>
      <c r="CP321" s="80" t="n"/>
      <c r="CQ321" s="80" t="n"/>
      <c r="CR321" s="80" t="n"/>
      <c r="CS321" s="80" t="n"/>
      <c r="CU321" s="80" t="n"/>
      <c r="CV321" s="80" t="n"/>
      <c r="CW321" s="80" t="n"/>
      <c r="CX321" s="80" t="n"/>
    </row>
    <row r="322" customFormat="1" s="77">
      <c r="A322" s="76" t="n"/>
      <c r="B322" s="76" t="n"/>
      <c r="C322" s="77" t="inlineStr">
        <is>
          <t>EBIT MARGIN</t>
        </is>
      </c>
      <c r="D322" s="78" t="str">
        <f>IFERROR((D72/D15),"")</f>
        <v/>
      </c>
      <c r="E322" s="78" t="str">
        <f>IFERROR((E72/E15),"")</f>
        <v/>
      </c>
      <c r="F322" s="78" t="str">
        <f>IFERROR((F72/F15),"")</f>
        <v/>
      </c>
      <c r="G322" s="78" t="str">
        <f>IFERROR((G72/G15),"")</f>
        <v/>
      </c>
      <c r="H322" s="258" t="str">
        <f>IFERROR(IF(N(H15)&lt;&gt;0,H72/H15,""),"")</f>
        <v/>
      </c>
      <c r="I322" s="257">
        <f>IFERROR(IF(N(I15)&lt;&gt;0,I72/I15,""),"")</f>
        <v>0.345521992580816</v>
      </c>
      <c r="J322" s="257">
        <f>IFERROR(IF(N(J15)&lt;&gt;0,J72/J15,""),"")</f>
        <v>0.375595512524973</v>
      </c>
      <c r="K322" s="257">
        <f>IFERROR(IF(N(K15)&lt;&gt;0,K72/K15,""),"")</f>
        <v>0.376038293678727</v>
      </c>
      <c r="L322" s="257">
        <f>IFERROR(IF(N(L15)&lt;&gt;0,L72/L15,""),"")</f>
        <v>0.388590867460421</v>
      </c>
      <c r="M322" s="258">
        <f>IFERROR(IF(N(M15)&lt;&gt;0,M72/M15,""),"")</f>
        <v>0.373077208887568</v>
      </c>
      <c r="N322" s="257">
        <f>IFERROR(IF(N(N15)&lt;&gt;0,N72/N15,""),"")</f>
        <v>0.2253861003861</v>
      </c>
      <c r="O322" s="257">
        <f>IFERROR(IF(N(O15)&lt;&gt;0,O72/O15,""),"")</f>
        <v>0.0744331742243437</v>
      </c>
      <c r="P322" s="257">
        <f>IFERROR(IF(N(P15)&lt;&gt;0,P72/P15,""),"")</f>
        <v>0.101331984488282</v>
      </c>
      <c r="Q322" s="257">
        <f>IFERROR(IF(N(Q15)&lt;&gt;0,Q72/Q15,""),"")</f>
        <v>0.207568996860023</v>
      </c>
      <c r="R322" s="258">
        <f>IFERROR(IF(N(R15)&lt;&gt;0,R72/R15,""),"")</f>
        <v>0.156595239860607</v>
      </c>
      <c r="S322" s="257">
        <f>IFERROR(IF(N(S15)&lt;&gt;0,S72/S15,""),"")</f>
        <v>0.297552836484983</v>
      </c>
      <c r="T322" s="257">
        <f>IFERROR(IF(N(T15)&lt;&gt;0,T72/T15,""),"")</f>
        <v>0.503442659361812</v>
      </c>
      <c r="U322" s="257">
        <f>IFERROR(IF(N(U15)&lt;&gt;0,U72/U15,""),"")</f>
        <v>0.574889624724062</v>
      </c>
      <c r="V322" s="257">
        <f>IFERROR(IF(N(V15)&lt;&gt;0,V72/V15,""),"")</f>
        <v>0.615934488530969</v>
      </c>
      <c r="W322" s="258">
        <f>IFERROR(IF(N(W15)&lt;&gt;0,W72/W15,""),"")</f>
        <v>0.541200223236269</v>
      </c>
      <c r="X322" s="257">
        <f>IFERROR(IF(N(X15)&lt;&gt;0,X72/X15,""),"")</f>
        <v>0.649247427430502</v>
      </c>
      <c r="Y322" s="257">
        <f>IFERROR(IF(N(Y15)&lt;&gt;0,Y72/Y15,""),"")</f>
        <v>0.620572569906791</v>
      </c>
      <c r="Z322" s="257">
        <f>IFERROR(IF(N(Z15)&lt;&gt;0,Z72/Z15,""),"")</f>
        <v>0.623368109001767</v>
      </c>
      <c r="AA322" s="257">
        <f>IFERROR(IF(N(AA15)&lt;&gt;0,AA72/AA15,""),"")</f>
        <v>0.611070148229132</v>
      </c>
      <c r="AB322" s="258">
        <f>IFERROR(IF(N(AB15)&lt;&gt;0,AB72/AB15,""),"")</f>
        <v>0.624182931408385</v>
      </c>
      <c r="AC322" s="257">
        <f>IFERROR(IF(N(AC15)&lt;&gt;0,AC72/AC15,""),"")</f>
        <v>0.491080749852481</v>
      </c>
      <c r="AD322" s="257">
        <f>IFERROR(IF(N(AD15)&lt;&gt;0,AD72/AD15,""),"")</f>
        <v>0.608433348308838</v>
      </c>
      <c r="AE322" s="257">
        <f>IFERROR(IF(N(AE15)&lt;&gt;0,AE72/AE15,""),"")</f>
        <v>0.631687892502544</v>
      </c>
      <c r="AF322" s="257">
        <f>IFERROR(IF(N(AF15)&lt;&gt;0,AF72/AF15,""),"")</f>
        <v>0.650241460801151</v>
      </c>
      <c r="AG322" s="258">
        <f>IFERROR(IF(N(AG15)&lt;&gt;0,AG72/AG15,""),"")</f>
        <v>0.603816836314127</v>
      </c>
      <c r="AH322" s="257">
        <f>IFERROR(IF(N(AH15)&lt;&gt;0,AH72/AH15,""),"")</f>
        <v>0.655957850885254</v>
      </c>
      <c r="AI322" s="257">
        <f>IFERROR(IF(N(AI15)&lt;&gt;0,AI72/AI15,""),"")</f>
        <v>0.662371000093535</v>
      </c>
      <c r="AJ322" s="257">
        <f>IFERROR(IF(N(AJ15)&lt;&gt;0,AJ72/AJ15,""),"")</f>
        <v>0.616628717073967</v>
      </c>
      <c r="AK322" s="257">
        <f>IFERROR(IF(N(AK15)&lt;&gt;0,AK72/AK15,""),"")</f>
        <v>0.616628717073967</v>
      </c>
      <c r="AL322" s="258">
        <f>IFERROR(IF(N(AL15)&lt;&gt;0,AL72/AL15,""),"")</f>
        <v>0.635793464274268</v>
      </c>
      <c r="AM322" s="257">
        <f>IFERROR(IF(N(AM15)&lt;&gt;0,AM72/AM15,""),"")</f>
        <v>0.616628717073967</v>
      </c>
      <c r="AN322" s="257">
        <f>IFERROR(IF(N(AN15)&lt;&gt;0,AN72/AN15,""),"")</f>
        <v>0.616628717073967</v>
      </c>
      <c r="AO322" s="257">
        <f>IFERROR(IF(N(AO15)&lt;&gt;0,AO72/AO15,""),"")</f>
        <v>0.616628717073967</v>
      </c>
      <c r="AP322" s="257">
        <f>IFERROR(IF(N(AP15)&lt;&gt;0,AP72/AP15,""),"")</f>
        <v>0.616628717073967</v>
      </c>
      <c r="AQ322" s="258">
        <f>IFERROR(IF(N(AQ15)&lt;&gt;0,AQ72/AQ15,""),"")</f>
        <v>0.616628717073967</v>
      </c>
      <c r="AR322" s="257">
        <f>IFERROR(IF(N(AR15)&lt;&gt;0,AR72/AR15,""),"")</f>
        <v>0.616628717073967</v>
      </c>
      <c r="AS322" s="257">
        <f>IFERROR(IF(N(AS15)&lt;&gt;0,AS72/AS15,""),"")</f>
        <v>0.616628717073967</v>
      </c>
      <c r="AT322" s="257">
        <f>IFERROR(IF(N(AT15)&lt;&gt;0,AT72/AT15,""),"")</f>
        <v>0.616628717073967</v>
      </c>
      <c r="AU322" s="257">
        <f>IFERROR(IF(N(AU15)&lt;&gt;0,AU72/AU15,""),"")</f>
        <v>0.616628717073967</v>
      </c>
      <c r="AV322" s="258">
        <f>IFERROR(IF(N(AV15)&lt;&gt;0,AV72/AV15,""),"")</f>
        <v>0.616628717073967</v>
      </c>
      <c r="AW322" s="257">
        <f>IFERROR(IF(N(AW15)&lt;&gt;0,AW72/AW15,""),"")</f>
        <v>0.616628717073967</v>
      </c>
      <c r="AX322" s="257">
        <f>IFERROR(IF(N(AX15)&lt;&gt;0,AX72/AX15,""),"")</f>
        <v>0.616628717073967</v>
      </c>
      <c r="AY322" s="257">
        <f>IFERROR(IF(N(AY15)&lt;&gt;0,AY72/AY15,""),"")</f>
        <v>0.616628717073967</v>
      </c>
      <c r="AZ322" s="257">
        <f>IFERROR(IF(N(AZ15)&lt;&gt;0,AZ72/AZ15,""),"")</f>
        <v>0.616628717073967</v>
      </c>
      <c r="BA322" s="258">
        <f>IFERROR(IF(N(BA15)&lt;&gt;0,BA72/BA15,""),"")</f>
        <v>0.616628717073967</v>
      </c>
      <c r="BB322" s="257">
        <f>IFERROR(IF(N(BB15)&lt;&gt;0,BB72/BB15,""),"")</f>
        <v>0.616628717073967</v>
      </c>
      <c r="BC322" s="257">
        <f>IFERROR(IF(N(BC15)&lt;&gt;0,BC72/BC15,""),"")</f>
        <v>0.616628717073967</v>
      </c>
      <c r="BD322" s="257">
        <f>IFERROR(IF(N(BD15)&lt;&gt;0,BD72/BD15,""),"")</f>
        <v>0.616628717073967</v>
      </c>
      <c r="BE322" s="257">
        <f>IFERROR(IF(N(BE15)&lt;&gt;0,BE72/BE15,""),"")</f>
        <v>0.616628717073967</v>
      </c>
      <c r="BF322" s="258">
        <f>IFERROR(IF(N(BF15)&lt;&gt;0,BF72/BF15,""),"")</f>
        <v>0.616628717073967</v>
      </c>
      <c r="BG322" s="81" t="n"/>
      <c r="BH322" s="81" t="n"/>
      <c r="BI322" s="81" t="n"/>
      <c r="BJ322" s="81" t="n"/>
      <c r="BL322" s="81" t="n"/>
      <c r="BM322" s="81" t="n"/>
      <c r="BN322" s="81" t="n"/>
      <c r="BO322" s="81" t="n"/>
      <c r="BQ322" s="81" t="n"/>
      <c r="BR322" s="81" t="n"/>
      <c r="BS322" s="81" t="n"/>
      <c r="BT322" s="81" t="n"/>
      <c r="BV322" s="81" t="n"/>
      <c r="BW322" s="81" t="n"/>
      <c r="BX322" s="81" t="n"/>
      <c r="BY322" s="81" t="n"/>
      <c r="CA322" s="81" t="n"/>
      <c r="CB322" s="81" t="n"/>
      <c r="CC322" s="81" t="n"/>
      <c r="CD322" s="81" t="n"/>
      <c r="CF322" s="81" t="n"/>
      <c r="CG322" s="81" t="n"/>
      <c r="CH322" s="81" t="n"/>
      <c r="CI322" s="81" t="n"/>
      <c r="CK322" s="81" t="n"/>
      <c r="CL322" s="81" t="n"/>
      <c r="CM322" s="81" t="n"/>
      <c r="CN322" s="81" t="n"/>
      <c r="CP322" s="81" t="n"/>
      <c r="CQ322" s="81" t="n"/>
      <c r="CR322" s="81" t="n"/>
      <c r="CS322" s="81" t="n"/>
      <c r="CU322" s="81" t="n"/>
      <c r="CV322" s="81" t="n"/>
      <c r="CW322" s="81" t="n"/>
      <c r="CX322" s="81" t="n"/>
    </row>
    <row r="323" customFormat="1" s="77">
      <c r="A323" s="76" t="n"/>
      <c r="B323" s="76" t="n"/>
      <c r="C323" s="77" t="inlineStr">
        <is>
          <t>EBITDA MARGIN</t>
        </is>
      </c>
      <c r="D323" s="78" t="str">
        <f>IFERROR(D68/D15,"")</f>
        <v/>
      </c>
      <c r="E323" s="78" t="str">
        <f>IFERROR(E68/E15,"")</f>
        <v/>
      </c>
      <c r="F323" s="78" t="str">
        <f>IFERROR(F68/F15,"")</f>
        <v/>
      </c>
      <c r="G323" s="78" t="str">
        <f>IFERROR(G68/G15,"")</f>
        <v/>
      </c>
      <c r="H323" s="258" t="str">
        <f>IFERROR(IF(N(H15)&lt;&gt;0,H68/H15,""),"")</f>
        <v/>
      </c>
      <c r="I323" s="257">
        <f>IFERROR(IF(N(I15)&lt;&gt;0,I68/I15,""),"")</f>
        <v>0.395159865748101</v>
      </c>
      <c r="J323" s="257">
        <f>IFERROR(IF(N(J15)&lt;&gt;0,J68/J15,""),"")</f>
        <v>0.419548178884279</v>
      </c>
      <c r="K323" s="257">
        <f>IFERROR(IF(N(K15)&lt;&gt;0,K68/K15,""),"")</f>
        <v>0.417992397578488</v>
      </c>
      <c r="L323" s="257">
        <f>IFERROR(IF(N(L15)&lt;&gt;0,L68/L15,""),"")</f>
        <v>0.429020018317415</v>
      </c>
      <c r="M323" s="258">
        <f>IFERROR(IF(N(M15)&lt;&gt;0,M68/M15,""),"")</f>
        <v>0.416697629486513</v>
      </c>
      <c r="N323" s="257">
        <f>IFERROR(IF(N(N15)&lt;&gt;0,N68/N15,""),"")</f>
        <v>0.265685328185328</v>
      </c>
      <c r="O323" s="257">
        <f>IFERROR(IF(N(O15)&lt;&gt;0,O68/O15,""),"")</f>
        <v>0.130817422434368</v>
      </c>
      <c r="P323" s="257">
        <f>IFERROR(IF(N(P15)&lt;&gt;0,P68/P15,""),"")</f>
        <v>0.169785870848086</v>
      </c>
      <c r="Q323" s="257">
        <f>IFERROR(IF(N(Q15)&lt;&gt;0,Q68/Q15,""),"")</f>
        <v>0.277970583374649</v>
      </c>
      <c r="R323" s="258">
        <f>IFERROR(IF(N(R15)&lt;&gt;0,R68/R15,""),"")</f>
        <v>0.213835545339957</v>
      </c>
      <c r="S323" s="257">
        <f>IFERROR(IF(N(S15)&lt;&gt;0,S68/S15,""),"")</f>
        <v>0.350945494994438</v>
      </c>
      <c r="T323" s="257">
        <f>IFERROR(IF(N(T15)&lt;&gt;0,T68/T15,""),"")</f>
        <v>0.53046568445991</v>
      </c>
      <c r="U323" s="257">
        <f>IFERROR(IF(N(U15)&lt;&gt;0,U68/U15,""),"")</f>
        <v>0.595419426048565</v>
      </c>
      <c r="V323" s="257">
        <f>IFERROR(IF(N(V15)&lt;&gt;0,V68/V15,""),"")</f>
        <v>0.633443423969597</v>
      </c>
      <c r="W323" s="258">
        <f>IFERROR(IF(N(W15)&lt;&gt;0,W68/W15,""),"")</f>
        <v>0.565953186041167</v>
      </c>
      <c r="X323" s="257">
        <f>IFERROR(IF(N(X15)&lt;&gt;0,X68/X15,""),"")</f>
        <v>0.664990016894486</v>
      </c>
      <c r="Y323" s="257">
        <f>IFERROR(IF(N(Y15)&lt;&gt;0,Y68/Y15,""),"")</f>
        <v>0.634986684420772</v>
      </c>
      <c r="Z323" s="257">
        <f>IFERROR(IF(N(Z15)&lt;&gt;0,Z68/Z15,""),"")</f>
        <v>0.636993329912776</v>
      </c>
      <c r="AA323" s="257">
        <f>IFERROR(IF(N(AA15)&lt;&gt;0,AA68/AA15,""),"")</f>
        <v>0.624876051969185</v>
      </c>
      <c r="AB323" s="258">
        <f>IFERROR(IF(N(AB15)&lt;&gt;0,AB68/AB15,""),"")</f>
        <v>0.638466784677042</v>
      </c>
      <c r="AC323" s="257">
        <f>IFERROR(IF(N(AC15)&lt;&gt;0,AC68/AC15,""),"")</f>
        <v>0.504947573873179</v>
      </c>
      <c r="AD323" s="257">
        <f>IFERROR(IF(N(AD15)&lt;&gt;0,AD68/AD15,""),"")</f>
        <v>0.622745651755343</v>
      </c>
      <c r="AE323" s="257">
        <f>IFERROR(IF(N(AE15)&lt;&gt;0,AE68/AE15,""),"")</f>
        <v>0.644861944356734</v>
      </c>
      <c r="AF323" s="257">
        <f>IFERROR(IF(N(AF15)&lt;&gt;0,AF68/AF15,""),"")</f>
        <v>0.662160376943062</v>
      </c>
      <c r="AG323" s="258">
        <f>IFERROR(IF(N(AG15)&lt;&gt;0,AG68/AG15,""),"")</f>
        <v>0.616982652428012</v>
      </c>
      <c r="AH323" s="257">
        <f>IFERROR(IF(N(AH15)&lt;&gt;0,AH68/AH15,""),"")</f>
        <v>0.668173742571831</v>
      </c>
      <c r="AI323" s="257">
        <f>IFERROR(IF(N(AI15)&lt;&gt;0,AI68/AI15,""),"")</f>
        <v>0.674083619999792</v>
      </c>
      <c r="AJ323" s="257">
        <f>IFERROR(IF(N(AJ15)&lt;&gt;0,AJ68/AJ15,""),"")</f>
        <v>0.629495484916657</v>
      </c>
      <c r="AK323" s="257">
        <f>IFERROR(IF(N(AK15)&lt;&gt;0,AK68/AK15,""),"")</f>
        <v>0.629495484916657</v>
      </c>
      <c r="AL323" s="258">
        <f>IFERROR(IF(N(AL15)&lt;&gt;0,AL68/AL15,""),"")</f>
        <v>0.648246846987982</v>
      </c>
      <c r="AM323" s="257">
        <f>IFERROR(IF(N(AM15)&lt;&gt;0,AM68/AM15,""),"")</f>
        <v>0.629495484916657</v>
      </c>
      <c r="AN323" s="257">
        <f>IFERROR(IF(N(AN15)&lt;&gt;0,AN68/AN15,""),"")</f>
        <v>0.629495484916657</v>
      </c>
      <c r="AO323" s="257">
        <f>IFERROR(IF(N(AO15)&lt;&gt;0,AO68/AO15,""),"")</f>
        <v>0.629495484916657</v>
      </c>
      <c r="AP323" s="257">
        <f>IFERROR(IF(N(AP15)&lt;&gt;0,AP68/AP15,""),"")</f>
        <v>0.629495484916657</v>
      </c>
      <c r="AQ323" s="258">
        <f>IFERROR(IF(N(AQ15)&lt;&gt;0,AQ68/AQ15,""),"")</f>
        <v>0.629495484916657</v>
      </c>
      <c r="AR323" s="257">
        <f>IFERROR(IF(N(AR15)&lt;&gt;0,AR68/AR15,""),"")</f>
        <v>0.629495484916657</v>
      </c>
      <c r="AS323" s="257">
        <f>IFERROR(IF(N(AS15)&lt;&gt;0,AS68/AS15,""),"")</f>
        <v>0.629495484916657</v>
      </c>
      <c r="AT323" s="257">
        <f>IFERROR(IF(N(AT15)&lt;&gt;0,AT68/AT15,""),"")</f>
        <v>0.629495484916657</v>
      </c>
      <c r="AU323" s="257">
        <f>IFERROR(IF(N(AU15)&lt;&gt;0,AU68/AU15,""),"")</f>
        <v>0.629495484916657</v>
      </c>
      <c r="AV323" s="258">
        <f>IFERROR(IF(N(AV15)&lt;&gt;0,AV68/AV15,""),"")</f>
        <v>0.629495484916657</v>
      </c>
      <c r="AW323" s="257">
        <f>IFERROR(IF(N(AW15)&lt;&gt;0,AW68/AW15,""),"")</f>
        <v>0.629495484916657</v>
      </c>
      <c r="AX323" s="257">
        <f>IFERROR(IF(N(AX15)&lt;&gt;0,AX68/AX15,""),"")</f>
        <v>0.629495484916657</v>
      </c>
      <c r="AY323" s="257">
        <f>IFERROR(IF(N(AY15)&lt;&gt;0,AY68/AY15,""),"")</f>
        <v>0.629495484916657</v>
      </c>
      <c r="AZ323" s="257">
        <f>IFERROR(IF(N(AZ15)&lt;&gt;0,AZ68/AZ15,""),"")</f>
        <v>0.629495484916657</v>
      </c>
      <c r="BA323" s="258">
        <f>IFERROR(IF(N(BA15)&lt;&gt;0,BA68/BA15,""),"")</f>
        <v>0.629495484916657</v>
      </c>
      <c r="BB323" s="257">
        <f>IFERROR(IF(N(BB15)&lt;&gt;0,BB68/BB15,""),"")</f>
        <v>0.629495484916657</v>
      </c>
      <c r="BC323" s="257">
        <f>IFERROR(IF(N(BC15)&lt;&gt;0,BC68/BC15,""),"")</f>
        <v>0.629495484916657</v>
      </c>
      <c r="BD323" s="257">
        <f>IFERROR(IF(N(BD15)&lt;&gt;0,BD68/BD15,""),"")</f>
        <v>0.629495484916657</v>
      </c>
      <c r="BE323" s="257">
        <f>IFERROR(IF(N(BE15)&lt;&gt;0,BE68/BE15,""),"")</f>
        <v>0.629495484916657</v>
      </c>
      <c r="BF323" s="258">
        <f>IFERROR(IF(N(BF15)&lt;&gt;0,BF68/BF15,""),"")</f>
        <v>0.629495484916657</v>
      </c>
      <c r="BG323" s="81" t="n"/>
      <c r="BH323" s="81" t="n"/>
      <c r="BI323" s="81" t="n"/>
      <c r="BJ323" s="81" t="n"/>
      <c r="BL323" s="81" t="n"/>
      <c r="BM323" s="81" t="n"/>
      <c r="BN323" s="81" t="n"/>
      <c r="BO323" s="81" t="n"/>
      <c r="BQ323" s="81" t="n"/>
      <c r="BR323" s="81" t="n"/>
      <c r="BS323" s="81" t="n"/>
      <c r="BT323" s="81" t="n"/>
      <c r="BV323" s="81" t="n"/>
      <c r="BW323" s="81" t="n"/>
      <c r="BX323" s="81" t="n"/>
      <c r="BY323" s="81" t="n"/>
      <c r="CA323" s="81" t="n"/>
      <c r="CB323" s="81" t="n"/>
      <c r="CC323" s="81" t="n"/>
      <c r="CD323" s="81" t="n"/>
      <c r="CF323" s="81" t="n"/>
      <c r="CG323" s="81" t="n"/>
      <c r="CH323" s="81" t="n"/>
      <c r="CI323" s="81" t="n"/>
      <c r="CK323" s="81" t="n"/>
      <c r="CL323" s="81" t="n"/>
      <c r="CM323" s="81" t="n"/>
      <c r="CN323" s="81" t="n"/>
      <c r="CP323" s="81" t="n"/>
      <c r="CQ323" s="81" t="n"/>
      <c r="CR323" s="81" t="n"/>
      <c r="CS323" s="81" t="n"/>
      <c r="CU323" s="81" t="n"/>
      <c r="CV323" s="81" t="n"/>
      <c r="CW323" s="81" t="n"/>
      <c r="CX323" s="81" t="n"/>
    </row>
    <row r="324" customFormat="1" s="77">
      <c r="A324" s="76" t="n"/>
      <c r="B324" s="76" t="n"/>
      <c r="C324" s="77" t="inlineStr">
        <is>
          <t>ETR</t>
        </is>
      </c>
      <c r="D324" s="78" t="str">
        <f>IFERROR(-D130/D129,"")</f>
        <v/>
      </c>
      <c r="E324" s="78" t="str">
        <f>IFERROR(-E130/E129,"")</f>
        <v/>
      </c>
      <c r="F324" s="78" t="str">
        <f>IFERROR(-F130/F129,"")</f>
        <v/>
      </c>
      <c r="G324" s="78" t="str">
        <f>IFERROR(-G130/G129,"")</f>
        <v/>
      </c>
      <c r="H324" s="258" t="str">
        <f>IFERROR(IF(N(H129)&lt;&gt;0,-H130/H129,""),"")</f>
        <v/>
      </c>
      <c r="I324" s="257">
        <f>IFERROR(IF(N(I129)&lt;&gt;0,-I130/I129,""),"")</f>
        <v>0.0645792563600783</v>
      </c>
      <c r="J324" s="257">
        <f>IFERROR(IF(N(J129)&lt;&gt;0,-J130/J129,""),"")</f>
        <v>0.00835421888053467</v>
      </c>
      <c r="K324" s="257">
        <f>IFERROR(IF(N(K129)&lt;&gt;0,-K130/K129,""),"")</f>
        <v>0.065959059893859</v>
      </c>
      <c r="L324" s="257">
        <f>IFERROR(IF(N(L129)&lt;&gt;0,-L130/L129,""),"")</f>
        <v>-0.0481675392670157</v>
      </c>
      <c r="M324" s="258">
        <f>IFERROR(IF(N(M129)&lt;&gt;0,-M130/M129,""),"")</f>
        <v>0.018911578312041</v>
      </c>
      <c r="N324" s="257">
        <f>IFERROR(IF(N(N129)&lt;&gt;0,-N130/N129,""),"")</f>
        <v>0.103601108033241</v>
      </c>
      <c r="O324" s="257">
        <f>IFERROR(IF(N(O129)&lt;&gt;0,-O130/O129,""),"")</f>
        <v>-0.381052631578947</v>
      </c>
      <c r="P324" s="257">
        <f>IFERROR(IF(N(P129)&lt;&gt;0,-P130/P129,""),"")</f>
        <v>-0.109298531810767</v>
      </c>
      <c r="Q324" s="257">
        <f>IFERROR(IF(N(Q129)&lt;&gt;0,-Q130/Q129,""),"")</f>
        <v>-0.0978260869565217</v>
      </c>
      <c r="R324" s="258">
        <f>IFERROR(IF(N(R129)&lt;&gt;0,-R130/R129,""),"")</f>
        <v>-0.0447261420712748</v>
      </c>
      <c r="S324" s="257">
        <f>IFERROR(IF(N(S129)&lt;&gt;0,-S130/S129,""),"")</f>
        <v>0.0751471253961068</v>
      </c>
      <c r="T324" s="257">
        <f>IFERROR(IF(N(T129)&lt;&gt;0,-T130/T129,""),"")</f>
        <v>0.113594040968343</v>
      </c>
      <c r="U324" s="257">
        <f>IFERROR(IF(N(U129)&lt;&gt;0,-U130/U129,""),"")</f>
        <v>0.121554837483368</v>
      </c>
      <c r="V324" s="257">
        <f>IFERROR(IF(N(V129)&lt;&gt;0,-V130/V129,""),"")</f>
        <v>0.129094002552105</v>
      </c>
      <c r="W324" s="258">
        <f>IFERROR(IF(N(W129)&lt;&gt;0,-W130/W129,""),"")</f>
        <v>0.12002483884322</v>
      </c>
      <c r="X324" s="257">
        <f>IFERROR(IF(N(X129)&lt;&gt;0,-X130/X129,""),"")</f>
        <v>0.138781179466404</v>
      </c>
      <c r="Y324" s="257">
        <f>IFERROR(IF(N(Y129)&lt;&gt;0,-Y130/Y129,""),"")</f>
        <v>0.136098678047257</v>
      </c>
      <c r="Z324" s="257">
        <f>IFERROR(IF(N(Z129)&lt;&gt;0,-Z130/Z129,""),"")</f>
        <v>0.134746370317261</v>
      </c>
      <c r="AA324" s="257">
        <f>IFERROR(IF(N(AA129)&lt;&gt;0,-AA130/AA129,""),"")</f>
        <v>0.123963992544712</v>
      </c>
      <c r="AB324" s="258">
        <f>IFERROR(IF(N(AB129)&lt;&gt;0,-AB130/AB129,""),"")</f>
        <v>0.132649418037274</v>
      </c>
      <c r="AC324" s="257">
        <f>IFERROR(IF(N(AC129)&lt;&gt;0,-AC130/AC129,""),"")</f>
        <v>0.143085349155637</v>
      </c>
      <c r="AD324" s="257">
        <f>IFERROR(IF(N(AD129)&lt;&gt;0,-AD130/AD129,""),"")</f>
        <v>0.153303851823367</v>
      </c>
      <c r="AE324" s="257">
        <f>IFERROR(IF(N(AE129)&lt;&gt;0,-AE130/AE129,""),"")</f>
        <v>0.158846478279207</v>
      </c>
      <c r="AF324" s="257">
        <f>IFERROR(IF(N(AF129)&lt;&gt;0,-AF130/AF129,""),"")</f>
        <v>0.147585221635779</v>
      </c>
      <c r="AG324" s="258">
        <f>IFERROR(IF(N(AG129)&lt;&gt;0,-AG130/AG129,""),"")</f>
        <v>0.151170024743726</v>
      </c>
      <c r="AH324" s="257">
        <f>IFERROR(IF(N(AH129)&lt;&gt;0,-AH130/AH129,""),"")</f>
        <v>0.165686737336023</v>
      </c>
      <c r="AI324" s="257">
        <f>IFERROR(IF(N(AI129)&lt;&gt;0,-AI130/AI129,""),"")</f>
        <v>0.165284517599676</v>
      </c>
      <c r="AJ324" s="257">
        <f>IFERROR(IF(N(AJ129)&lt;&gt;0,-AJ130/AJ129,""),"")</f>
        <v>0.155632025971615</v>
      </c>
      <c r="AK324" s="257">
        <f>IFERROR(IF(N(AK129)&lt;&gt;0,-AK130/AK129,""),"")</f>
        <v>0.155632025971615</v>
      </c>
      <c r="AL324" s="258">
        <f>IFERROR(IF(N(AL129)&lt;&gt;0,-AL130/AL129,""),"")</f>
        <v>0.160329206511539</v>
      </c>
      <c r="AM324" s="257">
        <f>IFERROR(IF(N(AM129)&lt;&gt;0,-AM130/AM129,""),"")</f>
        <v>0.155632025971615</v>
      </c>
      <c r="AN324" s="257">
        <f>IFERROR(IF(N(AN129)&lt;&gt;0,-AN130/AN129,""),"")</f>
        <v>0.155632025971615</v>
      </c>
      <c r="AO324" s="257">
        <f>IFERROR(IF(N(AO129)&lt;&gt;0,-AO130/AO129,""),"")</f>
        <v>0.155632025971615</v>
      </c>
      <c r="AP324" s="257">
        <f>IFERROR(IF(N(AP129)&lt;&gt;0,-AP130/AP129,""),"")</f>
        <v>0.155632025971615</v>
      </c>
      <c r="AQ324" s="258">
        <f>IFERROR(IF(N(AQ129)&lt;&gt;0,-AQ130/AQ129,""),"")</f>
        <v>0.155632025971615</v>
      </c>
      <c r="AR324" s="257">
        <f>IFERROR(IF(N(AR129)&lt;&gt;0,-AR130/AR129,""),"")</f>
        <v>0.155632025971615</v>
      </c>
      <c r="AS324" s="257">
        <f>IFERROR(IF(N(AS129)&lt;&gt;0,-AS130/AS129,""),"")</f>
        <v>0.155632025971615</v>
      </c>
      <c r="AT324" s="257">
        <f>IFERROR(IF(N(AT129)&lt;&gt;0,-AT130/AT129,""),"")</f>
        <v>0.155632025971615</v>
      </c>
      <c r="AU324" s="257">
        <f>IFERROR(IF(N(AU129)&lt;&gt;0,-AU130/AU129,""),"")</f>
        <v>0.155632025971615</v>
      </c>
      <c r="AV324" s="258">
        <f>IFERROR(IF(N(AV129)&lt;&gt;0,-AV130/AV129,""),"")</f>
        <v>0.155632025971615</v>
      </c>
      <c r="AW324" s="257">
        <f>IFERROR(IF(N(AW129)&lt;&gt;0,-AW130/AW129,""),"")</f>
        <v>0.155632025971615</v>
      </c>
      <c r="AX324" s="257">
        <f>IFERROR(IF(N(AX129)&lt;&gt;0,-AX130/AX129,""),"")</f>
        <v>0.155632025971615</v>
      </c>
      <c r="AY324" s="257">
        <f>IFERROR(IF(N(AY129)&lt;&gt;0,-AY130/AY129,""),"")</f>
        <v>0.155632025971615</v>
      </c>
      <c r="AZ324" s="257">
        <f>IFERROR(IF(N(AZ129)&lt;&gt;0,-AZ130/AZ129,""),"")</f>
        <v>0.155632025971615</v>
      </c>
      <c r="BA324" s="258">
        <f>IFERROR(IF(N(BA129)&lt;&gt;0,-BA130/BA129,""),"")</f>
        <v>0.155632025971615</v>
      </c>
      <c r="BB324" s="257">
        <f>IFERROR(IF(N(BB129)&lt;&gt;0,-BB130/BB129,""),"")</f>
        <v>0.155632025971615</v>
      </c>
      <c r="BC324" s="257">
        <f>IFERROR(IF(N(BC129)&lt;&gt;0,-BC130/BC129,""),"")</f>
        <v>0.155632025971615</v>
      </c>
      <c r="BD324" s="257">
        <f>IFERROR(IF(N(BD129)&lt;&gt;0,-BD130/BD129,""),"")</f>
        <v>0.155632025971615</v>
      </c>
      <c r="BE324" s="257">
        <f>IFERROR(IF(N(BE129)&lt;&gt;0,-BE130/BE129,""),"")</f>
        <v>0.155632025971615</v>
      </c>
      <c r="BF324" s="258">
        <f>IFERROR(IF(N(BF129)&lt;&gt;0,-BF130/BF129,""),"")</f>
        <v>0.155632025971615</v>
      </c>
      <c r="BG324" s="81" t="n"/>
      <c r="BH324" s="81" t="n"/>
      <c r="BI324" s="81" t="n"/>
      <c r="BJ324" s="81" t="n"/>
      <c r="BL324" s="81" t="n"/>
      <c r="BM324" s="81" t="n"/>
      <c r="BN324" s="81" t="n"/>
      <c r="BO324" s="81" t="n"/>
      <c r="BQ324" s="81" t="n"/>
      <c r="BR324" s="81" t="n"/>
      <c r="BS324" s="81" t="n"/>
      <c r="BT324" s="81" t="n"/>
      <c r="BV324" s="81" t="n"/>
      <c r="BW324" s="81" t="n"/>
      <c r="BX324" s="81" t="n"/>
      <c r="BY324" s="81" t="n"/>
      <c r="CA324" s="81" t="n"/>
      <c r="CB324" s="81" t="n"/>
      <c r="CC324" s="81" t="n"/>
      <c r="CD324" s="81" t="n"/>
      <c r="CF324" s="81" t="n"/>
      <c r="CG324" s="81" t="n"/>
      <c r="CH324" s="81" t="n"/>
      <c r="CI324" s="81" t="n"/>
      <c r="CK324" s="81" t="n"/>
      <c r="CL324" s="81" t="n"/>
      <c r="CM324" s="81" t="n"/>
      <c r="CN324" s="81" t="n"/>
      <c r="CP324" s="81" t="n"/>
      <c r="CQ324" s="81" t="n"/>
      <c r="CR324" s="81" t="n"/>
      <c r="CS324" s="81" t="n"/>
      <c r="CU324" s="81" t="n"/>
      <c r="CV324" s="81" t="n"/>
      <c r="CW324" s="81" t="n"/>
      <c r="CX324" s="81" t="n"/>
    </row>
    <row r="325" customFormat="1" s="77">
      <c r="A325" s="76" t="n"/>
      <c r="B325" s="76" t="n"/>
    </row>
    <row r="326" customFormat="1" s="77">
      <c r="A326" s="76" t="n"/>
      <c r="B326" s="76" t="n"/>
      <c r="C326" s="74" t="inlineStr">
        <is>
          <t>CAPITAL STRUCTURE</t>
        </is>
      </c>
    </row>
    <row r="327" customFormat="1" s="77">
      <c r="A327" s="76" t="n"/>
      <c r="B327" s="76" t="n"/>
      <c r="C327" s="77" t="inlineStr">
        <is>
          <t>TOTAL DEBT / EQUITY (BOOK VALUE)</t>
        </is>
      </c>
      <c r="H327" s="262" t="str">
        <f>IFERROR(IF(N(H270)&lt;&gt;0,(N(H211)+N(H212)+N(H213)+N(H216)+N(H234)+N(H237))/H270,""),"")</f>
        <v/>
      </c>
      <c r="I327" s="262">
        <f>IFERROR(IF(N(I270)&lt;&gt;0,(N(I211)+N(I212)+N(I213)+N(I216)+N(I234)+N(I237))/I270,""),"")</f>
        <v>0.40497496537765</v>
      </c>
      <c r="J327" s="262">
        <f>IFERROR(IF(N(J270)&lt;&gt;0,(N(J211)+N(J212)+N(J213)+N(J216)+N(J234)+N(J237))/J270,""),"")</f>
        <v>0.598619189483142</v>
      </c>
      <c r="K327" s="262">
        <f>IFERROR(IF(N(K270)&lt;&gt;0,(N(K211)+N(K212)+N(K213)+N(K216)+N(K234)+N(K237))/K270,""),"")</f>
        <v>0.491091688377175</v>
      </c>
      <c r="L327" s="262">
        <f>IFERROR(IF(N(L270)&lt;&gt;0,(N(L211)+N(L212)+N(L213)+N(L216)+N(L234)+N(L237))/L270,""),"")</f>
        <v>0.439162783706599</v>
      </c>
      <c r="M327" s="262">
        <f>IFERROR(IF(N(M270)&lt;&gt;0,(N(M211)+N(M212)+N(M213)+N(M216)+N(M234)+N(M237))/M270,""),"")</f>
        <v>0.439162783706599</v>
      </c>
      <c r="N327" s="262">
        <f>IFERROR(IF(N(N270)&lt;&gt;0,(N(N211)+N(N212)+N(N213)+N(N216)+N(N234)+N(N237))/N270,""),"")</f>
        <v>0.444490881458967</v>
      </c>
      <c r="O327" s="262">
        <f>IFERROR(IF(N(O270)&lt;&gt;0,(N(O211)+N(O212)+N(O213)+N(O216)+N(O234)+N(O237))/O270,""),"")</f>
        <v>0.490210054085783</v>
      </c>
      <c r="P327" s="262">
        <f>IFERROR(IF(N(P270)&lt;&gt;0,(N(P211)+N(P212)+N(P213)+N(P216)+N(P234)+N(P237))/P270,""),"")</f>
        <v>0.550283385638672</v>
      </c>
      <c r="Q327" s="262">
        <f>IFERROR(IF(N(Q270)&lt;&gt;0,(N(Q211)+N(Q212)+N(Q213)+N(Q216)+N(Q234)+N(Q237))/Q270,""),"")</f>
        <v>0.536401067824985</v>
      </c>
      <c r="R327" s="262">
        <f>IFERROR(IF(N(R270)&lt;&gt;0,(N(R211)+N(R212)+N(R213)+N(R216)+N(R234)+N(R237))/R270,""),"")</f>
        <v>0.536401067824985</v>
      </c>
      <c r="S327" s="262">
        <f>IFERROR(IF(N(S270)&lt;&gt;0,(N(S211)+N(S212)+N(S213)+N(S216)+N(S234)+N(S237))/S270,""),"")</f>
        <v>0.485032626427406</v>
      </c>
      <c r="T327" s="262">
        <f>IFERROR(IF(N(T270)&lt;&gt;0,(N(T211)+N(T212)+N(T213)+N(T216)+N(T234)+N(T237))/T270,""),"")</f>
        <v>0.390749427293553</v>
      </c>
      <c r="U327" s="262">
        <f>IFERROR(IF(N(U270)&lt;&gt;0,(N(U211)+N(U212)+N(U213)+N(U216)+N(U234)+N(U237))/U270,""),"")</f>
        <v>0.324575379528032</v>
      </c>
      <c r="V327" s="262">
        <f>IFERROR(IF(N(V270)&lt;&gt;0,(N(V211)+N(V212)+N(V213)+N(V216)+N(V234)+N(V237))/V270,""),"")</f>
        <v>0.251942854483689</v>
      </c>
      <c r="W327" s="262">
        <f>IFERROR(IF(N(W270)&lt;&gt;0,(N(W211)+N(W212)+N(W213)+N(W216)+N(W234)+N(W237))/W270,""),"")</f>
        <v>0.251942854483689</v>
      </c>
      <c r="X327" s="262">
        <f>IFERROR(IF(N(X270)&lt;&gt;0,(N(X211)+N(X212)+N(X213)+N(X216)+N(X234)+N(X237))/X270,""),"")</f>
        <v>0.22365797077856</v>
      </c>
      <c r="Y327" s="262">
        <f>IFERROR(IF(N(Y270)&lt;&gt;0,(N(Y211)+N(Y212)+N(Y213)+N(Y216)+N(Y234)+N(Y237))/Y270,""),"")</f>
        <v>0.167907560568805</v>
      </c>
      <c r="Z327" s="262">
        <f>IFERROR(IF(N(Z270)&lt;&gt;0,(N(Z211)+N(Z212)+N(Z213)+N(Z216)+N(Z234)+N(Z237))/Z270,""),"")</f>
        <v>0.151018983596109</v>
      </c>
      <c r="AA327" s="262">
        <f>IFERROR(IF(N(AA270)&lt;&gt;0,(N(AA211)+N(AA212)+N(AA213)+N(AA216)+N(AA234)+N(AA237))/AA270,""),"")</f>
        <v>0.125833574949261</v>
      </c>
      <c r="AB327" s="262">
        <f>IFERROR(IF(N(AB270)&lt;&gt;0,(N(AB211)+N(AB212)+N(AB213)+N(AB216)+N(AB234)+N(AB237))/AB270,""),"")</f>
        <v>0.125833574949261</v>
      </c>
      <c r="AC327" s="262">
        <f>IFERROR(IF(N(AC270)&lt;&gt;0,(N(AC211)+N(AC212)+N(AC213)+N(AC216)+N(AC234)+N(AC237))/AC270,""),"")</f>
        <v>0.119091635556934</v>
      </c>
      <c r="AD327" s="262">
        <f>IFERROR(IF(N(AD270)&lt;&gt;0,(N(AD211)+N(AD212)+N(AD213)+N(AD216)+N(AD234)+N(AD237))/AD270,""),"")</f>
        <v>0.102835285775634</v>
      </c>
      <c r="AE327" s="262">
        <f>IFERROR(IF(N(AE270)&lt;&gt;0,(N(AE211)+N(AE212)+N(AE213)+N(AE216)+N(AE234)+N(AE237))/AE270,""),"")</f>
        <v>0.0881519298216103</v>
      </c>
      <c r="AF327" s="262">
        <f>IFERROR(IF(N(AF270)&lt;&gt;0,(N(AF211)+N(AF212)+N(AF213)+N(AF216)+N(AF234)+N(AF237))/AF270,""),"")</f>
        <v>0.0701874845034426</v>
      </c>
      <c r="AG327" s="262">
        <f>IFERROR(IF(N(AG270)&lt;&gt;0,(N(AG211)+N(AG212)+N(AG213)+N(AG216)+N(AG234)+N(AG237))/AG270,""),"")</f>
        <v>0.0701874845034426</v>
      </c>
      <c r="AH327" s="262">
        <f>IFERROR(IF(N(AH270)&lt;&gt;0,(N(AH211)+N(AH212)+N(AH213)+N(AH216)+N(AH234)+N(AH237))/AH270,""),"")</f>
        <v>0.0631695263820252</v>
      </c>
      <c r="AI327" s="262">
        <f>IFERROR(IF(N(AI270)&lt;&gt;0,(N(AI211)+N(AI212)+N(AI213)+N(AI216)+N(AI234)+N(AI237))/AI270,""),"")</f>
        <v>0.167483317611711</v>
      </c>
      <c r="AJ327" s="262">
        <f>IFERROR(IF(N(AJ270)&lt;&gt;0,(N(AJ211)+N(AJ212)+N(AJ213)+N(AJ216)+N(AJ234)+N(AJ237))/AJ270,""),"")</f>
        <v>0.132853678037462</v>
      </c>
      <c r="AK327" s="262">
        <f>IFERROR(IF(N(AK270)&lt;&gt;0,(N(AK211)+N(AK212)+N(AK213)+N(AK216)+N(AK234)+N(AK237))/AK270,""),"")</f>
        <v>0.10652997717686</v>
      </c>
      <c r="AL327" s="262">
        <f>IFERROR(IF(N(AL270)&lt;&gt;0,(N(AL211)+N(AL212)+N(AL213)+N(AL216)+N(AL234)+N(AL237))/AL270,""),"")</f>
        <v>0.10652997717686</v>
      </c>
      <c r="AM327" s="262">
        <f>IFERROR(IF(N(AM270)&lt;&gt;0,(N(AM211)+N(AM212)+N(AM213)+N(AM216)+N(AM234)+N(AM237))/AM270,""),"")</f>
        <v>0.0860939406177081</v>
      </c>
      <c r="AN327" s="262">
        <f>IFERROR(IF(N(AN270)&lt;&gt;0,(N(AN211)+N(AN212)+N(AN213)+N(AN216)+N(AN234)+N(AN237))/AN270,""),"")</f>
        <v>0.0702140131519043</v>
      </c>
      <c r="AO327" s="262">
        <f>IFERROR(IF(N(AO270)&lt;&gt;0,(N(AO211)+N(AO212)+N(AO213)+N(AO216)+N(AO234)+N(AO237))/AO270,""),"")</f>
        <v>0.0589280942522927</v>
      </c>
      <c r="AP327" s="262">
        <f>IFERROR(IF(N(AP270)&lt;&gt;0,(N(AP211)+N(AP212)+N(AP213)+N(AP216)+N(AP234)+N(AP237))/AP270,""),"")</f>
        <v>0.0494324587042503</v>
      </c>
      <c r="AQ327" s="262">
        <f>IFERROR(IF(N(AQ270)&lt;&gt;0,(N(AQ211)+N(AQ212)+N(AQ213)+N(AQ216)+N(AQ234)+N(AQ237))/AQ270,""),"")</f>
        <v>0.0494324587042503</v>
      </c>
      <c r="AR327" s="262">
        <f>IFERROR(IF(N(AR270)&lt;&gt;0,(N(AR211)+N(AR212)+N(AR213)+N(AR216)+N(AR234)+N(AR237))/AR270,""),"")</f>
        <v>0.0414530902943534</v>
      </c>
      <c r="AS327" s="262">
        <f>IFERROR(IF(N(AS270)&lt;&gt;0,(N(AS211)+N(AS212)+N(AS213)+N(AS216)+N(AS234)+N(AS237))/AS270,""),"")</f>
        <v>0.034825527011652</v>
      </c>
      <c r="AT327" s="262">
        <f>IFERROR(IF(N(AT270)&lt;&gt;0,(N(AT211)+N(AT212)+N(AT213)+N(AT216)+N(AT234)+N(AT237))/AT270,""),"")</f>
        <v>0.0298672497793484</v>
      </c>
      <c r="AU327" s="262">
        <f>IFERROR(IF(N(AU270)&lt;&gt;0,(N(AU211)+N(AU212)+N(AU213)+N(AU216)+N(AU234)+N(AU237))/AU270,""),"")</f>
        <v>0.02552429283656</v>
      </c>
      <c r="AV327" s="262">
        <f>IFERROR(IF(N(AV270)&lt;&gt;0,(N(AV211)+N(AV212)+N(AV213)+N(AV216)+N(AV234)+N(AV237))/AV270,""),"")</f>
        <v>0.02552429283656</v>
      </c>
      <c r="AW327" s="262">
        <f>IFERROR(IF(N(AW270)&lt;&gt;0,(N(AW211)+N(AW212)+N(AW213)+N(AW216)+N(AW234)+N(AW237))/AW270,""),"")</f>
        <v>0.0217560713941652</v>
      </c>
      <c r="AX327" s="262">
        <f>IFERROR(IF(N(AX270)&lt;&gt;0,(N(AX211)+N(AX212)+N(AX213)+N(AX216)+N(AX234)+N(AX237))/AX270,""),"")</f>
        <v>0.018530733688017</v>
      </c>
      <c r="AY327" s="262">
        <f>IFERROR(IF(N(AY270)&lt;&gt;0,(N(AY211)+N(AY212)+N(AY213)+N(AY216)+N(AY234)+N(AY237))/AY270,""),"")</f>
        <v>0.0160587526834899</v>
      </c>
      <c r="AZ327" s="262">
        <f>IFERROR(IF(N(AZ270)&lt;&gt;0,(N(AZ211)+N(AZ212)+N(AZ213)+N(AZ216)+N(AZ234)+N(AZ237))/AZ270,""),"")</f>
        <v>0.0138506407889482</v>
      </c>
      <c r="BA327" s="262">
        <f>IFERROR(IF(N(BA270)&lt;&gt;0,(N(BA211)+N(BA212)+N(BA213)+N(BA216)+N(BA234)+N(BA237))/BA270,""),"")</f>
        <v>0.0138506407889482</v>
      </c>
      <c r="BB327" s="262">
        <f>IFERROR(IF(N(BB270)&lt;&gt;0,(N(BB211)+N(BB212)+N(BB213)+N(BB216)+N(BB234)+N(BB237))/BB270,""),"")</f>
        <v>0.0119061788987374</v>
      </c>
      <c r="BC327" s="262">
        <f>IFERROR(IF(N(BC270)&lt;&gt;0,(N(BC211)+N(BC212)+N(BC213)+N(BC216)+N(BC234)+N(BC237))/BC270,""),"")</f>
        <v>0.0102154066524502</v>
      </c>
      <c r="BD327" s="262">
        <f>IFERROR(IF(N(BD270)&lt;&gt;0,(N(BD211)+N(BD212)+N(BD213)+N(BD216)+N(BD234)+N(BD237))/BD270,""),"")</f>
        <v>0.00890268587979769</v>
      </c>
      <c r="BE327" s="262">
        <f>IFERROR(IF(N(BE270)&lt;&gt;0,(N(BE211)+N(BE212)+N(BE213)+N(BE216)+N(BE234)+N(BE237))/BE270,""),"")</f>
        <v>0.00771748683715287</v>
      </c>
      <c r="BF327" s="262">
        <f>IFERROR(IF(N(BF270)&lt;&gt;0,(N(BF211)+N(BF212)+N(BF213)+N(BF216)+N(BF234)+N(BF237))/BF270,""),"")</f>
        <v>0.00771748683715287</v>
      </c>
    </row>
    <row r="328" customFormat="1" s="77">
      <c r="A328" s="76" t="n"/>
      <c r="B328" s="76" t="n"/>
      <c r="C328" s="77" t="inlineStr">
        <is>
          <t>NET DEBT / (NET DEBT + EQUITY) (BOOK VALUE)</t>
        </is>
      </c>
      <c r="H328" s="258" t="str">
        <f>IFERROR(IF(((N(H211)+N(H212)+N(H213)+N(H216)+N(H234)+N(H237))-N(H143)+N(H270))&lt;&gt;0,((N(H211)+N(H212)+N(H213)+N(H216)+N(H234)+N(H237))-N(H143))/((N(H211)+N(H212)+N(H213)+N(H216)+N(H234)+N(H237))-N(H143)+H270),""),"")</f>
        <v/>
      </c>
      <c r="I328" s="258">
        <f>IFERROR(IF(((N(I211)+N(I212)+N(I213)+N(I216)+N(I234)+N(I237))-N(I143)+N(I270))&lt;&gt;0,((N(I211)+N(I212)+N(I213)+N(I216)+N(I234)+N(I237))-N(I143))/((N(I211)+N(I212)+N(I213)+N(I216)+N(I234)+N(I237))-N(I143)+I270),""),"")</f>
        <v>-0.369365426695842</v>
      </c>
      <c r="J328" s="258">
        <f>IFERROR(IF(((N(J211)+N(J212)+N(J213)+N(J216)+N(J234)+N(J237))-N(J143)+N(J270))&lt;&gt;0,((N(J211)+N(J212)+N(J213)+N(J216)+N(J234)+N(J237))-N(J143))/((N(J211)+N(J212)+N(J213)+N(J216)+N(J234)+N(J237))-N(J143)+J270),""),"")</f>
        <v>-0.49427642736009</v>
      </c>
      <c r="K328" s="258">
        <f>IFERROR(IF(((N(K211)+N(K212)+N(K213)+N(K216)+N(K234)+N(K237))-N(K143)+N(K270))&lt;&gt;0,((N(K211)+N(K212)+N(K213)+N(K216)+N(K234)+N(K237))-N(K143))/((N(K211)+N(K212)+N(K213)+N(K216)+N(K234)+N(K237))-N(K143)+K270),""),"")</f>
        <v>-0.470192129486625</v>
      </c>
      <c r="L328" s="258">
        <f>IFERROR(IF(((N(L211)+N(L212)+N(L213)+N(L216)+N(L234)+N(L237))-N(L143)+N(L270))&lt;&gt;0,((N(L211)+N(L212)+N(L213)+N(L216)+N(L234)+N(L237))-N(L143))/((N(L211)+N(L212)+N(L213)+N(L216)+N(L234)+N(L237))-N(L143)+L270),""),"")</f>
        <v>-0.557076824059447</v>
      </c>
      <c r="M328" s="258">
        <f>IFERROR(IF(((N(M211)+N(M212)+N(M213)+N(M216)+N(M234)+N(M237))-N(M143)+N(M270))&lt;&gt;0,((N(M211)+N(M212)+N(M213)+N(M216)+N(M234)+N(M237))-N(M143))/((N(M211)+N(M212)+N(M213)+N(M216)+N(M234)+N(M237))-N(M143)+M270),""),"")</f>
        <v>-0.557076824059447</v>
      </c>
      <c r="N328" s="258">
        <f>IFERROR(IF(((N(N211)+N(N212)+N(N213)+N(N216)+N(N234)+N(N237))-N(N143)+N(N270))&lt;&gt;0,((N(N211)+N(N212)+N(N213)+N(N216)+N(N234)+N(N237))-N(N143))/((N(N211)+N(N212)+N(N213)+N(N216)+N(N234)+N(N237))-N(N143)+N270),""),"")</f>
        <v>-0.488603585770036</v>
      </c>
      <c r="O328" s="258">
        <f>IFERROR(IF(((N(O211)+N(O212)+N(O213)+N(O216)+N(O234)+N(O237))-N(O143)+N(O270))&lt;&gt;0,((N(O211)+N(O212)+N(O213)+N(O216)+N(O234)+N(O237))-N(O143))/((N(O211)+N(O212)+N(O213)+N(O216)+N(O234)+N(O237))-N(O143)+O270),""),"")</f>
        <v>-0.288825245866206</v>
      </c>
      <c r="P328" s="258">
        <f>IFERROR(IF(((N(P211)+N(P212)+N(P213)+N(P216)+N(P234)+N(P237))-N(P143)+N(P270))&lt;&gt;0,((N(P211)+N(P212)+N(P213)+N(P216)+N(P234)+N(P237))-N(P143))/((N(P211)+N(P212)+N(P213)+N(P216)+N(P234)+N(P237))-N(P143)+P270),""),"")</f>
        <v>-0.0699107948281046</v>
      </c>
      <c r="Q328" s="258">
        <f>IFERROR(IF(((N(Q211)+N(Q212)+N(Q213)+N(Q216)+N(Q234)+N(Q237))-N(Q143)+N(Q270))&lt;&gt;0,((N(Q211)+N(Q212)+N(Q213)+N(Q216)+N(Q234)+N(Q237))-N(Q143))/((N(Q211)+N(Q212)+N(Q213)+N(Q216)+N(Q234)+N(Q237))-N(Q143)+Q270),""),"")</f>
        <v>-0.0697483059051307</v>
      </c>
      <c r="R328" s="258">
        <f>IFERROR(IF(((N(R211)+N(R212)+N(R213)+N(R216)+N(R234)+N(R237))-N(R143)+N(R270))&lt;&gt;0,((N(R211)+N(R212)+N(R213)+N(R216)+N(R234)+N(R237))-N(R143))/((N(R211)+N(R212)+N(R213)+N(R216)+N(R234)+N(R237))-N(R143)+R270),""),"")</f>
        <v>-0.0697483059051307</v>
      </c>
      <c r="S328" s="258">
        <f>IFERROR(IF(((N(S211)+N(S212)+N(S213)+N(S216)+N(S234)+N(S237))-N(S143)+N(S270))&lt;&gt;0,((N(S211)+N(S212)+N(S213)+N(S216)+N(S234)+N(S237))-N(S143))/((N(S211)+N(S212)+N(S213)+N(S216)+N(S234)+N(S237))-N(S143)+S270),""),"")</f>
        <v>-0.162470961930498</v>
      </c>
      <c r="T328" s="258">
        <f>IFERROR(IF(((N(T211)+N(T212)+N(T213)+N(T216)+N(T234)+N(T237))-N(T143)+N(T270))&lt;&gt;0,((N(T211)+N(T212)+N(T213)+N(T216)+N(T234)+N(T237))-N(T143))/((N(T211)+N(T212)+N(T213)+N(T216)+N(T234)+N(T237))-N(T143)+T270),""),"")</f>
        <v>-0.237446004319654</v>
      </c>
      <c r="U328" s="258">
        <f>IFERROR(IF(((N(U211)+N(U212)+N(U213)+N(U216)+N(U234)+N(U237))-N(U143)+N(U270))&lt;&gt;0,((N(U211)+N(U212)+N(U213)+N(U216)+N(U234)+N(U237))-N(U143))/((N(U211)+N(U212)+N(U213)+N(U216)+N(U234)+N(U237))-N(U143)+U270),""),"")</f>
        <v>-0.290291299794422</v>
      </c>
      <c r="V328" s="258">
        <f>IFERROR(IF(((N(V211)+N(V212)+N(V213)+N(V216)+N(V234)+N(V237))-N(V143)+N(V270))&lt;&gt;0,((N(V211)+N(V212)+N(V213)+N(V216)+N(V234)+N(V237))-N(V143))/((N(V211)+N(V212)+N(V213)+N(V216)+N(V234)+N(V237))-N(V143)+V270),""),"")</f>
        <v>-0.544748759974121</v>
      </c>
      <c r="W328" s="258">
        <f>IFERROR(IF(((N(W211)+N(W212)+N(W213)+N(W216)+N(W234)+N(W237))-N(W143)+N(W270))&lt;&gt;0,((N(W211)+N(W212)+N(W213)+N(W216)+N(W234)+N(W237))-N(W143))/((N(W211)+N(W212)+N(W213)+N(W216)+N(W234)+N(W237))-N(W143)+W270),""),"")</f>
        <v>-0.544748759974121</v>
      </c>
      <c r="X328" s="258">
        <f>IFERROR(IF(((N(X211)+N(X212)+N(X213)+N(X216)+N(X234)+N(X237))-N(X143)+N(X270))&lt;&gt;0,((N(X211)+N(X212)+N(X213)+N(X216)+N(X234)+N(X237))-N(X143))/((N(X211)+N(X212)+N(X213)+N(X216)+N(X234)+N(X237))-N(X143)+X270),""),"")</f>
        <v>-0.712563164314341</v>
      </c>
      <c r="Y328" s="258">
        <f>IFERROR(IF(((N(Y211)+N(Y212)+N(Y213)+N(Y216)+N(Y234)+N(Y237))-N(Y143)+N(Y270))&lt;&gt;0,((N(Y211)+N(Y212)+N(Y213)+N(Y216)+N(Y234)+N(Y237))-N(Y143))/((N(Y211)+N(Y212)+N(Y213)+N(Y216)+N(Y234)+N(Y237))-N(Y143)+Y270),""),"")</f>
        <v>-0.755842038524244</v>
      </c>
      <c r="Z328" s="258">
        <f>IFERROR(IF(((N(Z211)+N(Z212)+N(Z213)+N(Z216)+N(Z234)+N(Z237))-N(Z143)+N(Z270))&lt;&gt;0,((N(Z211)+N(Z212)+N(Z213)+N(Z216)+N(Z234)+N(Z237))-N(Z143))/((N(Z211)+N(Z212)+N(Z213)+N(Z216)+N(Z234)+N(Z237))-N(Z143)+Z270),""),"")</f>
        <v>-0.763703029654213</v>
      </c>
      <c r="AA328" s="258">
        <f>IFERROR(IF(((N(AA211)+N(AA212)+N(AA213)+N(AA216)+N(AA234)+N(AA237))-N(AA143)+N(AA270))&lt;&gt;0,((N(AA211)+N(AA212)+N(AA213)+N(AA216)+N(AA234)+N(AA237))-N(AA143))/((N(AA211)+N(AA212)+N(AA213)+N(AA216)+N(AA234)+N(AA237))-N(AA143)+AA270),""),"")</f>
        <v>-0.720796546562832</v>
      </c>
      <c r="AB328" s="258">
        <f>IFERROR(IF(((N(AB211)+N(AB212)+N(AB213)+N(AB216)+N(AB234)+N(AB237))-N(AB143)+N(AB270))&lt;&gt;0,((N(AB211)+N(AB212)+N(AB213)+N(AB216)+N(AB234)+N(AB237))-N(AB143))/((N(AB211)+N(AB212)+N(AB213)+N(AB216)+N(AB234)+N(AB237))-N(AB143)+AB270),""),"")</f>
        <v>-0.720796546562832</v>
      </c>
      <c r="AC328" s="258">
        <f>IFERROR(IF(((N(AC211)+N(AC212)+N(AC213)+N(AC216)+N(AC234)+N(AC237))-N(AC143)+N(AC270))&lt;&gt;0,((N(AC211)+N(AC212)+N(AC213)+N(AC216)+N(AC234)+N(AC237))-N(AC143))/((N(AC211)+N(AC212)+N(AC213)+N(AC216)+N(AC234)+N(AC237))-N(AC143)+AC270),""),"")</f>
        <v>-1.08892044746742</v>
      </c>
      <c r="AD328" s="258">
        <f>IFERROR(IF(((N(AD211)+N(AD212)+N(AD213)+N(AD216)+N(AD234)+N(AD237))-N(AD143)+N(AD270))&lt;&gt;0,((N(AD211)+N(AD212)+N(AD213)+N(AD216)+N(AD234)+N(AD237))-N(AD143))/((N(AD211)+N(AD212)+N(AD213)+N(AD216)+N(AD234)+N(AD237))-N(AD143)+AD270),""),"")</f>
        <v>-0.866827003747413</v>
      </c>
      <c r="AE328" s="258">
        <f>IFERROR(IF(((N(AE211)+N(AE212)+N(AE213)+N(AE216)+N(AE234)+N(AE237))-N(AE143)+N(AE270))&lt;&gt;0,((N(AE211)+N(AE212)+N(AE213)+N(AE216)+N(AE234)+N(AE237))-N(AE143))/((N(AE211)+N(AE212)+N(AE213)+N(AE216)+N(AE234)+N(AE237))-N(AE143)+AE270),""),"")</f>
        <v>-0.728907954049731</v>
      </c>
      <c r="AF328" s="258">
        <f>IFERROR(IF(((N(AF211)+N(AF212)+N(AF213)+N(AF216)+N(AF234)+N(AF237))-N(AF143)+N(AF270))&lt;&gt;0,((N(AF211)+N(AF212)+N(AF213)+N(AF216)+N(AF234)+N(AF237))-N(AF143))/((N(AF211)+N(AF212)+N(AF213)+N(AF216)+N(AF234)+N(AF237))-N(AF143)+AF270),""),"")</f>
        <v>-0.325543766801783</v>
      </c>
      <c r="AG328" s="258">
        <f>IFERROR(IF(((N(AG211)+N(AG212)+N(AG213)+N(AG216)+N(AG234)+N(AG237))-N(AG143)+N(AG270))&lt;&gt;0,((N(AG211)+N(AG212)+N(AG213)+N(AG216)+N(AG234)+N(AG237))-N(AG143))/((N(AG211)+N(AG212)+N(AG213)+N(AG216)+N(AG234)+N(AG237))-N(AG143)+AG270),""),"")</f>
        <v>-0.325543766801783</v>
      </c>
      <c r="AH328" s="258">
        <f>IFERROR(IF(((N(AH211)+N(AH212)+N(AH213)+N(AH216)+N(AH234)+N(AH237))-N(AH143)+N(AH270))&lt;&gt;0,((N(AH211)+N(AH212)+N(AH213)+N(AH216)+N(AH234)+N(AH237))-N(AH143))/((N(AH211)+N(AH212)+N(AH213)+N(AH216)+N(AH234)+N(AH237))-N(AH143)+AH270),""),"")</f>
        <v>-0.241207210753904</v>
      </c>
      <c r="AI328" s="258">
        <f>IFERROR(IF(((N(AI211)+N(AI212)+N(AI213)+N(AI216)+N(AI234)+N(AI237))-N(AI143)+N(AI270))&lt;&gt;0,((N(AI211)+N(AI212)+N(AI213)+N(AI216)+N(AI234)+N(AI237))-N(AI143))/((N(AI211)+N(AI212)+N(AI213)+N(AI216)+N(AI234)+N(AI237))-N(AI143)+AI270),""),"")</f>
        <v>-0.0865247284684625</v>
      </c>
      <c r="AJ328" s="258">
        <f>IFERROR(IF(((N(AJ211)+N(AJ212)+N(AJ213)+N(AJ216)+N(AJ234)+N(AJ237))-N(AJ143)+N(AJ270))&lt;&gt;0,((N(AJ211)+N(AJ212)+N(AJ213)+N(AJ216)+N(AJ234)+N(AJ237))-N(AJ143))/((N(AJ211)+N(AJ212)+N(AJ213)+N(AJ216)+N(AJ234)+N(AJ237))-N(AJ143)+AJ270),""),"")</f>
        <v>-0.562300235949057</v>
      </c>
      <c r="AK328" s="258">
        <f>IFERROR(IF(((N(AK211)+N(AK212)+N(AK213)+N(AK216)+N(AK234)+N(AK237))-N(AK143)+N(AK270))&lt;&gt;0,((N(AK211)+N(AK212)+N(AK213)+N(AK216)+N(AK234)+N(AK237))-N(AK143))/((N(AK211)+N(AK212)+N(AK213)+N(AK216)+N(AK234)+N(AK237))-N(AK143)+AK270),""),"")</f>
        <v>-1.17351780484871</v>
      </c>
      <c r="AL328" s="258">
        <f>IFERROR(IF(((N(AL211)+N(AL212)+N(AL213)+N(AL216)+N(AL234)+N(AL237))-N(AL143)+N(AL270))&lt;&gt;0,((N(AL211)+N(AL212)+N(AL213)+N(AL216)+N(AL234)+N(AL237))-N(AL143))/((N(AL211)+N(AL212)+N(AL213)+N(AL216)+N(AL234)+N(AL237))-N(AL143)+AL270),""),"")</f>
        <v>-1.17351780484871</v>
      </c>
      <c r="AM328" s="258">
        <f>IFERROR(IF(((N(AM211)+N(AM212)+N(AM213)+N(AM216)+N(AM234)+N(AM237))-N(AM143)+N(AM270))&lt;&gt;0,((N(AM211)+N(AM212)+N(AM213)+N(AM216)+N(AM234)+N(AM237))-N(AM143))/((N(AM211)+N(AM212)+N(AM213)+N(AM216)+N(AM234)+N(AM237))-N(AM143)+AM270),""),"")</f>
        <v>-2.55027431871851</v>
      </c>
      <c r="AN328" s="258">
        <f>IFERROR(IF(((N(AN211)+N(AN212)+N(AN213)+N(AN216)+N(AN234)+N(AN237))-N(AN143)+N(AN270))&lt;&gt;0,((N(AN211)+N(AN212)+N(AN213)+N(AN216)+N(AN234)+N(AN237))-N(AN143))/((N(AN211)+N(AN212)+N(AN213)+N(AN216)+N(AN234)+N(AN237))-N(AN143)+AN270),""),"")</f>
        <v>-13.7283600908772</v>
      </c>
      <c r="AO328" s="258">
        <f>IFERROR(IF(((N(AO211)+N(AO212)+N(AO213)+N(AO216)+N(AO234)+N(AO237))-N(AO143)+N(AO270))&lt;&gt;0,((N(AO211)+N(AO212)+N(AO213)+N(AO216)+N(AO234)+N(AO237))-N(AO143))/((N(AO211)+N(AO212)+N(AO213)+N(AO216)+N(AO234)+N(AO237))-N(AO143)+AO270),""),"")</f>
        <v>5.41140052910988</v>
      </c>
      <c r="AP328" s="258">
        <f>IFERROR(IF(((N(AP211)+N(AP212)+N(AP213)+N(AP216)+N(AP234)+N(AP237))-N(AP143)+N(AP270))&lt;&gt;0,((N(AP211)+N(AP212)+N(AP213)+N(AP216)+N(AP234)+N(AP237))-N(AP143))/((N(AP211)+N(AP212)+N(AP213)+N(AP216)+N(AP234)+N(AP237))-N(AP143)+AP270),""),"")</f>
        <v>2.7077976395376</v>
      </c>
      <c r="AQ328" s="258">
        <f>IFERROR(IF(((N(AQ211)+N(AQ212)+N(AQ213)+N(AQ216)+N(AQ234)+N(AQ237))-N(AQ143)+N(AQ270))&lt;&gt;0,((N(AQ211)+N(AQ212)+N(AQ213)+N(AQ216)+N(AQ234)+N(AQ237))-N(AQ143))/((N(AQ211)+N(AQ212)+N(AQ213)+N(AQ216)+N(AQ234)+N(AQ237))-N(AQ143)+AQ270),""),"")</f>
        <v>2.7077976395376</v>
      </c>
      <c r="AR328" s="258">
        <f>IFERROR(IF(((N(AR211)+N(AR212)+N(AR213)+N(AR216)+N(AR234)+N(AR237))-N(AR143)+N(AR270))&lt;&gt;0,((N(AR211)+N(AR212)+N(AR213)+N(AR216)+N(AR234)+N(AR237))-N(AR143))/((N(AR211)+N(AR212)+N(AR213)+N(AR216)+N(AR234)+N(AR237))-N(AR143)+AR270),""),"")</f>
        <v>1.92317922068218</v>
      </c>
      <c r="AS328" s="258">
        <f>IFERROR(IF(((N(AS211)+N(AS212)+N(AS213)+N(AS216)+N(AS234)+N(AS237))-N(AS143)+N(AS270))&lt;&gt;0,((N(AS211)+N(AS212)+N(AS213)+N(AS216)+N(AS234)+N(AS237))-N(AS143))/((N(AS211)+N(AS212)+N(AS213)+N(AS216)+N(AS234)+N(AS237))-N(AS143)+AS270),""),"")</f>
        <v>1.55489490033222</v>
      </c>
      <c r="AT328" s="258">
        <f>IFERROR(IF(((N(AT211)+N(AT212)+N(AT213)+N(AT216)+N(AT234)+N(AT237))-N(AT143)+N(AT270))&lt;&gt;0,((N(AT211)+N(AT212)+N(AT213)+N(AT216)+N(AT234)+N(AT237))-N(AT143))/((N(AT211)+N(AT212)+N(AT213)+N(AT216)+N(AT234)+N(AT237))-N(AT143)+AT270),""),"")</f>
        <v>1.34179747126077</v>
      </c>
      <c r="AU328" s="258">
        <f>IFERROR(IF(((N(AU211)+N(AU212)+N(AU213)+N(AU216)+N(AU234)+N(AU237))-N(AU143)+N(AU270))&lt;&gt;0,((N(AU211)+N(AU212)+N(AU213)+N(AU216)+N(AU234)+N(AU237))-N(AU143))/((N(AU211)+N(AU212)+N(AU213)+N(AU216)+N(AU234)+N(AU237))-N(AU143)+AU270),""),"")</f>
        <v>1.22016966481913</v>
      </c>
      <c r="AV328" s="258">
        <f>IFERROR(IF(((N(AV211)+N(AV212)+N(AV213)+N(AV216)+N(AV234)+N(AV237))-N(AV143)+N(AV270))&lt;&gt;0,((N(AV211)+N(AV212)+N(AV213)+N(AV216)+N(AV234)+N(AV237))-N(AV143))/((N(AV211)+N(AV212)+N(AV213)+N(AV216)+N(AV234)+N(AV237))-N(AV143)+AV270),""),"")</f>
        <v>1.22016966481913</v>
      </c>
      <c r="AW328" s="258">
        <f>IFERROR(IF(((N(AW211)+N(AW212)+N(AW213)+N(AW216)+N(AW234)+N(AW237))-N(AW143)+N(AW270))&lt;&gt;0,((N(AW211)+N(AW212)+N(AW213)+N(AW216)+N(AW234)+N(AW237))-N(AW143))/((N(AW211)+N(AW212)+N(AW213)+N(AW216)+N(AW234)+N(AW237))-N(AW143)+AW270),""),"")</f>
        <v>1.1448341291994</v>
      </c>
      <c r="AX328" s="258">
        <f>IFERROR(IF(((N(AX211)+N(AX212)+N(AX213)+N(AX216)+N(AX234)+N(AX237))-N(AX143)+N(AX270))&lt;&gt;0,((N(AX211)+N(AX212)+N(AX213)+N(AX216)+N(AX234)+N(AX237))-N(AX143))/((N(AX211)+N(AX212)+N(AX213)+N(AX216)+N(AX234)+N(AX237))-N(AX143)+AX270),""),"")</f>
        <v>1.09608333479518</v>
      </c>
      <c r="AY328" s="258">
        <f>IFERROR(IF(((N(AY211)+N(AY212)+N(AY213)+N(AY216)+N(AY234)+N(AY237))-N(AY143)+N(AY270))&lt;&gt;0,((N(AY211)+N(AY212)+N(AY213)+N(AY216)+N(AY234)+N(AY237))-N(AY143))/((N(AY211)+N(AY212)+N(AY213)+N(AY216)+N(AY234)+N(AY237))-N(AY143)+AY270),""),"")</f>
        <v>1.06292074307058</v>
      </c>
      <c r="AZ328" s="258">
        <f>IFERROR(IF(((N(AZ211)+N(AZ212)+N(AZ213)+N(AZ216)+N(AZ234)+N(AZ237))-N(AZ143)+N(AZ270))&lt;&gt;0,((N(AZ211)+N(AZ212)+N(AZ213)+N(AZ216)+N(AZ234)+N(AZ237))-N(AZ143))/((N(AZ211)+N(AZ212)+N(AZ213)+N(AZ216)+N(AZ234)+N(AZ237))-N(AZ143)+AZ270),""),"")</f>
        <v>1.04163125159542</v>
      </c>
      <c r="BA328" s="258">
        <f>IFERROR(IF(((N(BA211)+N(BA212)+N(BA213)+N(BA216)+N(BA234)+N(BA237))-N(BA143)+N(BA270))&lt;&gt;0,((N(BA211)+N(BA212)+N(BA213)+N(BA216)+N(BA234)+N(BA237))-N(BA143))/((N(BA211)+N(BA212)+N(BA213)+N(BA216)+N(BA234)+N(BA237))-N(BA143)+BA270),""),"")</f>
        <v>1.04163125159542</v>
      </c>
      <c r="BB328" s="258">
        <f>IFERROR(IF(((N(BB211)+N(BB212)+N(BB213)+N(BB216)+N(BB234)+N(BB237))-N(BB143)+N(BB270))&lt;&gt;0,((N(BB211)+N(BB212)+N(BB213)+N(BB216)+N(BB234)+N(BB237))-N(BB143))/((N(BB211)+N(BB212)+N(BB213)+N(BB216)+N(BB234)+N(BB237))-N(BB143)+BB270),""),"")</f>
        <v>1.02777441032955</v>
      </c>
      <c r="BC328" s="258">
        <f>IFERROR(IF(((N(BC211)+N(BC212)+N(BC213)+N(BC216)+N(BC234)+N(BC237))-N(BC143)+N(BC270))&lt;&gt;0,((N(BC211)+N(BC212)+N(BC213)+N(BC216)+N(BC234)+N(BC237))-N(BC143))/((N(BC211)+N(BC212)+N(BC213)+N(BC216)+N(BC234)+N(BC237))-N(BC143)+BC270),""),"")</f>
        <v>1.01858444328816</v>
      </c>
      <c r="BD328" s="258">
        <f>IFERROR(IF(((N(BD211)+N(BD212)+N(BD213)+N(BD216)+N(BD234)+N(BD237))-N(BD143)+N(BD270))&lt;&gt;0,((N(BD211)+N(BD212)+N(BD213)+N(BD216)+N(BD234)+N(BD237))-N(BD143))/((N(BD211)+N(BD212)+N(BD213)+N(BD216)+N(BD234)+N(BD237))-N(BD143)+BD270),""),"")</f>
        <v>1.01224982499316</v>
      </c>
      <c r="BE328" s="258">
        <f>IFERROR(IF(((N(BE211)+N(BE212)+N(BE213)+N(BE216)+N(BE234)+N(BE237))-N(BE143)+N(BE270))&lt;&gt;0,((N(BE211)+N(BE212)+N(BE213)+N(BE216)+N(BE234)+N(BE237))-N(BE143))/((N(BE211)+N(BE212)+N(BE213)+N(BE216)+N(BE234)+N(BE237))-N(BE143)+BE270),""),"")</f>
        <v>1.00812501667424</v>
      </c>
      <c r="BF328" s="258">
        <f>IFERROR(IF(((N(BF211)+N(BF212)+N(BF213)+N(BF216)+N(BF234)+N(BF237))-N(BF143)+N(BF270))&lt;&gt;0,((N(BF211)+N(BF212)+N(BF213)+N(BF216)+N(BF234)+N(BF237))-N(BF143))/((N(BF211)+N(BF212)+N(BF213)+N(BF216)+N(BF234)+N(BF237))-N(BF143)+BF270),""),"")</f>
        <v>1.00812501667424</v>
      </c>
    </row>
    <row r="329" customFormat="1" s="77">
      <c r="A329" s="76" t="n"/>
      <c r="B329" s="76" t="n"/>
    </row>
    <row r="330" customFormat="1" s="77">
      <c r="A330" s="76" t="n"/>
      <c r="B330" s="76" t="n"/>
      <c r="C330" s="74" t="inlineStr">
        <is>
          <t>FINANCIAL RISK RATIOS</t>
        </is>
      </c>
    </row>
    <row r="331" customFormat="1" s="77">
      <c r="A331" s="76" t="n"/>
      <c r="B331" s="76" t="n"/>
      <c r="C331" s="77" t="inlineStr">
        <is>
          <t>EBITDA / TOTAL INTEREST (LTM)</t>
        </is>
      </c>
      <c r="D331" s="82" t="str">
        <f>IFERROR(D68/-D73,"")</f>
        <v/>
      </c>
      <c r="E331" s="82" t="str">
        <f>IFERROR(E68/-E73,"")</f>
        <v/>
      </c>
      <c r="F331" s="82" t="str">
        <f>IFERROR(F68/-F73,"")</f>
        <v/>
      </c>
      <c r="G331" s="82" t="str">
        <f>IFERROR(G68/-G73,"")</f>
        <v/>
      </c>
      <c r="H331" s="262" t="str">
        <f>IFERROR(IF(AND(COUNT(H68)=1,(H73)&lt;&gt;0),(H68)/-(H73),""),"")</f>
        <v/>
      </c>
      <c r="I331" s="262" t="str">
        <f>""</f>
        <v/>
      </c>
      <c r="J331" s="262" t="str">
        <f>""</f>
        <v/>
      </c>
      <c r="K331" s="262" t="str">
        <f>""</f>
        <v/>
      </c>
      <c r="L331" s="262">
        <f>IFERROR(IF(AND(COUNT(I68,J68,K68,L68)=4,(I73+J73+K73+L73)&lt;&gt;0),(I68+J68+K68+L68)/-(I73+J73+K73+L73),""),"")</f>
        <v>47.521186440678</v>
      </c>
      <c r="M331" s="262">
        <f>IFERROR(IF(AND(COUNT(I68,J68,K68,L68)=4,(I73+J73+K73+L73)&lt;&gt;0),(I68+J68+K68+L68)/-(I73+J73+K73+L73),""),"")</f>
        <v>47.521186440678</v>
      </c>
      <c r="N331" s="262">
        <f>IFERROR(IF(AND(COUNT(J68,K68,L68,N68)=4,(J73+K73+L73+N73)&lt;&gt;0),(J68+K68+L68+N68)/-(J73+K73+L73+N73),""),"")</f>
        <v>44.5418326693227</v>
      </c>
      <c r="O331" s="262">
        <f>IFERROR(IF(AND(COUNT(K68,L68,N68,O68)=4,(K73+L73+N73+O73)&lt;&gt;0),(K68+L68+N68+O68)/-(K73+L73+N73+O73),""),"")</f>
        <v>36.43359375</v>
      </c>
      <c r="P331" s="262">
        <f>IFERROR(IF(AND(COUNT(L68,N68,O68,P68)=4,(L73+N73+O73+P73)&lt;&gt;0),(L68+N68+O68+P68)/-(L73+N73+O73+P73),""),"")</f>
        <v>28.4362934362934</v>
      </c>
      <c r="Q331" s="262">
        <f>IFERROR(IF(AND(COUNT(N68,O68,P68,Q68)=4,(N73+O73+P73+Q73)&lt;&gt;0),(N68+O68+P68+Q68)/-(N73+O73+P73+Q73),""),"")</f>
        <v>22.0152671755725</v>
      </c>
      <c r="R331" s="262">
        <f>IFERROR(IF(AND(COUNT(N68,O68,P68,Q68)=4,(N73+O73+P73+Q73)&lt;&gt;0),(N68+O68+P68+Q68)/-(N73+O73+P73+Q73),""),"")</f>
        <v>22.0152671755725</v>
      </c>
      <c r="S331" s="262">
        <f>IFERROR(IF(AND(COUNT(O68,P68,Q68,S68)=4,(O73+P73+Q73+S73)&lt;&gt;0),(O68+P68+Q68+S68)/-(O73+P73+Q73+S73),""),"")</f>
        <v>23.4230769230769</v>
      </c>
      <c r="T331" s="262">
        <f>IFERROR(IF(AND(COUNT(P68,Q68,S68,T68)=4,(P73+Q73+S73+T73)&lt;&gt;0),(P68+Q68+S68+T68)/-(P73+Q73+S73+T73),""),"")</f>
        <v>47.6076923076923</v>
      </c>
      <c r="U331" s="262">
        <f>IFERROR(IF(AND(COUNT(Q68,S68,T68,U68)=4,(Q73+S73+T73+U73)&lt;&gt;0),(Q68+S68+T68+U68)/-(Q73+S73+T73+U73),""),"")</f>
        <v>85.8914728682171</v>
      </c>
      <c r="V331" s="262">
        <f>IFERROR(IF(AND(COUNT(S68,T68,U68,V68)=4,(S73+T73+U73+V73)&lt;&gt;0),(S68+T68+U68+V68)/-(S73+T73+U73+V73),""),"")</f>
        <v>134.15953307393</v>
      </c>
      <c r="W331" s="262">
        <f>IFERROR(IF(AND(COUNT(S68,T68,U68,V68)=4,(S73+T73+U73+V73)&lt;&gt;0),(S68+T68+U68+V68)/-(S73+T73+U73+V73),""),"")</f>
        <v>134.15953307393</v>
      </c>
      <c r="X331" s="262">
        <f>IFERROR(IF(AND(COUNT(T68,U68,V68,X68)=4,(T73+U73+V73+X73)&lt;&gt;0),(T68+U68+V68+X68)/-(T73+U73+V73+X73),""),"")</f>
        <v>193.23137254902</v>
      </c>
      <c r="Y331" s="262">
        <f>IFERROR(IF(AND(COUNT(U68,V68,X68,Y68)=4,(U73+V73+X73+Y73)&lt;&gt;0),(U68+V68+X68+Y68)/-(U73+V73+X73+Y73),""),"")</f>
        <v>243.760956175299</v>
      </c>
      <c r="Z331" s="262">
        <f>IFERROR(IF(AND(COUNT(V68,X68,Y68,Z68)=4,(V73+X73+Y73+Z73)&lt;&gt;0),(V68+X68+Y68+Z68)/-(V73+X73+Y73+Z73),""),"")</f>
        <v>292.136546184739</v>
      </c>
      <c r="AA331" s="262">
        <f>IFERROR(IF(AND(COUNT(X68,Y68,Z68,AA68)=4,(X73+Y73+Z73+AA73)&lt;&gt;0),(X68+Y68+Z68+AA68)/-(X73+Y73+Z73+AA73),""),"")</f>
        <v>337.31983805668</v>
      </c>
      <c r="AB331" s="262">
        <f>IFERROR(IF(AND(COUNT(X68,Y68,Z68,AA68)=4,(X73+Y73+Z73+AA73)&lt;&gt;0),(X68+Y68+Z68+AA68)/-(X73+Y73+Z73+AA73),""),"")</f>
        <v>337.31983805668</v>
      </c>
      <c r="AC331" s="262">
        <f>IFERROR(IF(AND(COUNT(Y68,Z68,AA68,AC68)=4,(Y73+Z73+AA73+AC73)&lt;&gt;0),(Y68+Z68+AA68+AC68)/-(Y73+Z73+AA73+AC73),""),"")</f>
        <v>358.731707317073</v>
      </c>
      <c r="AD331" s="262">
        <f>IFERROR(IF(AND(COUNT(Z68,AA68,AC68,AD68)=4,(Z73+AA73+AC73+AD73)&lt;&gt;0),(Z68+AA68+AC68+AD68)/-(Z73+AA73+AC73+AD73),""),"")</f>
        <v>397.902834008097</v>
      </c>
      <c r="AE331" s="262">
        <f>IFERROR(IF(AND(COUNT(AA68,AC68,AD68,AE68)=4,(AA73+AC73+AD73+AE73)&lt;&gt;0),(AA68+AC68+AD68+AE68)/-(AA73+AC73+AD73+AE73),""),"")</f>
        <v>456.259109311741</v>
      </c>
      <c r="AF331" s="262">
        <f>IFERROR(IF(AND(COUNT(AB68,AD68,AE68,AF68)=4,(AB73+AD73+AE73+AF73)&lt;&gt;0),(AB68+AD68+AE68+AF68)/-(AB73+AD73+AE73+AF73),""),"")</f>
        <v>438.598194130926</v>
      </c>
      <c r="AG331" s="262">
        <f>IFERROR(IF(AND(COUNT(AC68,AD68,AE68,AF68)=4,(AC73+AD73+AE73+AF73)&lt;&gt;0),(AC68+AD68+AE68+AF68)/-(AC73+AD73+AE73+AF73),""),"")</f>
        <v>514.401544401544</v>
      </c>
      <c r="AH331" s="262">
        <f>IFERROR(IF(AND(COUNT(AD68,AF68,AG68,AH68)=4,(AD73+AF73+AG73+AH73)&lt;&gt;0),(AD68+AF68+AG68+AH68)/-(AD73+AF73+AG73+AH73),""),"")</f>
        <v>528.191532258065</v>
      </c>
      <c r="AI331" s="262">
        <f>IFERROR(IF(AND(COUNT(AE68,AG68,AH68,AI68)=4,(AE73+AG73+AH73+AI73)&lt;&gt;0),(AE68+AG68+AH68+AI68)/-(AE73+AG73+AH73+AI73),""),"")</f>
        <v>445.893682588598</v>
      </c>
      <c r="AJ331" s="262" t="str">
        <f>IFERROR(IF(AND(COUNT(AF68,AH68,AI68,AJ68)=4,(AF73+AH73+AI73+AJ73)&lt;&gt;0),(AF68+AH68+AI68+AJ68)/-(AF73+AH73+AI73+AJ73),""),"")</f>
        <v/>
      </c>
      <c r="AK331" s="262" t="str">
        <f>IFERROR(IF(AND(COUNT(AH68,AI68,AJ68,AK68)=4,(AH73+AI73+AJ73+AK73)&lt;&gt;0),(AH68+AI68+AJ68+AK68)/-(AH73+AI73+AJ73+AK73),""),"")</f>
        <v/>
      </c>
      <c r="AL331" s="262" t="str">
        <f>IFERROR(IF(AND(COUNT(AH68,AI68,AJ68,AK68)=4,(AH73+AI73+AJ73+AK73)&lt;&gt;0),(AH68+AI68+AJ68+AK68)/-(AH73+AI73+AJ73+AK73),""),"")</f>
        <v/>
      </c>
      <c r="AM331" s="262" t="str">
        <f>IFERROR(IF(AND(COUNT(AI68,AJ68,AK68,AM68)=4,(AI73+AJ73+AK73+AM73)&lt;&gt;0),(AI68+AJ68+AK68+AM68)/-(AI73+AJ73+AK73+AM73),""),"")</f>
        <v/>
      </c>
      <c r="AN331" s="262" t="str">
        <f>IFERROR(IF(AND(COUNT(AJ68,AK68,AM68,AN68)=4,(AJ73+AK73+AM73+AN73)&lt;&gt;0),(AJ68+AK68+AM68+AN68)/-(AJ73+AK73+AM73+AN73),""),"")</f>
        <v/>
      </c>
      <c r="AO331" s="262" t="str">
        <f>IFERROR(IF(AND(COUNT(AK68,AM68,AN68,AO68)=4,(AK73+AM73+AN73+AO73)&lt;&gt;0),(AK68+AM68+AN68+AO68)/-(AK73+AM73+AN73+AO73),""),"")</f>
        <v/>
      </c>
      <c r="AP331" s="262" t="str">
        <f>IFERROR(IF(AND(COUNT(AM68,AN68,AO68,AP68)=4,(AM73+AN73+AO73+AP73)&lt;&gt;0),(AM68+AN68+AO68+AP68)/-(AM73+AN73+AO73+AP73),""),"")</f>
        <v/>
      </c>
      <c r="AQ331" s="262" t="str">
        <f>IFERROR(IF(AND(COUNT(AM68,AN68,AO68,AP68)=4,(AM73+AN73+AO73+AP73)&lt;&gt;0),(AM68+AN68+AO68+AP68)/-(AM73+AN73+AO73+AP73),""),"")</f>
        <v/>
      </c>
      <c r="AR331" s="262" t="str">
        <f>IFERROR(IF(AND(COUNT(AN68,AO68,AP68,AR68)=4,(AN73+AO73+AP73+AR73)&lt;&gt;0),(AN68+AO68+AP68+AR68)/-(AN73+AO73+AP73+AR73),""),"")</f>
        <v/>
      </c>
      <c r="AS331" s="262" t="str">
        <f>IFERROR(IF(AND(COUNT(AO68,AP68,AR68,AS68)=4,(AO73+AP73+AR73+AS73)&lt;&gt;0),(AO68+AP68+AR68+AS68)/-(AO73+AP73+AR73+AS73),""),"")</f>
        <v/>
      </c>
      <c r="AT331" s="262" t="str">
        <f>IFERROR(IF(AND(COUNT(AP68,AR68,AS68,AT68)=4,(AP73+AR73+AS73+AT73)&lt;&gt;0),(AP68+AR68+AS68+AT68)/-(AP73+AR73+AS73+AT73),""),"")</f>
        <v/>
      </c>
      <c r="AU331" s="262" t="str">
        <f>IFERROR(IF(AND(COUNT(AR68,AS68,AT68,AU68)=4,(AR73+AS73+AT73+AU73)&lt;&gt;0),(AR68+AS68+AT68+AU68)/-(AR73+AS73+AT73+AU73),""),"")</f>
        <v/>
      </c>
      <c r="AV331" s="262" t="str">
        <f>IFERROR(IF(AND(COUNT(AR68,AS68,AT68,AU68)=4,(AR73+AS73+AT73+AU73)&lt;&gt;0),(AR68+AS68+AT68+AU68)/-(AR73+AS73+AT73+AU73),""),"")</f>
        <v/>
      </c>
      <c r="AW331" s="262" t="str">
        <f>IFERROR(IF(AND(COUNT(AS68,AT68,AU68,AW68)=4,(AS73+AT73+AU73+AW73)&lt;&gt;0),(AS68+AT68+AU68+AW68)/-(AS73+AT73+AU73+AW73),""),"")</f>
        <v/>
      </c>
      <c r="AX331" s="262" t="str">
        <f>IFERROR(IF(AND(COUNT(AT68,AU68,AW68,AX68)=4,(AT73+AU73+AW73+AX73)&lt;&gt;0),(AT68+AU68+AW68+AX68)/-(AT73+AU73+AW73+AX73),""),"")</f>
        <v/>
      </c>
      <c r="AY331" s="262" t="str">
        <f>IFERROR(IF(AND(COUNT(AU68,AW68,AX68,AY68)=4,(AU73+AW73+AX73+AY73)&lt;&gt;0),(AU68+AW68+AX68+AY68)/-(AU73+AW73+AX73+AY73),""),"")</f>
        <v/>
      </c>
      <c r="AZ331" s="262" t="str">
        <f>IFERROR(IF(AND(COUNT(AW68,AX68,AY68,AZ68)=4,(AW73+AX73+AY73+AZ73)&lt;&gt;0),(AW68+AX68+AY68+AZ68)/-(AW73+AX73+AY73+AZ73),""),"")</f>
        <v/>
      </c>
      <c r="BA331" s="262" t="str">
        <f>IFERROR(IF(AND(COUNT(AW68,AX68,AY68,AZ68)=4,(AW73+AX73+AY73+AZ73)&lt;&gt;0),(AW68+AX68+AY68+AZ68)/-(AW73+AX73+AY73+AZ73),""),"")</f>
        <v/>
      </c>
      <c r="BB331" s="262" t="str">
        <f>IFERROR(IF(AND(COUNT(AX68,AY68,AZ68,BB68)=4,(AX73+AY73+AZ73+BB73)&lt;&gt;0),(AX68+AY68+AZ68+BB68)/-(AX73+AY73+AZ73+BB73),""),"")</f>
        <v/>
      </c>
      <c r="BC331" s="262" t="str">
        <f>IFERROR(IF(AND(COUNT(AY68,AZ68,BB68,BC68)=4,(AY73+AZ73+BB73+BC73)&lt;&gt;0),(AY68+AZ68+BB68+BC68)/-(AY73+AZ73+BB73+BC73),""),"")</f>
        <v/>
      </c>
      <c r="BD331" s="262" t="str">
        <f>IFERROR(IF(AND(COUNT(AZ68,BB68,BC68,BD68)=4,(AZ73+BB73+BC73+BD73)&lt;&gt;0),(AZ68+BB68+BC68+BD68)/-(AZ73+BB73+BC73+BD73),""),"")</f>
        <v/>
      </c>
      <c r="BE331" s="262" t="str">
        <f>IFERROR(IF(AND(COUNT(BB68,BC68,BD68,BE68)=4,(BB73+BC73+BD73+BE73)&lt;&gt;0),(BB68+BC68+BD68+BE68)/-(BB73+BC73+BD73+BE73),""),"")</f>
        <v/>
      </c>
      <c r="BF331" s="262" t="str">
        <f>IFERROR(IF(AND(COUNT(BB68,BC68,BD68,BE68)=4,(BB73+BC73+BD73+BE73)&lt;&gt;0),(BB68+BC68+BD68+BE68)/-(BB73+BC73+BD73+BE73),""),"")</f>
        <v/>
      </c>
      <c r="BG331" s="82" t="n"/>
      <c r="BH331" s="82" t="n"/>
      <c r="BI331" s="82" t="n"/>
      <c r="BJ331" s="82" t="n"/>
      <c r="BL331" s="82" t="n"/>
      <c r="BM331" s="82" t="n"/>
      <c r="BN331" s="82" t="n"/>
      <c r="BO331" s="82" t="n"/>
      <c r="BQ331" s="82" t="n"/>
      <c r="BR331" s="82" t="n"/>
      <c r="BS331" s="82" t="n"/>
      <c r="BT331" s="82" t="n"/>
      <c r="BV331" s="82" t="n"/>
      <c r="BW331" s="82" t="n"/>
      <c r="BX331" s="82" t="n"/>
      <c r="BY331" s="82" t="n"/>
      <c r="CA331" s="82" t="n"/>
      <c r="CB331" s="82" t="n"/>
      <c r="CC331" s="82" t="n"/>
      <c r="CD331" s="82" t="n"/>
      <c r="CF331" s="82" t="n"/>
      <c r="CG331" s="82" t="n"/>
      <c r="CH331" s="82" t="n"/>
      <c r="CI331" s="82" t="n"/>
      <c r="CK331" s="82" t="n"/>
      <c r="CL331" s="82" t="n"/>
      <c r="CM331" s="82" t="n"/>
      <c r="CN331" s="82" t="n"/>
      <c r="CP331" s="82" t="n"/>
      <c r="CQ331" s="82" t="n"/>
      <c r="CR331" s="82" t="n"/>
      <c r="CS331" s="82" t="n"/>
      <c r="CU331" s="82" t="n"/>
      <c r="CV331" s="82" t="n"/>
      <c r="CW331" s="82" t="n"/>
      <c r="CX331" s="82" t="n"/>
    </row>
    <row r="332" customFormat="1" s="77">
      <c r="A332" s="76" t="n"/>
      <c r="B332" s="76" t="n"/>
      <c r="C332" s="77" t="inlineStr">
        <is>
          <t>(EBITDA - CAPEX) / TOTAL INTEREST (LTM)</t>
        </is>
      </c>
      <c r="D332" s="82" t="str">
        <f>IFERROR((D68-D167)/-D73,"")</f>
        <v/>
      </c>
      <c r="E332" s="82" t="str">
        <f>IFERROR((E68-E167)/-E73,"")</f>
        <v/>
      </c>
      <c r="F332" s="82" t="str">
        <f>IFERROR((F68-F167)/-F73,"")</f>
        <v/>
      </c>
      <c r="G332" s="82" t="str">
        <f>IFERROR((G68-G167)/-G73,"")</f>
        <v/>
      </c>
      <c r="H332" s="262" t="str">
        <f>IFERROR(IF(AND(COUNT(H68)=1,(H73)&lt;&gt;0),((H68)-(H167))/-(H73),""),"")</f>
        <v/>
      </c>
      <c r="I332" s="262" t="str">
        <f>""</f>
        <v/>
      </c>
      <c r="J332" s="262" t="str">
        <f>""</f>
        <v/>
      </c>
      <c r="K332" s="262" t="str">
        <f>""</f>
        <v/>
      </c>
      <c r="L332" s="262">
        <f>IFERROR(IF(AND(COUNT(I68,J68,K68,L68)=4,(I73+J73+K73+L73)&lt;&gt;0),((I68+J68+K68+L68)-(I167+J167+K167+L167))/-(I73+J73+K73+L73),""),"")</f>
        <v>41.5762711864407</v>
      </c>
      <c r="M332" s="262">
        <f>IFERROR(IF(AND(COUNT(I68,J68,K68,L68)=4,(I73+J73+K73+L73)&lt;&gt;0),((I68+J68+K68+L68)-(I167+J167+K167+L167))/-(I73+J73+K73+L73),""),"")</f>
        <v>41.5762711864407</v>
      </c>
      <c r="N332" s="262">
        <f>IFERROR(IF(AND(COUNT(J68,K68,L68,N68)=4,(J73+K73+L73+N73)&lt;&gt;0),((J68+K68+L68+N68)-(J167+K167+L167+N167))/-(J73+K73+L73+N73),""),"")</f>
        <v>37.0717131474104</v>
      </c>
      <c r="O332" s="262">
        <f>IFERROR(IF(AND(COUNT(K68,L68,N68,O68)=4,(K73+L73+N73+O73)&lt;&gt;0),((K68+L68+N68+O68)-(K167+L167+N167+O167))/-(K73+L73+N73+O73),""),"")</f>
        <v>27.88671875</v>
      </c>
      <c r="P332" s="262">
        <f>IFERROR(IF(AND(COUNT(L68,N68,O68,P68)=4,(L73+N73+O73+P73)&lt;&gt;0),((L68+N68+O68+P68)-(L167+N167+O167+P167))/-(L73+N73+O73+P73),""),"")</f>
        <v>18.042471042471</v>
      </c>
      <c r="Q332" s="262">
        <f>IFERROR(IF(AND(COUNT(N68,O68,P68,Q68)=4,(N73+O73+P73+Q73)&lt;&gt;0),((N68+O68+P68+Q68)-(N167+O167+P167+Q167))/-(N73+O73+P73+Q73),""),"")</f>
        <v>12.1946564885496</v>
      </c>
      <c r="R332" s="262">
        <f>IFERROR(IF(AND(COUNT(N68,O68,P68,Q68)=4,(N73+O73+P73+Q73)&lt;&gt;0),((N68+O68+P68+Q68)-(N167+O167+P167+Q167))/-(N73+O73+P73+Q73),""),"")</f>
        <v>12.1946564885496</v>
      </c>
      <c r="S332" s="262">
        <f>IFERROR(IF(AND(COUNT(O68,P68,Q68,S68)=4,(O73+P73+Q73+S73)&lt;&gt;0),((O68+P68+Q68+S68)-(O167+P167+Q167+S167))/-(O73+P73+Q73+S73),""),"")</f>
        <v>14.1230769230769</v>
      </c>
      <c r="T332" s="262">
        <f>IFERROR(IF(AND(COUNT(P68,Q68,S68,T68)=4,(P73+Q73+S73+T73)&lt;&gt;0),((P68+Q68+S68+T68)-(P167+Q167+S167+T167))/-(P73+Q73+S73+T73),""),"")</f>
        <v>39.35</v>
      </c>
      <c r="U332" s="262">
        <f>IFERROR(IF(AND(COUNT(Q68,S68,T68,U68)=4,(Q73+S73+T73+U73)&lt;&gt;0),((Q68+S68+T68+U68)-(Q167+S167+T167+U167))/-(Q73+S73+T73+U73),""),"")</f>
        <v>79.6240310077519</v>
      </c>
      <c r="V332" s="262">
        <f>IFERROR(IF(AND(COUNT(S68,T68,U68,V68)=4,(S73+T73+U73+V73)&lt;&gt;0),((S68+T68+U68+V68)-(S167+T167+U167+V167))/-(S73+T73+U73+V73),""),"")</f>
        <v>127.875486381323</v>
      </c>
      <c r="W332" s="262">
        <f>IFERROR(IF(AND(COUNT(S68,T68,U68,V68)=4,(S73+T73+U73+V73)&lt;&gt;0),((S68+T68+U68+V68)-(S167+T167+U167+V167))/-(S73+T73+U73+V73),""),"")</f>
        <v>127.875486381323</v>
      </c>
      <c r="X332" s="262">
        <f>IFERROR(IF(AND(COUNT(T68,U68,V68,X68)=4,(T73+U73+V73+X73)&lt;&gt;0),((T68+U68+V68+X68)-(T167+U167+V167+X167))/-(T73+U73+V73+X73),""),"")</f>
        <v>186.172549019608</v>
      </c>
      <c r="Y332" s="262">
        <f>IFERROR(IF(AND(COUNT(U68,V68,X68,Y68)=4,(U73+V73+X73+Y73)&lt;&gt;0),((U68+V68+X68+Y68)-(U167+V167+X167+Y167))/-(U73+V73+X73+Y73),""),"")</f>
        <v>233.051792828685</v>
      </c>
      <c r="Z332" s="262">
        <f>IFERROR(IF(AND(COUNT(V68,X68,Y68,Z68)=4,(V73+X73+Y73+Z73)&lt;&gt;0),((V68+X68+Y68+Z68)-(V167+X167+Y167+Z167))/-(V73+X73+Y73+Z73),""),"")</f>
        <v>279.25702811245</v>
      </c>
      <c r="AA332" s="262">
        <f>IFERROR(IF(AND(COUNT(X68,Y68,Z68,AA68)=4,(X73+Y73+Z73+AA73)&lt;&gt;0),((X68+Y68+Z68+AA68)-(X167+Y167+Z167+AA167))/-(X73+Y73+Z73+AA73),""),"")</f>
        <v>320.182186234818</v>
      </c>
      <c r="AB332" s="262">
        <f>IFERROR(IF(AND(COUNT(X68,Y68,Z68,AA68)=4,(X73+Y73+Z73+AA73)&lt;&gt;0),((X68+Y68+Z68+AA68)-(X167+Y167+Z167+AA167))/-(X73+Y73+Z73+AA73),""),"")</f>
        <v>320.182186234818</v>
      </c>
      <c r="AC332" s="262">
        <f>IFERROR(IF(AND(COUNT(Y68,Z68,AA68,AC68)=4,(Y73+Z73+AA73+AC73)&lt;&gt;0),((Y68+Z68+AA68+AC68)-(Y167+Z167+AA167+AC167))/-(Y73+Z73+AA73+AC73),""),"")</f>
        <v>337.613821138211</v>
      </c>
      <c r="AD332" s="262">
        <f>IFERROR(IF(AND(COUNT(Z68,AA68,AC68,AD68)=4,(Z73+AA73+AC73+AD73)&lt;&gt;0),((Z68+AA68+AC68+AD68)-(Z167+AA167+AC167+AD167))/-(Z73+AA73+AC73+AD73),""),"")</f>
        <v>371.356275303644</v>
      </c>
      <c r="AE332" s="262">
        <f>IFERROR(IF(AND(COUNT(AA68,AC68,AD68,AE68)=4,(AA73+AC73+AD73+AE73)&lt;&gt;0),((AA68+AC68+AD68+AE68)-(AA167+AC167+AD167+AE167))/-(AA73+AC73+AD73+AE73),""),"")</f>
        <v>427.874493927126</v>
      </c>
      <c r="AF332" s="262">
        <f>IFERROR(IF(AND(COUNT(AB68,AD68,AE68,AF68)=4,(AB73+AD73+AE73+AF73)&lt;&gt;0),((AB68+AD68+AE68+AF68)-(AB167+AD167+AE167+AF167))/-(AB73+AD73+AE73+AF73),""),"")</f>
        <v>426.230248306998</v>
      </c>
      <c r="AG332" s="262">
        <f>IFERROR(IF(AND(COUNT(AC68,AD68,AE68,AF68)=4,(AC73+AD73+AE73+AF73)&lt;&gt;0),((AC68+AD68+AE68+AF68)-(AC167+AD167+AE167+AF167))/-(AC73+AD73+AE73+AF73),""),"")</f>
        <v>487.594594594595</v>
      </c>
      <c r="AH332" s="262">
        <f>IFERROR(IF(AND(COUNT(AD68,AF68,AG68,AH68)=4,(AD73+AF73+AG73+AH73)&lt;&gt;0),((AD68+AF68+AG68+AH68)-(AD167+AF167+AG167+AH167))/-(AD73+AF73+AG73+AH73),""),"")</f>
        <v>499.866935483871</v>
      </c>
      <c r="AI332" s="262">
        <f>IFERROR(IF(AND(COUNT(AE68,AG68,AH68,AI68)=4,(AE73+AG73+AH73+AI73)&lt;&gt;0),((AE68+AG68+AH68+AI68)-(AE167+AG167+AH167+AI167))/-(AE73+AG73+AH73+AI73),""),"")</f>
        <v>423.768875192604</v>
      </c>
      <c r="AJ332" s="262" t="str">
        <f>IFERROR(IF(AND(COUNT(AF68,AH68,AI68,AJ68)=4,(AF73+AH73+AI73+AJ73)&lt;&gt;0),((AF68+AH68+AI68+AJ68)-(AF167+AH167+AI167+AJ167))/-(AF73+AH73+AI73+AJ73),""),"")</f>
        <v/>
      </c>
      <c r="AK332" s="262" t="str">
        <f>IFERROR(IF(AND(COUNT(AH68,AI68,AJ68,AK68)=4,(AH73+AI73+AJ73+AK73)&lt;&gt;0),((AH68+AI68+AJ68+AK68)-(AH167+AI167+AJ167+AK167))/-(AH73+AI73+AJ73+AK73),""),"")</f>
        <v/>
      </c>
      <c r="AL332" s="262" t="str">
        <f>IFERROR(IF(AND(COUNT(AH68,AI68,AJ68,AK68)=4,(AH73+AI73+AJ73+AK73)&lt;&gt;0),((AH68+AI68+AJ68+AK68)-(AH167+AI167+AJ167+AK167))/-(AH73+AI73+AJ73+AK73),""),"")</f>
        <v/>
      </c>
      <c r="AM332" s="262" t="str">
        <f>IFERROR(IF(AND(COUNT(AI68,AJ68,AK68,AM68)=4,(AI73+AJ73+AK73+AM73)&lt;&gt;0),((AI68+AJ68+AK68+AM68)-(AI167+AJ167+AK167+AM167))/-(AI73+AJ73+AK73+AM73),""),"")</f>
        <v/>
      </c>
      <c r="AN332" s="262" t="str">
        <f>IFERROR(IF(AND(COUNT(AJ68,AK68,AM68,AN68)=4,(AJ73+AK73+AM73+AN73)&lt;&gt;0),((AJ68+AK68+AM68+AN68)-(AJ167+AK167+AM167+AN167))/-(AJ73+AK73+AM73+AN73),""),"")</f>
        <v/>
      </c>
      <c r="AO332" s="262" t="str">
        <f>IFERROR(IF(AND(COUNT(AK68,AM68,AN68,AO68)=4,(AK73+AM73+AN73+AO73)&lt;&gt;0),((AK68+AM68+AN68+AO68)-(AK167+AM167+AN167+AO167))/-(AK73+AM73+AN73+AO73),""),"")</f>
        <v/>
      </c>
      <c r="AP332" s="262" t="str">
        <f>IFERROR(IF(AND(COUNT(AM68,AN68,AO68,AP68)=4,(AM73+AN73+AO73+AP73)&lt;&gt;0),((AM68+AN68+AO68+AP68)-(AM167+AN167+AO167+AP167))/-(AM73+AN73+AO73+AP73),""),"")</f>
        <v/>
      </c>
      <c r="AQ332" s="262" t="str">
        <f>IFERROR(IF(AND(COUNT(AM68,AN68,AO68,AP68)=4,(AM73+AN73+AO73+AP73)&lt;&gt;0),((AM68+AN68+AO68+AP68)-(AM167+AN167+AO167+AP167))/-(AM73+AN73+AO73+AP73),""),"")</f>
        <v/>
      </c>
      <c r="AR332" s="262" t="str">
        <f>IFERROR(IF(AND(COUNT(AN68,AO68,AP68,AR68)=4,(AN73+AO73+AP73+AR73)&lt;&gt;0),((AN68+AO68+AP68+AR68)-(AN167+AO167+AP167+AR167))/-(AN73+AO73+AP73+AR73),""),"")</f>
        <v/>
      </c>
      <c r="AS332" s="262" t="str">
        <f>IFERROR(IF(AND(COUNT(AO68,AP68,AR68,AS68)=4,(AO73+AP73+AR73+AS73)&lt;&gt;0),((AO68+AP68+AR68+AS68)-(AO167+AP167+AR167+AS167))/-(AO73+AP73+AR73+AS73),""),"")</f>
        <v/>
      </c>
      <c r="AT332" s="262" t="str">
        <f>IFERROR(IF(AND(COUNT(AP68,AR68,AS68,AT68)=4,(AP73+AR73+AS73+AT73)&lt;&gt;0),((AP68+AR68+AS68+AT68)-(AP167+AR167+AS167+AT167))/-(AP73+AR73+AS73+AT73),""),"")</f>
        <v/>
      </c>
      <c r="AU332" s="262" t="str">
        <f>IFERROR(IF(AND(COUNT(AR68,AS68,AT68,AU68)=4,(AR73+AS73+AT73+AU73)&lt;&gt;0),((AR68+AS68+AT68+AU68)-(AR167+AS167+AT167+AU167))/-(AR73+AS73+AT73+AU73),""),"")</f>
        <v/>
      </c>
      <c r="AV332" s="262" t="str">
        <f>IFERROR(IF(AND(COUNT(AR68,AS68,AT68,AU68)=4,(AR73+AS73+AT73+AU73)&lt;&gt;0),((AR68+AS68+AT68+AU68)-(AR167+AS167+AT167+AU167))/-(AR73+AS73+AT73+AU73),""),"")</f>
        <v/>
      </c>
      <c r="AW332" s="262" t="str">
        <f>IFERROR(IF(AND(COUNT(AS68,AT68,AU68,AW68)=4,(AS73+AT73+AU73+AW73)&lt;&gt;0),((AS68+AT68+AU68+AW68)-(AS167+AT167+AU167+AW167))/-(AS73+AT73+AU73+AW73),""),"")</f>
        <v/>
      </c>
      <c r="AX332" s="262" t="str">
        <f>IFERROR(IF(AND(COUNT(AT68,AU68,AW68,AX68)=4,(AT73+AU73+AW73+AX73)&lt;&gt;0),((AT68+AU68+AW68+AX68)-(AT167+AU167+AW167+AX167))/-(AT73+AU73+AW73+AX73),""),"")</f>
        <v/>
      </c>
      <c r="AY332" s="262" t="str">
        <f>IFERROR(IF(AND(COUNT(AU68,AW68,AX68,AY68)=4,(AU73+AW73+AX73+AY73)&lt;&gt;0),((AU68+AW68+AX68+AY68)-(AU167+AW167+AX167+AY167))/-(AU73+AW73+AX73+AY73),""),"")</f>
        <v/>
      </c>
      <c r="AZ332" s="262" t="str">
        <f>IFERROR(IF(AND(COUNT(AW68,AX68,AY68,AZ68)=4,(AW73+AX73+AY73+AZ73)&lt;&gt;0),((AW68+AX68+AY68+AZ68)-(AW167+AX167+AY167+AZ167))/-(AW73+AX73+AY73+AZ73),""),"")</f>
        <v/>
      </c>
      <c r="BA332" s="262" t="str">
        <f>IFERROR(IF(AND(COUNT(AW68,AX68,AY68,AZ68)=4,(AW73+AX73+AY73+AZ73)&lt;&gt;0),((AW68+AX68+AY68+AZ68)-(AW167+AX167+AY167+AZ167))/-(AW73+AX73+AY73+AZ73),""),"")</f>
        <v/>
      </c>
      <c r="BB332" s="262" t="str">
        <f>IFERROR(IF(AND(COUNT(AX68,AY68,AZ68,BB68)=4,(AX73+AY73+AZ73+BB73)&lt;&gt;0),((AX68+AY68+AZ68+BB68)-(AX167+AY167+AZ167+BB167))/-(AX73+AY73+AZ73+BB73),""),"")</f>
        <v/>
      </c>
      <c r="BC332" s="262" t="str">
        <f>IFERROR(IF(AND(COUNT(AY68,AZ68,BB68,BC68)=4,(AY73+AZ73+BB73+BC73)&lt;&gt;0),((AY68+AZ68+BB68+BC68)-(AY167+AZ167+BB167+BC167))/-(AY73+AZ73+BB73+BC73),""),"")</f>
        <v/>
      </c>
      <c r="BD332" s="262" t="str">
        <f>IFERROR(IF(AND(COUNT(AZ68,BB68,BC68,BD68)=4,(AZ73+BB73+BC73+BD73)&lt;&gt;0),((AZ68+BB68+BC68+BD68)-(AZ167+BB167+BC167+BD167))/-(AZ73+BB73+BC73+BD73),""),"")</f>
        <v/>
      </c>
      <c r="BE332" s="262" t="str">
        <f>IFERROR(IF(AND(COUNT(BB68,BC68,BD68,BE68)=4,(BB73+BC73+BD73+BE73)&lt;&gt;0),((BB68+BC68+BD68+BE68)-(BB167+BC167+BD167+BE167))/-(BB73+BC73+BD73+BE73),""),"")</f>
        <v/>
      </c>
      <c r="BF332" s="262" t="str">
        <f>IFERROR(IF(AND(COUNT(BB68,BC68,BD68,BE68)=4,(BB73+BC73+BD73+BE73)&lt;&gt;0),((BB68+BC68+BD68+BE68)-(BB167+BC167+BD167+BE167))/-(BB73+BC73+BD73+BE73),""),"")</f>
        <v/>
      </c>
      <c r="BG332" s="82" t="n"/>
      <c r="BH332" s="82" t="n"/>
      <c r="BI332" s="82" t="n"/>
      <c r="BJ332" s="82" t="n"/>
      <c r="BL332" s="82" t="n"/>
      <c r="BM332" s="82" t="n"/>
      <c r="BN332" s="82" t="n"/>
      <c r="BO332" s="82" t="n"/>
      <c r="BQ332" s="82" t="n"/>
      <c r="BR332" s="82" t="n"/>
      <c r="BS332" s="82" t="n"/>
      <c r="BT332" s="82" t="n"/>
      <c r="BV332" s="82" t="n"/>
      <c r="BW332" s="82" t="n"/>
      <c r="BX332" s="82" t="n"/>
      <c r="BY332" s="82" t="n"/>
      <c r="CA332" s="82" t="n"/>
      <c r="CB332" s="82" t="n"/>
      <c r="CC332" s="82" t="n"/>
      <c r="CD332" s="82" t="n"/>
      <c r="CF332" s="82" t="n"/>
      <c r="CG332" s="82" t="n"/>
      <c r="CH332" s="82" t="n"/>
      <c r="CI332" s="82" t="n"/>
      <c r="CK332" s="82" t="n"/>
      <c r="CL332" s="82" t="n"/>
      <c r="CM332" s="82" t="n"/>
      <c r="CN332" s="82" t="n"/>
      <c r="CP332" s="82" t="n"/>
      <c r="CQ332" s="82" t="n"/>
      <c r="CR332" s="82" t="n"/>
      <c r="CS332" s="82" t="n"/>
      <c r="CU332" s="82" t="n"/>
      <c r="CV332" s="82" t="n"/>
      <c r="CW332" s="82" t="n"/>
      <c r="CX332" s="82" t="n"/>
    </row>
    <row r="333" customFormat="1" s="77">
      <c r="A333" s="76" t="n"/>
      <c r="B333" s="76" t="n"/>
      <c r="C333" s="77" t="inlineStr">
        <is>
          <t>TOTAL DEBT / EBITDA (LTM)</t>
        </is>
      </c>
      <c r="D333" s="82" t="str">
        <f>IFERROR(SUM(D211,D212,D213,D216,D234,D237)/D68,"")</f>
        <v/>
      </c>
      <c r="E333" s="82" t="str">
        <f>IFERROR(SUM(E211,E212,E213,E216,E234,E237)/E68,"")</f>
        <v/>
      </c>
      <c r="F333" s="82" t="str">
        <f>IFERROR(SUM(F211,F212,F213,F216,F234,F237)/F68,"")</f>
        <v/>
      </c>
      <c r="G333" s="82" t="str">
        <f>IFERROR(SUM(G211,G212,G213,G216,G234,G237)/G68,"")</f>
        <v/>
      </c>
      <c r="H333" s="262" t="str">
        <f>IFERROR(IF(AND(COUNT(H68)=1,(H68)&lt;&gt;0),(N(H211)+N(H212)+N(H213)+N(H216)+N(H234)+N(H237))/(H68),""),"")</f>
        <v/>
      </c>
      <c r="I333" s="262" t="str">
        <f>""</f>
        <v/>
      </c>
      <c r="J333" s="262" t="str">
        <f>""</f>
        <v/>
      </c>
      <c r="K333" s="262" t="str">
        <f>""</f>
        <v/>
      </c>
      <c r="L333" s="262">
        <f>IFERROR(IF(AND(COUNT(I68,J68,K68,L68)=4,(I68+J68+K68+L68)&lt;&gt;0),(N(L211)+N(L212)+N(L213)+N(L216)+N(L234)+N(L237))/(I68+J68+K68+L68),""),"")</f>
        <v>1.04208649130629</v>
      </c>
      <c r="M333" s="262">
        <f>IFERROR(IF(AND(COUNT(I68,J68,K68,L68)=4,(I68+J68+K68+L68)&lt;&gt;0),(N(M211)+N(M212)+N(M213)+N(M216)+N(M234)+N(M237))/(I68+J68+K68+L68),""),"")</f>
        <v>1.04208649130629</v>
      </c>
      <c r="N333" s="262">
        <f>IFERROR(IF(AND(COUNT(J68,K68,L68,N68)=4,(J68+K68+L68+N68)&lt;&gt;0),(N(N211)+N(N212)+N(N213)+N(N216)+N(N234)+N(N237))/(J68+K68+L68+N68),""),"")</f>
        <v>1.04642218246869</v>
      </c>
      <c r="O333" s="262">
        <f>IFERROR(IF(AND(COUNT(K68,L68,N68,O68)=4,(K68+L68+N68+O68)&lt;&gt;0),(N(O211)+N(O212)+N(O213)+N(O216)+N(O234)+N(O237))/(K68+L68+N68+O68),""),"")</f>
        <v>1.25356491905221</v>
      </c>
      <c r="P333" s="262">
        <f>IFERROR(IF(AND(COUNT(L68,N68,O68,P68)=4,(L68+N68+O68+P68)&lt;&gt;0),(N(P211)+N(P212)+N(P213)+N(P216)+N(P234)+N(P237))/(L68+N68+O68+P68),""),"")</f>
        <v>1.59511201629328</v>
      </c>
      <c r="Q333" s="262">
        <f>IFERROR(IF(AND(COUNT(N68,O68,P68,Q68)=4,(N68+O68+P68+Q68)&lt;&gt;0),(N(Q211)+N(Q212)+N(Q213)+N(Q216)+N(Q234)+N(Q237))/(N68+O68+P68+Q68),""),"")</f>
        <v>2.05530513176144</v>
      </c>
      <c r="R333" s="262">
        <f>IFERROR(IF(AND(COUNT(N68,O68,P68,Q68)=4,(N68+O68+P68+Q68)&lt;&gt;0),(N(R211)+N(R212)+N(R213)+N(R216)+N(R234)+N(R237))/(N68+O68+P68+Q68),""),"")</f>
        <v>2.05530513176144</v>
      </c>
      <c r="S333" s="262">
        <f>IFERROR(IF(AND(COUNT(O68,P68,Q68,S68)=4,(O68+P68+Q68+S68)&lt;&gt;0),(N(S211)+N(S212)+N(S213)+N(S216)+N(S234)+N(S237))/(O68+P68+Q68+S68),""),"")</f>
        <v>1.95287356321839</v>
      </c>
      <c r="T333" s="262">
        <f>IFERROR(IF(AND(COUNT(P68,Q68,S68,T68)=4,(P68+Q68+S68+T68)&lt;&gt;0),(N(T211)+N(T212)+N(T213)+N(T216)+N(T234)+N(T237))/(P68+Q68+S68+T68),""),"")</f>
        <v>0.868153174987882</v>
      </c>
      <c r="U333" s="262">
        <f>IFERROR(IF(AND(COUNT(Q68,S68,T68,U68)=4,(Q68+S68+T68+U68)&lt;&gt;0),(N(U211)+N(U212)+N(U213)+N(U216)+N(U234)+N(U237))/(Q68+S68+T68+U68),""),"")</f>
        <v>0.487229241877256</v>
      </c>
      <c r="V333" s="262">
        <f>IFERROR(IF(AND(COUNT(S68,T68,U68,V68)=4,(S68+T68+U68+V68)&lt;&gt;0),(N(V211)+N(V212)+N(V213)+N(V216)+N(V234)+N(V237))/(S68+T68+U68+V68),""),"")</f>
        <v>0.314046231039183</v>
      </c>
      <c r="W333" s="262">
        <f>IFERROR(IF(AND(COUNT(S68,T68,U68,V68)=4,(S68+T68+U68+V68)&lt;&gt;0),(N(W211)+N(W212)+N(W213)+N(W216)+N(W234)+N(W237))/(S68+T68+U68+V68),""),"")</f>
        <v>0.314046231039183</v>
      </c>
      <c r="X333" s="262">
        <f>IFERROR(IF(AND(COUNT(T68,U68,V68,X68)=4,(T68+U68+V68+X68)&lt;&gt;0),(N(X211)+N(X212)+N(X213)+N(X216)+N(X234)+N(X237))/(T68+U68+V68+X68),""),"")</f>
        <v>0.223058813978975</v>
      </c>
      <c r="Y333" s="262">
        <f>IFERROR(IF(AND(COUNT(U68,V68,X68,Y68)=4,(U68+V68+X68+Y68)&lt;&gt;0),(N(Y211)+N(Y212)+N(Y213)+N(Y216)+N(Y234)+N(Y237))/(U68+V68+X68+Y68),""),"")</f>
        <v>0.15960054916318</v>
      </c>
      <c r="Z333" s="262">
        <f>IFERROR(IF(AND(COUNT(V68,X68,Y68,Z68)=4,(V68+X68+Y68+Z68)&lt;&gt;0),(N(Z211)+N(Z212)+N(Z213)+N(Z216)+N(Z234)+N(Z237))/(V68+X68+Y68+Z68),""),"")</f>
        <v>0.136812295510159</v>
      </c>
      <c r="AA333" s="262">
        <f>IFERROR(IF(AND(COUNT(X68,Y68,Z68,AA68)=4,(X68+Y68+Z68+AA68)&lt;&gt;0),(N(AA211)+N(AA212)+N(AA213)+N(AA216)+N(AA234)+N(AA237))/(X68+Y68+Z68+AA68),""),"")</f>
        <v>0.119806044312153</v>
      </c>
      <c r="AB333" s="262">
        <f>IFERROR(IF(AND(COUNT(X68,Y68,Z68,AA68)=4,(X68+Y68+Z68+AA68)&lt;&gt;0),(N(AB211)+N(AB212)+N(AB213)+N(AB216)+N(AB234)+N(AB237))/(X68+Y68+Z68+AA68),""),"")</f>
        <v>0.119806044312153</v>
      </c>
      <c r="AC333" s="262">
        <f>IFERROR(IF(AND(COUNT(Y68,Z68,AA68,AC68)=4,(Y68+Z68+AA68+AC68)&lt;&gt;0),(N(AC211)+N(AC212)+N(AC213)+N(AC216)+N(AC234)+N(AC237))/(Y68+Z68+AA68+AC68),""),"")</f>
        <v>0.11314704015955</v>
      </c>
      <c r="AD333" s="262">
        <f>IFERROR(IF(AND(COUNT(Z68,AA68,AC68,AD68)=4,(Z68+AA68+AC68+AD68)&lt;&gt;0),(N(AD211)+N(AD212)+N(AD213)+N(AD216)+N(AD234)+N(AD237))/(Z68+AA68+AC68+AD68),""),"")</f>
        <v>0.104769947701512</v>
      </c>
      <c r="AE333" s="262">
        <f>IFERROR(IF(AND(COUNT(AA68,AC68,AD68,AE68)=4,(AA68+AC68+AD68+AE68)&lt;&gt;0),(N(AE211)+N(AE212)+N(AE213)+N(AE216)+N(AE234)+N(AE237))/(AA68+AC68+AD68+AE68),""),"")</f>
        <v>0.0930024135727976</v>
      </c>
      <c r="AF333" s="262">
        <f>IFERROR(IF(AND(COUNT(AB68,AD68,AE68,AF68)=4,(AB68+AD68+AE68+AF68)&lt;&gt;0),(N(AF211)+N(AF212)+N(AF213)+N(AF216)+N(AF234)+N(AF237))/(AB68+AD68+AE68+AF68),""),"")</f>
        <v>0.0568196439508181</v>
      </c>
      <c r="AG333" s="262">
        <f>IFERROR(IF(AND(COUNT(AC68,AD68,AE68,AF68)=4,(AC68+AD68+AE68+AF68)&lt;&gt;0),(N(AG211)+N(AG212)+N(AG213)+N(AG216)+N(AG234)+N(AG237))/(AC68+AD68+AE68+AF68),""),"")</f>
        <v>0.082864219770322</v>
      </c>
      <c r="AH333" s="262">
        <f>IFERROR(IF(AND(COUNT(AD68,AF68,AG68,AH68)=4,(AD68+AF68+AG68+AH68)&lt;&gt;0),(N(AH211)+N(AH212)+N(AH213)+N(AH216)+N(AH234)+N(AH237))/(AD68+AF68+AG68+AH68),""),"")</f>
        <v>0.0471328292293775</v>
      </c>
      <c r="AI333" s="262">
        <f>IFERROR(IF(AND(COUNT(AE68,AG68,AH68,AI68)=4,(AE68+AG68+AH68+AI68)&lt;&gt;0),(N(AI211)+N(AI212)+N(AI213)+N(AI216)+N(AI234)+N(AI237))/(AE68+AG68+AH68+AI68),""),"")</f>
        <v>0.132525873835893</v>
      </c>
      <c r="AJ333" s="262">
        <f>IFERROR(IF(AND(COUNT(AF68,AH68,AI68,AJ68)=4,(AF68+AH68+AI68+AJ68)&lt;&gt;0),(N(AJ211)+N(AJ212)+N(AJ213)+N(AJ216)+N(AJ234)+N(AJ237))/(AF68+AH68+AI68+AJ68),""),"")</f>
        <v>0.168651570845489</v>
      </c>
      <c r="AK333" s="262">
        <f>IFERROR(IF(AND(COUNT(AH68,AI68,AJ68,AK68)=4,(AH68+AI68+AJ68+AK68)&lt;&gt;0),(N(AK211)+N(AK212)+N(AK213)+N(AK216)+N(AK234)+N(AK237))/(AH68+AI68+AJ68+AK68),""),"")</f>
        <v>0.148965383033351</v>
      </c>
      <c r="AL333" s="262">
        <f>IFERROR(IF(AND(COUNT(AH68,AI68,AJ68,AK68)=4,(AH68+AI68+AJ68+AK68)&lt;&gt;0),(N(AL211)+N(AL212)+N(AL213)+N(AL216)+N(AL234)+N(AL237))/(AH68+AI68+AJ68+AK68),""),"")</f>
        <v>0.148965383033351</v>
      </c>
      <c r="AM333" s="262">
        <f>IFERROR(IF(AND(COUNT(AI68,AJ68,AK68,AM68)=4,(AI68+AJ68+AK68+AM68)&lt;&gt;0),(N(AM211)+N(AM212)+N(AM213)+N(AM216)+N(AM234)+N(AM237))/(AI68+AJ68+AK68+AM68),""),"")</f>
        <v>0.13090901934438</v>
      </c>
      <c r="AN333" s="262">
        <f>IFERROR(IF(AND(COUNT(AJ68,AK68,AM68,AN68)=4,(AJ68+AK68+AM68+AN68)&lt;&gt;0),(N(AN211)+N(AN212)+N(AN213)+N(AN216)+N(AN234)+N(AN237))/(AJ68+AK68+AM68+AN68),""),"")</f>
        <v>0.114735544516833</v>
      </c>
      <c r="AO333" s="262">
        <f>IFERROR(IF(AND(COUNT(AK68,AM68,AN68,AO68)=4,(AK68+AM68+AN68+AO68)&lt;&gt;0),(N(AO211)+N(AO212)+N(AO213)+N(AO216)+N(AO234)+N(AO237))/(AK68+AM68+AN68+AO68),""),"")</f>
        <v>0.10050314583353</v>
      </c>
      <c r="AP333" s="262">
        <f>IFERROR(IF(AND(COUNT(AM68,AN68,AO68,AP68)=4,(AM68+AN68+AO68+AP68)&lt;&gt;0),(N(AP211)+N(AP212)+N(AP213)+N(AP216)+N(AP234)+N(AP237))/(AM68+AN68+AO68+AP68),""),"")</f>
        <v>0.087527646820911</v>
      </c>
      <c r="AQ333" s="262">
        <f>IFERROR(IF(AND(COUNT(AM68,AN68,AO68,AP68)=4,(AM68+AN68+AO68+AP68)&lt;&gt;0),(N(AQ211)+N(AQ212)+N(AQ213)+N(AQ216)+N(AQ234)+N(AQ237))/(AM68+AN68+AO68+AP68),""),"")</f>
        <v>0.087527646820911</v>
      </c>
      <c r="AR333" s="262">
        <f>IFERROR(IF(AND(COUNT(AN68,AO68,AP68,AR68)=4,(AN68+AO68+AP68+AR68)&lt;&gt;0),(N(AR211)+N(AR212)+N(AR213)+N(AR216)+N(AR234)+N(AR237))/(AN68+AO68+AP68+AR68),""),"")</f>
        <v>0.0758709427380439</v>
      </c>
      <c r="AS333" s="262">
        <f>IFERROR(IF(AND(COUNT(AO68,AP68,AR68,AS68)=4,(AO68+AP68+AR68+AS68)&lt;&gt;0),(N(AS211)+N(AS212)+N(AS213)+N(AS216)+N(AS234)+N(AS237))/(AO68+AP68+AR68+AS68),""),"")</f>
        <v>0.0655749471178283</v>
      </c>
      <c r="AT333" s="262">
        <f>IFERROR(IF(AND(COUNT(AP68,AR68,AS68,AT68)=4,(AP68+AR68+AS68+AT68)&lt;&gt;0),(N(AT211)+N(AT212)+N(AT213)+N(AT216)+N(AT234)+N(AT237))/(AP68+AR68+AS68+AT68),""),"")</f>
        <v>0.0574761725624864</v>
      </c>
      <c r="AU333" s="262">
        <f>IFERROR(IF(AND(COUNT(AR68,AS68,AT68,AU68)=4,(AR68+AS68+AT68+AU68)&lt;&gt;0),(N(AU211)+N(AU212)+N(AU213)+N(AU216)+N(AU234)+N(AU237))/(AR68+AS68+AT68+AU68),""),"")</f>
        <v>0.0500838966554269</v>
      </c>
      <c r="AV333" s="262">
        <f>IFERROR(IF(AND(COUNT(AR68,AS68,AT68,AU68)=4,(AR68+AS68+AT68+AU68)&lt;&gt;0),(N(AV211)+N(AV212)+N(AV213)+N(AV216)+N(AV234)+N(AV237))/(AR68+AS68+AT68+AU68),""),"")</f>
        <v>0.0500838966554269</v>
      </c>
      <c r="AW333" s="262">
        <f>IFERROR(IF(AND(COUNT(AS68,AT68,AU68,AW68)=4,(AS68+AT68+AU68+AW68)&lt;&gt;0),(N(AW211)+N(AW212)+N(AW213)+N(AW216)+N(AW234)+N(AW237))/(AS68+AT68+AU68+AW68),""),"")</f>
        <v>0.0434525558246867</v>
      </c>
      <c r="AX333" s="262">
        <f>IFERROR(IF(AND(COUNT(AT68,AU68,AW68,AX68)=4,(AT68+AU68+AW68+AX68)&lt;&gt;0),(N(AX211)+N(AX212)+N(AX213)+N(AX216)+N(AX234)+N(AX237))/(AT68+AU68+AW68+AX68),""),"")</f>
        <v>0.0375854622350378</v>
      </c>
      <c r="AY333" s="262">
        <f>IFERROR(IF(AND(COUNT(AU68,AW68,AX68,AY68)=4,(AU68+AW68+AX68+AY68)&lt;&gt;0),(N(AY211)+N(AY212)+N(AY213)+N(AY216)+N(AY234)+N(AY237))/(AU68+AW68+AX68+AY68),""),"")</f>
        <v>0.0329639366501962</v>
      </c>
      <c r="AZ333" s="262">
        <f>IFERROR(IF(AND(COUNT(AW68,AX68,AY68,AZ68)=4,(AW68+AX68+AY68+AZ68)&lt;&gt;0),(N(AZ211)+N(AZ212)+N(AZ213)+N(AZ216)+N(AZ234)+N(AZ237))/(AW68+AX68+AY68+AZ68),""),"")</f>
        <v>0.0287405636121744</v>
      </c>
      <c r="BA333" s="262">
        <f>IFERROR(IF(AND(COUNT(AW68,AX68,AY68,AZ68)=4,(AW68+AX68+AY68+AZ68)&lt;&gt;0),(N(BA211)+N(BA212)+N(BA213)+N(BA216)+N(BA234)+N(BA237))/(AW68+AX68+AY68+AZ68),""),"")</f>
        <v>0.0287405636121744</v>
      </c>
      <c r="BB333" s="262">
        <f>IFERROR(IF(AND(COUNT(AX68,AY68,AZ68,BB68)=4,(AX68+AY68+AZ68+BB68)&lt;&gt;0),(N(BB211)+N(BB212)+N(BB213)+N(BB216)+N(BB234)+N(BB237))/(AX68+AY68+AZ68+BB68),""),"")</f>
        <v>0.0249574281082359</v>
      </c>
      <c r="BC333" s="262">
        <f>IFERROR(IF(AND(COUNT(AY68,AZ68,BB68,BC68)=4,(AY68+AZ68+BB68+BC68)&lt;&gt;0),(N(BC211)+N(BC212)+N(BC213)+N(BC216)+N(BC234)+N(BC237))/(AY68+AZ68+BB68+BC68),""),"")</f>
        <v>0.0216046572136711</v>
      </c>
      <c r="BD333" s="262">
        <f>IFERROR(IF(AND(COUNT(AZ68,BB68,BC68,BD68)=4,(AZ68+BB68+BC68+BD68)&lt;&gt;0),(N(BD211)+N(BD212)+N(BD213)+N(BD216)+N(BD234)+N(BD237))/(AZ68+BB68+BC68+BD68),""),"")</f>
        <v>0.0189599380402875</v>
      </c>
      <c r="BE333" s="262">
        <f>IFERROR(IF(AND(COUNT(BB68,BC68,BD68,BE68)=4,(BB68+BC68+BD68+BE68)&lt;&gt;0),(N(BE211)+N(BE212)+N(BE213)+N(BE216)+N(BE234)+N(BE237))/(BB68+BC68+BD68+BE68),""),"")</f>
        <v>0.0165401840336352</v>
      </c>
      <c r="BF333" s="262">
        <f>IFERROR(IF(AND(COUNT(BB68,BC68,BD68,BE68)=4,(BB68+BC68+BD68+BE68)&lt;&gt;0),(N(BF211)+N(BF212)+N(BF213)+N(BF216)+N(BF234)+N(BF237))/(BB68+BC68+BD68+BE68),""),"")</f>
        <v>0.0165401840336352</v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  <c r="C334" s="77" t="inlineStr">
        <is>
          <t>TOTAL DEBT / TOTAL CAPITALIZATION</t>
        </is>
      </c>
      <c r="D334" s="80" t="str">
        <f>IFERROR(SUM(D211+D212+D213+D216+D234+D237)/(SUM(D211+D212+D213+D216+D234+D237)+D270),"")</f>
        <v/>
      </c>
      <c r="E334" s="80" t="str">
        <f>IFERROR(SUM(E211+E212+E213+E216+E234+E237)/(SUM(E211+E212+E213+E216+E234+E237)+E270),"")</f>
        <v/>
      </c>
      <c r="F334" s="80" t="str">
        <f>IFERROR(SUM(F211+F212+F213+F216+F234+F237)/(SUM(F211+F212+F213+F216+F234+F237)+F270),"")</f>
        <v/>
      </c>
      <c r="G334" s="80" t="str">
        <f>IFERROR(SUM(G211+G212+G213+G216+G234+G237)/(SUM(G211+G212+G213+G216+G234+G237)+G270),"")</f>
        <v/>
      </c>
      <c r="H334" s="258" t="str">
        <f>IFERROR(IF(((N(H211)+N(H212)+N(H213)+N(H216)+N(H234)+N(H237))+N(H270))&lt;&gt;0,(N(H211)+N(H212)+N(H213)+N(H216)+N(H234)+N(H237))/((N(H211)+N(H212)+N(H213)+N(H216)+N(H234)+N(H237))+H270),""),"")</f>
        <v/>
      </c>
      <c r="I334" s="258">
        <f>IFERROR(IF(((N(I211)+N(I212)+N(I213)+N(I216)+N(I234)+N(I237))+N(I270))&lt;&gt;0,(N(I211)+N(I212)+N(I213)+N(I216)+N(I234)+N(I237))/((N(I211)+N(I212)+N(I213)+N(I216)+N(I234)+N(I237))+I270),""),"")</f>
        <v>0.288243545513136</v>
      </c>
      <c r="J334" s="258">
        <f>IFERROR(IF(((N(J211)+N(J212)+N(J213)+N(J216)+N(J234)+N(J237))+N(J270))&lt;&gt;0,(N(J211)+N(J212)+N(J213)+N(J216)+N(J234)+N(J237))/((N(J211)+N(J212)+N(J213)+N(J216)+N(J234)+N(J237))+J270),""),"")</f>
        <v>0.374460155002071</v>
      </c>
      <c r="K334" s="258">
        <f>IFERROR(IF(((N(K211)+N(K212)+N(K213)+N(K216)+N(K234)+N(K237))+N(K270))&lt;&gt;0,(N(K211)+N(K212)+N(K213)+N(K216)+N(K234)+N(K237))/((N(K211)+N(K212)+N(K213)+N(K216)+N(K234)+N(K237))+K270),""),"")</f>
        <v>0.329350429759053</v>
      </c>
      <c r="L334" s="258">
        <f>IFERROR(IF(((N(L211)+N(L212)+N(L213)+N(L216)+N(L234)+N(L237))+N(L270))&lt;&gt;0,(N(L211)+N(L212)+N(L213)+N(L216)+N(L234)+N(L237))/((N(L211)+N(L212)+N(L213)+N(L216)+N(L234)+N(L237))+L270),""),"")</f>
        <v>0.30515157053709</v>
      </c>
      <c r="M334" s="258">
        <f>IFERROR(IF(((N(M211)+N(M212)+N(M213)+N(M216)+N(M234)+N(M237))+N(M270))&lt;&gt;0,(N(M211)+N(M212)+N(M213)+N(M216)+N(M234)+N(M237))/((N(M211)+N(M212)+N(M213)+N(M216)+N(M234)+N(M237))+M270),""),"")</f>
        <v>0.30515157053709</v>
      </c>
      <c r="N334" s="258">
        <f>IFERROR(IF(((N(N211)+N(N212)+N(N213)+N(N216)+N(N234)+N(N237))+N(N270))&lt;&gt;0,(N(N211)+N(N212)+N(N213)+N(N216)+N(N234)+N(N237))/((N(N211)+N(N212)+N(N213)+N(N216)+N(N234)+N(N237))+N270),""),"")</f>
        <v>0.307714563770746</v>
      </c>
      <c r="O334" s="258">
        <f>IFERROR(IF(((N(O211)+N(O212)+N(O213)+N(O216)+N(O234)+N(O237))+N(O270))&lt;&gt;0,(N(O211)+N(O212)+N(O213)+N(O216)+N(O234)+N(O237))/((N(O211)+N(O212)+N(O213)+N(O216)+N(O234)+N(O237))+O270),""),"")</f>
        <v>0.32895366176181</v>
      </c>
      <c r="P334" s="258">
        <f>IFERROR(IF(((N(P211)+N(P212)+N(P213)+N(P216)+N(P234)+N(P237))+N(P270))&lt;&gt;0,(N(P211)+N(P212)+N(P213)+N(P216)+N(P234)+N(P237))/((N(P211)+N(P212)+N(P213)+N(P216)+N(P234)+N(P237))+P270),""),"")</f>
        <v>0.354956642596006</v>
      </c>
      <c r="Q334" s="258">
        <f>IFERROR(IF(((N(Q211)+N(Q212)+N(Q213)+N(Q216)+N(Q234)+N(Q237))+N(Q270))&lt;&gt;0,(N(Q211)+N(Q212)+N(Q213)+N(Q216)+N(Q234)+N(Q237))/((N(Q211)+N(Q212)+N(Q213)+N(Q216)+N(Q234)+N(Q237))+Q270),""),"")</f>
        <v>0.349128283661209</v>
      </c>
      <c r="R334" s="258">
        <f>IFERROR(IF(((N(R211)+N(R212)+N(R213)+N(R216)+N(R234)+N(R237))+N(R270))&lt;&gt;0,(N(R211)+N(R212)+N(R213)+N(R216)+N(R234)+N(R237))/((N(R211)+N(R212)+N(R213)+N(R216)+N(R234)+N(R237))+R270),""),"")</f>
        <v>0.349128283661209</v>
      </c>
      <c r="S334" s="258">
        <f>IFERROR(IF(((N(S211)+N(S212)+N(S213)+N(S216)+N(S234)+N(S237))+N(S270))&lt;&gt;0,(N(S211)+N(S212)+N(S213)+N(S216)+N(S234)+N(S237))/((N(S211)+N(S212)+N(S213)+N(S216)+N(S234)+N(S237))+S270),""),"")</f>
        <v>0.326614121330294</v>
      </c>
      <c r="T334" s="258">
        <f>IFERROR(IF(((N(T211)+N(T212)+N(T213)+N(T216)+N(T234)+N(T237))+N(T270))&lt;&gt;0,(N(T211)+N(T212)+N(T213)+N(T216)+N(T234)+N(T237))/((N(T211)+N(T212)+N(T213)+N(T216)+N(T234)+N(T237))+T270),""),"")</f>
        <v>0.280963212801004</v>
      </c>
      <c r="U334" s="258">
        <f>IFERROR(IF(((N(U211)+N(U212)+N(U213)+N(U216)+N(U234)+N(U237))+N(U270))&lt;&gt;0,(N(U211)+N(U212)+N(U213)+N(U216)+N(U234)+N(U237))/((N(U211)+N(U212)+N(U213)+N(U216)+N(U234)+N(U237))+U270),""),"")</f>
        <v>0.245041078480323</v>
      </c>
      <c r="V334" s="258">
        <f>IFERROR(IF(((N(V211)+N(V212)+N(V213)+N(V216)+N(V234)+N(V237))+N(V270))&lt;&gt;0,(N(V211)+N(V212)+N(V213)+N(V216)+N(V234)+N(V237))/((N(V211)+N(V212)+N(V213)+N(V216)+N(V234)+N(V237))+V270),""),"")</f>
        <v>0.201241497230792</v>
      </c>
      <c r="W334" s="258">
        <f>IFERROR(IF(((N(W211)+N(W212)+N(W213)+N(W216)+N(W234)+N(W237))+N(W270))&lt;&gt;0,(N(W211)+N(W212)+N(W213)+N(W216)+N(W234)+N(W237))/((N(W211)+N(W212)+N(W213)+N(W216)+N(W234)+N(W237))+W270),""),"")</f>
        <v>0.201241497230792</v>
      </c>
      <c r="X334" s="258">
        <f>IFERROR(IF(((N(X211)+N(X212)+N(X213)+N(X216)+N(X234)+N(X237))+N(X270))&lt;&gt;0,(N(X211)+N(X212)+N(X213)+N(X216)+N(X234)+N(X237))/((N(X211)+N(X212)+N(X213)+N(X216)+N(X234)+N(X237))+X270),""),"")</f>
        <v>0.182778175045316</v>
      </c>
      <c r="Y334" s="258">
        <f>IFERROR(IF(((N(Y211)+N(Y212)+N(Y213)+N(Y216)+N(Y234)+N(Y237))+N(Y270))&lt;&gt;0,(N(Y211)+N(Y212)+N(Y213)+N(Y216)+N(Y234)+N(Y237))/((N(Y211)+N(Y212)+N(Y213)+N(Y216)+N(Y234)+N(Y237))+Y270),""),"")</f>
        <v>0.143767851358912</v>
      </c>
      <c r="Z334" s="258">
        <f>IFERROR(IF(((N(Z211)+N(Z212)+N(Z213)+N(Z216)+N(Z234)+N(Z237))+N(Z270))&lt;&gt;0,(N(Z211)+N(Z212)+N(Z213)+N(Z216)+N(Z234)+N(Z237))/((N(Z211)+N(Z212)+N(Z213)+N(Z216)+N(Z234)+N(Z237))+Z270),""),"")</f>
        <v>0.131204598489143</v>
      </c>
      <c r="AA334" s="258">
        <f>IFERROR(IF(((N(AA211)+N(AA212)+N(AA213)+N(AA216)+N(AA234)+N(AA237))+N(AA270))&lt;&gt;0,(N(AA211)+N(AA212)+N(AA213)+N(AA216)+N(AA234)+N(AA237))/((N(AA211)+N(AA212)+N(AA213)+N(AA216)+N(AA234)+N(AA237))+AA270),""),"")</f>
        <v>0.111769250579449</v>
      </c>
      <c r="AB334" s="258">
        <f>IFERROR(IF(((N(AB211)+N(AB212)+N(AB213)+N(AB216)+N(AB234)+N(AB237))+N(AB270))&lt;&gt;0,(N(AB211)+N(AB212)+N(AB213)+N(AB216)+N(AB234)+N(AB237))/((N(AB211)+N(AB212)+N(AB213)+N(AB216)+N(AB234)+N(AB237))+AB270),""),"")</f>
        <v>0.111769250579449</v>
      </c>
      <c r="AC334" s="258">
        <f>IFERROR(IF(((N(AC211)+N(AC212)+N(AC213)+N(AC216)+N(AC234)+N(AC237))+N(AC270))&lt;&gt;0,(N(AC211)+N(AC212)+N(AC213)+N(AC216)+N(AC234)+N(AC237))/((N(AC211)+N(AC212)+N(AC213)+N(AC216)+N(AC234)+N(AC237))+AC270),""),"")</f>
        <v>0.106418126785181</v>
      </c>
      <c r="AD334" s="258">
        <f>IFERROR(IF(((N(AD211)+N(AD212)+N(AD213)+N(AD216)+N(AD234)+N(AD237))+N(AD270))&lt;&gt;0,(N(AD211)+N(AD212)+N(AD213)+N(AD216)+N(AD234)+N(AD237))/((N(AD211)+N(AD212)+N(AD213)+N(AD216)+N(AD234)+N(AD237))+AD270),""),"")</f>
        <v>0.0932462781178687</v>
      </c>
      <c r="AE334" s="258">
        <f>IFERROR(IF(((N(AE211)+N(AE212)+N(AE213)+N(AE216)+N(AE234)+N(AE237))+N(AE270))&lt;&gt;0,(N(AE211)+N(AE212)+N(AE213)+N(AE216)+N(AE234)+N(AE237))/((N(AE211)+N(AE212)+N(AE213)+N(AE216)+N(AE234)+N(AE237))+AE270),""),"")</f>
        <v>0.0810106818779082</v>
      </c>
      <c r="AF334" s="258">
        <f>IFERROR(IF(((N(AF211)+N(AF212)+N(AF213)+N(AF216)+N(AF234)+N(AF237))+N(AF270))&lt;&gt;0,(N(AF211)+N(AF212)+N(AF213)+N(AF216)+N(AF234)+N(AF237))/((N(AF211)+N(AF212)+N(AF213)+N(AF216)+N(AF234)+N(AF237))+AF270),""),"")</f>
        <v>0.0655842882857194</v>
      </c>
      <c r="AG334" s="258">
        <f>IFERROR(IF(((N(AG211)+N(AG212)+N(AG213)+N(AG216)+N(AG234)+N(AG237))+N(AG270))&lt;&gt;0,(N(AG211)+N(AG212)+N(AG213)+N(AG216)+N(AG234)+N(AG237))/((N(AG211)+N(AG212)+N(AG213)+N(AG216)+N(AG234)+N(AG237))+AG270),""),"")</f>
        <v>0.0655842882857194</v>
      </c>
      <c r="AH334" s="258">
        <f>IFERROR(IF(((N(AH211)+N(AH212)+N(AH213)+N(AH216)+N(AH234)+N(AH237))+N(AH270))&lt;&gt;0,(N(AH211)+N(AH212)+N(AH213)+N(AH216)+N(AH234)+N(AH237))/((N(AH211)+N(AH212)+N(AH213)+N(AH216)+N(AH234)+N(AH237))+AH270),""),"")</f>
        <v>0.059416231197852</v>
      </c>
      <c r="AI334" s="258">
        <f>IFERROR(IF(((N(AI211)+N(AI212)+N(AI213)+N(AI216)+N(AI234)+N(AI237))+N(AI270))&lt;&gt;0,(N(AI211)+N(AI212)+N(AI213)+N(AI216)+N(AI234)+N(AI237))/((N(AI211)+N(AI212)+N(AI213)+N(AI216)+N(AI234)+N(AI237))+AI270),""),"")</f>
        <v>0.143456711616511</v>
      </c>
      <c r="AJ334" s="258">
        <f>IFERROR(IF(((N(AJ211)+N(AJ212)+N(AJ213)+N(AJ216)+N(AJ234)+N(AJ237))+N(AJ270))&lt;&gt;0,(N(AJ211)+N(AJ212)+N(AJ213)+N(AJ216)+N(AJ234)+N(AJ237))/((N(AJ211)+N(AJ212)+N(AJ213)+N(AJ216)+N(AJ234)+N(AJ237))+AJ270),""),"")</f>
        <v>0.117273466656008</v>
      </c>
      <c r="AK334" s="258">
        <f>IFERROR(IF(((N(AK211)+N(AK212)+N(AK213)+N(AK216)+N(AK234)+N(AK237))+N(AK270))&lt;&gt;0,(N(AK211)+N(AK212)+N(AK213)+N(AK216)+N(AK234)+N(AK237))/((N(AK211)+N(AK212)+N(AK213)+N(AK216)+N(AK234)+N(AK237))+AK270),""),"")</f>
        <v>0.0962739188039485</v>
      </c>
      <c r="AL334" s="258">
        <f>IFERROR(IF(((N(AL211)+N(AL212)+N(AL213)+N(AL216)+N(AL234)+N(AL237))+N(AL270))&lt;&gt;0,(N(AL211)+N(AL212)+N(AL213)+N(AL216)+N(AL234)+N(AL237))/((N(AL211)+N(AL212)+N(AL213)+N(AL216)+N(AL234)+N(AL237))+AL270),""),"")</f>
        <v>0.0962739188039485</v>
      </c>
      <c r="AM334" s="258">
        <f>IFERROR(IF(((N(AM211)+N(AM212)+N(AM213)+N(AM216)+N(AM234)+N(AM237))+N(AM270))&lt;&gt;0,(N(AM211)+N(AM212)+N(AM213)+N(AM216)+N(AM234)+N(AM237))/((N(AM211)+N(AM212)+N(AM213)+N(AM216)+N(AM234)+N(AM237))+AM270),""),"")</f>
        <v>0.0792693314988414</v>
      </c>
      <c r="AN334" s="258">
        <f>IFERROR(IF(((N(AN211)+N(AN212)+N(AN213)+N(AN216)+N(AN234)+N(AN237))+N(AN270))&lt;&gt;0,(N(AN211)+N(AN212)+N(AN213)+N(AN216)+N(AN234)+N(AN237))/((N(AN211)+N(AN212)+N(AN213)+N(AN216)+N(AN234)+N(AN237))+AN270),""),"")</f>
        <v>0.0656074507426005</v>
      </c>
      <c r="AO334" s="258">
        <f>IFERROR(IF(((N(AO211)+N(AO212)+N(AO213)+N(AO216)+N(AO234)+N(AO237))+N(AO270))&lt;&gt;0,(N(AO211)+N(AO212)+N(AO213)+N(AO216)+N(AO234)+N(AO237))/((N(AO211)+N(AO212)+N(AO213)+N(AO216)+N(AO234)+N(AO237))+AO270),""),"")</f>
        <v>0.0556488156014991</v>
      </c>
      <c r="AP334" s="258">
        <f>IFERROR(IF(((N(AP211)+N(AP212)+N(AP213)+N(AP216)+N(AP234)+N(AP237))+N(AP270))&lt;&gt;0,(N(AP211)+N(AP212)+N(AP213)+N(AP216)+N(AP234)+N(AP237))/((N(AP211)+N(AP212)+N(AP213)+N(AP216)+N(AP234)+N(AP237))+AP270),""),"")</f>
        <v>0.0471039925382957</v>
      </c>
      <c r="AQ334" s="258">
        <f>IFERROR(IF(((N(AQ211)+N(AQ212)+N(AQ213)+N(AQ216)+N(AQ234)+N(AQ237))+N(AQ270))&lt;&gt;0,(N(AQ211)+N(AQ212)+N(AQ213)+N(AQ216)+N(AQ234)+N(AQ237))/((N(AQ211)+N(AQ212)+N(AQ213)+N(AQ216)+N(AQ234)+N(AQ237))+AQ270),""),"")</f>
        <v>0.0471039925382957</v>
      </c>
      <c r="AR334" s="258">
        <f>IFERROR(IF(((N(AR211)+N(AR212)+N(AR213)+N(AR216)+N(AR234)+N(AR237))+N(AR270))&lt;&gt;0,(N(AR211)+N(AR212)+N(AR213)+N(AR216)+N(AR234)+N(AR237))/((N(AR211)+N(AR212)+N(AR213)+N(AR216)+N(AR234)+N(AR237))+AR270),""),"")</f>
        <v>0.039803127649885</v>
      </c>
      <c r="AS334" s="258">
        <f>IFERROR(IF(((N(AS211)+N(AS212)+N(AS213)+N(AS216)+N(AS234)+N(AS237))+N(AS270))&lt;&gt;0,(N(AS211)+N(AS212)+N(AS213)+N(AS216)+N(AS234)+N(AS237))/((N(AS211)+N(AS212)+N(AS213)+N(AS216)+N(AS234)+N(AS237))+AS270),""),"")</f>
        <v>0.0336535252587172</v>
      </c>
      <c r="AT334" s="258">
        <f>IFERROR(IF(((N(AT211)+N(AT212)+N(AT213)+N(AT216)+N(AT234)+N(AT237))+N(AT270))&lt;&gt;0,(N(AT211)+N(AT212)+N(AT213)+N(AT216)+N(AT234)+N(AT237))/((N(AT211)+N(AT212)+N(AT213)+N(AT216)+N(AT234)+N(AT237))+AT270),""),"")</f>
        <v>0.0290010676480367</v>
      </c>
      <c r="AU334" s="258">
        <f>IFERROR(IF(((N(AU211)+N(AU212)+N(AU213)+N(AU216)+N(AU234)+N(AU237))+N(AU270))&lt;&gt;0,(N(AU211)+N(AU212)+N(AU213)+N(AU216)+N(AU234)+N(AU237))/((N(AU211)+N(AU212)+N(AU213)+N(AU216)+N(AU234)+N(AU237))+AU270),""),"")</f>
        <v>0.0248890182464238</v>
      </c>
      <c r="AV334" s="258">
        <f>IFERROR(IF(((N(AV211)+N(AV212)+N(AV213)+N(AV216)+N(AV234)+N(AV237))+N(AV270))&lt;&gt;0,(N(AV211)+N(AV212)+N(AV213)+N(AV216)+N(AV234)+N(AV237))/((N(AV211)+N(AV212)+N(AV213)+N(AV216)+N(AV234)+N(AV237))+AV270),""),"")</f>
        <v>0.0248890182464238</v>
      </c>
      <c r="AW334" s="258">
        <f>IFERROR(IF(((N(AW211)+N(AW212)+N(AW213)+N(AW216)+N(AW234)+N(AW237))+N(AW270))&lt;&gt;0,(N(AW211)+N(AW212)+N(AW213)+N(AW216)+N(AW234)+N(AW237))/((N(AW211)+N(AW212)+N(AW213)+N(AW216)+N(AW234)+N(AW237))+AW270),""),"")</f>
        <v>0.0212928232121777</v>
      </c>
      <c r="AX334" s="258">
        <f>IFERROR(IF(((N(AX211)+N(AX212)+N(AX213)+N(AX216)+N(AX234)+N(AX237))+N(AX270))&lt;&gt;0,(N(AX211)+N(AX212)+N(AX213)+N(AX216)+N(AX234)+N(AX237))/((N(AX211)+N(AX212)+N(AX213)+N(AX216)+N(AX234)+N(AX237))+AX270),""),"")</f>
        <v>0.0181935930601905</v>
      </c>
      <c r="AY334" s="258">
        <f>IFERROR(IF(((N(AY211)+N(AY212)+N(AY213)+N(AY216)+N(AY234)+N(AY237))+N(AY270))&lt;&gt;0,(N(AY211)+N(AY212)+N(AY213)+N(AY216)+N(AY234)+N(AY237))/((N(AY211)+N(AY212)+N(AY213)+N(AY216)+N(AY234)+N(AY237))+AY270),""),"")</f>
        <v>0.015804944980866</v>
      </c>
      <c r="AZ334" s="258">
        <f>IFERROR(IF(((N(AZ211)+N(AZ212)+N(AZ213)+N(AZ216)+N(AZ234)+N(AZ237))+N(AZ270))&lt;&gt;0,(N(AZ211)+N(AZ212)+N(AZ213)+N(AZ216)+N(AZ234)+N(AZ237))/((N(AZ211)+N(AZ212)+N(AZ213)+N(AZ216)+N(AZ234)+N(AZ237))+AZ270),""),"")</f>
        <v>0.0136614213491743</v>
      </c>
      <c r="BA334" s="258">
        <f>IFERROR(IF(((N(BA211)+N(BA212)+N(BA213)+N(BA216)+N(BA234)+N(BA237))+N(BA270))&lt;&gt;0,(N(BA211)+N(BA212)+N(BA213)+N(BA216)+N(BA234)+N(BA237))/((N(BA211)+N(BA212)+N(BA213)+N(BA216)+N(BA234)+N(BA237))+BA270),""),"")</f>
        <v>0.0136614213491743</v>
      </c>
      <c r="BB334" s="258">
        <f>IFERROR(IF(((N(BB211)+N(BB212)+N(BB213)+N(BB216)+N(BB234)+N(BB237))+N(BB270))&lt;&gt;0,(N(BB211)+N(BB212)+N(BB213)+N(BB216)+N(BB234)+N(BB237))/((N(BB211)+N(BB212)+N(BB213)+N(BB216)+N(BB234)+N(BB237))+BB270),""),"")</f>
        <v>0.0117660897294796</v>
      </c>
      <c r="BC334" s="258">
        <f>IFERROR(IF(((N(BC211)+N(BC212)+N(BC213)+N(BC216)+N(BC234)+N(BC237))+N(BC270))&lt;&gt;0,(N(BC211)+N(BC212)+N(BC213)+N(BC216)+N(BC234)+N(BC237))/((N(BC211)+N(BC212)+N(BC213)+N(BC216)+N(BC234)+N(BC237))+BC270),""),"")</f>
        <v>0.0101121073636177</v>
      </c>
      <c r="BD334" s="258">
        <f>IFERROR(IF(((N(BD211)+N(BD212)+N(BD213)+N(BD216)+N(BD234)+N(BD237))+N(BD270))&lt;&gt;0,(N(BD211)+N(BD212)+N(BD213)+N(BD216)+N(BD234)+N(BD237))/((N(BD211)+N(BD212)+N(BD213)+N(BD216)+N(BD234)+N(BD237))+BD270),""),"")</f>
        <v>0.00882412744499162</v>
      </c>
      <c r="BE334" s="258">
        <f>IFERROR(IF(((N(BE211)+N(BE212)+N(BE213)+N(BE216)+N(BE234)+N(BE237))+N(BE270))&lt;&gt;0,(N(BE211)+N(BE212)+N(BE213)+N(BE216)+N(BE234)+N(BE237))/((N(BE211)+N(BE212)+N(BE213)+N(BE216)+N(BE234)+N(BE237))+BE270),""),"")</f>
        <v>0.00765838336434467</v>
      </c>
      <c r="BF334" s="258">
        <f>IFERROR(IF(((N(BF211)+N(BF212)+N(BF213)+N(BF216)+N(BF234)+N(BF237))+N(BF270))&lt;&gt;0,(N(BF211)+N(BF212)+N(BF213)+N(BF216)+N(BF234)+N(BF237))/((N(BF211)+N(BF212)+N(BF213)+N(BF216)+N(BF234)+N(BF237))+BF270),""),"")</f>
        <v>0.00765838336434467</v>
      </c>
      <c r="BG334" s="80" t="n"/>
      <c r="BH334" s="80" t="n"/>
      <c r="BI334" s="80" t="n"/>
      <c r="BJ334" s="80" t="n"/>
      <c r="BL334" s="80" t="n"/>
      <c r="BM334" s="80" t="n"/>
      <c r="BN334" s="80" t="n"/>
      <c r="BO334" s="80" t="n"/>
      <c r="BQ334" s="80" t="n"/>
      <c r="BR334" s="80" t="n"/>
      <c r="BS334" s="80" t="n"/>
      <c r="BT334" s="80" t="n"/>
      <c r="BV334" s="80" t="n"/>
      <c r="BW334" s="80" t="n"/>
      <c r="BX334" s="80" t="n"/>
      <c r="BY334" s="80" t="n"/>
      <c r="CA334" s="80" t="n"/>
      <c r="CB334" s="80" t="n"/>
      <c r="CC334" s="80" t="n"/>
      <c r="CD334" s="80" t="n"/>
      <c r="CF334" s="80" t="n"/>
      <c r="CG334" s="80" t="n"/>
      <c r="CH334" s="80" t="n"/>
      <c r="CI334" s="80" t="n"/>
      <c r="CK334" s="80" t="n"/>
      <c r="CL334" s="80" t="n"/>
      <c r="CM334" s="80" t="n"/>
      <c r="CN334" s="80" t="n"/>
      <c r="CP334" s="80" t="n"/>
      <c r="CQ334" s="80" t="n"/>
      <c r="CR334" s="80" t="n"/>
      <c r="CS334" s="80" t="n"/>
      <c r="CU334" s="80" t="n"/>
      <c r="CV334" s="80" t="n"/>
      <c r="CW334" s="80" t="n"/>
      <c r="CX334" s="80" t="n"/>
    </row>
    <row r="335" customFormat="1" s="77">
      <c r="A335" s="76" t="n"/>
      <c r="B335" s="76" t="n"/>
      <c r="C335" s="77" t="inlineStr">
        <is>
          <t>NET DEBT / EBITDA (LTM)</t>
        </is>
      </c>
      <c r="D335" s="82" t="str">
        <f>IFERROR(SUM((D211+D212+D213+D216+D234)-D143)/(D68*4),"")</f>
        <v/>
      </c>
      <c r="E335" s="82" t="str">
        <f>IFERROR(SUM((E211+E212+E213+E216+E234)-E143)/(E68*4),"")</f>
        <v/>
      </c>
      <c r="F335" s="82" t="str">
        <f>IFERROR(SUM((F211+F212+F213+F216+F234)-F143)/(F68*4),"")</f>
        <v/>
      </c>
      <c r="G335" s="82" t="str">
        <f>IFERROR(SUM((G211+G212+G213+G216+G234)-G143)/(G68*4),"")</f>
        <v/>
      </c>
      <c r="H335" s="262" t="str">
        <f>IFERROR(IF(AND(COUNT(H68)=1,(H68)&lt;&gt;0),((N(H211)+N(H212)+N(H213)+N(H216)+N(H234)+N(H237))-N(H143))/(H68),""),"")</f>
        <v/>
      </c>
      <c r="I335" s="262" t="str">
        <f>""</f>
        <v/>
      </c>
      <c r="J335" s="262" t="str">
        <f>""</f>
        <v/>
      </c>
      <c r="K335" s="262" t="str">
        <f>""</f>
        <v/>
      </c>
      <c r="L335" s="262">
        <f>IFERROR(IF(AND(COUNT(I68,J68,K68,L68)=4,(I68+J68+K68+L68)&lt;&gt;0),((N(L211)+N(L212)+N(L213)+N(L216)+N(L234)+N(L237))-N(L143))/(I68+J68+K68+L68),""),"")</f>
        <v>-0.8489522960321</v>
      </c>
      <c r="M335" s="262">
        <f>IFERROR(IF(AND(COUNT(I68,J68,K68,L68)=4,(I68+J68+K68+L68)&lt;&gt;0),((N(M211)+N(M212)+N(M213)+N(M216)+N(M234)+N(M237))-N(M143))/(I68+J68+K68+L68),""),"")</f>
        <v>-0.8489522960321</v>
      </c>
      <c r="N335" s="262">
        <f>IFERROR(IF(AND(COUNT(J68,K68,L68,N68)=4,(J68+K68+L68+N68)&lt;&gt;0),((N(N211)+N(N212)+N(N213)+N(N216)+N(N234)+N(N237))-N(N143))/(J68+K68+L68+N68),""),"")</f>
        <v>-0.772719141323793</v>
      </c>
      <c r="O335" s="262">
        <f>IFERROR(IF(AND(COUNT(K68,L68,N68,O68)=4,(K68+L68+N68+O68)&lt;&gt;0),((N(O211)+N(O212)+N(O213)+N(O216)+N(O234)+N(O237))-N(O143))/(K68+L68+N68+O68),""),"")</f>
        <v>-0.573067438619063</v>
      </c>
      <c r="P335" s="262">
        <f>IFERROR(IF(AND(COUNT(L68,N68,O68,P68)=4,(L68+N68+O68+P68)&lt;&gt;0),((N(P211)+N(P212)+N(P213)+N(P216)+N(P234)+N(P237))-N(P143))/(L68+N68+O68+P68),""),"")</f>
        <v>-0.189409368635438</v>
      </c>
      <c r="Q335" s="262">
        <f>IFERROR(IF(AND(COUNT(N68,O68,P68,Q68)=4,(N68+O68+P68+Q68)&lt;&gt;0),((N(Q211)+N(Q212)+N(Q213)+N(Q216)+N(Q234)+N(Q237))-N(Q143))/(N68+O68+P68+Q68),""),"")</f>
        <v>-0.249826629680999</v>
      </c>
      <c r="R335" s="262">
        <f>IFERROR(IF(AND(COUNT(N68,O68,P68,Q68)=4,(N68+O68+P68+Q68)&lt;&gt;0),((N(R211)+N(R212)+N(R213)+N(R216)+N(R234)+N(R237))-N(R143))/(N68+O68+P68+Q68),""),"")</f>
        <v>-0.249826629680999</v>
      </c>
      <c r="S335" s="262">
        <f>IFERROR(IF(AND(COUNT(O68,P68,Q68,S68)=4,(O68+P68+Q68+S68)&lt;&gt;0),((N(S211)+N(S212)+N(S213)+N(S216)+N(S234)+N(S237))-N(S143))/(O68+P68+Q68+S68),""),"")</f>
        <v>-0.562725779967159</v>
      </c>
      <c r="T335" s="262">
        <f>IFERROR(IF(AND(COUNT(P68,Q68,S68,T68)=4,(P68+Q68+S68+T68)&lt;&gt;0),((N(T211)+N(T212)+N(T213)+N(T216)+N(T234)+N(T237))-N(T143))/(P68+Q68+S68+T68),""),"")</f>
        <v>-0.426320891904993</v>
      </c>
      <c r="U335" s="262">
        <f>IFERROR(IF(AND(COUNT(Q68,S68,T68,U68)=4,(Q68+S68+T68+U68)&lt;&gt;0),((N(U211)+N(U212)+N(U213)+N(U216)+N(U234)+N(U237))-N(U143))/(Q68+S68+T68+U68),""),"")</f>
        <v>-0.337725631768953</v>
      </c>
      <c r="V335" s="262">
        <f>IFERROR(IF(AND(COUNT(S68,T68,U68,V68)=4,(S68+T68+U68+V68)&lt;&gt;0),((N(V211)+N(V212)+N(V213)+N(V216)+N(V234)+N(V237))-N(V143))/(S68+T68+U68+V68),""),"")</f>
        <v>-0.439571913338554</v>
      </c>
      <c r="W335" s="262">
        <f>IFERROR(IF(AND(COUNT(S68,T68,U68,V68)=4,(S68+T68+U68+V68)&lt;&gt;0),((N(W211)+N(W212)+N(W213)+N(W216)+N(W234)+N(W237))-N(W143))/(S68+T68+U68+V68),""),"")</f>
        <v>-0.439571913338554</v>
      </c>
      <c r="X335" s="262">
        <f>IFERROR(IF(AND(COUNT(T68,U68,V68,X68)=4,(T68+U68+V68+X68)&lt;&gt;0),((N(X211)+N(X212)+N(X213)+N(X216)+N(X234)+N(X237))-N(X143))/(T68+U68+V68+X68),""),"")</f>
        <v>-0.414965296099363</v>
      </c>
      <c r="Y335" s="262">
        <f>IFERROR(IF(AND(COUNT(U68,V68,X68,Y68)=4,(U68+V68+X68+Y68)&lt;&gt;0),((N(Y211)+N(Y212)+N(Y213)+N(Y216)+N(Y234)+N(Y237))-N(Y143))/(U68+V68+X68+Y68),""),"")</f>
        <v>-0.409175601464435</v>
      </c>
      <c r="Z335" s="262">
        <f>IFERROR(IF(AND(COUNT(V68,X68,Y68,Z68)=4,(V68+X68+Y68+Z68)&lt;&gt;0),((N(Z211)+N(Z212)+N(Z213)+N(Z216)+N(Z234)+N(Z237))-N(Z143))/(V68+X68+Y68+Z68),""),"")</f>
        <v>-0.392276813945176</v>
      </c>
      <c r="AA335" s="262">
        <f>IFERROR(IF(AND(COUNT(X68,Y68,Z68,AA68)=4,(X68+Y68+Z68+AA68)&lt;&gt;0),((N(AA211)+N(AA212)+N(AA213)+N(AA216)+N(AA234)+N(AA237))-N(AA143))/(X68+Y68+Z68+AA68),""),"")</f>
        <v>-0.39880938092609</v>
      </c>
      <c r="AB335" s="262">
        <f>IFERROR(IF(AND(COUNT(X68,Y68,Z68,AA68)=4,(X68+Y68+Z68+AA68)&lt;&gt;0),((N(AB211)+N(AB212)+N(AB213)+N(AB216)+N(AB234)+N(AB237))-N(AB143))/(X68+Y68+Z68+AA68),""),"")</f>
        <v>-0.39880938092609</v>
      </c>
      <c r="AC335" s="262">
        <f>IFERROR(IF(AND(COUNT(Y68,Z68,AA68,AC68)=4,(Y68+Z68+AA68+AC68)&lt;&gt;0),((N(AC211)+N(AC212)+N(AC213)+N(AC216)+N(AC234)+N(AC237))-N(AC143))/(Y68+Z68+AA68+AC68),""),"")</f>
        <v>-0.495263348744447</v>
      </c>
      <c r="AD335" s="262">
        <f>IFERROR(IF(AND(COUNT(Z68,AA68,AC68,AD68)=4,(Z68+AA68+AC68+AD68)&lt;&gt;0),((N(AD211)+N(AD212)+N(AD213)+N(AD216)+N(AD234)+N(AD237))-N(AD143))/(Z68+AA68+AC68+AD68),""),"")</f>
        <v>-0.47306729614782</v>
      </c>
      <c r="AE335" s="262">
        <f>IFERROR(IF(AND(COUNT(AA68,AC68,AD68,AE68)=4,(AA68+AC68+AD68+AE68)&lt;&gt;0),((N(AE211)+N(AE212)+N(AE213)+N(AE216)+N(AE234)+N(AE237))-N(AE143))/(AA68+AC68+AD68+AE68),""),"")</f>
        <v>-0.444798395683964</v>
      </c>
      <c r="AF335" s="262">
        <f>IFERROR(IF(AND(COUNT(AB68,AD68,AE68,AF68)=4,(AB68+AD68+AE68+AF68)&lt;&gt;0),((N(AF211)+N(AF212)+N(AF213)+N(AF216)+N(AF234)+N(AF237))-N(AF143))/(AB68+AD68+AE68+AF68),""),"")</f>
        <v>-0.198817286759067</v>
      </c>
      <c r="AG335" s="262">
        <f>IFERROR(IF(AND(COUNT(AC68,AD68,AE68,AF68)=4,(AC68+AD68+AE68+AF68)&lt;&gt;0),((N(AG211)+N(AG212)+N(AG213)+N(AG216)+N(AG234)+N(AG237))-N(AG143))/(AC68+AD68+AE68+AF68),""),"")</f>
        <v>-0.289949711026045</v>
      </c>
      <c r="AH335" s="262">
        <f>IFERROR(IF(AND(COUNT(AD68,AF68,AG68,AH68)=4,(AD68+AF68+AG68+AH68)&lt;&gt;0),((N(AH211)+N(AH212)+N(AH213)+N(AH216)+N(AH234)+N(AH237))-N(AH143))/(AD68+AF68+AG68+AH68),""),"")</f>
        <v>-0.144997957882763</v>
      </c>
      <c r="AI335" s="262">
        <f>IFERROR(IF(AND(COUNT(AE68,AG68,AH68,AI68)=4,(AE68+AG68+AH68+AI68)&lt;&gt;0),((N(AI211)+N(AI212)+N(AI213)+N(AI216)+N(AI234)+N(AI237))-N(AI143))/(AE68+AG68+AH68+AI68),""),"")</f>
        <v>-0.0630129412374518</v>
      </c>
      <c r="AJ335" s="262">
        <f>IFERROR(IF(AND(COUNT(AF68,AH68,AI68,AJ68)=4,(AF68+AH68+AI68+AJ68)&lt;&gt;0),((N(AJ211)+N(AJ212)+N(AJ213)+N(AJ216)+N(AJ234)+N(AJ237))-N(AJ143))/(AF68+AH68+AI68+AJ68),""),"")</f>
        <v>-0.456899387349794</v>
      </c>
      <c r="AK335" s="262">
        <f>IFERROR(IF(AND(COUNT(AH68,AI68,AJ68,AK68)=4,(AH68+AI68+AJ68+AK68)&lt;&gt;0),((N(AK211)+N(AK212)+N(AK213)+N(AK216)+N(AK234)+N(AK237))-N(AK143))/(AH68+AI68+AJ68+AK68),""),"")</f>
        <v>-0.754987923188196</v>
      </c>
      <c r="AL335" s="262">
        <f>IFERROR(IF(AND(COUNT(AH68,AI68,AJ68,AK68)=4,(AH68+AI68+AJ68+AK68)&lt;&gt;0),((N(AL211)+N(AL212)+N(AL213)+N(AL216)+N(AL234)+N(AL237))-N(AL143))/(AH68+AI68+AJ68+AK68),""),"")</f>
        <v>-0.754987923188196</v>
      </c>
      <c r="AM335" s="262">
        <f>IFERROR(IF(AND(COUNT(AI68,AJ68,AK68,AM68)=4,(AI68+AJ68+AK68+AM68)&lt;&gt;0),((N(AM211)+N(AM212)+N(AM213)+N(AM216)+N(AM234)+N(AM237))-N(AM143))/(AI68+AJ68+AK68+AM68),""),"")</f>
        <v>-1.09224978959241</v>
      </c>
      <c r="AN335" s="262">
        <f>IFERROR(IF(AND(COUNT(AJ68,AK68,AM68,AN68)=4,(AJ68+AK68+AM68+AN68)&lt;&gt;0),((N(AN211)+N(AN212)+N(AN213)+N(AN216)+N(AN234)+N(AN237))-N(AN143))/(AJ68+AK68+AM68+AN68),""),"")</f>
        <v>-1.5231351943054</v>
      </c>
      <c r="AO335" s="262">
        <f>IFERROR(IF(AND(COUNT(AK68,AM68,AN68,AO68)=4,(AK68+AM68+AN68+AO68)&lt;&gt;0),((N(AO211)+N(AO212)+N(AO213)+N(AO216)+N(AO234)+N(AO237))-N(AO143))/(AK68+AM68+AN68+AO68),""),"")</f>
        <v>-2.09213858147227</v>
      </c>
      <c r="AP335" s="262">
        <f>IFERROR(IF(AND(COUNT(AM68,AN68,AO68,AP68)=4,(AM68+AN68+AO68+AP68)&lt;&gt;0),((N(AP211)+N(AP212)+N(AP213)+N(AP216)+N(AP234)+N(AP237))-N(AP143))/(AM68+AN68+AO68+AP68),""),"")</f>
        <v>-2.80745521316761</v>
      </c>
      <c r="AQ335" s="262">
        <f>IFERROR(IF(AND(COUNT(AM68,AN68,AO68,AP68)=4,(AM68+AN68+AO68+AP68)&lt;&gt;0),((N(AQ211)+N(AQ212)+N(AQ213)+N(AQ216)+N(AQ234)+N(AQ237))-N(AQ143))/(AM68+AN68+AO68+AP68),""),"")</f>
        <v>-2.80745521316761</v>
      </c>
      <c r="AR335" s="262">
        <f>IFERROR(IF(AND(COUNT(AN68,AO68,AP68,AR68)=4,(AN68+AO68+AP68+AR68)&lt;&gt;0),((N(AR211)+N(AR212)+N(AR213)+N(AR216)+N(AR234)+N(AR237))-N(AR143))/(AN68+AO68+AP68+AR68),""),"")</f>
        <v>-3.81287269636239</v>
      </c>
      <c r="AS335" s="262">
        <f>IFERROR(IF(AND(COUNT(AO68,AP68,AR68,AS68)=4,(AO68+AP68+AR68+AS68)&lt;&gt;0),((N(AS211)+N(AS212)+N(AS213)+N(AS216)+N(AS234)+N(AS237))-N(AS143))/(AO68+AP68+AR68+AS68),""),"")</f>
        <v>-5.27631308101888</v>
      </c>
      <c r="AT335" s="262">
        <f>IFERROR(IF(AND(COUNT(AP68,AR68,AS68,AT68)=4,(AP68+AR68+AS68+AT68)&lt;&gt;0),((N(AT211)+N(AT212)+N(AT213)+N(AT216)+N(AT234)+N(AT237))-N(AT143))/(AP68+AR68+AS68+AT68),""),"")</f>
        <v>-7.5545870487894</v>
      </c>
      <c r="AU335" s="262">
        <f>IFERROR(IF(AND(COUNT(AR68,AS68,AT68,AU68)=4,(AR68+AS68+AT68+AU68)&lt;&gt;0),((N(AU211)+N(AU212)+N(AU213)+N(AU216)+N(AU234)+N(AU237))-N(AU143))/(AR68+AS68+AT68+AU68),""),"")</f>
        <v>-10.8744458372469</v>
      </c>
      <c r="AV335" s="262">
        <f>IFERROR(IF(AND(COUNT(AR68,AS68,AT68,AU68)=4,(AR68+AS68+AT68+AU68)&lt;&gt;0),((N(AV211)+N(AV212)+N(AV213)+N(AV216)+N(AV234)+N(AV237))-N(AV143))/(AR68+AS68+AT68+AU68),""),"")</f>
        <v>-10.8744458372469</v>
      </c>
      <c r="AW335" s="262">
        <f>IFERROR(IF(AND(COUNT(AS68,AT68,AU68,AW68)=4,(AS68+AT68+AU68+AW68)&lt;&gt;0),((N(AW211)+N(AW212)+N(AW213)+N(AW216)+N(AW234)+N(AW237))-N(AW143))/(AS68+AT68+AU68+AW68),""),"")</f>
        <v>-15.7872507246535</v>
      </c>
      <c r="AX335" s="262">
        <f>IFERROR(IF(AND(COUNT(AT68,AU68,AW68,AX68)=4,(AT68+AU68+AW68+AX68)&lt;&gt;0),((N(AX211)+N(AX212)+N(AX213)+N(AX216)+N(AX234)+N(AX237))-N(AX143))/(AT68+AU68+AW68+AX68),""),"")</f>
        <v>-23.1378386255023</v>
      </c>
      <c r="AY335" s="262">
        <f>IFERROR(IF(AND(COUNT(AU68,AW68,AX68,AY68)=4,(AU68+AW68+AX68+AY68)&lt;&gt;0),((N(AY211)+N(AY212)+N(AY213)+N(AY216)+N(AY234)+N(AY237))-N(AY143))/(AU68+AW68+AX68+AY68),""),"")</f>
        <v>-34.6764236961926</v>
      </c>
      <c r="AZ335" s="262">
        <f>IFERROR(IF(AND(COUNT(AW68,AX68,AY68,AZ68)=4,(AW68+AX68+AY68+AZ68)&lt;&gt;0),((N(AZ211)+N(AZ212)+N(AZ213)+N(AZ216)+N(AZ234)+N(AZ237))-N(AZ143))/(AW68+AX68+AY68+AZ68),""),"")</f>
        <v>-51.9182383752728</v>
      </c>
      <c r="BA335" s="262">
        <f>IFERROR(IF(AND(COUNT(AW68,AX68,AY68,AZ68)=4,(AW68+AX68+AY68+AZ68)&lt;&gt;0),((N(BA211)+N(BA212)+N(BA213)+N(BA216)+N(BA234)+N(BA237))-N(BA143))/(AW68+AX68+AY68+AZ68),""),"")</f>
        <v>-51.9182383752728</v>
      </c>
      <c r="BB335" s="262">
        <f>IFERROR(IF(AND(COUNT(AX68,AY68,AZ68,BB68)=4,(AX68+AY68+AZ68+BB68)&lt;&gt;0),((N(BB211)+N(BB212)+N(BB213)+N(BB216)+N(BB234)+N(BB237))-N(BB143))/(AX68+AY68+AZ68+BB68),""),"")</f>
        <v>-77.5676042326364</v>
      </c>
      <c r="BC335" s="262">
        <f>IFERROR(IF(AND(COUNT(AY68,AZ68,BB68,BC68)=4,(AY68+AZ68+BB68+BC68)&lt;&gt;0),((N(BC211)+N(BC212)+N(BC213)+N(BC216)+N(BC234)+N(BC237))-N(BC143))/(AY68+AZ68+BB68+BC68),""),"")</f>
        <v>-115.914883595785</v>
      </c>
      <c r="BD335" s="262">
        <f>IFERROR(IF(AND(COUNT(AZ68,BB68,BC68,BD68)=4,(AZ68+BB68+BC68+BD68)&lt;&gt;0),((N(BD211)+N(BD212)+N(BD213)+N(BD216)+N(BD234)+N(BD237))-N(BD143))/(AZ68+BB68+BC68+BD68),""),"")</f>
        <v>-175.98420467644</v>
      </c>
      <c r="BE335" s="262">
        <f>IFERROR(IF(AND(COUNT(BB68,BC68,BD68,BE68)=4,(BB68+BC68+BD68+BE68)&lt;&gt;0),((N(BE211)+N(BE212)+N(BE213)+N(BE216)+N(BE234)+N(BE237))-N(BE143))/(BB68+BC68+BD68+BE68),""),"")</f>
        <v>-265.922185241208</v>
      </c>
      <c r="BF335" s="262">
        <f>IFERROR(IF(AND(COUNT(BB68,BC68,BD68,BE68)=4,(BB68+BC68+BD68+BE68)&lt;&gt;0),((N(BF211)+N(BF212)+N(BF213)+N(BF216)+N(BF234)+N(BF237))-N(BF143))/(BB68+BC68+BD68+BE68),""),"")</f>
        <v>-265.922185241208</v>
      </c>
      <c r="BG335" s="82" t="n"/>
      <c r="BH335" s="82" t="n"/>
      <c r="BI335" s="82" t="n"/>
      <c r="BJ335" s="82" t="n"/>
      <c r="BL335" s="82" t="n"/>
      <c r="BM335" s="82" t="n"/>
      <c r="BN335" s="82" t="n"/>
      <c r="BO335" s="82" t="n"/>
      <c r="BQ335" s="82" t="n"/>
      <c r="BR335" s="82" t="n"/>
      <c r="BS335" s="82" t="n"/>
      <c r="BT335" s="82" t="n"/>
      <c r="BV335" s="82" t="n"/>
      <c r="BW335" s="82" t="n"/>
      <c r="BX335" s="82" t="n"/>
      <c r="BY335" s="82" t="n"/>
      <c r="CA335" s="82" t="n"/>
      <c r="CB335" s="82" t="n"/>
      <c r="CC335" s="82" t="n"/>
      <c r="CD335" s="82" t="n"/>
      <c r="CF335" s="82" t="n"/>
      <c r="CG335" s="82" t="n"/>
      <c r="CH335" s="82" t="n"/>
      <c r="CI335" s="82" t="n"/>
      <c r="CK335" s="82" t="n"/>
      <c r="CL335" s="82" t="n"/>
      <c r="CM335" s="82" t="n"/>
      <c r="CN335" s="82" t="n"/>
      <c r="CP335" s="82" t="n"/>
      <c r="CQ335" s="82" t="n"/>
      <c r="CR335" s="82" t="n"/>
      <c r="CS335" s="82" t="n"/>
      <c r="CU335" s="82" t="n"/>
      <c r="CV335" s="82" t="n"/>
      <c r="CW335" s="82" t="n"/>
      <c r="CX335" s="82" t="n"/>
    </row>
    <row r="336" customFormat="1" s="77">
      <c r="A336" s="76" t="n"/>
      <c r="B336" s="76" t="n"/>
      <c r="C336" s="83" t="inlineStr">
        <is>
          <t>NET DEBT (EX IFRS 16.) / EBITDA (LTM)</t>
        </is>
      </c>
      <c r="D336" s="82" t="str">
        <f>IFERROR(SUM((D211+D212+D216)-D143)/(D68*4),"")</f>
        <v/>
      </c>
      <c r="E336" s="82" t="str">
        <f>IFERROR(SUM((E211+E212+E216)-E143)/(E68*4),"")</f>
        <v/>
      </c>
      <c r="F336" s="82" t="str">
        <f>IFERROR(SUM((F211+F212+F216)-F143)/(F68*4),"")</f>
        <v/>
      </c>
      <c r="G336" s="82" t="str">
        <f>IFERROR(SUM((G211+G212+G216)-G143)/(G68*4),"")</f>
        <v/>
      </c>
      <c r="H336" s="262" t="str">
        <f>IFERROR(IF(AND(COUNT(H68)=1,(H68)&lt;&gt;0),((N(H211)+N(H212)+N(H216)+N(H237))-N(H143))/(H68),""),"")</f>
        <v/>
      </c>
      <c r="I336" s="262" t="str">
        <f>""</f>
        <v/>
      </c>
      <c r="J336" s="262" t="str">
        <f>""</f>
        <v/>
      </c>
      <c r="K336" s="262" t="str">
        <f>""</f>
        <v/>
      </c>
      <c r="L336" s="262">
        <f>IFERROR(IF(AND(COUNT(I68,J68,K68,L68)=4,(I68+J68+K68+L68)&lt;&gt;0),((N(L211)+N(L212)+N(L216)+N(L237))-N(L143))/(I68+J68+K68+L68),""),"")</f>
        <v>-0.915024520731164</v>
      </c>
      <c r="M336" s="262">
        <f>IFERROR(IF(AND(COUNT(I68,J68,K68,L68)=4,(I68+J68+K68+L68)&lt;&gt;0),((N(M211)+N(M212)+N(M216)+N(M237))-N(M143))/(I68+J68+K68+L68),""),"")</f>
        <v>-0.915024520731164</v>
      </c>
      <c r="N336" s="262">
        <f>IFERROR(IF(AND(COUNT(J68,K68,L68,N68)=4,(J68+K68+L68+N68)&lt;&gt;0),((N(N211)+N(N212)+N(N216)+N(N237))-N(N143))/(J68+K68+L68+N68),""),"")</f>
        <v>-0.839982110912343</v>
      </c>
      <c r="O336" s="262">
        <f>IFERROR(IF(AND(COUNT(K68,L68,N68,O68)=4,(K68+L68+N68+O68)&lt;&gt;0),((N(O211)+N(O212)+N(O216)+N(O237))-N(O143))/(K68+L68+N68+O68),""),"")</f>
        <v>-0.652728637289589</v>
      </c>
      <c r="P336" s="262">
        <f>IFERROR(IF(AND(COUNT(L68,N68,O68,P68)=4,(L68+N68+O68+P68)&lt;&gt;0),((N(P211)+N(P212)+N(P216)+N(P237))-N(P143))/(L68+N68+O68+P68),""),"")</f>
        <v>-0.29775967413442</v>
      </c>
      <c r="Q336" s="262">
        <f>IFERROR(IF(AND(COUNT(N68,O68,P68,Q68)=4,(N68+O68+P68+Q68)&lt;&gt;0),((N(Q211)+N(Q212)+N(Q216)+N(Q237))-N(Q143))/(N68+O68+P68+Q68),""),"")</f>
        <v>-0.40620665742025</v>
      </c>
      <c r="R336" s="262">
        <f>IFERROR(IF(AND(COUNT(N68,O68,P68,Q68)=4,(N68+O68+P68+Q68)&lt;&gt;0),((N(R211)+N(R212)+N(R216)+N(R237))-N(R143))/(N68+O68+P68+Q68),""),"")</f>
        <v>-0.40620665742025</v>
      </c>
      <c r="S336" s="262">
        <f>IFERROR(IF(AND(COUNT(O68,P68,Q68,S68)=4,(O68+P68+Q68+S68)&lt;&gt;0),((N(S211)+N(S212)+N(S216)+N(S237))-N(S143))/(O68+P68+Q68+S68),""),"")</f>
        <v>-0.716912972085386</v>
      </c>
      <c r="T336" s="262">
        <f>IFERROR(IF(AND(COUNT(P68,Q68,S68,T68)=4,(P68+Q68+S68+T68)&lt;&gt;0),((N(T211)+N(T212)+N(T216)+N(T237))-N(T143))/(P68+Q68+S68+T68),""),"")</f>
        <v>-0.510421715947649</v>
      </c>
      <c r="U336" s="262">
        <f>IFERROR(IF(AND(COUNT(Q68,S68,T68,U68)=4,(Q68+S68+T68+U68)&lt;&gt;0),((N(U211)+N(U212)+N(U216)+N(U237))-N(U143))/(Q68+S68+T68+U68),""),"")</f>
        <v>-0.386958483754513</v>
      </c>
      <c r="V336" s="262">
        <f>IFERROR(IF(AND(COUNT(S68,T68,U68,V68)=4,(S68+T68+U68+V68)&lt;&gt;0),((N(V211)+N(V212)+N(V216)+N(V237))-N(V143))/(S68+T68+U68+V68),""),"")</f>
        <v>-0.472026450883146</v>
      </c>
      <c r="W336" s="262">
        <f>IFERROR(IF(AND(COUNT(S68,T68,U68,V68)=4,(S68+T68+U68+V68)&lt;&gt;0),((N(W211)+N(W212)+N(W216)+N(W237))-N(W143))/(S68+T68+U68+V68),""),"")</f>
        <v>-0.472026450883146</v>
      </c>
      <c r="X336" s="262">
        <f>IFERROR(IF(AND(COUNT(T68,U68,V68,X68)=4,(T68+U68+V68+X68)&lt;&gt;0),((N(X211)+N(X212)+N(X216)+N(X237))-N(X143))/(T68+U68+V68+X68),""),"")</f>
        <v>-0.4409627795592</v>
      </c>
      <c r="Y336" s="262">
        <f>IFERROR(IF(AND(COUNT(U68,V68,X68,Y68)=4,(U68+V68+X68+Y68)&lt;&gt;0),((N(Y211)+N(Y212)+N(Y216)+N(Y237))-N(Y143))/(U68+V68+X68+Y68),""),"")</f>
        <v>-0.430488362970711</v>
      </c>
      <c r="Z336" s="262">
        <f>IFERROR(IF(AND(COUNT(V68,X68,Y68,Z68)=4,(V68+X68+Y68+Z68)&lt;&gt;0),((N(Z211)+N(Z212)+N(Z216)+N(Z237))-N(Z143))/(V68+X68+Y68+Z68),""),"")</f>
        <v>-0.412760166066372</v>
      </c>
      <c r="AA336" s="262">
        <f>IFERROR(IF(AND(COUNT(X68,Y68,Z68,AA68)=4,(X68+Y68+Z68+AA68)&lt;&gt;0),((N(AA211)+N(AA212)+N(AA216)+N(AA237))-N(AA143))/(X68+Y68+Z68+AA68),""),"")</f>
        <v>-0.417040735495331</v>
      </c>
      <c r="AB336" s="262">
        <f>IFERROR(IF(AND(COUNT(X68,Y68,Z68,AA68)=4,(X68+Y68+Z68+AA68)&lt;&gt;0),((N(AB211)+N(AB212)+N(AB216)+N(AB237))-N(AB143))/(X68+Y68+Z68+AA68),""),"")</f>
        <v>-0.417040735495331</v>
      </c>
      <c r="AC336" s="262">
        <f>IFERROR(IF(AND(COUNT(Y68,Z68,AA68,AC68)=4,(Y68+Z68+AA68+AC68)&lt;&gt;0),((N(AC211)+N(AC212)+N(AC216)+N(AC237))-N(AC143))/(Y68+Z68+AA68+AC68),""),"")</f>
        <v>-0.512498866829843</v>
      </c>
      <c r="AD336" s="262">
        <f>IFERROR(IF(AND(COUNT(Z68,AA68,AC68,AD68)=4,(Z68+AA68+AC68+AD68)&lt;&gt;0),((N(AD211)+N(AD212)+N(AD216)+N(AD237))-N(AD143))/(Z68+AA68+AC68+AD68),""),"")</f>
        <v>-0.491697360656071</v>
      </c>
      <c r="AE336" s="262">
        <f>IFERROR(IF(AND(COUNT(AA68,AC68,AD68,AE68)=4,(AA68+AC68+AD68+AE68)&lt;&gt;0),((N(AE211)+N(AE212)+N(AE216)+N(AE237))-N(AE143))/(AA68+AC68+AD68+AE68),""),"")</f>
        <v>-0.462669482501597</v>
      </c>
      <c r="AF336" s="262">
        <f>IFERROR(IF(AND(COUNT(AB68,AD68,AE68,AF68)=4,(AB68+AD68+AE68+AF68)&lt;&gt;0),((N(AF211)+N(AF212)+N(AF216)+N(AF237))-N(AF143))/(AB68+AD68+AE68+AF68),""),"")</f>
        <v>-0.212054616853406</v>
      </c>
      <c r="AG336" s="262">
        <f>IFERROR(IF(AND(COUNT(AC68,AD68,AE68,AF68)=4,(AC68+AD68+AE68+AF68)&lt;&gt;0),((N(AG211)+N(AG212)+N(AG216)+N(AG237))-N(AG143))/(AC68+AD68+AE68+AF68),""),"")</f>
        <v>-0.309254672371088</v>
      </c>
      <c r="AH336" s="262">
        <f>IFERROR(IF(AND(COUNT(AD68,AF68,AG68,AH68)=4,(AD68+AF68+AG68+AH68)&lt;&gt;0),((N(AH211)+N(AH212)+N(AH216)+N(AH237))-N(AH143))/(AD68+AF68+AG68+AH68),""),"")</f>
        <v>-0.159800445067046</v>
      </c>
      <c r="AI336" s="262">
        <f>IFERROR(IF(AND(COUNT(AE68,AG68,AH68,AI68)=4,(AE68+AG68+AH68+AI68)&lt;&gt;0),((N(AI211)+N(AI212)+N(AI216)+N(AI237))-N(AI143))/(AE68+AG68+AH68+AI68),""),"")</f>
        <v>-0.0802391278055186</v>
      </c>
      <c r="AJ336" s="262">
        <f>IFERROR(IF(AND(COUNT(AF68,AH68,AI68,AJ68)=4,(AF68+AH68+AI68+AJ68)&lt;&gt;0),((N(AJ211)+N(AJ212)+N(AJ216)+N(AJ237))-N(AJ143))/(AF68+AH68+AI68+AJ68),""),"")</f>
        <v>-0.478821321084631</v>
      </c>
      <c r="AK336" s="262">
        <f>IFERROR(IF(AND(COUNT(AH68,AI68,AJ68,AK68)=4,(AH68+AI68+AJ68+AK68)&lt;&gt;0),((N(AK211)+N(AK212)+N(AK216)+N(AK237))-N(AK143))/(AH68+AI68+AJ68+AK68),""),"")</f>
        <v>-0.774350975896633</v>
      </c>
      <c r="AL336" s="262">
        <f>IFERROR(IF(AND(COUNT(AH68,AI68,AJ68,AK68)=4,(AH68+AI68+AJ68+AK68)&lt;&gt;0),((N(AL211)+N(AL212)+N(AL216)+N(AL237))-N(AL143))/(AH68+AI68+AJ68+AK68),""),"")</f>
        <v>-0.774350975896633</v>
      </c>
      <c r="AM336" s="262">
        <f>IFERROR(IF(AND(COUNT(AI68,AJ68,AK68,AM68)=4,(AI68+AJ68+AK68+AM68)&lt;&gt;0),((N(AM211)+N(AM212)+N(AM216)+N(AM237))-N(AM143))/(AI68+AJ68+AK68+AM68),""),"")</f>
        <v>-1.10926581163699</v>
      </c>
      <c r="AN336" s="262">
        <f>IFERROR(IF(AND(COUNT(AJ68,AK68,AM68,AN68)=4,(AJ68+AK68+AM68+AN68)&lt;&gt;0),((N(AN211)+N(AN212)+N(AN216)+N(AN237))-N(AN143))/(AJ68+AK68+AM68+AN68),""),"")</f>
        <v>-1.5380489303075</v>
      </c>
      <c r="AO336" s="262">
        <f>IFERROR(IF(AND(COUNT(AK68,AM68,AN68,AO68)=4,(AK68+AM68+AN68+AO68)&lt;&gt;0),((N(AO211)+N(AO212)+N(AO216)+N(AO237))-N(AO143))/(AK68+AM68+AN68+AO68),""),"")</f>
        <v>-2.10520233944417</v>
      </c>
      <c r="AP336" s="262">
        <f>IFERROR(IF(AND(COUNT(AM68,AN68,AO68,AP68)=4,(AM68+AN68+AO68+AP68)&lt;&gt;0),((N(AP211)+N(AP212)+N(AP216)+N(AP237))-N(AP143))/(AM68+AN68+AO68+AP68),""),"")</f>
        <v>-2.81883236941913</v>
      </c>
      <c r="AQ336" s="262">
        <f>IFERROR(IF(AND(COUNT(AM68,AN68,AO68,AP68)=4,(AM68+AN68+AO68+AP68)&lt;&gt;0),((N(AQ211)+N(AQ212)+N(AQ216)+N(AQ237))-N(AQ143))/(AM68+AN68+AO68+AP68),""),"")</f>
        <v>-2.81883236941913</v>
      </c>
      <c r="AR336" s="262">
        <f>IFERROR(IF(AND(COUNT(AN68,AO68,AP68,AR68)=4,(AN68+AO68+AP68+AR68)&lt;&gt;0),((N(AR211)+N(AR212)+N(AR216)+N(AR237))-N(AR143))/(AN68+AO68+AP68+AR68),""),"")</f>
        <v>-3.82273467257029</v>
      </c>
      <c r="AS336" s="262">
        <f>IFERROR(IF(AND(COUNT(AO68,AP68,AR68,AS68)=4,(AO68+AP68+AR68+AS68)&lt;&gt;0),((N(AS211)+N(AS212)+N(AS216)+N(AS237))-N(AS143))/(AO68+AP68+AR68+AS68),""),"")</f>
        <v>-5.28483674693066</v>
      </c>
      <c r="AT336" s="262">
        <f>IFERROR(IF(AND(COUNT(AP68,AR68,AS68,AT68)=4,(AP68+AR68+AS68+AT68)&lt;&gt;0),((N(AT211)+N(AT212)+N(AT216)+N(AT237))-N(AT143))/(AP68+AR68+AS68+AT68),""),"")</f>
        <v>-7.56205800704926</v>
      </c>
      <c r="AU336" s="262">
        <f>IFERROR(IF(AND(COUNT(AR68,AS68,AT68,AU68)=4,(AR68+AS68+AT68+AU68)&lt;&gt;0),((N(AU211)+N(AU212)+N(AU216)+N(AU237))-N(AU143))/(AR68+AS68+AT68+AU68),""),"")</f>
        <v>-10.8809559210734</v>
      </c>
      <c r="AV336" s="262">
        <f>IFERROR(IF(AND(COUNT(AR68,AS68,AT68,AU68)=4,(AR68+AS68+AT68+AU68)&lt;&gt;0),((N(AV211)+N(AV212)+N(AV216)+N(AV237))-N(AV143))/(AR68+AS68+AT68+AU68),""),"")</f>
        <v>-10.8809559210734</v>
      </c>
      <c r="AW336" s="262">
        <f>IFERROR(IF(AND(COUNT(AS68,AT68,AU68,AW68)=4,(AS68+AT68+AU68+AW68)&lt;&gt;0),((N(AW211)+N(AW212)+N(AW216)+N(AW237))-N(AW143))/(AS68+AT68+AU68+AW68),""),"")</f>
        <v>-15.7928988431064</v>
      </c>
      <c r="AX336" s="262">
        <f>IFERROR(IF(AND(COUNT(AT68,AU68,AW68,AX68)=4,(AT68+AU68+AW68+AX68)&lt;&gt;0),((N(AX211)+N(AX212)+N(AX216)+N(AX237))-N(AX143))/(AT68+AU68+AW68+AX68),""),"")</f>
        <v>-23.1427241181685</v>
      </c>
      <c r="AY336" s="262">
        <f>IFERROR(IF(AND(COUNT(AU68,AW68,AX68,AY68)=4,(AU68+AW68+AX68+AY68)&lt;&gt;0),((N(AY211)+N(AY212)+N(AY216)+N(AY237))-N(AY143))/(AU68+AW68+AX68+AY68),""),"")</f>
        <v>-34.6807084664515</v>
      </c>
      <c r="AZ336" s="262">
        <f>IFERROR(IF(AND(COUNT(AW68,AX68,AY68,AZ68)=4,(AW68+AX68+AY68+AZ68)&lt;&gt;0),((N(AZ211)+N(AZ212)+N(AZ216)+N(AZ237))-N(AZ143))/(AW68+AX68+AY68+AZ68),""),"")</f>
        <v>-51.921974176415</v>
      </c>
      <c r="BA336" s="262">
        <f>IFERROR(IF(AND(COUNT(AW68,AX68,AY68,AZ68)=4,(AW68+AX68+AY68+AZ68)&lt;&gt;0),((N(BA211)+N(BA212)+N(BA216)+N(BA237))-N(BA143))/(AW68+AX68+AY68+AZ68),""),"")</f>
        <v>-51.921974176415</v>
      </c>
      <c r="BB336" s="262">
        <f>IFERROR(IF(AND(COUNT(AX68,AY68,AZ68,BB68)=4,(AX68+AY68+AZ68+BB68)&lt;&gt;0),((N(BB211)+N(BB212)+N(BB216)+N(BB237))-N(BB143))/(AX68+AY68+AZ68+BB68),""),"")</f>
        <v>-77.5708482883096</v>
      </c>
      <c r="BC336" s="262">
        <f>IFERROR(IF(AND(COUNT(AY68,AZ68,BB68,BC68)=4,(AY68+AZ68+BB68+BC68)&lt;&gt;0),((N(BC211)+N(BC212)+N(BC216)+N(BC237))-N(BC143))/(AY68+AZ68+BB68+BC68),""),"")</f>
        <v>-115.917691846319</v>
      </c>
      <c r="BD336" s="262">
        <f>IFERROR(IF(AND(COUNT(AZ68,BB68,BC68,BD68)=4,(AZ68+BB68+BC68+BD68)&lt;&gt;0),((N(BD211)+N(BD212)+N(BD216)+N(BD237))-N(BD143))/(AZ68+BB68+BC68+BD68),""),"")</f>
        <v>-175.986669156926</v>
      </c>
      <c r="BE336" s="262">
        <f>IFERROR(IF(AND(COUNT(BB68,BC68,BD68,BE68)=4,(BB68+BC68+BD68+BE68)&lt;&gt;0),((N(BE211)+N(BE212)+N(BE216)+N(BE237))-N(BE143))/(BB68+BC68+BD68+BE68),""),"")</f>
        <v>-265.924335193424</v>
      </c>
      <c r="BF336" s="262">
        <f>IFERROR(IF(AND(COUNT(BB68,BC68,BD68,BE68)=4,(BB68+BC68+BD68+BE68)&lt;&gt;0),((N(BF211)+N(BF212)+N(BF216)+N(BF237))-N(BF143))/(BB68+BC68+BD68+BE68),""),"")</f>
        <v>-265.924335193424</v>
      </c>
      <c r="BG336" s="82" t="n"/>
      <c r="BH336" s="82" t="n"/>
      <c r="BI336" s="82" t="n"/>
      <c r="BJ336" s="82" t="n"/>
      <c r="BL336" s="82" t="n"/>
      <c r="BM336" s="82" t="n"/>
      <c r="BN336" s="82" t="n"/>
      <c r="BO336" s="82" t="n"/>
      <c r="BQ336" s="82" t="n"/>
      <c r="BR336" s="82" t="n"/>
      <c r="BS336" s="82" t="n"/>
      <c r="BT336" s="82" t="n"/>
      <c r="BV336" s="82" t="n"/>
      <c r="BW336" s="82" t="n"/>
      <c r="BX336" s="82" t="n"/>
      <c r="BY336" s="82" t="n"/>
      <c r="CA336" s="82" t="n"/>
      <c r="CB336" s="82" t="n"/>
      <c r="CC336" s="82" t="n"/>
      <c r="CD336" s="82" t="n"/>
      <c r="CF336" s="82" t="n"/>
      <c r="CG336" s="82" t="n"/>
      <c r="CH336" s="82" t="n"/>
      <c r="CI336" s="82" t="n"/>
      <c r="CK336" s="82" t="n"/>
      <c r="CL336" s="82" t="n"/>
      <c r="CM336" s="82" t="n"/>
      <c r="CN336" s="82" t="n"/>
      <c r="CP336" s="82" t="n"/>
      <c r="CQ336" s="82" t="n"/>
      <c r="CR336" s="82" t="n"/>
      <c r="CS336" s="82" t="n"/>
      <c r="CU336" s="82" t="n"/>
      <c r="CV336" s="82" t="n"/>
      <c r="CW336" s="82" t="n"/>
      <c r="CX336" s="82" t="n"/>
    </row>
    <row r="337" customFormat="1" s="77">
      <c r="A337" s="76" t="n"/>
      <c r="B337" s="76" t="n"/>
      <c r="C337" s="77" t="inlineStr">
        <is>
          <t>INTEREST COVERAGE (EBIT / INTEREST, LTM)</t>
        </is>
      </c>
      <c r="D337" s="82" t="str">
        <f>IFERROR(D72/-D73,"")</f>
        <v/>
      </c>
      <c r="E337" s="82" t="str">
        <f>IFERROR(E72/-E73,"")</f>
        <v/>
      </c>
      <c r="F337" s="82" t="str">
        <f>IFERROR(F72/-F73,"")</f>
        <v/>
      </c>
      <c r="G337" s="82" t="str">
        <f>IFERROR(G72/-G73,"")</f>
        <v/>
      </c>
      <c r="H337" s="262" t="str">
        <f>IFERROR(IF(AND(COUNT(H72)=1,(H73)&lt;&gt;0),(H72)/-(H73),""),"")</f>
        <v/>
      </c>
      <c r="I337" s="262" t="str">
        <f>""</f>
        <v/>
      </c>
      <c r="J337" s="262" t="str">
        <f>""</f>
        <v/>
      </c>
      <c r="K337" s="262" t="str">
        <f>""</f>
        <v/>
      </c>
      <c r="L337" s="262">
        <f>IFERROR(IF(AND(COUNT(I72,J72,K72,L72)=4,(I73+J73+K73+L73)&lt;&gt;0),(I72+J72+K72+L72)/-(I73+J73+K73+L73),""),"")</f>
        <v>42.5466101694915</v>
      </c>
      <c r="M337" s="262">
        <f>IFERROR(IF(AND(COUNT(I72,J72,K72,L72)=4,(I73+J73+K73+L73)&lt;&gt;0),(I72+J72+K72+L72)/-(I73+J73+K73+L73),""),"")</f>
        <v>42.5466101694915</v>
      </c>
      <c r="N337" s="262">
        <f>IFERROR(IF(AND(COUNT(J72,K72,L72,N72)=4,(J73+K73+L73+N73)&lt;&gt;0),(J72+K72+L72+N72)/-(J73+K73+L73+N73),""),"")</f>
        <v>39.6533864541833</v>
      </c>
      <c r="O337" s="262">
        <f>IFERROR(IF(AND(COUNT(K72,L72,N72,O72)=4,(K73+L73+N73+O73)&lt;&gt;0),(K72+L72+N72+O72)/-(K73+L73+N73+O73),""),"")</f>
        <v>31.28125</v>
      </c>
      <c r="P337" s="262">
        <f>IFERROR(IF(AND(COUNT(L72,N72,O72,P72)=4,(L73+N73+O73+P73)&lt;&gt;0),(L72+N72+O72+P72)/-(L73+N73+O73+P73),""),"")</f>
        <v>22.9266409266409</v>
      </c>
      <c r="Q337" s="262">
        <f>IFERROR(IF(AND(COUNT(N72,O72,P72,Q72)=4,(N73+O73+P73+Q73)&lt;&gt;0),(N72+O72+P72+Q72)/-(N73+O73+P73+Q73),""),"")</f>
        <v>16.1221374045802</v>
      </c>
      <c r="R337" s="262">
        <f>IFERROR(IF(AND(COUNT(N72,O72,P72,Q72)=4,(N73+O73+P73+Q73)&lt;&gt;0),(N72+O72+P72+Q72)/-(N73+O73+P73+Q73),""),"")</f>
        <v>16.1221374045802</v>
      </c>
      <c r="S337" s="262">
        <f>IFERROR(IF(AND(COUNT(O72,P72,Q72,S72)=4,(O73+P73+Q73+S73)&lt;&gt;0),(O72+P72+Q72+S72)/-(O73+P73+Q73+S73),""),"")</f>
        <v>17.2923076923077</v>
      </c>
      <c r="T337" s="262">
        <f>IFERROR(IF(AND(COUNT(P72,Q72,S72,T72)=4,(P73+Q73+S73+T73)&lt;&gt;0),(P72+Q72+S72+T72)/-(P73+Q73+S73+T73),""),"")</f>
        <v>41.5269230769231</v>
      </c>
      <c r="U337" s="262">
        <f>IFERROR(IF(AND(COUNT(Q72,S72,T72,U72)=4,(Q73+S73+T73+U73)&lt;&gt;0),(Q72+S72+T72+U72)/-(Q73+S73+T73+U73),""),"")</f>
        <v>79.8953488372093</v>
      </c>
      <c r="V337" s="262">
        <f>IFERROR(IF(AND(COUNT(S72,T72,U72,V72)=4,(S73+T73+U73+V73)&lt;&gt;0),(S72+T72+U72+V72)/-(S73+T73+U73+V73),""),"")</f>
        <v>128.291828793774</v>
      </c>
      <c r="W337" s="262">
        <f>IFERROR(IF(AND(COUNT(S72,T72,U72,V72)=4,(S73+T73+U73+V73)&lt;&gt;0),(S72+T72+U72+V72)/-(S73+T73+U73+V73),""),"")</f>
        <v>128.291828793774</v>
      </c>
      <c r="X337" s="262">
        <f>IFERROR(IF(AND(COUNT(T72,U72,V72,X72)=4,(T73+U73+V73+X73)&lt;&gt;0),(T72+U72+V72+X72)/-(T73+U73+V73+X73),""),"")</f>
        <v>187.21568627451</v>
      </c>
      <c r="Y337" s="262">
        <f>IFERROR(IF(AND(COUNT(U72,V72,X72,Y72)=4,(U73+V73+X73+Y73)&lt;&gt;0),(U72+V72+X72+Y72)/-(U73+V73+X73+Y73),""),"")</f>
        <v>237.378486055777</v>
      </c>
      <c r="Z337" s="262">
        <f>IFERROR(IF(AND(COUNT(V72,X72,Y72,Z72)=4,(V73+X73+Y73+Z73)&lt;&gt;0),(V72+X72+Y72+Z72)/-(V73+X73+Y73+Z73),""),"")</f>
        <v>285.277108433735</v>
      </c>
      <c r="AA337" s="262">
        <f>IFERROR(IF(AND(COUNT(X72,Y72,Z72,AA72)=4,(X73+Y73+Z73+AA73)&lt;&gt;0),(X72+Y72+Z72+AA72)/-(X73+Y73+Z73+AA73),""),"")</f>
        <v>329.773279352227</v>
      </c>
      <c r="AB337" s="262">
        <f>IFERROR(IF(AND(COUNT(X72,Y72,Z72,AA72)=4,(X73+Y73+Z73+AA73)&lt;&gt;0),(X72+Y72+Z72+AA72)/-(X73+Y73+Z73+AA73),""),"")</f>
        <v>329.773279352227</v>
      </c>
      <c r="AC337" s="262">
        <f>IFERROR(IF(AND(COUNT(Y72,Z72,AA72,AC72)=4,(Y73+Z73+AA73+AC73)&lt;&gt;0),(Y72+Z72+AA72+AC72)/-(Y73+Z73+AA73+AC73),""),"")</f>
        <v>350.337398373984</v>
      </c>
      <c r="AD337" s="262">
        <f>IFERROR(IF(AND(COUNT(Z72,AA72,AC72,AD72)=4,(Z73+AA73+AC73+AD73)&lt;&gt;0),(Z72+AA72+AC72+AD72)/-(Z73+AA73+AC73+AD73),""),"")</f>
        <v>388.587044534413</v>
      </c>
      <c r="AE337" s="262">
        <f>IFERROR(IF(AND(COUNT(AA72,AC72,AD72,AE72)=4,(AA73+AC73+AD73+AE73)&lt;&gt;0),(AA72+AC72+AD72+AE72)/-(AA73+AC73+AD73+AE73),""),"")</f>
        <v>445.838056680162</v>
      </c>
      <c r="AF337" s="262">
        <f>IFERROR(IF(AND(COUNT(AB72,AD72,AE72,AF72)=4,(AB73+AD73+AE73+AF73)&lt;&gt;0),(AB72+AD72+AE72+AF72)/-(AB73+AD73+AE73+AF73),""),"")</f>
        <v>429.352144469526</v>
      </c>
      <c r="AG337" s="262">
        <f>IFERROR(IF(AND(COUNT(AC72,AD72,AE72,AF72)=4,(AC73+AD73+AE73+AF73)&lt;&gt;0),(AC72+AD72+AE72+AF72)/-(AC73+AD73+AE73+AF73),""),"")</f>
        <v>503.42471042471</v>
      </c>
      <c r="AH337" s="262">
        <f>IFERROR(IF(AND(COUNT(AD72,AF72,AG72,AH72)=4,(AD73+AF73+AG73+AH73)&lt;&gt;0),(AD72+AF72+AG72+AH72)/-(AD73+AF73+AG73+AH73),""),"")</f>
        <v>517.463709677419</v>
      </c>
      <c r="AI337" s="262">
        <f>IFERROR(IF(AND(COUNT(AE72,AG72,AH72,AI72)=4,(AE73+AG73+AH73+AI73)&lt;&gt;0),(AE72+AG72+AH72+AI72)/-(AE73+AG73+AH73+AI73),""),"")</f>
        <v>437.083204930663</v>
      </c>
      <c r="AJ337" s="262" t="str">
        <f>IFERROR(IF(AND(COUNT(AF72,AH72,AI72,AJ72)=4,(AF73+AH73+AI73+AJ73)&lt;&gt;0),(AF72+AH72+AI72+AJ72)/-(AF73+AH73+AI73+AJ73),""),"")</f>
        <v/>
      </c>
      <c r="AK337" s="262" t="str">
        <f>IFERROR(IF(AND(COUNT(AH72,AI72,AJ72,AK72)=4,(AH73+AI73+AJ73+AK73)&lt;&gt;0),(AH72+AI72+AJ72+AK72)/-(AH73+AI73+AJ73+AK73),""),"")</f>
        <v/>
      </c>
      <c r="AL337" s="262" t="str">
        <f>IFERROR(IF(AND(COUNT(AH72,AI72,AJ72,AK72)=4,(AH73+AI73+AJ73+AK73)&lt;&gt;0),(AH72+AI72+AJ72+AK72)/-(AH73+AI73+AJ73+AK73),""),"")</f>
        <v/>
      </c>
      <c r="AM337" s="262" t="str">
        <f>IFERROR(IF(AND(COUNT(AI72,AJ72,AK72,AM72)=4,(AI73+AJ73+AK73+AM73)&lt;&gt;0),(AI72+AJ72+AK72+AM72)/-(AI73+AJ73+AK73+AM73),""),"")</f>
        <v/>
      </c>
      <c r="AN337" s="262" t="str">
        <f>IFERROR(IF(AND(COUNT(AJ72,AK72,AM72,AN72)=4,(AJ73+AK73+AM73+AN73)&lt;&gt;0),(AJ72+AK72+AM72+AN72)/-(AJ73+AK73+AM73+AN73),""),"")</f>
        <v/>
      </c>
      <c r="AO337" s="262" t="str">
        <f>IFERROR(IF(AND(COUNT(AK72,AM72,AN72,AO72)=4,(AK73+AM73+AN73+AO73)&lt;&gt;0),(AK72+AM72+AN72+AO72)/-(AK73+AM73+AN73+AO73),""),"")</f>
        <v/>
      </c>
      <c r="AP337" s="262" t="str">
        <f>IFERROR(IF(AND(COUNT(AM72,AN72,AO72,AP72)=4,(AM73+AN73+AO73+AP73)&lt;&gt;0),(AM72+AN72+AO72+AP72)/-(AM73+AN73+AO73+AP73),""),"")</f>
        <v/>
      </c>
      <c r="AQ337" s="262" t="str">
        <f>IFERROR(IF(AND(COUNT(AM72,AN72,AO72,AP72)=4,(AM73+AN73+AO73+AP73)&lt;&gt;0),(AM72+AN72+AO72+AP72)/-(AM73+AN73+AO73+AP73),""),"")</f>
        <v/>
      </c>
      <c r="AR337" s="262" t="str">
        <f>IFERROR(IF(AND(COUNT(AN72,AO72,AP72,AR72)=4,(AN73+AO73+AP73+AR73)&lt;&gt;0),(AN72+AO72+AP72+AR72)/-(AN73+AO73+AP73+AR73),""),"")</f>
        <v/>
      </c>
      <c r="AS337" s="262" t="str">
        <f>IFERROR(IF(AND(COUNT(AO72,AP72,AR72,AS72)=4,(AO73+AP73+AR73+AS73)&lt;&gt;0),(AO72+AP72+AR72+AS72)/-(AO73+AP73+AR73+AS73),""),"")</f>
        <v/>
      </c>
      <c r="AT337" s="262" t="str">
        <f>IFERROR(IF(AND(COUNT(AP72,AR72,AS72,AT72)=4,(AP73+AR73+AS73+AT73)&lt;&gt;0),(AP72+AR72+AS72+AT72)/-(AP73+AR73+AS73+AT73),""),"")</f>
        <v/>
      </c>
      <c r="AU337" s="262" t="str">
        <f>IFERROR(IF(AND(COUNT(AR72,AS72,AT72,AU72)=4,(AR73+AS73+AT73+AU73)&lt;&gt;0),(AR72+AS72+AT72+AU72)/-(AR73+AS73+AT73+AU73),""),"")</f>
        <v/>
      </c>
      <c r="AV337" s="262" t="str">
        <f>IFERROR(IF(AND(COUNT(AR72,AS72,AT72,AU72)=4,(AR73+AS73+AT73+AU73)&lt;&gt;0),(AR72+AS72+AT72+AU72)/-(AR73+AS73+AT73+AU73),""),"")</f>
        <v/>
      </c>
      <c r="AW337" s="262" t="str">
        <f>IFERROR(IF(AND(COUNT(AS72,AT72,AU72,AW72)=4,(AS73+AT73+AU73+AW73)&lt;&gt;0),(AS72+AT72+AU72+AW72)/-(AS73+AT73+AU73+AW73),""),"")</f>
        <v/>
      </c>
      <c r="AX337" s="262" t="str">
        <f>IFERROR(IF(AND(COUNT(AT72,AU72,AW72,AX72)=4,(AT73+AU73+AW73+AX73)&lt;&gt;0),(AT72+AU72+AW72+AX72)/-(AT73+AU73+AW73+AX73),""),"")</f>
        <v/>
      </c>
      <c r="AY337" s="262" t="str">
        <f>IFERROR(IF(AND(COUNT(AU72,AW72,AX72,AY72)=4,(AU73+AW73+AX73+AY73)&lt;&gt;0),(AU72+AW72+AX72+AY72)/-(AU73+AW73+AX73+AY73),""),"")</f>
        <v/>
      </c>
      <c r="AZ337" s="262" t="str">
        <f>IFERROR(IF(AND(COUNT(AW72,AX72,AY72,AZ72)=4,(AW73+AX73+AY73+AZ73)&lt;&gt;0),(AW72+AX72+AY72+AZ72)/-(AW73+AX73+AY73+AZ73),""),"")</f>
        <v/>
      </c>
      <c r="BA337" s="262" t="str">
        <f>IFERROR(IF(AND(COUNT(AW72,AX72,AY72,AZ72)=4,(AW73+AX73+AY73+AZ73)&lt;&gt;0),(AW72+AX72+AY72+AZ72)/-(AW73+AX73+AY73+AZ73),""),"")</f>
        <v/>
      </c>
      <c r="BB337" s="262" t="str">
        <f>IFERROR(IF(AND(COUNT(AX72,AY72,AZ72,BB72)=4,(AX73+AY73+AZ73+BB73)&lt;&gt;0),(AX72+AY72+AZ72+BB72)/-(AX73+AY73+AZ73+BB73),""),"")</f>
        <v/>
      </c>
      <c r="BC337" s="262" t="str">
        <f>IFERROR(IF(AND(COUNT(AY72,AZ72,BB72,BC72)=4,(AY73+AZ73+BB73+BC73)&lt;&gt;0),(AY72+AZ72+BB72+BC72)/-(AY73+AZ73+BB73+BC73),""),"")</f>
        <v/>
      </c>
      <c r="BD337" s="262" t="str">
        <f>IFERROR(IF(AND(COUNT(AZ72,BB72,BC72,BD72)=4,(AZ73+BB73+BC73+BD73)&lt;&gt;0),(AZ72+BB72+BC72+BD72)/-(AZ73+BB73+BC73+BD73),""),"")</f>
        <v/>
      </c>
      <c r="BE337" s="262" t="str">
        <f>IFERROR(IF(AND(COUNT(BB72,BC72,BD72,BE72)=4,(BB73+BC73+BD73+BE73)&lt;&gt;0),(BB72+BC72+BD72+BE72)/-(BB73+BC73+BD73+BE73),""),"")</f>
        <v/>
      </c>
      <c r="BF337" s="262" t="str">
        <f>IFERROR(IF(AND(COUNT(BB72,BC72,BD72,BE72)=4,(BB73+BC73+BD73+BE73)&lt;&gt;0),(BB72+BC72+BD72+BE72)/-(BB73+BC73+BD73+BE73),""),"")</f>
        <v/>
      </c>
      <c r="BG337" s="82" t="n"/>
      <c r="BH337" s="82" t="n"/>
      <c r="BI337" s="82" t="n"/>
      <c r="BJ337" s="82" t="n"/>
      <c r="BL337" s="82" t="n"/>
      <c r="BM337" s="82" t="n"/>
      <c r="BN337" s="82" t="n"/>
      <c r="BO337" s="82" t="n"/>
      <c r="BQ337" s="82" t="n"/>
      <c r="BR337" s="82" t="n"/>
      <c r="BS337" s="82" t="n"/>
      <c r="BT337" s="82" t="n"/>
      <c r="BV337" s="82" t="n"/>
      <c r="BW337" s="82" t="n"/>
      <c r="BX337" s="82" t="n"/>
      <c r="BY337" s="82" t="n"/>
      <c r="CA337" s="82" t="n"/>
      <c r="CB337" s="82" t="n"/>
      <c r="CC337" s="82" t="n"/>
      <c r="CD337" s="82" t="n"/>
      <c r="CF337" s="82" t="n"/>
      <c r="CG337" s="82" t="n"/>
      <c r="CH337" s="82" t="n"/>
      <c r="CI337" s="82" t="n"/>
      <c r="CK337" s="82" t="n"/>
      <c r="CL337" s="82" t="n"/>
      <c r="CM337" s="82" t="n"/>
      <c r="CN337" s="82" t="n"/>
      <c r="CP337" s="82" t="n"/>
      <c r="CQ337" s="82" t="n"/>
      <c r="CR337" s="82" t="n"/>
      <c r="CS337" s="82" t="n"/>
      <c r="CU337" s="82" t="n"/>
      <c r="CV337" s="82" t="n"/>
      <c r="CW337" s="82" t="n"/>
      <c r="CX337" s="82" t="n"/>
    </row>
    <row r="338" customFormat="1" s="77">
      <c r="A338" s="76" t="n"/>
      <c r="B338" s="76" t="n"/>
    </row>
    <row r="339" customFormat="1" s="77">
      <c r="A339" s="76" t="n"/>
      <c r="B339" s="76" t="n"/>
      <c r="C339" s="74" t="inlineStr">
        <is>
          <t>INTERNAL LIQUIDITY</t>
        </is>
      </c>
    </row>
    <row r="340" customFormat="1" s="77">
      <c r="A340" s="76" t="n"/>
      <c r="B340" s="76" t="n"/>
      <c r="C340" s="77" t="inlineStr">
        <is>
          <t>CURRENT RATIO</t>
        </is>
      </c>
      <c r="D340" s="82" t="str">
        <f>IFERROR(SUM(D143,D144,D148,D152,D153,D154)/SUM(D197,D201,D203,D204),"")</f>
        <v/>
      </c>
      <c r="E340" s="82" t="str">
        <f>IFERROR(SUM(E143,E144,E148,E152,E153,E154)/SUM(E197,E201,E203,E204),"")</f>
        <v/>
      </c>
      <c r="F340" s="82" t="str">
        <f>IFERROR(SUM(F143,F144,F148,F152,F153,F154)/SUM(F197,F201,F203,F204),"")</f>
        <v/>
      </c>
      <c r="G340" s="82" t="str">
        <f>IFERROR(SUM(G143,G144,G148,G152,G153,G154)/SUM(G197,G201,G203,G204),"")</f>
        <v/>
      </c>
      <c r="H340" s="262" t="str">
        <f>IFERROR(IF((N(H197)+N(H201)+N(H203)+N(H204)+N(H211)+N(H212)+N(H213))&lt;&gt;0,(N(H143)+(N(H144)+N(H148)+N(H152)+N(H153)+N(H154)))/(N(H197)+N(H201)+N(H203)+N(H204)+N(H211)+N(H212)+N(H213)),""),"")</f>
        <v/>
      </c>
      <c r="I340" s="262">
        <f>IFERROR(IF((N(I197)+N(I201)+N(I203)+N(I204)+N(I211)+N(I212)+N(I213))&lt;&gt;0,(N(I143)+(N(I144)+N(I148)+N(I152)+N(I153)+N(I154)))/(N(I197)+N(I201)+N(I203)+N(I204)+N(I211)+N(I212)+N(I213)),""),"")</f>
        <v>4.72152847152847</v>
      </c>
      <c r="J340" s="262">
        <f>IFERROR(IF((N(J197)+N(J201)+N(J203)+N(J204)+N(J211)+N(J212)+N(J213))&lt;&gt;0,(N(J143)+(N(J144)+N(J148)+N(J152)+N(J153)+N(J154)))/(N(J197)+N(J201)+N(J203)+N(J204)+N(J211)+N(J212)+N(J213)),""),"")</f>
        <v>6.01708633093525</v>
      </c>
      <c r="K340" s="262">
        <f>IFERROR(IF((N(K197)+N(K201)+N(K203)+N(K204)+N(K211)+N(K212)+N(K213))&lt;&gt;0,(N(K143)+(N(K144)+N(K148)+N(K152)+N(K153)+N(K154)))/(N(K197)+N(K201)+N(K203)+N(K204)+N(K211)+N(K212)+N(K213)),""),"")</f>
        <v>7.41306755260244</v>
      </c>
      <c r="L340" s="262">
        <f>IFERROR(IF((N(L197)+N(L201)+N(L203)+N(L204)+N(L211)+N(L212)+N(L213))&lt;&gt;0,(N(L143)+(N(L144)+N(L148)+N(L152)+N(L153)+N(L154)))/(N(L197)+N(L201)+N(L203)+N(L204)+N(L211)+N(L212)+N(L213)),""),"")</f>
        <v>6.93217993079585</v>
      </c>
      <c r="M340" s="262">
        <f>IFERROR(IF((N(M197)+N(M201)+N(M203)+N(M204)+N(M211)+N(M212)+N(M213))&lt;&gt;0,(N(M143)+(N(M144)+N(M148)+N(M152)+N(M153)+N(M154)))/(N(M197)+N(M201)+N(M203)+N(M204)+N(M211)+N(M212)+N(M213)),""),"")</f>
        <v>6.93217993079585</v>
      </c>
      <c r="N340" s="262">
        <f>IFERROR(IF((N(N197)+N(N201)+N(N203)+N(N204)+N(N211)+N(N212)+N(N213))&lt;&gt;0,(N(N143)+(N(N144)+N(N148)+N(N152)+N(N153)+N(N154)))/(N(N197)+N(N201)+N(N203)+N(N204)+N(N211)+N(N212)+N(N213)),""),"")</f>
        <v>5.63807982740022</v>
      </c>
      <c r="O340" s="262">
        <f>IFERROR(IF((N(O197)+N(O201)+N(O203)+N(O204)+N(O211)+N(O212)+N(O213))&lt;&gt;0,(N(O143)+(N(O144)+N(O148)+N(O152)+N(O153)+N(O154)))/(N(O197)+N(O201)+N(O203)+N(O204)+N(O211)+N(O212)+N(O213)),""),"")</f>
        <v>3.9143008054932</v>
      </c>
      <c r="P340" s="262">
        <f>IFERROR(IF((N(P197)+N(P201)+N(P203)+N(P204)+N(P211)+N(P212)+N(P213))&lt;&gt;0,(N(P143)+(N(P144)+N(P148)+N(P152)+N(P153)+N(P154)))/(N(P197)+N(P201)+N(P203)+N(P204)+N(P211)+N(P212)+N(P213)),""),"")</f>
        <v>3.79066374908826</v>
      </c>
      <c r="Q340" s="262">
        <f>IFERROR(IF((N(Q197)+N(Q201)+N(Q203)+N(Q204)+N(Q211)+N(Q212)+N(Q213))&lt;&gt;0,(N(Q143)+(N(Q144)+N(Q148)+N(Q152)+N(Q153)+N(Q154)))/(N(Q197)+N(Q201)+N(Q203)+N(Q204)+N(Q211)+N(Q212)+N(Q213)),""),"")</f>
        <v>4.03306414749352</v>
      </c>
      <c r="R340" s="262">
        <f>IFERROR(IF((N(R197)+N(R201)+N(R203)+N(R204)+N(R211)+N(R212)+N(R213))&lt;&gt;0,(N(R143)+(N(R144)+N(R148)+N(R152)+N(R153)+N(R154)))/(N(R197)+N(R201)+N(R203)+N(R204)+N(R211)+N(R212)+N(R213)),""),"")</f>
        <v>4.03306414749352</v>
      </c>
      <c r="S340" s="262">
        <f>IFERROR(IF((N(S197)+N(S201)+N(S203)+N(S204)+N(S211)+N(S212)+N(S213))&lt;&gt;0,(N(S143)+(N(S144)+N(S148)+N(S152)+N(S153)+N(S154)))/(N(S197)+N(S201)+N(S203)+N(S204)+N(S211)+N(S212)+N(S213)),""),"")</f>
        <v>4.05661157024793</v>
      </c>
      <c r="T340" s="262">
        <f>IFERROR(IF((N(T197)+N(T201)+N(T203)+N(T204)+N(T211)+N(T212)+N(T213))&lt;&gt;0,(N(T143)+(N(T144)+N(T148)+N(T152)+N(T153)+N(T154)))/(N(T197)+N(T201)+N(T203)+N(T204)+N(T211)+N(T212)+N(T213)),""),"")</f>
        <v>3.30898006580221</v>
      </c>
      <c r="U340" s="262">
        <f>IFERROR(IF((N(U197)+N(U201)+N(U203)+N(U204)+N(U211)+N(U212)+N(U213))&lt;&gt;0,(N(U143)+(N(U144)+N(U148)+N(U152)+N(U153)+N(U154)))/(N(U197)+N(U201)+N(U203)+N(U204)+N(U211)+N(U212)+N(U213)),""),"")</f>
        <v>4.24568728711131</v>
      </c>
      <c r="V340" s="262">
        <f>IFERROR(IF((N(V197)+N(V201)+N(V203)+N(V204)+N(V211)+N(V212)+N(V213))&lt;&gt;0,(N(V143)+(N(V144)+N(V148)+N(V152)+N(V153)+N(V154)))/(N(V197)+N(V201)+N(V203)+N(V204)+N(V211)+N(V212)+N(V213)),""),"")</f>
        <v>4.74329790236102</v>
      </c>
      <c r="W340" s="262">
        <f>IFERROR(IF((N(W197)+N(W201)+N(W203)+N(W204)+N(W211)+N(W212)+N(W213))&lt;&gt;0,(N(W143)+(N(W144)+N(W148)+N(W152)+N(W153)+N(W154)))/(N(W197)+N(W201)+N(W203)+N(W204)+N(W211)+N(W212)+N(W213)),""),"")</f>
        <v>4.74329790236102</v>
      </c>
      <c r="X340" s="262">
        <f>IFERROR(IF((N(X197)+N(X201)+N(X203)+N(X204)+N(X211)+N(X212)+N(X213))&lt;&gt;0,(N(X143)+(N(X144)+N(X148)+N(X152)+N(X153)+N(X154)))/(N(X197)+N(X201)+N(X203)+N(X204)+N(X211)+N(X212)+N(X213)),""),"")</f>
        <v>4.04171319713591</v>
      </c>
      <c r="Y340" s="262">
        <f>IFERROR(IF((N(Y197)+N(Y201)+N(Y203)+N(Y204)+N(Y211)+N(Y212)+N(Y213))&lt;&gt;0,(N(Y143)+(N(Y144)+N(Y148)+N(Y152)+N(Y153)+N(Y154)))/(N(Y197)+N(Y201)+N(Y203)+N(Y204)+N(Y211)+N(Y212)+N(Y213)),""),"")</f>
        <v>4.9546137876727</v>
      </c>
      <c r="Z340" s="262">
        <f>IFERROR(IF((N(Z197)+N(Z201)+N(Z203)+N(Z204)+N(Z211)+N(Z212)+N(Z213))&lt;&gt;0,(N(Z143)+(N(Z144)+N(Z148)+N(Z152)+N(Z153)+N(Z154)))/(N(Z197)+N(Z201)+N(Z203)+N(Z204)+N(Z211)+N(Z212)+N(Z213)),""),"")</f>
        <v>4.72819952667031</v>
      </c>
      <c r="AA340" s="262">
        <f>IFERROR(IF((N(AA197)+N(AA201)+N(AA203)+N(AA204)+N(AA211)+N(AA212)+N(AA213))&lt;&gt;0,(N(AA143)+(N(AA144)+N(AA148)+N(AA152)+N(AA153)+N(AA154)))/(N(AA197)+N(AA201)+N(AA203)+N(AA204)+N(AA211)+N(AA212)+N(AA213)),""),"")</f>
        <v>5.04820745830332</v>
      </c>
      <c r="AB340" s="262">
        <f>IFERROR(IF((N(AB197)+N(AB201)+N(AB203)+N(AB204)+N(AB211)+N(AB212)+N(AB213))&lt;&gt;0,(N(AB143)+(N(AB144)+N(AB148)+N(AB152)+N(AB153)+N(AB154)))/(N(AB197)+N(AB201)+N(AB203)+N(AB204)+N(AB211)+N(AB212)+N(AB213)),""),"")</f>
        <v>5.04820745830332</v>
      </c>
      <c r="AC340" s="262">
        <f>IFERROR(IF((N(AC197)+N(AC201)+N(AC203)+N(AC204)+N(AC211)+N(AC212)+N(AC213))&lt;&gt;0,(N(AC143)+(N(AC144)+N(AC148)+N(AC152)+N(AC153)+N(AC154)))/(N(AC197)+N(AC201)+N(AC203)+N(AC204)+N(AC211)+N(AC212)+N(AC213)),""),"")</f>
        <v>3.89017406374802</v>
      </c>
      <c r="AD340" s="262">
        <f>IFERROR(IF((N(AD197)+N(AD201)+N(AD203)+N(AD204)+N(AD211)+N(AD212)+N(AD213))&lt;&gt;0,(N(AD143)+(N(AD144)+N(AD148)+N(AD152)+N(AD153)+N(AD154)))/(N(AD197)+N(AD201)+N(AD203)+N(AD204)+N(AD211)+N(AD212)+N(AD213)),""),"")</f>
        <v>4.77342622748073</v>
      </c>
      <c r="AE340" s="262">
        <f>IFERROR(IF((N(AE197)+N(AE201)+N(AE203)+N(AE204)+N(AE211)+N(AE212)+N(AE213))&lt;&gt;0,(N(AE143)+(N(AE144)+N(AE148)+N(AE152)+N(AE153)+N(AE154)))/(N(AE197)+N(AE201)+N(AE203)+N(AE204)+N(AE211)+N(AE212)+N(AE213)),""),"")</f>
        <v>4.99198465963567</v>
      </c>
      <c r="AF340" s="262">
        <f>IFERROR(IF((N(AF197)+N(AF201)+N(AF203)+N(AF204)+N(AF211)+N(AF212)+N(AF213))&lt;&gt;0,(N(AF143)+(N(AF144)+N(AF148)+N(AF152)+N(AF153)+N(AF154)))/(N(AF197)+N(AF201)+N(AF203)+N(AF204)+N(AF211)+N(AF212)+N(AF213)),""),"")</f>
        <v>4.31747660355066</v>
      </c>
      <c r="AG340" s="262">
        <f>IFERROR(IF((N(AG197)+N(AG201)+N(AG203)+N(AG204)+N(AG211)+N(AG212)+N(AG213))&lt;&gt;0,(N(AG143)+(N(AG144)+N(AG148)+N(AG152)+N(AG153)+N(AG154)))/(N(AG197)+N(AG201)+N(AG203)+N(AG204)+N(AG211)+N(AG212)+N(AG213)),""),"")</f>
        <v>4.31747660355066</v>
      </c>
      <c r="AH340" s="262">
        <f>IFERROR(IF((N(AH197)+N(AH201)+N(AH203)+N(AH204)+N(AH211)+N(AH212)+N(AH213))&lt;&gt;0,(N(AH143)+(N(AH144)+N(AH148)+N(AH152)+N(AH153)+N(AH154)))/(N(AH197)+N(AH201)+N(AH203)+N(AH204)+N(AH211)+N(AH212)+N(AH213)),""),"")</f>
        <v>3.70754716981132</v>
      </c>
      <c r="AI340" s="262">
        <f>IFERROR(IF((N(AI197)+N(AI201)+N(AI203)+N(AI204)+N(AI211)+N(AI212)+N(AI213))&lt;&gt;0,(N(AI143)+(N(AI144)+N(AI148)+N(AI152)+N(AI153)+N(AI154)))/(N(AI197)+N(AI201)+N(AI203)+N(AI204)+N(AI211)+N(AI212)+N(AI213)),""),"")</f>
        <v>4.87159162230642</v>
      </c>
      <c r="AJ340" s="262">
        <f>IFERROR(IF((N(AJ197)+N(AJ201)+N(AJ203)+N(AJ204)+N(AJ211)+N(AJ212)+N(AJ213))&lt;&gt;0,(N(AJ143)+(N(AJ144)+N(AJ148)+N(AJ152)+N(AJ153)+N(AJ154)))/(N(AJ197)+N(AJ201)+N(AJ203)+N(AJ204)+N(AJ211)+N(AJ212)+N(AJ213)),""),"")</f>
        <v>4.4695015133667</v>
      </c>
      <c r="AK340" s="262">
        <f>IFERROR(IF((N(AK197)+N(AK201)+N(AK203)+N(AK204)+N(AK211)+N(AK212)+N(AK213))&lt;&gt;0,(N(AK143)+(N(AK144)+N(AK148)+N(AK152)+N(AK153)+N(AK154)))/(N(AK197)+N(AK201)+N(AK203)+N(AK204)+N(AK211)+N(AK212)+N(AK213)),""),"")</f>
        <v>3.83563896691213</v>
      </c>
      <c r="AL340" s="262">
        <f>IFERROR(IF((N(AL197)+N(AL201)+N(AL203)+N(AL204)+N(AL211)+N(AL212)+N(AL213))&lt;&gt;0,(N(AL143)+(N(AL144)+N(AL148)+N(AL152)+N(AL153)+N(AL154)))/(N(AL197)+N(AL201)+N(AL203)+N(AL204)+N(AL211)+N(AL212)+N(AL213)),""),"")</f>
        <v>3.83563896691213</v>
      </c>
      <c r="AM340" s="262">
        <f>IFERROR(IF((N(AM197)+N(AM201)+N(AM203)+N(AM204)+N(AM211)+N(AM212)+N(AM213))&lt;&gt;0,(N(AM143)+(N(AM144)+N(AM148)+N(AM152)+N(AM153)+N(AM154)))/(N(AM197)+N(AM201)+N(AM203)+N(AM204)+N(AM211)+N(AM212)+N(AM213)),""),"")</f>
        <v>3.2088718647631</v>
      </c>
      <c r="AN340" s="262">
        <f>IFERROR(IF((N(AN197)+N(AN201)+N(AN203)+N(AN204)+N(AN211)+N(AN212)+N(AN213))&lt;&gt;0,(N(AN143)+(N(AN144)+N(AN148)+N(AN152)+N(AN153)+N(AN154)))/(N(AN197)+N(AN201)+N(AN203)+N(AN204)+N(AN211)+N(AN212)+N(AN213)),""),"")</f>
        <v>2.66986714137814</v>
      </c>
      <c r="AO340" s="262">
        <f>IFERROR(IF((N(AO197)+N(AO201)+N(AO203)+N(AO204)+N(AO211)+N(AO212)+N(AO213))&lt;&gt;0,(N(AO143)+(N(AO144)+N(AO148)+N(AO152)+N(AO153)+N(AO154)))/(N(AO197)+N(AO201)+N(AO203)+N(AO204)+N(AO211)+N(AO212)+N(AO213)),""),"")</f>
        <v>2.20752007401522</v>
      </c>
      <c r="AP340" s="262">
        <f>IFERROR(IF((N(AP197)+N(AP201)+N(AP203)+N(AP204)+N(AP211)+N(AP212)+N(AP213))&lt;&gt;0,(N(AP143)+(N(AP144)+N(AP148)+N(AP152)+N(AP153)+N(AP154)))/(N(AP197)+N(AP201)+N(AP203)+N(AP204)+N(AP211)+N(AP212)+N(AP213)),""),"")</f>
        <v>1.85105731703049</v>
      </c>
      <c r="AQ340" s="262">
        <f>IFERROR(IF((N(AQ197)+N(AQ201)+N(AQ203)+N(AQ204)+N(AQ211)+N(AQ212)+N(AQ213))&lt;&gt;0,(N(AQ143)+(N(AQ144)+N(AQ148)+N(AQ152)+N(AQ153)+N(AQ154)))/(N(AQ197)+N(AQ201)+N(AQ203)+N(AQ204)+N(AQ211)+N(AQ212)+N(AQ213)),""),"")</f>
        <v>1.85105731703049</v>
      </c>
      <c r="AR340" s="262">
        <f>IFERROR(IF((N(AR197)+N(AR201)+N(AR203)+N(AR204)+N(AR211)+N(AR212)+N(AR213))&lt;&gt;0,(N(AR143)+(N(AR144)+N(AR148)+N(AR152)+N(AR153)+N(AR154)))/(N(AR197)+N(AR201)+N(AR203)+N(AR204)+N(AR211)+N(AR212)+N(AR213)),""),"")</f>
        <v>1.59615271580781</v>
      </c>
      <c r="AS340" s="262">
        <f>IFERROR(IF((N(AS197)+N(AS201)+N(AS203)+N(AS204)+N(AS211)+N(AS212)+N(AS213))&lt;&gt;0,(N(AS143)+(N(AS144)+N(AS148)+N(AS152)+N(AS153)+N(AS154)))/(N(AS197)+N(AS201)+N(AS203)+N(AS204)+N(AS211)+N(AS212)+N(AS213)),""),"")</f>
        <v>1.41436818314463</v>
      </c>
      <c r="AT340" s="262">
        <f>IFERROR(IF((N(AT197)+N(AT201)+N(AT203)+N(AT204)+N(AT211)+N(AT212)+N(AT213))&lt;&gt;0,(N(AT143)+(N(AT144)+N(AT148)+N(AT152)+N(AT153)+N(AT154)))/(N(AT197)+N(AT201)+N(AT203)+N(AT204)+N(AT211)+N(AT212)+N(AT213)),""),"")</f>
        <v>1.28097252191557</v>
      </c>
      <c r="AU340" s="262">
        <f>IFERROR(IF((N(AU197)+N(AU201)+N(AU203)+N(AU204)+N(AU211)+N(AU212)+N(AU213))&lt;&gt;0,(N(AU143)+(N(AU144)+N(AU148)+N(AU152)+N(AU153)+N(AU154)))/(N(AU197)+N(AU201)+N(AU203)+N(AU204)+N(AU211)+N(AU212)+N(AU213)),""),"")</f>
        <v>1.19012609419165</v>
      </c>
      <c r="AV340" s="262">
        <f>IFERROR(IF((N(AV197)+N(AV201)+N(AV203)+N(AV204)+N(AV211)+N(AV212)+N(AV213))&lt;&gt;0,(N(AV143)+(N(AV144)+N(AV148)+N(AV152)+N(AV153)+N(AV154)))/(N(AV197)+N(AV201)+N(AV203)+N(AV204)+N(AV211)+N(AV212)+N(AV213)),""),"")</f>
        <v>1.19012609419165</v>
      </c>
      <c r="AW340" s="262">
        <f>IFERROR(IF((N(AW197)+N(AW201)+N(AW203)+N(AW204)+N(AW211)+N(AW212)+N(AW213))&lt;&gt;0,(N(AW143)+(N(AW144)+N(AW148)+N(AW152)+N(AW153)+N(AW154)))/(N(AW197)+N(AW201)+N(AW203)+N(AW204)+N(AW211)+N(AW212)+N(AW213)),""),"")</f>
        <v>1.12906562737554</v>
      </c>
      <c r="AX340" s="262">
        <f>IFERROR(IF((N(AX197)+N(AX201)+N(AX203)+N(AX204)+N(AX211)+N(AX212)+N(AX213))&lt;&gt;0,(N(AX143)+(N(AX144)+N(AX148)+N(AX152)+N(AX153)+N(AX154)))/(N(AX197)+N(AX201)+N(AX203)+N(AX204)+N(AX211)+N(AX212)+N(AX213)),""),"")</f>
        <v>1.08755166179527</v>
      </c>
      <c r="AY340" s="262">
        <f>IFERROR(IF((N(AY197)+N(AY201)+N(AY203)+N(AY204)+N(AY211)+N(AY212)+N(AY213))&lt;&gt;0,(N(AY143)+(N(AY144)+N(AY148)+N(AY152)+N(AY153)+N(AY154)))/(N(AY197)+N(AY201)+N(AY203)+N(AY204)+N(AY211)+N(AY212)+N(AY213)),""),"")</f>
        <v>1.05828564734236</v>
      </c>
      <c r="AZ340" s="262">
        <f>IFERROR(IF((N(AZ197)+N(AZ201)+N(AZ203)+N(AZ204)+N(AZ211)+N(AZ212)+N(AZ213))&lt;&gt;0,(N(AZ143)+(N(AZ144)+N(AZ148)+N(AZ152)+N(AZ153)+N(AZ154)))/(N(AZ197)+N(AZ201)+N(AZ203)+N(AZ204)+N(AZ211)+N(AZ212)+N(AZ213)),""),"")</f>
        <v>1.0389370084025</v>
      </c>
      <c r="BA340" s="262">
        <f>IFERROR(IF((N(BA197)+N(BA201)+N(BA203)+N(BA204)+N(BA211)+N(BA212)+N(BA213))&lt;&gt;0,(N(BA143)+(N(BA144)+N(BA148)+N(BA152)+N(BA153)+N(BA154)))/(N(BA197)+N(BA201)+N(BA203)+N(BA204)+N(BA211)+N(BA212)+N(BA213)),""),"")</f>
        <v>1.0389370084025</v>
      </c>
      <c r="BB340" s="262">
        <f>IFERROR(IF((N(BB197)+N(BB201)+N(BB203)+N(BB204)+N(BB211)+N(BB212)+N(BB213))&lt;&gt;0,(N(BB143)+(N(BB144)+N(BB148)+N(BB152)+N(BB153)+N(BB154)))/(N(BB197)+N(BB201)+N(BB203)+N(BB204)+N(BB211)+N(BB212)+N(BB213)),""),"")</f>
        <v>1.02615666587209</v>
      </c>
      <c r="BC340" s="262">
        <f>IFERROR(IF((N(BC197)+N(BC201)+N(BC203)+N(BC204)+N(BC211)+N(BC212)+N(BC213))&lt;&gt;0,(N(BC143)+(N(BC144)+N(BC148)+N(BC152)+N(BC153)+N(BC154)))/(N(BC197)+N(BC201)+N(BC203)+N(BC204)+N(BC211)+N(BC212)+N(BC213)),""),"")</f>
        <v>1.01759556944377</v>
      </c>
      <c r="BD340" s="262">
        <f>IFERROR(IF((N(BD197)+N(BD201)+N(BD203)+N(BD204)+N(BD211)+N(BD212)+N(BD213))&lt;&gt;0,(N(BD143)+(N(BD144)+N(BD148)+N(BD152)+N(BD153)+N(BD154)))/(N(BD197)+N(BD201)+N(BD203)+N(BD204)+N(BD211)+N(BD212)+N(BD213)),""),"")</f>
        <v>1.0116457469212</v>
      </c>
      <c r="BE340" s="262">
        <f>IFERROR(IF((N(BE197)+N(BE201)+N(BE203)+N(BE204)+N(BE211)+N(BE212)+N(BE213))&lt;&gt;0,(N(BE143)+(N(BE144)+N(BE148)+N(BE152)+N(BE153)+N(BE154)))/(N(BE197)+N(BE201)+N(BE203)+N(BE204)+N(BE211)+N(BE212)+N(BE213)),""),"")</f>
        <v>1.00774615437085</v>
      </c>
      <c r="BF340" s="262">
        <f>IFERROR(IF((N(BF197)+N(BF201)+N(BF203)+N(BF204)+N(BF211)+N(BF212)+N(BF213))&lt;&gt;0,(N(BF143)+(N(BF144)+N(BF148)+N(BF152)+N(BF153)+N(BF154)))/(N(BF197)+N(BF201)+N(BF203)+N(BF204)+N(BF211)+N(BF212)+N(BF213)),""),"")</f>
        <v>1.00774615437085</v>
      </c>
      <c r="BG340" s="82" t="n"/>
      <c r="BH340" s="82" t="n"/>
      <c r="BI340" s="82" t="n"/>
      <c r="BJ340" s="82" t="n"/>
      <c r="BL340" s="82" t="n"/>
      <c r="BM340" s="82" t="n"/>
      <c r="BN340" s="82" t="n"/>
      <c r="BO340" s="82" t="n"/>
      <c r="BQ340" s="82" t="n"/>
      <c r="BR340" s="82" t="n"/>
      <c r="BS340" s="82" t="n"/>
      <c r="BT340" s="82" t="n"/>
      <c r="BV340" s="82" t="n"/>
      <c r="BW340" s="82" t="n"/>
      <c r="BX340" s="82" t="n"/>
      <c r="BY340" s="82" t="n"/>
      <c r="CA340" s="82" t="n"/>
      <c r="CB340" s="82" t="n"/>
      <c r="CC340" s="82" t="n"/>
      <c r="CD340" s="82" t="n"/>
      <c r="CF340" s="82" t="n"/>
      <c r="CG340" s="82" t="n"/>
      <c r="CH340" s="82" t="n"/>
      <c r="CI340" s="82" t="n"/>
      <c r="CK340" s="82" t="n"/>
      <c r="CL340" s="82" t="n"/>
      <c r="CM340" s="82" t="n"/>
      <c r="CN340" s="82" t="n"/>
      <c r="CP340" s="82" t="n"/>
      <c r="CQ340" s="82" t="n"/>
      <c r="CR340" s="82" t="n"/>
      <c r="CS340" s="82" t="n"/>
      <c r="CU340" s="82" t="n"/>
      <c r="CV340" s="82" t="n"/>
      <c r="CW340" s="82" t="n"/>
      <c r="CX340" s="82" t="n"/>
    </row>
    <row r="341" customFormat="1" s="77">
      <c r="A341" s="76" t="n"/>
      <c r="B341" s="76" t="n"/>
      <c r="C341" s="77" t="inlineStr">
        <is>
          <t>CASH RATIO</t>
        </is>
      </c>
      <c r="D341" s="82" t="str">
        <f>IFERROR(SUM(D143)/SUM(D197,D201,D203,D204),"")</f>
        <v/>
      </c>
      <c r="E341" s="82" t="str">
        <f>IFERROR(SUM(E143)/SUM(E197,E201,E203,E204),"")</f>
        <v/>
      </c>
      <c r="F341" s="82" t="str">
        <f>IFERROR(SUM(F143)/SUM(F197,F201,F203,F204),"")</f>
        <v/>
      </c>
      <c r="G341" s="82" t="str">
        <f>IFERROR(SUM(G143)/SUM(G197,G201,G203,G204),"")</f>
        <v/>
      </c>
      <c r="H341" s="262" t="str">
        <f>IFERROR(IF((N(H197)+N(H201)+N(H203)+N(H204)+N(H211)+N(H212)+N(H213))&lt;&gt;0,N(H143)/(N(H197)+N(H201)+N(H203)+N(H204)+N(H211)+N(H212)+N(H213)),""),"")</f>
        <v/>
      </c>
      <c r="I341" s="262">
        <f>IFERROR(IF((N(I197)+N(I201)+N(I203)+N(I204)+N(I211)+N(I212)+N(I213))&lt;&gt;0,N(I143)/(N(I197)+N(I201)+N(I203)+N(I204)+N(I211)+N(I212)+N(I213)),""),"")</f>
        <v>3.16358641358641</v>
      </c>
      <c r="J341" s="262">
        <f>IFERROR(IF((N(J197)+N(J201)+N(J203)+N(J204)+N(J211)+N(J212)+N(J213))&lt;&gt;0,N(J143)/(N(J197)+N(J201)+N(J203)+N(J204)+N(J211)+N(J212)+N(J213)),""),"")</f>
        <v>4.41861510791367</v>
      </c>
      <c r="K341" s="262">
        <f>IFERROR(IF((N(K197)+N(K201)+N(K203)+N(K204)+N(K211)+N(K212)+N(K213))&lt;&gt;0,N(K143)/(N(K197)+N(K201)+N(K203)+N(K204)+N(K211)+N(K212)+N(K213)),""),"")</f>
        <v>5.34274640088594</v>
      </c>
      <c r="L341" s="262">
        <f>IFERROR(IF((N(L197)+N(L201)+N(L203)+N(L204)+N(L211)+N(L212)+N(L213))&lt;&gt;0,N(L143)/(N(L197)+N(L201)+N(L203)+N(L204)+N(L211)+N(L212)+N(L213)),""),"")</f>
        <v>4.89227220299885</v>
      </c>
      <c r="M341" s="262">
        <f>IFERROR(IF((N(M197)+N(M201)+N(M203)+N(M204)+N(M211)+N(M212)+N(M213))&lt;&gt;0,N(M143)/(N(M197)+N(M201)+N(M203)+N(M204)+N(M211)+N(M212)+N(M213)),""),"")</f>
        <v>4.89227220299885</v>
      </c>
      <c r="N341" s="262">
        <f>IFERROR(IF((N(N197)+N(N201)+N(N203)+N(N204)+N(N211)+N(N212)+N(N213))&lt;&gt;0,N(N143)/(N(N197)+N(N201)+N(N203)+N(N204)+N(N211)+N(N212)+N(N213)),""),"")</f>
        <v>3.65659834591873</v>
      </c>
      <c r="O341" s="262">
        <f>IFERROR(IF((N(O197)+N(O201)+N(O203)+N(O204)+N(O211)+N(O212)+N(O213))&lt;&gt;0,N(O143)/(N(O197)+N(O201)+N(O203)+N(O204)+N(O211)+N(O212)+N(O213)),""),"")</f>
        <v>2.24970289185263</v>
      </c>
      <c r="P341" s="262">
        <f>IFERROR(IF((N(P197)+N(P201)+N(P203)+N(P204)+N(P211)+N(P212)+N(P213))&lt;&gt;0,N(P143)/(N(P197)+N(P201)+N(P203)+N(P204)+N(P211)+N(P212)+N(P213)),""),"")</f>
        <v>1.91728665207877</v>
      </c>
      <c r="Q341" s="262">
        <f>IFERROR(IF((N(Q197)+N(Q201)+N(Q203)+N(Q204)+N(Q211)+N(Q212)+N(Q213))&lt;&gt;0,N(Q143)/(N(Q197)+N(Q201)+N(Q203)+N(Q204)+N(Q211)+N(Q212)+N(Q213)),""),"")</f>
        <v>2.02590278835898</v>
      </c>
      <c r="R341" s="262">
        <f>IFERROR(IF((N(R197)+N(R201)+N(R203)+N(R204)+N(R211)+N(R212)+N(R213))&lt;&gt;0,N(R143)/(N(R197)+N(R201)+N(R203)+N(R204)+N(R211)+N(R212)+N(R213)),""),"")</f>
        <v>2.02590278835898</v>
      </c>
      <c r="S341" s="262">
        <f>IFERROR(IF((N(S197)+N(S201)+N(S203)+N(S204)+N(S211)+N(S212)+N(S213))&lt;&gt;0,N(S143)/(N(S197)+N(S201)+N(S203)+N(S204)+N(S211)+N(S212)+N(S213)),""),"")</f>
        <v>2.11019283746556</v>
      </c>
      <c r="T341" s="262">
        <f>IFERROR(IF((N(T197)+N(T201)+N(T203)+N(T204)+N(T211)+N(T212)+N(T213))&lt;&gt;0,N(T143)/(N(T197)+N(T201)+N(T203)+N(T204)+N(T211)+N(T212)+N(T213)),""),"")</f>
        <v>1.55051287013741</v>
      </c>
      <c r="U341" s="262">
        <f>IFERROR(IF((N(U197)+N(U201)+N(U203)+N(U204)+N(U211)+N(U212)+N(U213))&lt;&gt;0,N(U143)/(N(U197)+N(U201)+N(U203)+N(U204)+N(U211)+N(U212)+N(U213)),""),"")</f>
        <v>2.00868036479508</v>
      </c>
      <c r="V341" s="262">
        <f>IFERROR(IF((N(V197)+N(V201)+N(V203)+N(V204)+N(V211)+N(V212)+N(V213))&lt;&gt;0,N(V143)/(N(V197)+N(V201)+N(V203)+N(V204)+N(V211)+N(V212)+N(V213)),""),"")</f>
        <v>2.4441727024739</v>
      </c>
      <c r="W341" s="262">
        <f>IFERROR(IF((N(W197)+N(W201)+N(W203)+N(W204)+N(W211)+N(W212)+N(W213))&lt;&gt;0,N(W143)/(N(W197)+N(W201)+N(W203)+N(W204)+N(W211)+N(W212)+N(W213)),""),"")</f>
        <v>2.4441727024739</v>
      </c>
      <c r="X341" s="262">
        <f>IFERROR(IF((N(X197)+N(X201)+N(X203)+N(X204)+N(X211)+N(X212)+N(X213))&lt;&gt;0,N(X143)/(N(X197)+N(X201)+N(X203)+N(X204)+N(X211)+N(X212)+N(X213)),""),"")</f>
        <v>2.06516455363595</v>
      </c>
      <c r="Y341" s="262">
        <f>IFERROR(IF((N(Y197)+N(Y201)+N(Y203)+N(Y204)+N(Y211)+N(Y212)+N(Y213))&lt;&gt;0,N(Y143)/(N(Y197)+N(Y201)+N(Y203)+N(Y204)+N(Y211)+N(Y212)+N(Y213)),""),"")</f>
        <v>2.49123058200301</v>
      </c>
      <c r="Z341" s="262">
        <f>IFERROR(IF((N(Z197)+N(Z201)+N(Z203)+N(Z204)+N(Z211)+N(Z212)+N(Z213))&lt;&gt;0,N(Z143)/(N(Z197)+N(Z201)+N(Z203)+N(Z204)+N(Z211)+N(Z212)+N(Z213)),""),"")</f>
        <v>2.33551793191334</v>
      </c>
      <c r="AA341" s="262">
        <f>IFERROR(IF((N(AA197)+N(AA201)+N(AA203)+N(AA204)+N(AA211)+N(AA212)+N(AA213))&lt;&gt;0,N(AA143)/(N(AA197)+N(AA201)+N(AA203)+N(AA204)+N(AA211)+N(AA212)+N(AA213)),""),"")</f>
        <v>2.39430376239818</v>
      </c>
      <c r="AB341" s="262">
        <f>IFERROR(IF((N(AB197)+N(AB201)+N(AB203)+N(AB204)+N(AB211)+N(AB212)+N(AB213))&lt;&gt;0,N(AB143)/(N(AB197)+N(AB201)+N(AB203)+N(AB204)+N(AB211)+N(AB212)+N(AB213)),""),"")</f>
        <v>2.39430376239818</v>
      </c>
      <c r="AC341" s="262">
        <f>IFERROR(IF((N(AC197)+N(AC201)+N(AC203)+N(AC204)+N(AC211)+N(AC212)+N(AC213))&lt;&gt;0,N(AC143)/(N(AC197)+N(AC201)+N(AC203)+N(AC204)+N(AC211)+N(AC212)+N(AC213)),""),"")</f>
        <v>2.02286941451285</v>
      </c>
      <c r="AD341" s="262">
        <f>IFERROR(IF((N(AD197)+N(AD201)+N(AD203)+N(AD204)+N(AD211)+N(AD212)+N(AD213))&lt;&gt;0,N(AD143)/(N(AD197)+N(AD201)+N(AD203)+N(AD204)+N(AD211)+N(AD212)+N(AD213)),""),"")</f>
        <v>2.34122109081915</v>
      </c>
      <c r="AE341" s="262">
        <f>IFERROR(IF((N(AE197)+N(AE201)+N(AE203)+N(AE204)+N(AE211)+N(AE212)+N(AE213))&lt;&gt;0,N(AE143)/(N(AE197)+N(AE201)+N(AE203)+N(AE204)+N(AE211)+N(AE212)+N(AE213)),""),"")</f>
        <v>2.32437200383509</v>
      </c>
      <c r="AF341" s="262">
        <f>IFERROR(IF((N(AF197)+N(AF201)+N(AF203)+N(AF204)+N(AF211)+N(AF212)+N(AF213))&lt;&gt;0,N(AF143)/(N(AF197)+N(AF201)+N(AF203)+N(AF204)+N(AF211)+N(AF212)+N(AF213)),""),"")</f>
        <v>1.54432111432391</v>
      </c>
      <c r="AG341" s="262">
        <f>IFERROR(IF((N(AG197)+N(AG201)+N(AG203)+N(AG204)+N(AG211)+N(AG212)+N(AG213))&lt;&gt;0,N(AG143)/(N(AG197)+N(AG201)+N(AG203)+N(AG204)+N(AG211)+N(AG212)+N(AG213)),""),"")</f>
        <v>1.54432111432391</v>
      </c>
      <c r="AH341" s="262">
        <f>IFERROR(IF((N(AH197)+N(AH201)+N(AH203)+N(AH204)+N(AH211)+N(AH212)+N(AH213))&lt;&gt;0,N(AH143)/(N(AH197)+N(AH201)+N(AH203)+N(AH204)+N(AH211)+N(AH212)+N(AH213)),""),"")</f>
        <v>1.14700118494212</v>
      </c>
      <c r="AI341" s="262">
        <f>IFERROR(IF((N(AI197)+N(AI201)+N(AI203)+N(AI204)+N(AI211)+N(AI212)+N(AI213))&lt;&gt;0,N(AI143)/(N(AI197)+N(AI201)+N(AI203)+N(AI204)+N(AI211)+N(AI212)+N(AI213)),""),"")</f>
        <v>1.31537227736582</v>
      </c>
      <c r="AJ341" s="262">
        <f>IFERROR(IF((N(AJ197)+N(AJ201)+N(AJ203)+N(AJ204)+N(AJ211)+N(AJ212)+N(AJ213))&lt;&gt;0,N(AJ143)/(N(AJ197)+N(AJ201)+N(AJ203)+N(AJ204)+N(AJ211)+N(AJ212)+N(AJ213)),""),"")</f>
        <v>2.20097306256741</v>
      </c>
      <c r="AK341" s="262">
        <f>IFERROR(IF((N(AK197)+N(AK201)+N(AK203)+N(AK204)+N(AK211)+N(AK212)+N(AK213))&lt;&gt;0,N(AK143)/(N(AK197)+N(AK201)+N(AK203)+N(AK204)+N(AK211)+N(AK212)+N(AK213)),""),"")</f>
        <v>2.25097461175533</v>
      </c>
      <c r="AL341" s="262">
        <f>IFERROR(IF((N(AL197)+N(AL201)+N(AL203)+N(AL204)+N(AL211)+N(AL212)+N(AL213))&lt;&gt;0,N(AL143)/(N(AL197)+N(AL201)+N(AL203)+N(AL204)+N(AL211)+N(AL212)+N(AL213)),""),"")</f>
        <v>2.25097461175533</v>
      </c>
      <c r="AM341" s="262">
        <f>IFERROR(IF((N(AM197)+N(AM201)+N(AM203)+N(AM204)+N(AM211)+N(AM212)+N(AM213))&lt;&gt;0,N(AM143)/(N(AM197)+N(AM201)+N(AM203)+N(AM204)+N(AM211)+N(AM212)+N(AM213)),""),"")</f>
        <v>2.10649186818467</v>
      </c>
      <c r="AN341" s="262">
        <f>IFERROR(IF((N(AN197)+N(AN201)+N(AN203)+N(AN204)+N(AN211)+N(AN212)+N(AN213))&lt;&gt;0,N(AN143)/(N(AN197)+N(AN201)+N(AN203)+N(AN204)+N(AN211)+N(AN212)+N(AN213)),""),"")</f>
        <v>1.9323019560901</v>
      </c>
      <c r="AO341" s="262">
        <f>IFERROR(IF((N(AO197)+N(AO201)+N(AO203)+N(AO204)+N(AO211)+N(AO212)+N(AO213))&lt;&gt;0,N(AO143)/(N(AO197)+N(AO201)+N(AO203)+N(AO204)+N(AO211)+N(AO212)+N(AO213)),""),"")</f>
        <v>1.75950236939065</v>
      </c>
      <c r="AP341" s="262">
        <f>IFERROR(IF((N(AP197)+N(AP201)+N(AP203)+N(AP204)+N(AP211)+N(AP212)+N(AP213))&lt;&gt;0,N(AP143)/(N(AP197)+N(AP201)+N(AP203)+N(AP204)+N(AP211)+N(AP212)+N(AP213)),""),"")</f>
        <v>1.55323123723768</v>
      </c>
      <c r="AQ341" s="262">
        <f>IFERROR(IF((N(AQ197)+N(AQ201)+N(AQ203)+N(AQ204)+N(AQ211)+N(AQ212)+N(AQ213))&lt;&gt;0,N(AQ143)/(N(AQ197)+N(AQ201)+N(AQ203)+N(AQ204)+N(AQ211)+N(AQ212)+N(AQ213)),""),"")</f>
        <v>1.55323123723768</v>
      </c>
      <c r="AR341" s="262">
        <f>IFERROR(IF((N(AR197)+N(AR201)+N(AR203)+N(AR204)+N(AR211)+N(AR212)+N(AR213))&lt;&gt;0,N(AR143)/(N(AR197)+N(AR201)+N(AR203)+N(AR204)+N(AR211)+N(AR212)+N(AR213)),""),"")</f>
        <v>1.39613073240586</v>
      </c>
      <c r="AS341" s="262">
        <f>IFERROR(IF((N(AS197)+N(AS201)+N(AS203)+N(AS204)+N(AS211)+N(AS212)+N(AS213))&lt;&gt;0,N(AS143)/(N(AS197)+N(AS201)+N(AS203)+N(AS204)+N(AS211)+N(AS212)+N(AS213)),""),"")</f>
        <v>1.28237135231372</v>
      </c>
      <c r="AT341" s="262">
        <f>IFERROR(IF((N(AT197)+N(AT201)+N(AT203)+N(AT204)+N(AT211)+N(AT212)+N(AT213))&lt;&gt;0,N(AT143)/(N(AT197)+N(AT201)+N(AT203)+N(AT204)+N(AT211)+N(AT212)+N(AT213)),""),"")</f>
        <v>1.20311329550271</v>
      </c>
      <c r="AU341" s="262">
        <f>IFERROR(IF((N(AU197)+N(AU201)+N(AU203)+N(AU204)+N(AU211)+N(AU212)+N(AU213))&lt;&gt;0,N(AU143)/(N(AU197)+N(AU201)+N(AU203)+N(AU204)+N(AU211)+N(AU212)+N(AU213)),""),"")</f>
        <v>1.13822585167526</v>
      </c>
      <c r="AV341" s="262">
        <f>IFERROR(IF((N(AV197)+N(AV201)+N(AV203)+N(AV204)+N(AV211)+N(AV212)+N(AV213))&lt;&gt;0,N(AV143)/(N(AV197)+N(AV201)+N(AV203)+N(AV204)+N(AV211)+N(AV212)+N(AV213)),""),"")</f>
        <v>1.13822585167526</v>
      </c>
      <c r="AW341" s="262">
        <f>IFERROR(IF((N(AW197)+N(AW201)+N(AW203)+N(AW204)+N(AW211)+N(AW212)+N(AW213))&lt;&gt;0,N(AW143)/(N(AW197)+N(AW201)+N(AW203)+N(AW204)+N(AW211)+N(AW212)+N(AW213)),""),"")</f>
        <v>1.09370400181273</v>
      </c>
      <c r="AX341" s="262">
        <f>IFERROR(IF((N(AX197)+N(AX201)+N(AX203)+N(AX204)+N(AX211)+N(AX212)+N(AX213))&lt;&gt;0,N(AX143)/(N(AX197)+N(AX201)+N(AX203)+N(AX204)+N(AX211)+N(AX212)+N(AX213)),""),"")</f>
        <v>1.06428115132957</v>
      </c>
      <c r="AY341" s="262">
        <f>IFERROR(IF((N(AY197)+N(AY201)+N(AY203)+N(AY204)+N(AY211)+N(AY212)+N(AY213))&lt;&gt;0,N(AY143)/(N(AY197)+N(AY201)+N(AY203)+N(AY204)+N(AY211)+N(AY212)+N(AY213)),""),"")</f>
        <v>1.04458962376359</v>
      </c>
      <c r="AZ341" s="262">
        <f>IFERROR(IF((N(AZ197)+N(AZ201)+N(AZ203)+N(AZ204)+N(AZ211)+N(AZ212)+N(AZ213))&lt;&gt;0,N(AZ143)/(N(AZ197)+N(AZ201)+N(AZ203)+N(AZ204)+N(AZ211)+N(AZ212)+N(AZ213)),""),"")</f>
        <v>1.0297066276686</v>
      </c>
      <c r="BA341" s="262">
        <f>IFERROR(IF((N(BA197)+N(BA201)+N(BA203)+N(BA204)+N(BA211)+N(BA212)+N(BA213))&lt;&gt;0,N(BA143)/(N(BA197)+N(BA201)+N(BA203)+N(BA204)+N(BA211)+N(BA212)+N(BA213)),""),"")</f>
        <v>1.0297066276686</v>
      </c>
      <c r="BB341" s="262">
        <f>IFERROR(IF((N(BB197)+N(BB201)+N(BB203)+N(BB204)+N(BB211)+N(BB212)+N(BB213))&lt;&gt;0,N(BB143)/(N(BB197)+N(BB201)+N(BB203)+N(BB204)+N(BB211)+N(BB212)+N(BB213)),""),"")</f>
        <v>1.01981094794141</v>
      </c>
      <c r="BC341" s="262">
        <f>IFERROR(IF((N(BC197)+N(BC201)+N(BC203)+N(BC204)+N(BC211)+N(BC212)+N(BC213))&lt;&gt;0,N(BC143)/(N(BC197)+N(BC201)+N(BC203)+N(BC204)+N(BC211)+N(BC212)+N(BC213)),""),"")</f>
        <v>1.01338352387804</v>
      </c>
      <c r="BD341" s="262">
        <f>IFERROR(IF((N(BD197)+N(BD201)+N(BD203)+N(BD204)+N(BD211)+N(BD212)+N(BD213))&lt;&gt;0,N(BD143)/(N(BD197)+N(BD201)+N(BD203)+N(BD204)+N(BD211)+N(BD212)+N(BD213)),""),"")</f>
        <v>1.00915987037106</v>
      </c>
      <c r="BE341" s="262">
        <f>IFERROR(IF((N(BE197)+N(BE201)+N(BE203)+N(BE204)+N(BE211)+N(BE212)+N(BE213))&lt;&gt;0,N(BE143)/(N(BE197)+N(BE201)+N(BE203)+N(BE204)+N(BE211)+N(BE212)+N(BE213)),""),"")</f>
        <v>1.00605478173732</v>
      </c>
      <c r="BF341" s="262">
        <f>IFERROR(IF((N(BF197)+N(BF201)+N(BF203)+N(BF204)+N(BF211)+N(BF212)+N(BF213))&lt;&gt;0,N(BF143)/(N(BF197)+N(BF201)+N(BF203)+N(BF204)+N(BF211)+N(BF212)+N(BF213)),""),"")</f>
        <v>1.00605478173732</v>
      </c>
      <c r="BG341" s="82" t="n"/>
      <c r="BH341" s="82" t="n"/>
      <c r="BI341" s="82" t="n"/>
      <c r="BJ341" s="82" t="n"/>
      <c r="BL341" s="82" t="n"/>
      <c r="BM341" s="82" t="n"/>
      <c r="BN341" s="82" t="n"/>
      <c r="BO341" s="82" t="n"/>
      <c r="BQ341" s="82" t="n"/>
      <c r="BR341" s="82" t="n"/>
      <c r="BS341" s="82" t="n"/>
      <c r="BT341" s="82" t="n"/>
      <c r="BV341" s="82" t="n"/>
      <c r="BW341" s="82" t="n"/>
      <c r="BX341" s="82" t="n"/>
      <c r="BY341" s="82" t="n"/>
      <c r="CA341" s="82" t="n"/>
      <c r="CB341" s="82" t="n"/>
      <c r="CC341" s="82" t="n"/>
      <c r="CD341" s="82" t="n"/>
      <c r="CF341" s="82" t="n"/>
      <c r="CG341" s="82" t="n"/>
      <c r="CH341" s="82" t="n"/>
      <c r="CI341" s="82" t="n"/>
      <c r="CK341" s="82" t="n"/>
      <c r="CL341" s="82" t="n"/>
      <c r="CM341" s="82" t="n"/>
      <c r="CN341" s="82" t="n"/>
      <c r="CP341" s="82" t="n"/>
      <c r="CQ341" s="82" t="n"/>
      <c r="CR341" s="82" t="n"/>
      <c r="CS341" s="82" t="n"/>
      <c r="CU341" s="82" t="n"/>
      <c r="CV341" s="82" t="n"/>
      <c r="CW341" s="82" t="n"/>
      <c r="CX341" s="82" t="n"/>
    </row>
    <row r="342" customFormat="1" s="77">
      <c r="A342" s="76" t="n"/>
      <c r="B342" s="76" t="n"/>
    </row>
    <row r="343" customFormat="1" s="77">
      <c r="A343" s="76" t="n"/>
      <c r="B343" s="76" t="n"/>
      <c r="C343" s="74" t="inlineStr">
        <is>
          <t>OPERATING EFFICIENCY</t>
        </is>
      </c>
    </row>
    <row r="344" customFormat="1" s="84">
      <c r="A344" s="81" t="n"/>
      <c r="B344" s="81" t="n"/>
      <c r="C344" s="84" t="inlineStr">
        <is>
          <t>RETURN ON CAPITAL (ROIC) - LTM</t>
        </is>
      </c>
      <c r="D344" t="str">
        <f>IFERROR(D346/D349,"")</f>
        <v/>
      </c>
      <c r="E344" t="str">
        <f>IFERROR(E346/E349,"")</f>
        <v/>
      </c>
      <c r="F344" t="str">
        <f>IFERROR(F346/F349,"")</f>
        <v/>
      </c>
      <c r="G344" t="str">
        <f>IFERROR(G346/G349,"")</f>
        <v/>
      </c>
      <c r="H344" s="257" t="str">
        <f>IFERROR(IF(AND(COUNT(H346)=1,N(H349)&lt;&gt;0),(H346)/H349,""),"")</f>
        <v/>
      </c>
      <c r="I344" s="257" t="str">
        <f>""</f>
        <v/>
      </c>
      <c r="J344" s="257" t="str">
        <f>""</f>
        <v/>
      </c>
      <c r="K344" s="257" t="str">
        <f>""</f>
        <v/>
      </c>
      <c r="L344" s="257">
        <f>IFERROR(IF(AND(COUNT(I346,J346,K346,L346)=4,N(L349)&lt;&gt;0),(I346+J346+K346+L346)/L349,""),"")</f>
        <v>0.568608543364295</v>
      </c>
      <c r="M344" s="257">
        <f>IFERROR(IF(AND(COUNT(I346,J346,K346,L346)=4,N(M349)&lt;&gt;0),(I346+J346+K346+L346)/M349,""),"")</f>
        <v>0.568608543364295</v>
      </c>
      <c r="N344" s="257">
        <f>IFERROR(IF(AND(COUNT(J346,K346,L346,N346)=4,N(N349)&lt;&gt;0),(J346+K346+L346+N346)/N349,""),"")</f>
        <v>0.540856216858401</v>
      </c>
      <c r="O344" s="257">
        <f>IFERROR(IF(AND(COUNT(K346,L346,N346,O346)=4,N(O349)&lt;&gt;0),(K346+L346+N346+O346)/O349,""),"")</f>
        <v>0.412747026975976</v>
      </c>
      <c r="P344" s="257">
        <f>IFERROR(IF(AND(COUNT(L346,N346,O346,P346)=4,N(P349)&lt;&gt;0),(L346+N346+O346+P346)/P349,""),"")</f>
        <v>0.287885793835517</v>
      </c>
      <c r="Q344" s="257">
        <f>IFERROR(IF(AND(COUNT(N346,O346,P346,Q346)=4,N(Q349)&lt;&gt;0),(N346+O346+P346+Q346)/Q349,""),"")</f>
        <v>0.195085824307546</v>
      </c>
      <c r="R344" s="257">
        <f>IFERROR(IF(AND(COUNT(N346,O346,P346,Q346)=4,N(R349)&lt;&gt;0),(N346+O346+P346+Q346)/R349,""),"")</f>
        <v>0.195085824307546</v>
      </c>
      <c r="S344" s="257">
        <f>IFERROR(IF(AND(COUNT(O346,P346,Q346,S346)=4,N(S349)&lt;&gt;0),(O346+P346+Q346+S346)/S349,""),"")</f>
        <v>0.205527196304572</v>
      </c>
      <c r="T344" s="257">
        <f>IFERROR(IF(AND(COUNT(P346,Q346,S346,T346)=4,N(T349)&lt;&gt;0),(P346+Q346+S346+T346)/T349,""),"")</f>
        <v>0.44383304864415</v>
      </c>
      <c r="U344" s="257">
        <f>IFERROR(IF(AND(COUNT(Q346,S346,T346,U346)=4,N(U349)&lt;&gt;0),(Q346+S346+T346+U346)/U349,""),"")</f>
        <v>0.714227878321375</v>
      </c>
      <c r="V344" s="257">
        <f>IFERROR(IF(AND(COUNT(S346,T346,U346,V346)=4,N(V349)&lt;&gt;0),(S346+T346+U346+V346)/V349,""),"")</f>
        <v>1.04284462584498</v>
      </c>
      <c r="W344" s="257">
        <f>IFERROR(IF(AND(COUNT(S346,T346,U346,V346)=4,N(W349)&lt;&gt;0),(S346+T346+U346+V346)/W349,""),"")</f>
        <v>1.04284462584498</v>
      </c>
      <c r="X344" s="257">
        <f>IFERROR(IF(AND(COUNT(T346,U346,V346,X346)=4,N(X349)&lt;&gt;0),(T346+U346+V346+X346)/X349,""),"")</f>
        <v>1.44963188935387</v>
      </c>
      <c r="Y344" s="257">
        <f>IFERROR(IF(AND(COUNT(U346,V346,X346,Y346)=4,N(Y349)&lt;&gt;0),(U346+V346+X346+Y346)/Y349,""),"")</f>
        <v>1.56012544494406</v>
      </c>
      <c r="Z344" s="257">
        <f>IFERROR(IF(AND(COUNT(V346,X346,Y346,Z346)=4,N(Z349)&lt;&gt;0),(V346+X346+Y346+Z346)/Z349,""),"")</f>
        <v>1.64452262490721</v>
      </c>
      <c r="AA344" s="257">
        <f>IFERROR(IF(AND(COUNT(X346,Y346,Z346,AA346)=4,N(AA349)&lt;&gt;0),(X346+Y346+Z346+AA346)/AA349,""),"")</f>
        <v>1.53244275387661</v>
      </c>
      <c r="AB344" s="257">
        <f>IFERROR(IF(AND(COUNT(X346,Y346,Z346,AA346)=4,N(AB349)&lt;&gt;0),(X346+Y346+Z346+AA346)/AB349,""),"")</f>
        <v>1.53244275387661</v>
      </c>
      <c r="AC344" s="257">
        <f>IFERROR(IF(AND(COUNT(Y346,Z346,AA346,AC346)=4,N(AC349)&lt;&gt;0),(Y346+Z346+AA346+AC346)/AC349,""),"")</f>
        <v>1.85922337717133</v>
      </c>
      <c r="AD344" s="257">
        <f>IFERROR(IF(AND(COUNT(Z346,AA346,AC346,AD346)=4,N(AD349)&lt;&gt;0),(Z346+AA346+AC346+AD346)/AD349,""),"")</f>
        <v>1.53996007792803</v>
      </c>
      <c r="AE344" s="257">
        <f>IFERROR(IF(AND(COUNT(AA346,AC346,AD346,AE346)=4,N(AE349)&lt;&gt;0),(AA346+AC346+AD346+AE346)/AE349,""),"")</f>
        <v>1.36638861988454</v>
      </c>
      <c r="AF344" s="257">
        <f>IFERROR(IF(AND(COUNT(AB346,AD346,AE346,AF346)=4,N(AF349)&lt;&gt;0),(AB346+AD346+AE346+AF346)/AF349,""),"")</f>
        <v>1.37178626312547</v>
      </c>
      <c r="AG344" s="257">
        <f>IFERROR(IF(AND(COUNT(AC346,AD346,AE346,AF346)=4,N(AG349)&lt;&gt;0),(AC346+AD346+AE346+AF346)/AG349,""),"")</f>
        <v>0.932666612617548</v>
      </c>
      <c r="AH344" s="257">
        <f>IFERROR(IF(AND(COUNT(AD346,AF346,AG346,AH346)=4,N(AH349)&lt;&gt;0),(AD346+AF346+AG346+AH346)/AH349,""),"")</f>
        <v>1.37905572862915</v>
      </c>
      <c r="AI344" s="257">
        <f>IFERROR(IF(AND(COUNT(AE346,AG346,AH346,AI346)=4,N(AI349)&lt;&gt;0),(AE346+AG346+AH346+AI346)/AI349,""),"")</f>
        <v>1.13325274941369</v>
      </c>
      <c r="AJ344" s="257">
        <f>IFERROR(IF(AND(COUNT(AF346,AH346,AI346,AJ346)=4,N(AJ349)&lt;&gt;0),(AF346+AH346+AI346+AJ346)/AJ349,""),"")</f>
        <v>1.01554807926841</v>
      </c>
      <c r="AK344" s="257">
        <f>IFERROR(IF(AND(COUNT(AH346,AI346,AJ346,AK346)=4,N(AK349)&lt;&gt;0),(AH346+AI346+AJ346+AK346)/AK349,""),"")</f>
        <v>1.28026857964115</v>
      </c>
      <c r="AL344" s="257">
        <f>IFERROR(IF(AND(COUNT(AH346,AI346,AJ346,AK346)=4,N(AL349)&lt;&gt;0),(AH346+AI346+AJ346+AK346)/AL349,""),"")</f>
        <v>1.28026857964115</v>
      </c>
      <c r="AM344" s="257">
        <f>IFERROR(IF(AND(COUNT(AI346,AJ346,AK346,AM346)=4,N(AM349)&lt;&gt;0),(AI346+AJ346+AK346+AM346)/AM349,""),"")</f>
        <v>1.92763687827567</v>
      </c>
      <c r="AN344" s="257">
        <f>IFERROR(IF(AND(COUNT(AJ346,AK346,AM346,AN346)=4,N(AN349)&lt;&gt;0),(AJ346+AK346+AM346+AN346)/AN349,""),"")</f>
        <v>7.45492173508958</v>
      </c>
      <c r="AO344" s="257">
        <f>IFERROR(IF(AND(COUNT(AK346,AM346,AN346,AO346)=4,N(AO349)&lt;&gt;0),(AK346+AM346+AN346+AO346)/AO349,""),"")</f>
        <v>-2.13935132751242</v>
      </c>
      <c r="AP344" s="257">
        <f>IFERROR(IF(AND(COUNT(AM346,AN346,AO346,AP346)=4,N(AP349)&lt;&gt;0),(AM346+AN346+AO346+AP346)/AP349,""),"")</f>
        <v>-0.797748962675502</v>
      </c>
      <c r="AQ344" s="257">
        <f>IFERROR(IF(AND(COUNT(AM346,AN346,AO346,AP346)=4,N(AQ349)&lt;&gt;0),(AM346+AN346+AO346+AP346)/AQ349,""),"")</f>
        <v>-0.797748962675502</v>
      </c>
      <c r="AR344" s="257">
        <f>IFERROR(IF(AND(COUNT(AN346,AO346,AP346,AR346)=4,N(AR349)&lt;&gt;0),(AN346+AO346+AP346+AR346)/AR349,""),"")</f>
        <v>-0.417186582425736</v>
      </c>
      <c r="AS344" s="257">
        <f>IFERROR(IF(AND(COUNT(AO346,AP346,AR346,AS346)=4,N(AS349)&lt;&gt;0),(AO346+AP346+AR346+AS346)/AS349,""),"")</f>
        <v>-0.243743678667168</v>
      </c>
      <c r="AT344" s="257">
        <f>IFERROR(IF(AND(COUNT(AP346,AR346,AS346,AT346)=4,N(AT349)&lt;&gt;0),(AP346+AR346+AS346+AT346)/AT349,""),"")</f>
        <v>-0.146905859649752</v>
      </c>
      <c r="AU344" s="257">
        <f>IFERROR(IF(AND(COUNT(AR346,AS346,AT346,AU346)=4,N(AU349)&lt;&gt;0),(AR346+AS346+AT346+AU346)/AU349,""),"")</f>
        <v>-0.092805981621882</v>
      </c>
      <c r="AV344" s="257">
        <f>IFERROR(IF(AND(COUNT(AR346,AS346,AT346,AU346)=4,N(AV349)&lt;&gt;0),(AR346+AS346+AT346+AU346)/AV349,""),"")</f>
        <v>-0.092805981621882</v>
      </c>
      <c r="AW344" s="257">
        <f>IFERROR(IF(AND(COUNT(AS346,AT346,AU346,AW346)=4,N(AW349)&lt;&gt;0),(AS346+AT346+AU346+AW346)/AW349,""),"")</f>
        <v>-0.0599789614044854</v>
      </c>
      <c r="AX344" s="257">
        <f>IFERROR(IF(AND(COUNT(AT346,AU346,AW346,AX346)=4,N(AX349)&lt;&gt;0),(AT346+AU346+AW346+AX346)/AX349,""),"")</f>
        <v>-0.0391817353127435</v>
      </c>
      <c r="AY344" s="257">
        <f>IFERROR(IF(AND(COUNT(AU346,AW346,AX346,AY346)=4,N(AY349)&lt;&gt;0),(AU346+AW346+AX346+AY346)/AY349,""),"")</f>
        <v>-0.025353006121764</v>
      </c>
      <c r="AZ344" s="257">
        <f>IFERROR(IF(AND(COUNT(AW346,AX346,AY346,AZ346)=4,N(AZ349)&lt;&gt;0),(AW346+AX346+AY346+AZ346)/AZ349,""),"")</f>
        <v>-0.0165942234138086</v>
      </c>
      <c r="BA344" s="257">
        <f>IFERROR(IF(AND(COUNT(AW346,AX346,AY346,AZ346)=4,N(BA349)&lt;&gt;0),(AW346+AX346+AY346+AZ346)/BA349,""),"")</f>
        <v>-0.0165942234138086</v>
      </c>
      <c r="BB344" s="257">
        <f>IFERROR(IF(AND(COUNT(AX346,AY346,AZ346,BB346)=4,N(BB349)&lt;&gt;0),(AX346+AY346+AZ346+BB346)/BB349,""),"")</f>
        <v>-0.0109592365733882</v>
      </c>
      <c r="BC344" s="257">
        <f>IFERROR(IF(AND(COUNT(AY346,AZ346,BB346,BC346)=4,N(BC349)&lt;&gt;0),(AY346+AZ346+BB346+BC346)/BC349,""),"")</f>
        <v>-0.00726809700621089</v>
      </c>
      <c r="BD344" s="257">
        <f>IFERROR(IF(AND(COUNT(AZ346,BB346,BC346,BD346)=4,N(BD349)&lt;&gt;0),(AZ346+BB346+BC346+BD346)/BD349,""),"")</f>
        <v>-0.00475747922132238</v>
      </c>
      <c r="BE344" s="257">
        <f>IFERROR(IF(AND(COUNT(BB346,BC346,BD346,BE346)=4,N(BE349)&lt;&gt;0),(BB346+BC346+BD346+BE346)/BE349,""),"")</f>
        <v>-0.00313561476318189</v>
      </c>
      <c r="BF344" s="257">
        <f>IFERROR(IF(AND(COUNT(BB346,BC346,BD346,BE346)=4,N(BF349)&lt;&gt;0),(BB346+BC346+BD346+BE346)/BF349,""),"")</f>
        <v>-0.00313561476318189</v>
      </c>
      <c r="BG344" s="81" t="n"/>
      <c r="BH344" s="81" t="n"/>
      <c r="BI344" s="81" t="n"/>
      <c r="BJ344" s="81" t="n"/>
      <c r="BL344" s="81" t="n"/>
      <c r="BM344" s="81" t="n"/>
      <c r="BN344" s="81" t="n"/>
      <c r="BO344" s="81" t="n"/>
      <c r="BQ344" s="81" t="n"/>
      <c r="BR344" s="81" t="n"/>
      <c r="BS344" s="81" t="n"/>
      <c r="BT344" s="81" t="n"/>
      <c r="BV344" s="81" t="n"/>
      <c r="BW344" s="81" t="n"/>
      <c r="BX344" s="81" t="n"/>
      <c r="BY344" s="81" t="n"/>
      <c r="CA344" s="81" t="n"/>
      <c r="CB344" s="81" t="n"/>
      <c r="CC344" s="81" t="n"/>
      <c r="CD344" s="81" t="n"/>
      <c r="CF344" s="81" t="n"/>
      <c r="CG344" s="81" t="n"/>
      <c r="CH344" s="81" t="n"/>
      <c r="CI344" s="81" t="n"/>
      <c r="CK344" s="81" t="n"/>
      <c r="CL344" s="81" t="n"/>
      <c r="CM344" s="81" t="n"/>
      <c r="CN344" s="81" t="n"/>
      <c r="CP344" s="81" t="n"/>
      <c r="CQ344" s="81" t="n"/>
      <c r="CR344" s="81" t="n"/>
      <c r="CS344" s="81" t="n"/>
      <c r="CU344" s="81" t="n"/>
      <c r="CV344" s="81" t="n"/>
      <c r="CW344" s="81" t="n"/>
      <c r="CX344" s="81" t="n"/>
    </row>
    <row r="345" customFormat="1" s="84">
      <c r="A345" s="81" t="n"/>
      <c r="B345" s="81" t="n"/>
      <c r="C345" s="84" t="inlineStr">
        <is>
          <t>RETURN ON CAPITAL (ROIC) - EX GOODWILL - LTM</t>
        </is>
      </c>
      <c r="D345" t="str">
        <f>IFERROR(D346/D350,"")</f>
        <v/>
      </c>
      <c r="E345" t="str">
        <f>IFERROR(E346/E350,"")</f>
        <v/>
      </c>
      <c r="F345" t="str">
        <f>IFERROR(F346/F350,"")</f>
        <v/>
      </c>
      <c r="G345" t="str">
        <f>IFERROR(G346/G350,"")</f>
        <v/>
      </c>
      <c r="H345" s="257" t="str">
        <f>IFERROR(IF(AND(COUNT(H346)=1,N(H350)&lt;&gt;0),(H346)/H350,""),"")</f>
        <v/>
      </c>
      <c r="I345" s="257" t="str">
        <f>""</f>
        <v/>
      </c>
      <c r="J345" s="257" t="str">
        <f>""</f>
        <v/>
      </c>
      <c r="K345" s="257" t="str">
        <f>""</f>
        <v/>
      </c>
      <c r="L345" s="257">
        <f>IFERROR(IF(AND(COUNT(I346,J346,K346,L346)=4,N(L350)&lt;&gt;0),(I346+J346+K346+L346)/L350,""),"")</f>
        <v>0.762681573900421</v>
      </c>
      <c r="M345" s="257">
        <f>IFERROR(IF(AND(COUNT(I346,J346,K346,L346)=4,N(M350)&lt;&gt;0),(I346+J346+K346+L346)/M350,""),"")</f>
        <v>0.762681573900421</v>
      </c>
      <c r="N345" s="257">
        <f>IFERROR(IF(AND(COUNT(J346,K346,L346,N346)=4,N(N350)&lt;&gt;0),(J346+K346+L346+N346)/N350,""),"")</f>
        <v>0.718149502123264</v>
      </c>
      <c r="O345" s="257">
        <f>IFERROR(IF(AND(COUNT(K346,L346,N346,O346)=4,N(O350)&lt;&gt;0),(K346+L346+N346+O346)/O350,""),"")</f>
        <v>0.540420014236409</v>
      </c>
      <c r="P345" s="257">
        <f>IFERROR(IF(AND(COUNT(L346,N346,O346,P346)=4,N(P350)&lt;&gt;0),(L346+N346+O346+P346)/P350,""),"")</f>
        <v>0.368660834950193</v>
      </c>
      <c r="Q345" s="257">
        <f>IFERROR(IF(AND(COUNT(N346,O346,P346,Q346)=4,N(Q350)&lt;&gt;0),(N346+O346+P346+Q346)/Q350,""),"")</f>
        <v>0.247450462315441</v>
      </c>
      <c r="R345" s="257">
        <f>IFERROR(IF(AND(COUNT(N346,O346,P346,Q346)=4,N(R350)&lt;&gt;0),(N346+O346+P346+Q346)/R350,""),"")</f>
        <v>0.247450462315441</v>
      </c>
      <c r="S345" s="257">
        <f>IFERROR(IF(AND(COUNT(O346,P346,Q346,S346)=4,N(S350)&lt;&gt;0),(O346+P346+Q346+S346)/S350,""),"")</f>
        <v>0.26016834613529</v>
      </c>
      <c r="T345" s="257">
        <f>IFERROR(IF(AND(COUNT(P346,Q346,S346,T346)=4,N(T350)&lt;&gt;0),(P346+Q346+S346+T346)/T350,""),"")</f>
        <v>0.554329868105406</v>
      </c>
      <c r="U345" s="257">
        <f>IFERROR(IF(AND(COUNT(Q346,S346,T346,U346)=4,N(U350)&lt;&gt;0),(Q346+S346+T346+U346)/U350,""),"")</f>
        <v>0.862419040372973</v>
      </c>
      <c r="V345" s="257">
        <f>IFERROR(IF(AND(COUNT(S346,T346,U346,V346)=4,N(V350)&lt;&gt;0),(S346+T346+U346+V346)/V350,""),"")</f>
        <v>1.24033956823953</v>
      </c>
      <c r="W345" s="257">
        <f>IFERROR(IF(AND(COUNT(S346,T346,U346,V346)=4,N(W350)&lt;&gt;0),(S346+T346+U346+V346)/W350,""),"")</f>
        <v>1.24033956823953</v>
      </c>
      <c r="X345" s="257">
        <f>IFERROR(IF(AND(COUNT(T346,U346,V346,X346)=4,N(X350)&lt;&gt;0),(T346+U346+V346+X346)/X350,""),"")</f>
        <v>1.71591399492654</v>
      </c>
      <c r="Y345" s="257">
        <f>IFERROR(IF(AND(COUNT(U346,V346,X346,Y346)=4,N(Y350)&lt;&gt;0),(U346+V346+X346+Y346)/Y350,""),"")</f>
        <v>1.8131394732434</v>
      </c>
      <c r="Z345" s="257">
        <f>IFERROR(IF(AND(COUNT(V346,X346,Y346,Z346)=4,N(Z350)&lt;&gt;0),(V346+X346+Y346+Z346)/Z350,""),"")</f>
        <v>1.88253502932087</v>
      </c>
      <c r="AA345" s="257">
        <f>IFERROR(IF(AND(COUNT(X346,Y346,Z346,AA346)=4,N(AA350)&lt;&gt;0),(X346+Y346+Z346+AA346)/AA350,""),"")</f>
        <v>1.72677466967216</v>
      </c>
      <c r="AB345" s="257">
        <f>IFERROR(IF(AND(COUNT(X346,Y346,Z346,AA346)=4,N(AB350)&lt;&gt;0),(X346+Y346+Z346+AA346)/AB350,""),"")</f>
        <v>1.72677466967216</v>
      </c>
      <c r="AC345" s="257">
        <f>IFERROR(IF(AND(COUNT(Y346,Z346,AA346,AC346)=4,N(AC350)&lt;&gt;0),(Y346+Z346+AA346+AC346)/AC350,""),"")</f>
        <v>2.15432456738144</v>
      </c>
      <c r="AD345" s="257">
        <f>IFERROR(IF(AND(COUNT(Z346,AA346,AC346,AD346)=4,N(AD350)&lt;&gt;0),(Z346+AA346+AC346+AD346)/AD350,""),"")</f>
        <v>1.72504988721912</v>
      </c>
      <c r="AE345" s="257">
        <f>IFERROR(IF(AND(COUNT(AA346,AC346,AD346,AE346)=4,N(AE350)&lt;&gt;0),(AA346+AC346+AD346+AE346)/AE350,""),"")</f>
        <v>1.50324825848214</v>
      </c>
      <c r="AF345" s="257">
        <f>IFERROR(IF(AND(COUNT(AB346,AD346,AE346,AF346)=4,N(AF350)&lt;&gt;0),(AB346+AD346+AE346+AF346)/AF350,""),"")</f>
        <v>1.66389256310635</v>
      </c>
      <c r="AG345" s="257">
        <f>IFERROR(IF(AND(COUNT(AC346,AD346,AE346,AF346)=4,N(AG350)&lt;&gt;0),(AC346+AD346+AE346+AF346)/AG350,""),"")</f>
        <v>1.13126737182525</v>
      </c>
      <c r="AH345" s="257">
        <f>IFERROR(IF(AND(COUNT(AD346,AF346,AG346,AH346)=4,N(AH350)&lt;&gt;0),(AD346+AF346+AG346+AH346)/AH350,""),"")</f>
        <v>1.59000351068224</v>
      </c>
      <c r="AI345" s="257">
        <f>IFERROR(IF(AND(COUNT(AE346,AG346,AH346,AI346)=4,N(AI350)&lt;&gt;0),(AE346+AG346+AH346+AI346)/AI350,""),"")</f>
        <v>1.25950240310397</v>
      </c>
      <c r="AJ345" s="257">
        <f>IFERROR(IF(AND(COUNT(AF346,AH346,AI346,AJ346)=4,N(AJ350)&lt;&gt;0),(AF346+AH346+AI346+AJ346)/AJ350,""),"")</f>
        <v>1.14664315830404</v>
      </c>
      <c r="AK345" s="257">
        <f>IFERROR(IF(AND(COUNT(AH346,AI346,AJ346,AK346)=4,N(AK350)&lt;&gt;0),(AH346+AI346+AJ346+AK346)/AK350,""),"")</f>
        <v>1.4674280845763</v>
      </c>
      <c r="AL345" s="257">
        <f>IFERROR(IF(AND(COUNT(AH346,AI346,AJ346,AK346)=4,N(AL350)&lt;&gt;0),(AH346+AI346+AJ346+AK346)/AL350,""),"")</f>
        <v>1.4674280845763</v>
      </c>
      <c r="AM345" s="257">
        <f>IFERROR(IF(AND(COUNT(AI346,AJ346,AK346,AM346)=4,N(AM350)&lt;&gt;0),(AI346+AJ346+AK346+AM346)/AM350,""),"")</f>
        <v>2.31789103557469</v>
      </c>
      <c r="AN345" s="257">
        <f>IFERROR(IF(AND(COUNT(AJ346,AK346,AM346,AN346)=4,N(AN350)&lt;&gt;0),(AJ346+AK346+AM346+AN346)/AN350,""),"")</f>
        <v>17.3224052430913</v>
      </c>
      <c r="AO345" s="257">
        <f>IFERROR(IF(AND(COUNT(AK346,AM346,AN346,AO346)=4,N(AO350)&lt;&gt;0),(AK346+AM346+AN346+AO346)/AO350,""),"")</f>
        <v>-1.87138401127461</v>
      </c>
      <c r="AP345" s="257">
        <f>IFERROR(IF(AND(COUNT(AM346,AN346,AO346,AP346)=4,N(AP350)&lt;&gt;0),(AM346+AN346+AO346+AP346)/AP350,""),"")</f>
        <v>-0.762300699256737</v>
      </c>
      <c r="AQ345" s="257">
        <f>IFERROR(IF(AND(COUNT(AM346,AN346,AO346,AP346)=4,N(AQ350)&lt;&gt;0),(AM346+AN346+AO346+AP346)/AQ350,""),"")</f>
        <v>-0.762300699256737</v>
      </c>
      <c r="AR345" s="257">
        <f>IFERROR(IF(AND(COUNT(AN346,AO346,AP346,AR346)=4,N(AR350)&lt;&gt;0),(AN346+AO346+AP346+AR346)/AR350,""),"")</f>
        <v>-0.408573994306644</v>
      </c>
      <c r="AS345" s="257">
        <f>IFERROR(IF(AND(COUNT(AO346,AP346,AR346,AS346)=4,N(AS350)&lt;&gt;0),(AO346+AP346+AR346+AS346)/AS350,""),"")</f>
        <v>-0.241176457016665</v>
      </c>
      <c r="AT345" s="257">
        <f>IFERROR(IF(AND(COUNT(AP346,AR346,AS346,AT346)=4,N(AT350)&lt;&gt;0),(AP346+AR346+AS346+AT346)/AT350,""),"")</f>
        <v>-0.146084396784089</v>
      </c>
      <c r="AU345" s="257">
        <f>IFERROR(IF(AND(COUNT(AR346,AS346,AT346,AU346)=4,N(AU350)&lt;&gt;0),(AR346+AS346+AT346+AU346)/AU350,""),"")</f>
        <v>-0.0925195869657854</v>
      </c>
      <c r="AV345" s="257">
        <f>IFERROR(IF(AND(COUNT(AR346,AS346,AT346,AU346)=4,N(AV350)&lt;&gt;0),(AR346+AS346+AT346+AU346)/AV350,""),"")</f>
        <v>-0.0925195869657854</v>
      </c>
      <c r="AW345" s="257">
        <f>IFERROR(IF(AND(COUNT(AS346,AT346,AU346,AW346)=4,N(AW350)&lt;&gt;0),(AS346+AT346+AU346+AW346)/AW350,""),"")</f>
        <v>-0.0598750370804873</v>
      </c>
      <c r="AX345" s="257">
        <f>IFERROR(IF(AND(COUNT(AT346,AU346,AW346,AX346)=4,N(AX350)&lt;&gt;0),(AT346+AU346+AW346+AX346)/AX350,""),"")</f>
        <v>-0.0391433452655426</v>
      </c>
      <c r="AY345" s="257">
        <f>IFERROR(IF(AND(COUNT(AU346,AW346,AX346,AY346)=4,N(AY350)&lt;&gt;0),(AU346+AW346+AX346+AY346)/AY350,""),"")</f>
        <v>-0.0253389030574147</v>
      </c>
      <c r="AZ345" s="257">
        <f>IFERROR(IF(AND(COUNT(AW346,AX346,AY346,AZ346)=4,N(AZ350)&lt;&gt;0),(AW346+AX346+AY346+AZ346)/AZ350,""),"")</f>
        <v>-0.0165889544116991</v>
      </c>
      <c r="BA345" s="257">
        <f>IFERROR(IF(AND(COUNT(AW346,AX346,AY346,AZ346)=4,N(BA350)&lt;&gt;0),(AW346+AX346+AY346+AZ346)/BA350,""),"")</f>
        <v>-0.0165889544116991</v>
      </c>
      <c r="BB345" s="257">
        <f>IFERROR(IF(AND(COUNT(AX346,AY346,AZ346,BB346)=4,N(BB350)&lt;&gt;0),(AX346+AY346+AZ346+BB346)/BB350,""),"")</f>
        <v>-0.0109572406747716</v>
      </c>
      <c r="BC345" s="257">
        <f>IFERROR(IF(AND(COUNT(AY346,AZ346,BB346,BC346)=4,N(BC350)&lt;&gt;0),(AY346+AZ346+BB346+BC346)/BC350,""),"")</f>
        <v>-0.00726733702904804</v>
      </c>
      <c r="BD345" s="257">
        <f>IFERROR(IF(AND(COUNT(AZ346,BB346,BC346,BD346)=4,N(BD350)&lt;&gt;0),(AZ346+BB346+BC346+BD346)/BD350,""),"")</f>
        <v>-0.00475719344794247</v>
      </c>
      <c r="BE345" s="257">
        <f>IFERROR(IF(AND(COUNT(BB346,BC346,BD346,BE346)=4,N(BE350)&lt;&gt;0),(BB346+BC346+BD346+BE346)/BE350,""),"")</f>
        <v>-0.00313550646332477</v>
      </c>
      <c r="BF345" s="257">
        <f>IFERROR(IF(AND(COUNT(BB346,BC346,BD346,BE346)=4,N(BF350)&lt;&gt;0),(BB346+BC346+BD346+BE346)/BF350,""),"")</f>
        <v>-0.00313550646332477</v>
      </c>
      <c r="BG345" s="81" t="n"/>
      <c r="BH345" s="81" t="n"/>
      <c r="BI345" s="81" t="n"/>
      <c r="BJ345" s="81" t="n"/>
      <c r="BL345" s="81" t="n"/>
      <c r="BM345" s="81" t="n"/>
      <c r="BN345" s="81" t="n"/>
      <c r="BO345" s="81" t="n"/>
      <c r="BQ345" s="81" t="n"/>
      <c r="BR345" s="81" t="n"/>
      <c r="BS345" s="81" t="n"/>
      <c r="BT345" s="81" t="n"/>
      <c r="BV345" s="81" t="n"/>
      <c r="BW345" s="81" t="n"/>
      <c r="BX345" s="81" t="n"/>
      <c r="BY345" s="81" t="n"/>
      <c r="CA345" s="81" t="n"/>
      <c r="CB345" s="81" t="n"/>
      <c r="CC345" s="81" t="n"/>
      <c r="CD345" s="81" t="n"/>
      <c r="CF345" s="81" t="n"/>
      <c r="CG345" s="81" t="n"/>
      <c r="CH345" s="81" t="n"/>
      <c r="CI345" s="81" t="n"/>
      <c r="CK345" s="81" t="n"/>
      <c r="CL345" s="81" t="n"/>
      <c r="CM345" s="81" t="n"/>
      <c r="CN345" s="81" t="n"/>
      <c r="CP345" s="81" t="n"/>
      <c r="CQ345" s="81" t="n"/>
      <c r="CR345" s="81" t="n"/>
      <c r="CS345" s="81" t="n"/>
      <c r="CU345" s="81" t="n"/>
      <c r="CV345" s="81" t="n"/>
      <c r="CW345" s="81" t="n"/>
      <c r="CX345" s="81" t="n"/>
    </row>
    <row r="346" customFormat="1" s="77">
      <c r="A346" s="76" t="n"/>
      <c r="B346" s="76" t="n"/>
      <c r="C346" s="77" t="inlineStr">
        <is>
          <t>NOPLAT</t>
        </is>
      </c>
      <c r="D346">
        <f>IFERROR(D347*(1-D348),"")</f>
        <v>0</v>
      </c>
      <c r="E346">
        <f>IFERROR(E347*(1-E348),"")</f>
        <v>0</v>
      </c>
      <c r="F346">
        <f>IFERROR(F347*(1-F348),"")</f>
        <v>0</v>
      </c>
      <c r="G346">
        <f>IFERROR(G347*(1-G348),"")</f>
        <v>0</v>
      </c>
      <c r="H346" s="263">
        <f>IFERROR(H347*(1-N(H348)),0)</f>
        <v>0</v>
      </c>
      <c r="I346" s="263">
        <f>IFERROR(I347*(1-N(I348)),0)</f>
        <v>1829.68297455969</v>
      </c>
      <c r="J346" s="263">
        <f>IFERROR(J347*(1-N(J348)),0)</f>
        <v>2423.58228905597</v>
      </c>
      <c r="K346" s="263">
        <f>IFERROR(K347*(1-N(K348)),0)</f>
        <v>2494.8233510235</v>
      </c>
      <c r="L346" s="263">
        <f>IFERROR(L347*(1-N(L348)),0)</f>
        <v>2970</v>
      </c>
      <c r="M346" s="263">
        <f>IFERROR(M347*(1-N(M348)),0)</f>
        <v>9851.1088421688</v>
      </c>
      <c r="N346" s="263">
        <f>IFERROR(N347*(1-N(N348)),0)</f>
        <v>1674.47313019391</v>
      </c>
      <c r="O346" s="263">
        <f>IFERROR(O347*(1-N(O348)),0)</f>
        <v>499</v>
      </c>
      <c r="P346" s="263">
        <f>IFERROR(P347*(1-N(P348)),0)</f>
        <v>601</v>
      </c>
      <c r="Q346" s="263">
        <f>IFERROR(Q347*(1-N(Q348)),0)</f>
        <v>1256</v>
      </c>
      <c r="R346" s="263">
        <f>IFERROR(R347*(1-N(R348)),0)</f>
        <v>4224</v>
      </c>
      <c r="S346" s="263">
        <f>IFERROR(S347*(1-N(S348)),0)</f>
        <v>1979.18515165233</v>
      </c>
      <c r="T346" s="263">
        <f>IFERROR(T347*(1-N(T348)),0)</f>
        <v>6027.56052141527</v>
      </c>
      <c r="U346" s="263">
        <f>IFERROR(U347*(1-N(U348)),0)</f>
        <v>9150.76325793575</v>
      </c>
      <c r="V346" s="263">
        <f>IFERROR(V347*(1-N(V348)),0)</f>
        <v>11856.5142492556</v>
      </c>
      <c r="W346" s="263">
        <f>IFERROR(W347*(1-N(W348)),0)</f>
        <v>29013.6610385002</v>
      </c>
      <c r="X346" s="263">
        <f>IFERROR(X347*(1-N(X348)),0)</f>
        <v>14562.3490364026</v>
      </c>
      <c r="Y346" s="263">
        <f>IFERROR(Y347*(1-N(Y348)),0)</f>
        <v>16104.848443843</v>
      </c>
      <c r="Z346" s="263">
        <f>IFERROR(Z347*(1-N(Z348)),0)</f>
        <v>18922.2316275318</v>
      </c>
      <c r="AA346" s="263">
        <f>IFERROR(AA347*(1-N(AA348)),0)</f>
        <v>21054.6494031804</v>
      </c>
      <c r="AB346" s="263">
        <f>IFERROR(AB347*(1-N(AB348)),0)</f>
        <v>70649.1743031919</v>
      </c>
      <c r="AC346" s="263">
        <f>IFERROR(AC347*(1-N(AC348)),0)</f>
        <v>18541.9192149703</v>
      </c>
      <c r="AD346" s="263">
        <f>IFERROR(AD347*(1-N(AD348)),0)</f>
        <v>24080.0384541434</v>
      </c>
      <c r="AE346" s="263">
        <f>IFERROR(AE347*(1-N(AE348)),0)</f>
        <v>30289.9383171658</v>
      </c>
      <c r="AF346" s="263">
        <f>IFERROR(AF347*(1-N(AF348)),0)</f>
        <v>37761.1222667566</v>
      </c>
      <c r="AG346" s="263">
        <f>IFERROR(AG347*(1-N(AG348)),0)</f>
        <v>110676.39398374</v>
      </c>
      <c r="AH346" s="263">
        <f>IFERROR(AH347*(1-N(AH348)),0)</f>
        <v>44665.7948299787</v>
      </c>
      <c r="AI346" s="263">
        <f>IFERROR(AI347*(1-N(AI348)),0)</f>
        <v>53199.7565553023</v>
      </c>
      <c r="AJ346" s="263">
        <f>IFERROR(AJ347*(1-N(AJ348)),0)</f>
        <v>52019.2356036551</v>
      </c>
      <c r="AK346" s="263">
        <f>IFERROR(AK347*(1-N(AK348)),0)</f>
        <v>62167.3940281762</v>
      </c>
      <c r="AL346" s="263">
        <f>IFERROR(AL347*(1-N(AL348)),0)</f>
        <v>212019.608570007</v>
      </c>
      <c r="AM346" s="263">
        <f>IFERROR(AM347*(1-N(AM348)),0)</f>
        <v>74475.492295413</v>
      </c>
      <c r="AN346" s="263">
        <f>IFERROR(AN347*(1-N(AN348)),0)</f>
        <v>87803.7902855717</v>
      </c>
      <c r="AO346" s="263">
        <f>IFERROR(AO347*(1-N(AO348)),0)</f>
        <v>91169.9811084101</v>
      </c>
      <c r="AP346" s="263">
        <f>IFERROR(AP347*(1-N(AP348)),0)</f>
        <v>108955.852067724</v>
      </c>
      <c r="AQ346" s="263">
        <f>IFERROR(AQ347*(1-N(AQ348)),0)</f>
        <v>362405.115757118</v>
      </c>
      <c r="AR346" s="263">
        <f>IFERROR(AR347*(1-N(AR348)),0)</f>
        <v>130154.90051212</v>
      </c>
      <c r="AS346" s="263">
        <f>IFERROR(AS347*(1-N(AS348)),0)</f>
        <v>153447.707923503</v>
      </c>
      <c r="AT346" s="263">
        <f>IFERROR(AT347*(1-N(AT348)),0)</f>
        <v>159330.532167397</v>
      </c>
      <c r="AU346" s="263">
        <f>IFERROR(AU347*(1-N(AU348)),0)</f>
        <v>190413.48568516</v>
      </c>
      <c r="AV346" s="263">
        <f>IFERROR(AV347*(1-N(AV348)),0)</f>
        <v>633346.62628818</v>
      </c>
      <c r="AW346" s="263">
        <f>IFERROR(AW347*(1-N(AW348)),0)</f>
        <v>226810.603800585</v>
      </c>
      <c r="AX346" s="263">
        <f>IFERROR(AX347*(1-N(AX348)),0)</f>
        <v>267401.12857068</v>
      </c>
      <c r="AY346" s="263">
        <f>IFERROR(AY347*(1-N(AY348)),0)</f>
        <v>277652.658966847</v>
      </c>
      <c r="AZ346" s="263">
        <f>IFERROR(AZ347*(1-N(AZ348)),0)</f>
        <v>331818.452398597</v>
      </c>
      <c r="BA346" s="263">
        <f>IFERROR(BA347*(1-N(BA348)),0)</f>
        <v>1103682.84373671</v>
      </c>
      <c r="BB346" s="263">
        <f>IFERROR(BB347*(1-N(BB348)),0)</f>
        <v>394110.765224282</v>
      </c>
      <c r="BC346" s="263">
        <f>IFERROR(BC347*(1-N(BC348)),0)</f>
        <v>464641.695039461</v>
      </c>
      <c r="BD346" s="263">
        <f>IFERROR(BD347*(1-N(BD348)),0)</f>
        <v>482454.964884224</v>
      </c>
      <c r="BE346" s="263">
        <f>IFERROR(BE347*(1-N(BE348)),0)</f>
        <v>576574.560443945</v>
      </c>
      <c r="BF346" s="263">
        <f>IFERROR(BF347*(1-N(BF348)),0)</f>
        <v>1917781.98559191</v>
      </c>
      <c r="BG346" s="85" t="n"/>
      <c r="BH346" s="76" t="n"/>
      <c r="BI346" s="76" t="n"/>
      <c r="BJ346" s="76" t="n"/>
      <c r="BL346" s="85" t="n"/>
      <c r="BM346" s="76" t="n"/>
      <c r="BN346" s="76" t="n"/>
      <c r="BO346" s="76" t="n"/>
      <c r="BQ346" s="85" t="n"/>
      <c r="BR346" s="76" t="n"/>
      <c r="BS346" s="76" t="n"/>
      <c r="BT346" s="76" t="n"/>
      <c r="BV346" s="85" t="n"/>
      <c r="BW346" s="76" t="n"/>
      <c r="BX346" s="76" t="n"/>
      <c r="BY346" s="76" t="n"/>
      <c r="CA346" s="85" t="n"/>
      <c r="CB346" s="76" t="n"/>
      <c r="CC346" s="76" t="n"/>
      <c r="CD346" s="76" t="n"/>
      <c r="CF346" s="85" t="n"/>
      <c r="CG346" s="76" t="n"/>
      <c r="CH346" s="76" t="n"/>
      <c r="CI346" s="76" t="n"/>
      <c r="CK346" s="85" t="n"/>
      <c r="CL346" s="76" t="n"/>
      <c r="CM346" s="76" t="n"/>
      <c r="CN346" s="76" t="n"/>
      <c r="CP346" s="85" t="n"/>
      <c r="CQ346" s="76" t="n"/>
      <c r="CR346" s="76" t="n"/>
      <c r="CS346" s="76" t="n"/>
      <c r="CU346" s="85" t="n"/>
      <c r="CV346" s="76" t="n"/>
      <c r="CW346" s="76" t="n"/>
      <c r="CX346" s="76" t="n"/>
    </row>
    <row r="347" customFormat="1" s="77">
      <c r="A347" s="76" t="n"/>
      <c r="B347" s="76" t="n"/>
      <c r="C347" s="77" t="inlineStr">
        <is>
          <t>EBIT</t>
        </is>
      </c>
      <c r="D347" s="86">
        <f>IFERROR(D129,"")</f>
        <v>0</v>
      </c>
      <c r="E347" s="86">
        <f>IFERROR(E129,"")</f>
        <v>0</v>
      </c>
      <c r="F347" s="86">
        <f>IFERROR(F129,"")</f>
        <v>0</v>
      </c>
      <c r="G347" s="86">
        <f>IFERROR(G129,"")</f>
        <v>0</v>
      </c>
      <c r="H347" s="263">
        <f>IFERROR(H72,0)</f>
        <v>0</v>
      </c>
      <c r="I347" s="263">
        <f>IFERROR(I72,0)</f>
        <v>1956</v>
      </c>
      <c r="J347" s="263">
        <f>IFERROR(J72,0)</f>
        <v>2444</v>
      </c>
      <c r="K347" s="263">
        <f>IFERROR(K72,0)</f>
        <v>2671</v>
      </c>
      <c r="L347" s="263">
        <f>IFERROR(L72,0)</f>
        <v>2970</v>
      </c>
      <c r="M347" s="263">
        <f>IFERROR(M72,0)</f>
        <v>10041</v>
      </c>
      <c r="N347" s="263">
        <f>IFERROR(N72,0)</f>
        <v>1868</v>
      </c>
      <c r="O347" s="263">
        <f>IFERROR(O72,0)</f>
        <v>499</v>
      </c>
      <c r="P347" s="263">
        <f>IFERROR(P72,0)</f>
        <v>601</v>
      </c>
      <c r="Q347" s="263">
        <f>IFERROR(Q72,0)</f>
        <v>1256</v>
      </c>
      <c r="R347" s="263">
        <f>IFERROR(R72,0)</f>
        <v>4224</v>
      </c>
      <c r="S347" s="263">
        <f>IFERROR(S72,0)</f>
        <v>2140</v>
      </c>
      <c r="T347" s="263">
        <f>IFERROR(T72,0)</f>
        <v>6800</v>
      </c>
      <c r="U347" s="263">
        <f>IFERROR(U72,0)</f>
        <v>10417</v>
      </c>
      <c r="V347" s="263">
        <f>IFERROR(V72,0)</f>
        <v>13614</v>
      </c>
      <c r="W347" s="263">
        <f>IFERROR(W72,0)</f>
        <v>32971</v>
      </c>
      <c r="X347" s="263">
        <f>IFERROR(X72,0)</f>
        <v>16909</v>
      </c>
      <c r="Y347" s="263">
        <f>IFERROR(Y72,0)</f>
        <v>18642</v>
      </c>
      <c r="Z347" s="263">
        <f>IFERROR(Z72,0)</f>
        <v>21869</v>
      </c>
      <c r="AA347" s="263">
        <f>IFERROR(AA72,0)</f>
        <v>24034</v>
      </c>
      <c r="AB347" s="263">
        <f>IFERROR(AB72,0)</f>
        <v>81454</v>
      </c>
      <c r="AC347" s="263">
        <f>IFERROR(AC72,0)</f>
        <v>21638</v>
      </c>
      <c r="AD347" s="263">
        <f>IFERROR(AD72,0)</f>
        <v>28440</v>
      </c>
      <c r="AE347" s="263">
        <f>IFERROR(AE72,0)</f>
        <v>36010</v>
      </c>
      <c r="AF347" s="263">
        <f>IFERROR(AF72,0)</f>
        <v>44299</v>
      </c>
      <c r="AG347" s="263">
        <f>IFERROR(AG72,0)</f>
        <v>130387</v>
      </c>
      <c r="AH347" s="263">
        <f>IFERROR(AH72,0)</f>
        <v>53536</v>
      </c>
      <c r="AI347" s="263">
        <f>IFERROR(AI72,0)</f>
        <v>63734</v>
      </c>
      <c r="AJ347" s="263">
        <f>IFERROR(AJ72,0)</f>
        <v>61607.3053499142</v>
      </c>
      <c r="AK347" s="263">
        <f>IFERROR(AK72,0)</f>
        <v>73625.9497521946</v>
      </c>
      <c r="AL347" s="263">
        <f>IFERROR(AL72,0)</f>
        <v>252503.255102109</v>
      </c>
      <c r="AM347" s="263">
        <f>IFERROR(AM72,0)</f>
        <v>88202.6493024111</v>
      </c>
      <c r="AN347" s="263">
        <f>IFERROR(AN72,0)</f>
        <v>103987.589518193</v>
      </c>
      <c r="AO347" s="263">
        <f>IFERROR(AO72,0)</f>
        <v>107974.229142596</v>
      </c>
      <c r="AP347" s="263">
        <f>IFERROR(AP72,0)</f>
        <v>129038.352257615</v>
      </c>
      <c r="AQ347" s="263">
        <f>IFERROR(AQ72,0)</f>
        <v>429202.820220815</v>
      </c>
      <c r="AR347" s="263">
        <f>IFERROR(AR72,0)</f>
        <v>154144.762136306</v>
      </c>
      <c r="AS347" s="263">
        <f>IFERROR(AS72,0)</f>
        <v>181730.847975464</v>
      </c>
      <c r="AT347" s="263">
        <f>IFERROR(AT72,0)</f>
        <v>188697.981292739</v>
      </c>
      <c r="AU347" s="263">
        <f>IFERROR(AU72,0)</f>
        <v>225510.075632924</v>
      </c>
      <c r="AV347" s="263">
        <f>IFERROR(AV72,0)</f>
        <v>750083.667037434</v>
      </c>
      <c r="AW347" s="263">
        <f>IFERROR(AW72,0)</f>
        <v>268615.829563616</v>
      </c>
      <c r="AX347" s="263">
        <f>IFERROR(AX72,0)</f>
        <v>316687.909531835</v>
      </c>
      <c r="AY347" s="263">
        <f>IFERROR(AY72,0)</f>
        <v>328828.979197538</v>
      </c>
      <c r="AZ347" s="263">
        <f>IFERROR(AZ72,0)</f>
        <v>392978.491137611</v>
      </c>
      <c r="BA347" s="263">
        <f>IFERROR(BA72,0)</f>
        <v>1307111.2094306</v>
      </c>
      <c r="BB347" s="263">
        <f>IFERROR(BB72,0)</f>
        <v>466752.384442085</v>
      </c>
      <c r="BC347" s="263">
        <f>IFERROR(BC72,0)</f>
        <v>550283.418285877</v>
      </c>
      <c r="BD347" s="263">
        <f>IFERROR(BD72,0)</f>
        <v>571379.990387941</v>
      </c>
      <c r="BE347" s="263">
        <f>IFERROR(BE72,0)</f>
        <v>682847.500353634</v>
      </c>
      <c r="BF347" s="263">
        <f>IFERROR(BF72,0)</f>
        <v>2271263.29346954</v>
      </c>
      <c r="BG347" s="63" t="n"/>
      <c r="BH347" s="63" t="n"/>
      <c r="BI347" s="63" t="n"/>
      <c r="BJ347" s="63" t="n"/>
      <c r="BL347" s="63" t="n"/>
      <c r="BM347" s="63" t="n"/>
      <c r="BN347" s="63" t="n"/>
      <c r="BO347" s="63" t="n"/>
      <c r="BQ347" s="63" t="n"/>
      <c r="BR347" s="63" t="n"/>
      <c r="BS347" s="63" t="n"/>
      <c r="BT347" s="63" t="n"/>
      <c r="BV347" s="63" t="n"/>
      <c r="BW347" s="63" t="n"/>
      <c r="BX347" s="63" t="n"/>
      <c r="BY347" s="63" t="n"/>
      <c r="CA347" s="63" t="n"/>
      <c r="CB347" s="63" t="n"/>
      <c r="CC347" s="63" t="n"/>
      <c r="CD347" s="63" t="n"/>
      <c r="CF347" s="63" t="n"/>
      <c r="CG347" s="63" t="n"/>
      <c r="CH347" s="63" t="n"/>
      <c r="CI347" s="63" t="n"/>
      <c r="CK347" s="63" t="n"/>
      <c r="CL347" s="63" t="n"/>
      <c r="CM347" s="63" t="n"/>
      <c r="CN347" s="63" t="n"/>
      <c r="CP347" s="63" t="n"/>
      <c r="CQ347" s="63" t="n"/>
      <c r="CR347" s="63" t="n"/>
      <c r="CS347" s="63" t="n"/>
      <c r="CU347" s="63" t="n"/>
      <c r="CV347" s="63" t="n"/>
      <c r="CW347" s="63" t="n"/>
      <c r="CX347" s="63" t="n"/>
    </row>
    <row r="348" customFormat="1" s="77">
      <c r="A348" s="76" t="n"/>
      <c r="B348" s="76" t="n"/>
      <c r="C348" s="77" t="inlineStr">
        <is>
          <t>ETR (LIMITED TO 0%-100%)</t>
        </is>
      </c>
      <c r="D348" s="87">
        <f>IFERROR(D131,"")</f>
        <v>0</v>
      </c>
      <c r="E348" s="87">
        <f>IFERROR(E131,"")</f>
        <v>0</v>
      </c>
      <c r="F348" s="87">
        <f>IFERROR(F131,"")</f>
        <v>0</v>
      </c>
      <c r="G348" s="87">
        <f>IFERROR(G131,"")</f>
        <v>0</v>
      </c>
      <c r="H348" s="258" t="str">
        <f>IFERROR(IF(N(H129)&lt;&gt;0,MAX(0,MIN(1,-H130/H129)),""),"")</f>
        <v/>
      </c>
      <c r="I348" s="258">
        <f>IFERROR(IF(N(I129)&lt;&gt;0,MAX(0,MIN(1,-I130/I129)),""),"")</f>
        <v>0.0645792563600783</v>
      </c>
      <c r="J348" s="258">
        <f>IFERROR(IF(N(J129)&lt;&gt;0,MAX(0,MIN(1,-J130/J129)),""),"")</f>
        <v>0.00835421888053467</v>
      </c>
      <c r="K348" s="258">
        <f>IFERROR(IF(N(K129)&lt;&gt;0,MAX(0,MIN(1,-K130/K129)),""),"")</f>
        <v>0.065959059893859</v>
      </c>
      <c r="L348" s="258">
        <f>IFERROR(IF(N(L129)&lt;&gt;0,MAX(0,MIN(1,-L130/L129)),""),"")</f>
        <v>0</v>
      </c>
      <c r="M348" s="258">
        <f>IFERROR(IF(N(M129)&lt;&gt;0,MAX(0,MIN(1,-M130/M129)),""),"")</f>
        <v>0.018911578312041</v>
      </c>
      <c r="N348" s="258">
        <f>IFERROR(IF(N(N129)&lt;&gt;0,MAX(0,MIN(1,-N130/N129)),""),"")</f>
        <v>0.103601108033241</v>
      </c>
      <c r="O348" s="258">
        <f>IFERROR(IF(N(O129)&lt;&gt;0,MAX(0,MIN(1,-O130/O129)),""),"")</f>
        <v>0</v>
      </c>
      <c r="P348" s="258">
        <f>IFERROR(IF(N(P129)&lt;&gt;0,MAX(0,MIN(1,-P130/P129)),""),"")</f>
        <v>0</v>
      </c>
      <c r="Q348" s="258">
        <f>IFERROR(IF(N(Q129)&lt;&gt;0,MAX(0,MIN(1,-Q130/Q129)),""),"")</f>
        <v>0</v>
      </c>
      <c r="R348" s="258">
        <f>IFERROR(IF(N(R129)&lt;&gt;0,MAX(0,MIN(1,-R130/R129)),""),"")</f>
        <v>0</v>
      </c>
      <c r="S348" s="258">
        <f>IFERROR(IF(N(S129)&lt;&gt;0,MAX(0,MIN(1,-S130/S129)),""),"")</f>
        <v>0.0751471253961068</v>
      </c>
      <c r="T348" s="258">
        <f>IFERROR(IF(N(T129)&lt;&gt;0,MAX(0,MIN(1,-T130/T129)),""),"")</f>
        <v>0.113594040968343</v>
      </c>
      <c r="U348" s="258">
        <f>IFERROR(IF(N(U129)&lt;&gt;0,MAX(0,MIN(1,-U130/U129)),""),"")</f>
        <v>0.121554837483368</v>
      </c>
      <c r="V348" s="258">
        <f>IFERROR(IF(N(V129)&lt;&gt;0,MAX(0,MIN(1,-V130/V129)),""),"")</f>
        <v>0.129094002552105</v>
      </c>
      <c r="W348" s="258">
        <f>IFERROR(IF(N(W129)&lt;&gt;0,MAX(0,MIN(1,-W130/W129)),""),"")</f>
        <v>0.12002483884322</v>
      </c>
      <c r="X348" s="258">
        <f>IFERROR(IF(N(X129)&lt;&gt;0,MAX(0,MIN(1,-X130/X129)),""),"")</f>
        <v>0.138781179466404</v>
      </c>
      <c r="Y348" s="258">
        <f>IFERROR(IF(N(Y129)&lt;&gt;0,MAX(0,MIN(1,-Y130/Y129)),""),"")</f>
        <v>0.136098678047257</v>
      </c>
      <c r="Z348" s="258">
        <f>IFERROR(IF(N(Z129)&lt;&gt;0,MAX(0,MIN(1,-Z130/Z129)),""),"")</f>
        <v>0.134746370317261</v>
      </c>
      <c r="AA348" s="258">
        <f>IFERROR(IF(N(AA129)&lt;&gt;0,MAX(0,MIN(1,-AA130/AA129)),""),"")</f>
        <v>0.123963992544712</v>
      </c>
      <c r="AB348" s="258">
        <f>IFERROR(IF(N(AB129)&lt;&gt;0,MAX(0,MIN(1,-AB130/AB129)),""),"")</f>
        <v>0.132649418037274</v>
      </c>
      <c r="AC348" s="258">
        <f>IFERROR(IF(N(AC129)&lt;&gt;0,MAX(0,MIN(1,-AC130/AC129)),""),"")</f>
        <v>0.143085349155637</v>
      </c>
      <c r="AD348" s="258">
        <f>IFERROR(IF(N(AD129)&lt;&gt;0,MAX(0,MIN(1,-AD130/AD129)),""),"")</f>
        <v>0.153303851823367</v>
      </c>
      <c r="AE348" s="258">
        <f>IFERROR(IF(N(AE129)&lt;&gt;0,MAX(0,MIN(1,-AE130/AE129)),""),"")</f>
        <v>0.158846478279207</v>
      </c>
      <c r="AF348" s="258">
        <f>IFERROR(IF(N(AF129)&lt;&gt;0,MAX(0,MIN(1,-AF130/AF129)),""),"")</f>
        <v>0.147585221635779</v>
      </c>
      <c r="AG348" s="258">
        <f>IFERROR(IF(N(AG129)&lt;&gt;0,MAX(0,MIN(1,-AG130/AG129)),""),"")</f>
        <v>0.151170024743726</v>
      </c>
      <c r="AH348" s="258">
        <f>IFERROR(IF(N(AH129)&lt;&gt;0,MAX(0,MIN(1,-AH130/AH129)),""),"")</f>
        <v>0.165686737336023</v>
      </c>
      <c r="AI348" s="258">
        <f>IFERROR(IF(N(AI129)&lt;&gt;0,MAX(0,MIN(1,-AI130/AI129)),""),"")</f>
        <v>0.165284517599676</v>
      </c>
      <c r="AJ348" s="258">
        <f>IFERROR(IF(N(AJ129)&lt;&gt;0,MAX(0,MIN(1,-AJ130/AJ129)),""),"")</f>
        <v>0.155632025971615</v>
      </c>
      <c r="AK348" s="258">
        <f>IFERROR(IF(N(AK129)&lt;&gt;0,MAX(0,MIN(1,-AK130/AK129)),""),"")</f>
        <v>0.155632025971615</v>
      </c>
      <c r="AL348" s="258">
        <f>IFERROR(IF(N(AL129)&lt;&gt;0,MAX(0,MIN(1,-AL130/AL129)),""),"")</f>
        <v>0.160329206511539</v>
      </c>
      <c r="AM348" s="258">
        <f>IFERROR(IF(N(AM129)&lt;&gt;0,MAX(0,MIN(1,-AM130/AM129)),""),"")</f>
        <v>0.155632025971615</v>
      </c>
      <c r="AN348" s="258">
        <f>IFERROR(IF(N(AN129)&lt;&gt;0,MAX(0,MIN(1,-AN130/AN129)),""),"")</f>
        <v>0.155632025971615</v>
      </c>
      <c r="AO348" s="258">
        <f>IFERROR(IF(N(AO129)&lt;&gt;0,MAX(0,MIN(1,-AO130/AO129)),""),"")</f>
        <v>0.155632025971615</v>
      </c>
      <c r="AP348" s="258">
        <f>IFERROR(IF(N(AP129)&lt;&gt;0,MAX(0,MIN(1,-AP130/AP129)),""),"")</f>
        <v>0.155632025971615</v>
      </c>
      <c r="AQ348" s="258">
        <f>IFERROR(IF(N(AQ129)&lt;&gt;0,MAX(0,MIN(1,-AQ130/AQ129)),""),"")</f>
        <v>0.155632025971615</v>
      </c>
      <c r="AR348" s="258">
        <f>IFERROR(IF(N(AR129)&lt;&gt;0,MAX(0,MIN(1,-AR130/AR129)),""),"")</f>
        <v>0.155632025971615</v>
      </c>
      <c r="AS348" s="258">
        <f>IFERROR(IF(N(AS129)&lt;&gt;0,MAX(0,MIN(1,-AS130/AS129)),""),"")</f>
        <v>0.155632025971615</v>
      </c>
      <c r="AT348" s="258">
        <f>IFERROR(IF(N(AT129)&lt;&gt;0,MAX(0,MIN(1,-AT130/AT129)),""),"")</f>
        <v>0.155632025971615</v>
      </c>
      <c r="AU348" s="258">
        <f>IFERROR(IF(N(AU129)&lt;&gt;0,MAX(0,MIN(1,-AU130/AU129)),""),"")</f>
        <v>0.155632025971615</v>
      </c>
      <c r="AV348" s="258">
        <f>IFERROR(IF(N(AV129)&lt;&gt;0,MAX(0,MIN(1,-AV130/AV129)),""),"")</f>
        <v>0.155632025971615</v>
      </c>
      <c r="AW348" s="258">
        <f>IFERROR(IF(N(AW129)&lt;&gt;0,MAX(0,MIN(1,-AW130/AW129)),""),"")</f>
        <v>0.155632025971615</v>
      </c>
      <c r="AX348" s="258">
        <f>IFERROR(IF(N(AX129)&lt;&gt;0,MAX(0,MIN(1,-AX130/AX129)),""),"")</f>
        <v>0.155632025971615</v>
      </c>
      <c r="AY348" s="258">
        <f>IFERROR(IF(N(AY129)&lt;&gt;0,MAX(0,MIN(1,-AY130/AY129)),""),"")</f>
        <v>0.155632025971615</v>
      </c>
      <c r="AZ348" s="258">
        <f>IFERROR(IF(N(AZ129)&lt;&gt;0,MAX(0,MIN(1,-AZ130/AZ129)),""),"")</f>
        <v>0.155632025971615</v>
      </c>
      <c r="BA348" s="258">
        <f>IFERROR(IF(N(BA129)&lt;&gt;0,MAX(0,MIN(1,-BA130/BA129)),""),"")</f>
        <v>0.155632025971615</v>
      </c>
      <c r="BB348" s="258">
        <f>IFERROR(IF(N(BB129)&lt;&gt;0,MAX(0,MIN(1,-BB130/BB129)),""),"")</f>
        <v>0.155632025971615</v>
      </c>
      <c r="BC348" s="258">
        <f>IFERROR(IF(N(BC129)&lt;&gt;0,MAX(0,MIN(1,-BC130/BC129)),""),"")</f>
        <v>0.155632025971615</v>
      </c>
      <c r="BD348" s="258">
        <f>IFERROR(IF(N(BD129)&lt;&gt;0,MAX(0,MIN(1,-BD130/BD129)),""),"")</f>
        <v>0.155632025971615</v>
      </c>
      <c r="BE348" s="258">
        <f>IFERROR(IF(N(BE129)&lt;&gt;0,MAX(0,MIN(1,-BE130/BE129)),""),"")</f>
        <v>0.155632025971615</v>
      </c>
      <c r="BF348" s="258">
        <f>IFERROR(IF(N(BF129)&lt;&gt;0,MAX(0,MIN(1,-BF130/BF129)),""),"")</f>
        <v>0.155632025971615</v>
      </c>
      <c r="BG348" s="88" t="n"/>
      <c r="BH348" s="88" t="n"/>
      <c r="BI348" s="88" t="n"/>
      <c r="BJ348" s="88" t="n"/>
      <c r="BL348" s="88" t="n"/>
      <c r="BM348" s="88" t="n"/>
      <c r="BN348" s="88" t="n"/>
      <c r="BO348" s="88" t="n"/>
      <c r="BQ348" s="88" t="n"/>
      <c r="BR348" s="88" t="n"/>
      <c r="BS348" s="88" t="n"/>
      <c r="BT348" s="88" t="n"/>
      <c r="BV348" s="88" t="n"/>
      <c r="BW348" s="88" t="n"/>
      <c r="BX348" s="88" t="n"/>
      <c r="BY348" s="88" t="n"/>
      <c r="CA348" s="88" t="n"/>
      <c r="CB348" s="88" t="n"/>
      <c r="CC348" s="88" t="n"/>
      <c r="CD348" s="88" t="n"/>
      <c r="CF348" s="88" t="n"/>
      <c r="CG348" s="88" t="n"/>
      <c r="CH348" s="88" t="n"/>
      <c r="CI348" s="88" t="n"/>
      <c r="CK348" s="88" t="n"/>
      <c r="CL348" s="88" t="n"/>
      <c r="CM348" s="88" t="n"/>
      <c r="CN348" s="88" t="n"/>
      <c r="CP348" s="88" t="n"/>
      <c r="CQ348" s="88" t="n"/>
      <c r="CR348" s="88" t="n"/>
      <c r="CS348" s="88" t="n"/>
      <c r="CU348" s="88" t="n"/>
      <c r="CV348" s="88" t="n"/>
      <c r="CW348" s="88" t="n"/>
      <c r="CX348" s="88" t="n"/>
    </row>
    <row r="349" customFormat="1" s="77">
      <c r="A349" s="76" t="n"/>
      <c r="B349" s="76" t="n"/>
      <c r="C349" s="77" t="inlineStr">
        <is>
          <t>INVESTED CAPITAL</t>
        </is>
      </c>
      <c r="D349" s="86">
        <f>IFERROR(D352-D353+D354,"")</f>
        <v>0</v>
      </c>
      <c r="E349" s="86">
        <f>IFERROR(E352-E353+E354,"")</f>
        <v>0</v>
      </c>
      <c r="F349" s="86">
        <f>IFERROR(F352-F353+F354,"")</f>
        <v>0</v>
      </c>
      <c r="G349" s="86">
        <f>IFERROR(G352-G353+G354,"")</f>
        <v>0</v>
      </c>
      <c r="H349" s="263">
        <f>IFERROR(H351+H354,0)</f>
        <v>0</v>
      </c>
      <c r="I349" s="263">
        <f>IFERROR(I351+I354,0)</f>
        <v>13710</v>
      </c>
      <c r="J349" s="263">
        <f>IFERROR(J351+J354,0)</f>
        <v>14152</v>
      </c>
      <c r="K349" s="263">
        <f>IFERROR(K351+K354,0)</f>
        <v>16187</v>
      </c>
      <c r="L349" s="263">
        <f>IFERROR(L351+L354,0)</f>
        <v>17091</v>
      </c>
      <c r="M349" s="263">
        <f>IFERROR(M351+M354,0)</f>
        <v>17091</v>
      </c>
      <c r="N349" s="263">
        <f>IFERROR(N351+N354,0)</f>
        <v>17681</v>
      </c>
      <c r="O349" s="263">
        <f>IFERROR(O351+O354,0)</f>
        <v>18506</v>
      </c>
      <c r="P349" s="263">
        <f>IFERROR(P351+P354,0)</f>
        <v>19954</v>
      </c>
      <c r="Q349" s="263">
        <f>IFERROR(Q351+Q354,0)</f>
        <v>20660</v>
      </c>
      <c r="R349" s="263">
        <f>IFERROR(R351+R354,0)</f>
        <v>20660</v>
      </c>
      <c r="S349" s="263">
        <f>IFERROR(S351+S354,0)</f>
        <v>21093</v>
      </c>
      <c r="T349" s="263">
        <f>IFERROR(T351+T354,0)</f>
        <v>22224</v>
      </c>
      <c r="U349" s="263">
        <f>IFERROR(U351+U354,0)</f>
        <v>25781</v>
      </c>
      <c r="V349" s="263">
        <f>IFERROR(V351+V354,0)</f>
        <v>27822</v>
      </c>
      <c r="W349" s="263">
        <f>IFERROR(W351+W354,0)</f>
        <v>27822</v>
      </c>
      <c r="X349" s="263">
        <f>IFERROR(X351+X354,0)</f>
        <v>28695</v>
      </c>
      <c r="Y349" s="263">
        <f>IFERROR(Y351+Y354,0)</f>
        <v>33122</v>
      </c>
      <c r="Z349" s="263">
        <f>IFERROR(Z351+Z354,0)</f>
        <v>37364</v>
      </c>
      <c r="AA349" s="263">
        <f>IFERROR(AA351+AA354,0)</f>
        <v>46099</v>
      </c>
      <c r="AB349" s="263">
        <f>IFERROR(AB351+AB354,0)</f>
        <v>46099</v>
      </c>
      <c r="AC349" s="263">
        <f>IFERROR(AC351+AC354,0)</f>
        <v>40137</v>
      </c>
      <c r="AD349" s="263">
        <f>IFERROR(AD351+AD354,0)</f>
        <v>53637</v>
      </c>
      <c r="AE349" s="263">
        <f>IFERROR(AE351+AE354,0)</f>
        <v>68770</v>
      </c>
      <c r="AF349" s="263">
        <f>IFERROR(AF351+AF354,0)</f>
        <v>118663</v>
      </c>
      <c r="AG349" s="263">
        <f>IFERROR(AG351+AG354,0)</f>
        <v>118663</v>
      </c>
      <c r="AH349" s="263">
        <f>IFERROR(AH351+AH354,0)</f>
        <v>157487</v>
      </c>
      <c r="AI349" s="263">
        <f>IFERROR(AI351+AI354,0)</f>
        <v>210749</v>
      </c>
      <c r="AJ349" s="263">
        <f>IFERROR(AJ351+AJ354,0)</f>
        <v>184773.043331312</v>
      </c>
      <c r="AK349" s="263">
        <f>IFERROR(AK351+AK354,0)</f>
        <v>165631.012421276</v>
      </c>
      <c r="AL349" s="263">
        <f>IFERROR(AL351+AL354,0)</f>
        <v>165631.012421276</v>
      </c>
      <c r="AM349" s="263">
        <f>IFERROR(AM351+AM354,0)</f>
        <v>125470.663696214</v>
      </c>
      <c r="AN349" s="263">
        <f>IFERROR(AN351+AN354,0)</f>
        <v>37085.0187348739</v>
      </c>
      <c r="AO349" s="263">
        <f>IFERROR(AO351+AO354,0)</f>
        <v>-147529.138229279</v>
      </c>
      <c r="AP349" s="263">
        <f>IFERROR(AP351+AP354,0)</f>
        <v>-454284.659351582</v>
      </c>
      <c r="AQ349" s="263">
        <f>IFERROR(AQ351+AQ354,0)</f>
        <v>-454284.659351582</v>
      </c>
      <c r="AR349" s="263">
        <f>IFERROR(AR351+AR354,0)</f>
        <v>-1002152.37398784</v>
      </c>
      <c r="AS349" s="263">
        <f>IFERROR(AS351+AS354,0)</f>
        <v>-1984578.40735345</v>
      </c>
      <c r="AT349" s="263">
        <f>IFERROR(AT351+AT354,0)</f>
        <v>-3756752.75299801</v>
      </c>
      <c r="AU349" s="263">
        <f>IFERROR(AU351+AU354,0)</f>
        <v>-6824416.00444047</v>
      </c>
      <c r="AV349" s="263">
        <f>IFERROR(AV351+AV354,0)</f>
        <v>-6824416.00444047</v>
      </c>
      <c r="AW349" s="263">
        <f>IFERROR(AW351+AW354,0)</f>
        <v>-12170973.1626339</v>
      </c>
      <c r="AX349" s="263">
        <f>IFERROR(AX351+AX354,0)</f>
        <v>-21539519.459449</v>
      </c>
      <c r="AY349" s="263">
        <f>IFERROR(AY351+AY354,0)</f>
        <v>-37955178.6640882</v>
      </c>
      <c r="AZ349" s="263">
        <f>IFERROR(AZ351+AZ354,0)</f>
        <v>-66510062.942644</v>
      </c>
      <c r="BA349" s="263">
        <f>IFERROR(BA351+BA354,0)</f>
        <v>-66510062.942644</v>
      </c>
      <c r="BB349" s="263">
        <f>IFERROR(BB351+BB354,0)</f>
        <v>-115973680.890024</v>
      </c>
      <c r="BC349" s="263">
        <f>IFERROR(BC351+BC354,0)</f>
        <v>-202009352.706015</v>
      </c>
      <c r="BD349" s="263">
        <f>IFERROR(BD351+BD354,0)</f>
        <v>-351662256.358007</v>
      </c>
      <c r="BE349" s="263">
        <f>IFERROR(BE351+BE354,0)</f>
        <v>-611612755.530538</v>
      </c>
      <c r="BF349" s="263">
        <f>IFERROR(BF351+BF354,0)</f>
        <v>-611612755.530538</v>
      </c>
      <c r="BG349" s="63" t="n"/>
      <c r="BH349" s="63" t="n"/>
      <c r="BI349" s="63" t="n"/>
      <c r="BJ349" s="63" t="n"/>
      <c r="BL349" s="63" t="n"/>
      <c r="BM349" s="63" t="n"/>
      <c r="BN349" s="63" t="n"/>
      <c r="BO349" s="63" t="n"/>
      <c r="BQ349" s="63" t="n"/>
      <c r="BR349" s="63" t="n"/>
      <c r="BS349" s="63" t="n"/>
      <c r="BT349" s="63" t="n"/>
      <c r="BV349" s="63" t="n"/>
      <c r="BW349" s="63" t="n"/>
      <c r="BX349" s="63" t="n"/>
      <c r="BY349" s="63" t="n"/>
      <c r="CA349" s="63" t="n"/>
      <c r="CB349" s="63" t="n"/>
      <c r="CC349" s="63" t="n"/>
      <c r="CD349" s="63" t="n"/>
      <c r="CF349" s="63" t="n"/>
      <c r="CG349" s="63" t="n"/>
      <c r="CH349" s="63" t="n"/>
      <c r="CI349" s="63" t="n"/>
      <c r="CK349" s="63" t="n"/>
      <c r="CL349" s="63" t="n"/>
      <c r="CM349" s="63" t="n"/>
      <c r="CN349" s="63" t="n"/>
      <c r="CP349" s="63" t="n"/>
      <c r="CQ349" s="63" t="n"/>
      <c r="CR349" s="63" t="n"/>
      <c r="CS349" s="63" t="n"/>
      <c r="CU349" s="63" t="n"/>
      <c r="CV349" s="63" t="n"/>
      <c r="CW349" s="63" t="n"/>
      <c r="CX349" s="63" t="n"/>
    </row>
    <row r="350" customFormat="1" s="77">
      <c r="A350" s="76" t="n"/>
      <c r="B350" s="76" t="n"/>
      <c r="C350" s="77" t="inlineStr">
        <is>
          <t>INVESTED CAPITAL - EX GOODWILL</t>
        </is>
      </c>
      <c r="D350" s="89">
        <f>IFERROR(D349-D178,"")</f>
        <v>0</v>
      </c>
      <c r="E350" s="89">
        <f>IFERROR(E349-E178,"")</f>
        <v>0</v>
      </c>
      <c r="F350" s="89">
        <f>IFERROR(F349-F178,"")</f>
        <v>0</v>
      </c>
      <c r="G350" s="89">
        <f>IFERROR(G349-G178,"")</f>
        <v>0</v>
      </c>
      <c r="H350" s="263">
        <f>IFERROR(H349-N(H178),0)</f>
        <v>0</v>
      </c>
      <c r="I350" s="263">
        <f>IFERROR(I349-N(I178),0)</f>
        <v>9517</v>
      </c>
      <c r="J350" s="263">
        <f>IFERROR(J349-N(J178),0)</f>
        <v>9959</v>
      </c>
      <c r="K350" s="263">
        <f>IFERROR(K349-N(K178),0)</f>
        <v>11885</v>
      </c>
      <c r="L350" s="263">
        <f>IFERROR(L349-N(L178),0)</f>
        <v>12742</v>
      </c>
      <c r="M350" s="263">
        <f>IFERROR(M349-N(M178),0)</f>
        <v>12742</v>
      </c>
      <c r="N350" s="263">
        <f>IFERROR(N349-N(N178),0)</f>
        <v>13316</v>
      </c>
      <c r="O350" s="263">
        <f>IFERROR(O349-N(O178),0)</f>
        <v>14134</v>
      </c>
      <c r="P350" s="263">
        <f>IFERROR(P349-N(P178),0)</f>
        <v>15582</v>
      </c>
      <c r="Q350" s="263">
        <f>IFERROR(Q349-N(Q178),0)</f>
        <v>16288</v>
      </c>
      <c r="R350" s="263">
        <f>IFERROR(R349-N(R178),0)</f>
        <v>16288</v>
      </c>
      <c r="S350" s="263">
        <f>IFERROR(S349-N(S178),0)</f>
        <v>16663</v>
      </c>
      <c r="T350" s="263">
        <f>IFERROR(T349-N(T178),0)</f>
        <v>17794</v>
      </c>
      <c r="U350" s="263">
        <f>IFERROR(U349-N(U178),0)</f>
        <v>21351</v>
      </c>
      <c r="V350" s="263">
        <f>IFERROR(V349-N(V178),0)</f>
        <v>23392</v>
      </c>
      <c r="W350" s="263">
        <f>IFERROR(W349-N(W178),0)</f>
        <v>23392</v>
      </c>
      <c r="X350" s="263">
        <f>IFERROR(X349-N(X178),0)</f>
        <v>24242</v>
      </c>
      <c r="Y350" s="263">
        <f>IFERROR(Y349-N(Y178),0)</f>
        <v>28500</v>
      </c>
      <c r="Z350" s="263">
        <f>IFERROR(Z349-N(Z178),0)</f>
        <v>32640</v>
      </c>
      <c r="AA350" s="263">
        <f>IFERROR(AA349-N(AA178),0)</f>
        <v>40911</v>
      </c>
      <c r="AB350" s="263">
        <f>IFERROR(AB349-N(AB178),0)</f>
        <v>40911</v>
      </c>
      <c r="AC350" s="263">
        <f>IFERROR(AC349-N(AC178),0)</f>
        <v>34639</v>
      </c>
      <c r="AD350" s="263">
        <f>IFERROR(AD349-N(AD178),0)</f>
        <v>47882</v>
      </c>
      <c r="AE350" s="263">
        <f>IFERROR(AE349-N(AE178),0)</f>
        <v>62509</v>
      </c>
      <c r="AF350" s="263">
        <f>IFERROR(AF349-N(AF178),0)</f>
        <v>97831</v>
      </c>
      <c r="AG350" s="263">
        <f>IFERROR(AG349-N(AG178),0)</f>
        <v>97831</v>
      </c>
      <c r="AH350" s="263">
        <f>IFERROR(AH349-N(AH178),0)</f>
        <v>136593</v>
      </c>
      <c r="AI350" s="263">
        <f>IFERROR(AI349-N(AI178),0)</f>
        <v>189624</v>
      </c>
      <c r="AJ350" s="263">
        <f>IFERROR(AJ349-N(AJ178),0)</f>
        <v>163648.043331312</v>
      </c>
      <c r="AK350" s="263">
        <f>IFERROR(AK349-N(AK178),0)</f>
        <v>144506.012421276</v>
      </c>
      <c r="AL350" s="263">
        <f>IFERROR(AL349-N(AL178),0)</f>
        <v>144506.012421276</v>
      </c>
      <c r="AM350" s="263">
        <f>IFERROR(AM349-N(AM178),0)</f>
        <v>104345.663696214</v>
      </c>
      <c r="AN350" s="263">
        <f>IFERROR(AN349-N(AN178),0)</f>
        <v>15960.0187348739</v>
      </c>
      <c r="AO350" s="263">
        <f>IFERROR(AO349-N(AO178),0)</f>
        <v>-168654.138229279</v>
      </c>
      <c r="AP350" s="263">
        <f>IFERROR(AP349-N(AP178),0)</f>
        <v>-475409.659351582</v>
      </c>
      <c r="AQ350" s="263">
        <f>IFERROR(AQ349-N(AQ178),0)</f>
        <v>-475409.659351582</v>
      </c>
      <c r="AR350" s="263">
        <f>IFERROR(AR349-N(AR178),0)</f>
        <v>-1023277.37398784</v>
      </c>
      <c r="AS350" s="263">
        <f>IFERROR(AS349-N(AS178),0)</f>
        <v>-2005703.40735345</v>
      </c>
      <c r="AT350" s="263">
        <f>IFERROR(AT349-N(AT178),0)</f>
        <v>-3777877.75299801</v>
      </c>
      <c r="AU350" s="263">
        <f>IFERROR(AU349-N(AU178),0)</f>
        <v>-6845541.00444047</v>
      </c>
      <c r="AV350" s="263">
        <f>IFERROR(AV349-N(AV178),0)</f>
        <v>-6845541.00444047</v>
      </c>
      <c r="AW350" s="263">
        <f>IFERROR(AW349-N(AW178),0)</f>
        <v>-12192098.1626339</v>
      </c>
      <c r="AX350" s="263">
        <f>IFERROR(AX349-N(AX178),0)</f>
        <v>-21560644.459449</v>
      </c>
      <c r="AY350" s="263">
        <f>IFERROR(AY349-N(AY178),0)</f>
        <v>-37976303.6640882</v>
      </c>
      <c r="AZ350" s="263">
        <f>IFERROR(AZ349-N(AZ178),0)</f>
        <v>-66531187.942644</v>
      </c>
      <c r="BA350" s="263">
        <f>IFERROR(BA349-N(BA178),0)</f>
        <v>-66531187.942644</v>
      </c>
      <c r="BB350" s="263">
        <f>IFERROR(BB349-N(BB178),0)</f>
        <v>-115994805.890024</v>
      </c>
      <c r="BC350" s="263">
        <f>IFERROR(BC349-N(BC178),0)</f>
        <v>-202030477.706015</v>
      </c>
      <c r="BD350" s="263">
        <f>IFERROR(BD349-N(BD178),0)</f>
        <v>-351683381.358007</v>
      </c>
      <c r="BE350" s="263">
        <f>IFERROR(BE349-N(BE178),0)</f>
        <v>-611633880.530538</v>
      </c>
      <c r="BF350" s="263">
        <f>IFERROR(BF349-N(BF178),0)</f>
        <v>-611633880.530538</v>
      </c>
      <c r="BG350" s="90" t="n"/>
      <c r="BH350" s="90" t="n"/>
      <c r="BI350" s="90" t="n"/>
      <c r="BJ350" s="90" t="n"/>
      <c r="BL350" s="90" t="n"/>
      <c r="BM350" s="90" t="n"/>
      <c r="BN350" s="90" t="n"/>
      <c r="BO350" s="90" t="n"/>
      <c r="BQ350" s="90" t="n"/>
      <c r="BR350" s="90" t="n"/>
      <c r="BS350" s="90" t="n"/>
      <c r="BT350" s="90" t="n"/>
      <c r="BV350" s="90" t="n"/>
      <c r="BW350" s="90" t="n"/>
      <c r="BX350" s="90" t="n"/>
      <c r="BY350" s="90" t="n"/>
      <c r="CA350" s="90" t="n"/>
      <c r="CB350" s="90" t="n"/>
      <c r="CC350" s="90" t="n"/>
      <c r="CD350" s="90" t="n"/>
      <c r="CF350" s="90" t="n"/>
      <c r="CG350" s="90" t="n"/>
      <c r="CH350" s="90" t="n"/>
      <c r="CI350" s="90" t="n"/>
      <c r="CK350" s="90" t="n"/>
      <c r="CL350" s="90" t="n"/>
      <c r="CM350" s="90" t="n"/>
      <c r="CN350" s="90" t="n"/>
      <c r="CP350" s="90" t="n"/>
      <c r="CQ350" s="90" t="n"/>
      <c r="CR350" s="90" t="n"/>
      <c r="CS350" s="90" t="n"/>
      <c r="CU350" s="90" t="n"/>
      <c r="CV350" s="90" t="n"/>
      <c r="CW350" s="90" t="n"/>
      <c r="CX350" s="90" t="n"/>
    </row>
    <row r="351" customFormat="1" s="77">
      <c r="A351" s="76" t="n"/>
      <c r="B351" s="76" t="n"/>
      <c r="C351" s="77" t="inlineStr">
        <is>
          <t>OPERATING WORKING CAPITAL</t>
        </is>
      </c>
      <c r="D351" s="91">
        <f>IFERROR(D352-D353,"")</f>
        <v>0</v>
      </c>
      <c r="E351" s="91">
        <f>IFERROR(E352-E353,"")</f>
        <v>0</v>
      </c>
      <c r="F351" s="91">
        <f>IFERROR(F352-F353,"")</f>
        <v>0</v>
      </c>
      <c r="G351" s="91">
        <f>IFERROR(G352-G353,"")</f>
        <v>0</v>
      </c>
      <c r="H351" s="263">
        <f>IFERROR(H352-H353,0)</f>
        <v>0</v>
      </c>
      <c r="I351" s="263">
        <f>IFERROR(I352-I353,0)</f>
        <v>3233</v>
      </c>
      <c r="J351" s="263">
        <f>IFERROR(J352-J353,0)</f>
        <v>3662</v>
      </c>
      <c r="K351" s="263">
        <f>IFERROR(K352-K353,0)</f>
        <v>3866</v>
      </c>
      <c r="L351" s="263">
        <f>IFERROR(L352-L353,0)</f>
        <v>4508</v>
      </c>
      <c r="M351" s="263">
        <f>IFERROR(M352-M353,0)</f>
        <v>4508</v>
      </c>
      <c r="N351" s="263">
        <f>IFERROR(N352-N353,0)</f>
        <v>5459</v>
      </c>
      <c r="O351" s="263">
        <f>IFERROR(O352-O353,0)</f>
        <v>6282</v>
      </c>
      <c r="P351" s="263">
        <f>IFERROR(P352-P353,0)</f>
        <v>7236</v>
      </c>
      <c r="Q351" s="263">
        <f>IFERROR(Q352-Q353,0)</f>
        <v>7860</v>
      </c>
      <c r="R351" s="263">
        <f>IFERROR(R352-R353,0)</f>
        <v>7860</v>
      </c>
      <c r="S351" s="263">
        <f>IFERROR(S352-S353,0)</f>
        <v>8121</v>
      </c>
      <c r="T351" s="263">
        <f>IFERROR(T352-T353,0)</f>
        <v>9087</v>
      </c>
      <c r="U351" s="263">
        <f>IFERROR(U352-U353,0)</f>
        <v>12507</v>
      </c>
      <c r="V351" s="263">
        <f>IFERROR(V352-V353,0)</f>
        <v>15061</v>
      </c>
      <c r="W351" s="263">
        <f>IFERROR(W352-W353,0)</f>
        <v>15061</v>
      </c>
      <c r="X351" s="263">
        <f>IFERROR(X352-X353,0)</f>
        <v>16116</v>
      </c>
      <c r="Y351" s="263">
        <f>IFERROR(Y352-Y353,0)</f>
        <v>20442</v>
      </c>
      <c r="Z351" s="263">
        <f>IFERROR(Z352-Z353,0)</f>
        <v>22950</v>
      </c>
      <c r="AA351" s="263">
        <f>IFERROR(AA352-AA353,0)</f>
        <v>29848</v>
      </c>
      <c r="AB351" s="263">
        <f>IFERROR(AB352-AB353,0)</f>
        <v>29848</v>
      </c>
      <c r="AC351" s="263">
        <f>IFERROR(AC352-AC353,0)</f>
        <v>23020</v>
      </c>
      <c r="AD351" s="263">
        <f>IFERROR(AD352-AD353,0)</f>
        <v>34741</v>
      </c>
      <c r="AE351" s="263">
        <f>IFERROR(AE352-AE353,0)</f>
        <v>44482</v>
      </c>
      <c r="AF351" s="263">
        <f>IFERROR(AF352-AF353,0)</f>
        <v>58029</v>
      </c>
      <c r="AG351" s="263">
        <f>IFERROR(AG352-AG353,0)</f>
        <v>58029</v>
      </c>
      <c r="AH351" s="263">
        <f>IFERROR(AH352-AH353,0)</f>
        <v>69483</v>
      </c>
      <c r="AI351" s="263">
        <f>IFERROR(AI352-AI353,0)</f>
        <v>110966</v>
      </c>
      <c r="AJ351" s="263">
        <f>IFERROR(AJ352-AJ353,0)</f>
        <v>82985.0150012191</v>
      </c>
      <c r="AK351" s="263">
        <f>IFERROR(AK352-AK353,0)</f>
        <v>61446.8053548346</v>
      </c>
      <c r="AL351" s="263">
        <f>IFERROR(AL352-AL353,0)</f>
        <v>61446.8053548346</v>
      </c>
      <c r="AM351" s="263">
        <f>IFERROR(AM352-AM353,0)</f>
        <v>18415.8748110068</v>
      </c>
      <c r="AN351" s="263">
        <f>IFERROR(AN352-AN353,0)</f>
        <v>-73354.0776083187</v>
      </c>
      <c r="AO351" s="263">
        <f>IFERROR(AO352-AO353,0)</f>
        <v>-261482.288419191</v>
      </c>
      <c r="AP351" s="263">
        <f>IFERROR(AP352-AP353,0)</f>
        <v>-572437.401626809</v>
      </c>
      <c r="AQ351" s="263">
        <f>IFERROR(AQ352-AQ353,0)</f>
        <v>-572437.401626809</v>
      </c>
      <c r="AR351" s="263">
        <f>IFERROR(AR352-AR353,0)</f>
        <v>-1125321.80402864</v>
      </c>
      <c r="AS351" s="263">
        <f>IFERROR(AS352-AS353,0)</f>
        <v>-2113662.32264195</v>
      </c>
      <c r="AT351" s="263">
        <f>IFERROR(AT352-AT353,0)</f>
        <v>-3891977.90098894</v>
      </c>
      <c r="AU351" s="263">
        <f>IFERROR(AU352-AU353,0)</f>
        <v>-6966980.44584469</v>
      </c>
      <c r="AV351" s="263">
        <f>IFERROR(AV352-AV353,0)</f>
        <v>-6966980.44584469</v>
      </c>
      <c r="AW351" s="263">
        <f>IFERROR(AW352-AW353,0)</f>
        <v>-12322279.7872115</v>
      </c>
      <c r="AX351" s="263">
        <f>IFERROR(AX352-AX353,0)</f>
        <v>-21701132.7875385</v>
      </c>
      <c r="AY351" s="263">
        <f>IFERROR(AY352-AY353,0)</f>
        <v>-38127493.8304629</v>
      </c>
      <c r="AZ351" s="263">
        <f>IFERROR(AZ352-AZ353,0)</f>
        <v>-66695167.7125142</v>
      </c>
      <c r="BA351" s="263">
        <f>IFERROR(BA352-BA353,0)</f>
        <v>-66695167.7125142</v>
      </c>
      <c r="BB351" s="263">
        <f>IFERROR(BB352-BB353,0)</f>
        <v>-116173976.256994</v>
      </c>
      <c r="BC351" s="263">
        <f>IFERROR(BC352-BC353,0)</f>
        <v>-202227557.212769</v>
      </c>
      <c r="BD351" s="263">
        <f>IFERROR(BD352-BD353,0)</f>
        <v>-351899056.598846</v>
      </c>
      <c r="BE351" s="263">
        <f>IFERROR(BE352-BE353,0)</f>
        <v>-611871779.249186</v>
      </c>
      <c r="BF351" s="263">
        <f>IFERROR(BF352-BF353,0)</f>
        <v>-611871779.249186</v>
      </c>
      <c r="BG351" s="63" t="n"/>
      <c r="BH351" s="63" t="n"/>
      <c r="BI351" s="63" t="n"/>
      <c r="BJ351" s="63" t="n"/>
      <c r="BL351" s="63" t="n"/>
      <c r="BM351" s="63" t="n"/>
      <c r="BN351" s="63" t="n"/>
      <c r="BO351" s="63" t="n"/>
      <c r="BQ351" s="63" t="n"/>
      <c r="BR351" s="63" t="n"/>
      <c r="BS351" s="63" t="n"/>
      <c r="BT351" s="63" t="n"/>
      <c r="BV351" s="63" t="n"/>
      <c r="BW351" s="63" t="n"/>
      <c r="BX351" s="63" t="n"/>
      <c r="BY351" s="63" t="n"/>
      <c r="CA351" s="63" t="n"/>
      <c r="CB351" s="63" t="n"/>
      <c r="CC351" s="63" t="n"/>
      <c r="CD351" s="63" t="n"/>
      <c r="CF351" s="63" t="n"/>
      <c r="CG351" s="63" t="n"/>
      <c r="CH351" s="63" t="n"/>
      <c r="CI351" s="63" t="n"/>
      <c r="CK351" s="63" t="n"/>
      <c r="CL351" s="63" t="n"/>
      <c r="CM351" s="63" t="n"/>
      <c r="CN351" s="63" t="n"/>
      <c r="CP351" s="63" t="n"/>
      <c r="CQ351" s="63" t="n"/>
      <c r="CR351" s="63" t="n"/>
      <c r="CS351" s="63" t="n"/>
      <c r="CU351" s="63" t="n"/>
      <c r="CV351" s="63" t="n"/>
      <c r="CW351" s="63" t="n"/>
      <c r="CX351" s="63" t="n"/>
    </row>
    <row r="352" customFormat="1" s="77">
      <c r="A352" s="76" t="n"/>
      <c r="B352" s="76" t="n"/>
      <c r="C352" s="77" t="inlineStr">
        <is>
          <t>CURRENT ASSETS (OPERATING, EX CASH)</t>
        </is>
      </c>
      <c r="D352" s="89">
        <f>IFERROR(D144+D148+D152+D153+D154,"")</f>
        <v>0</v>
      </c>
      <c r="E352" s="89">
        <f>IFERROR(E144+E148+E152+E153+E154,"")</f>
        <v>0</v>
      </c>
      <c r="F352" s="89">
        <f>IFERROR(F144+F148+F152+F153+F154,"")</f>
        <v>0</v>
      </c>
      <c r="G352" s="89">
        <f>IFERROR(G144+G148+G152+G153+G154,"")</f>
        <v>0</v>
      </c>
      <c r="H352" s="263">
        <f>IFERROR((N(H144)+N(H148)+N(H152)+N(H153)+N(H154)),0)</f>
        <v>0</v>
      </c>
      <c r="I352" s="263">
        <f>IFERROR((N(I144)+N(I148)+N(I152)+N(I153)+N(I154)),0)</f>
        <v>6238</v>
      </c>
      <c r="J352" s="263">
        <f>IFERROR((N(J144)+N(J148)+N(J152)+N(J153)+N(J154)),0)</f>
        <v>7110</v>
      </c>
      <c r="K352" s="263">
        <f>IFERROR((N(K144)+N(K148)+N(K152)+N(K153)+N(K154)),0)</f>
        <v>7478</v>
      </c>
      <c r="L352" s="263">
        <f>IFERROR((N(L144)+N(L148)+N(L152)+N(L153)+N(L154)),0)</f>
        <v>8843</v>
      </c>
      <c r="M352" s="263">
        <f>IFERROR((N(M144)+N(M148)+N(M152)+N(M153)+N(M154)),0)</f>
        <v>8843</v>
      </c>
      <c r="N352" s="263">
        <f>IFERROR((N(N144)+N(N148)+N(N152)+N(N153)+N(N154)),0)</f>
        <v>11021</v>
      </c>
      <c r="O352" s="263">
        <f>IFERROR((N(O144)+N(O148)+N(O152)+N(O153)+N(O154)),0)</f>
        <v>12606</v>
      </c>
      <c r="P352" s="263">
        <f>IFERROR((N(P144)+N(P148)+N(P152)+N(P153)+N(P154)),0)</f>
        <v>12842</v>
      </c>
      <c r="Q352" s="263">
        <f>IFERROR((N(Q144)+N(Q148)+N(Q152)+N(Q153)+N(Q154)),0)</f>
        <v>13173</v>
      </c>
      <c r="R352" s="263">
        <f>IFERROR((N(R144)+N(R148)+N(R152)+N(R153)+N(R154)),0)</f>
        <v>13173</v>
      </c>
      <c r="S352" s="263">
        <f>IFERROR((N(S144)+N(S148)+N(S152)+N(S153)+N(S154)),0)</f>
        <v>14131</v>
      </c>
      <c r="T352" s="263">
        <f>IFERROR((N(T144)+N(T148)+N(T152)+N(T153)+N(T154)),0)</f>
        <v>18172</v>
      </c>
      <c r="U352" s="263">
        <f>IFERROR((N(U144)+N(U148)+N(U152)+N(U153)+N(U154)),0)</f>
        <v>20359</v>
      </c>
      <c r="V352" s="263">
        <f>IFERROR((N(V144)+N(V148)+N(V152)+N(V153)+N(V154)),0)</f>
        <v>24442</v>
      </c>
      <c r="W352" s="263">
        <f>IFERROR((N(W144)+N(W148)+N(W152)+N(W153)+N(W154)),0)</f>
        <v>24442</v>
      </c>
      <c r="X352" s="263">
        <f>IFERROR((N(X144)+N(X148)+N(X152)+N(X153)+N(X154)),0)</f>
        <v>30089</v>
      </c>
      <c r="Y352" s="263">
        <f>IFERROR((N(Y144)+N(Y148)+N(Y152)+N(Y153)+N(Y154)),0)</f>
        <v>34411</v>
      </c>
      <c r="Z352" s="263">
        <f>IFERROR((N(Z144)+N(Z148)+N(Z152)+N(Z153)+N(Z154)),0)</f>
        <v>39429</v>
      </c>
      <c r="AA352" s="263">
        <f>IFERROR((N(AA144)+N(AA148)+N(AA152)+N(AA153)+N(AA154)),0)</f>
        <v>47895</v>
      </c>
      <c r="AB352" s="263">
        <f>IFERROR((N(AB144)+N(AB148)+N(AB152)+N(AB153)+N(AB154)),0)</f>
        <v>47895</v>
      </c>
      <c r="AC352" s="263">
        <f>IFERROR((N(AC144)+N(AC148)+N(AC152)+N(AC153)+N(AC154)),0)</f>
        <v>49562</v>
      </c>
      <c r="AD352" s="263">
        <f>IFERROR((N(AD144)+N(AD148)+N(AD152)+N(AD153)+N(AD154)),0)</f>
        <v>58998</v>
      </c>
      <c r="AE352" s="263">
        <f>IFERROR((N(AE144)+N(AE148)+N(AE152)+N(AE153)+N(AE154)),0)</f>
        <v>69558</v>
      </c>
      <c r="AF352" s="263">
        <f>IFERROR((N(AF144)+N(AF148)+N(AF152)+N(AF153)+N(AF154)),0)</f>
        <v>89193</v>
      </c>
      <c r="AG352" s="263">
        <f>IFERROR((N(AG144)+N(AG148)+N(AG152)+N(AG153)+N(AG154)),0)</f>
        <v>89193</v>
      </c>
      <c r="AH352" s="263">
        <f>IFERROR((N(AH144)+N(AH148)+N(AH152)+N(AH153)+N(AH154)),0)</f>
        <v>112367</v>
      </c>
      <c r="AI352" s="263">
        <f>IFERROR((N(AI144)+N(AI148)+N(AI152)+N(AI153)+N(AI154)),0)</f>
        <v>152985</v>
      </c>
      <c r="AJ352" s="263">
        <f>IFERROR((N(AJ144)+N(AJ148)+N(AJ152)+N(AJ153)+N(AJ154)),0)</f>
        <v>146615.031734041</v>
      </c>
      <c r="AK352" s="263">
        <f>IFERROR((N(AK144)+N(AK148)+N(AK152)+N(AK153)+N(AK154)),0)</f>
        <v>163833.996350297</v>
      </c>
      <c r="AL352" s="263">
        <f>IFERROR((N(AL144)+N(AL148)+N(AL152)+N(AL153)+N(AL154)),0)</f>
        <v>163833.996350297</v>
      </c>
      <c r="AM352" s="263">
        <f>IFERROR((N(AM144)+N(AM148)+N(AM152)+N(AM153)+N(AM154)),0)</f>
        <v>187526.007581578</v>
      </c>
      <c r="AN352" s="263">
        <f>IFERROR((N(AN144)+N(AN148)+N(AN152)+N(AN153)+N(AN154)),0)</f>
        <v>208969.907778026</v>
      </c>
      <c r="AO352" s="263">
        <f>IFERROR((N(AO144)+N(AO148)+N(AO152)+N(AO153)+N(AO154)),0)</f>
        <v>213044.355493659</v>
      </c>
      <c r="AP352" s="263">
        <f>IFERROR((N(AP144)+N(AP148)+N(AP152)+N(AP153)+N(AP154)),0)</f>
        <v>243222.666661694</v>
      </c>
      <c r="AQ352" s="263">
        <f>IFERROR((N(AQ144)+N(AQ148)+N(AQ152)+N(AQ153)+N(AQ154)),0)</f>
        <v>243222.666661694</v>
      </c>
      <c r="AR352" s="263">
        <f>IFERROR((N(AR144)+N(AR148)+N(AR152)+N(AR153)+N(AR154)),0)</f>
        <v>281619.140171787</v>
      </c>
      <c r="AS352" s="263">
        <f>IFERROR((N(AS144)+N(AS148)+N(AS152)+N(AS153)+N(AS154)),0)</f>
        <v>321575.697855413</v>
      </c>
      <c r="AT352" s="263">
        <f>IFERROR((N(AT144)+N(AT148)+N(AT152)+N(AT153)+N(AT154)),0)</f>
        <v>328696.28639703</v>
      </c>
      <c r="AU352" s="263">
        <f>IFERROR((N(AU144)+N(AU148)+N(AU152)+N(AU153)+N(AU154)),0)</f>
        <v>381436.523039162</v>
      </c>
      <c r="AV352" s="263">
        <f>IFERROR((N(AV144)+N(AV148)+N(AV152)+N(AV153)+N(AV154)),0)</f>
        <v>381436.523039162</v>
      </c>
      <c r="AW352" s="263">
        <f>IFERROR((N(AW144)+N(AW148)+N(AW152)+N(AW153)+N(AW154)),0)</f>
        <v>451745.666655022</v>
      </c>
      <c r="AX352" s="263">
        <f>IFERROR((N(AX144)+N(AX148)+N(AX152)+N(AX153)+N(AX154)),0)</f>
        <v>517051.766708765</v>
      </c>
      <c r="AY352" s="263">
        <f>IFERROR((N(AY144)+N(AY148)+N(AY152)+N(AY153)+N(AY154)),0)</f>
        <v>529460.250601305</v>
      </c>
      <c r="AZ352" s="263">
        <f>IFERROR((N(AZ144)+N(AZ148)+N(AZ152)+N(AZ153)+N(AZ154)),0)</f>
        <v>621366.470577047</v>
      </c>
      <c r="BA352" s="263">
        <f>IFERROR((N(BA144)+N(BA148)+N(BA152)+N(BA153)+N(BA154)),0)</f>
        <v>621366.470577047</v>
      </c>
      <c r="BB352" s="263">
        <f>IFERROR((N(BB144)+N(BB148)+N(BB152)+N(BB153)+N(BB154)),0)</f>
        <v>741921.655483447</v>
      </c>
      <c r="BC352" s="263">
        <f>IFERROR((N(BC144)+N(BC148)+N(BC152)+N(BC153)+N(BC154)),0)</f>
        <v>855398.876718761</v>
      </c>
      <c r="BD352" s="263">
        <f>IFERROR((N(BD144)+N(BD148)+N(BD152)+N(BD153)+N(BD154)),0)</f>
        <v>876960.113275681</v>
      </c>
      <c r="BE352" s="263">
        <f>IFERROR((N(BE144)+N(BE148)+N(BE152)+N(BE153)+N(BE154)),0)</f>
        <v>1036658.24941466</v>
      </c>
      <c r="BF352" s="263">
        <f>IFERROR((N(BF144)+N(BF148)+N(BF152)+N(BF153)+N(BF154)),0)</f>
        <v>1036658.24941466</v>
      </c>
      <c r="BG352" s="90" t="n"/>
      <c r="BH352" s="90" t="n"/>
      <c r="BI352" s="90" t="n"/>
      <c r="BJ352" s="90" t="n"/>
      <c r="BL352" s="90" t="n"/>
      <c r="BM352" s="90" t="n"/>
      <c r="BN352" s="90" t="n"/>
      <c r="BO352" s="90" t="n"/>
      <c r="BQ352" s="90" t="n"/>
      <c r="BR352" s="90" t="n"/>
      <c r="BS352" s="90" t="n"/>
      <c r="BT352" s="90" t="n"/>
      <c r="BV352" s="90" t="n"/>
      <c r="BW352" s="90" t="n"/>
      <c r="BX352" s="90" t="n"/>
      <c r="BY352" s="90" t="n"/>
      <c r="CA352" s="90" t="n"/>
      <c r="CB352" s="90" t="n"/>
      <c r="CC352" s="90" t="n"/>
      <c r="CD352" s="90" t="n"/>
      <c r="CF352" s="90" t="n"/>
      <c r="CG352" s="90" t="n"/>
      <c r="CH352" s="90" t="n"/>
      <c r="CI352" s="90" t="n"/>
      <c r="CK352" s="90" t="n"/>
      <c r="CL352" s="90" t="n"/>
      <c r="CM352" s="90" t="n"/>
      <c r="CN352" s="90" t="n"/>
      <c r="CP352" s="90" t="n"/>
      <c r="CQ352" s="90" t="n"/>
      <c r="CR352" s="90" t="n"/>
      <c r="CS352" s="90" t="n"/>
      <c r="CU352" s="90" t="n"/>
      <c r="CV352" s="90" t="n"/>
      <c r="CW352" s="90" t="n"/>
      <c r="CX352" s="90" t="n"/>
    </row>
    <row r="353" customFormat="1" s="77">
      <c r="A353" s="76" t="n"/>
      <c r="B353" s="76" t="n"/>
      <c r="C353" s="77" t="inlineStr">
        <is>
          <t>CURRENT LIABILITIES (OPERATING, EX DEBT)</t>
        </is>
      </c>
      <c r="D353" s="89">
        <f>IFERROR(D197+D201+D203+D204,"")</f>
        <v>0</v>
      </c>
      <c r="E353" s="89">
        <f>IFERROR(E197+E201+E203+E204,"")</f>
        <v>0</v>
      </c>
      <c r="F353" s="89">
        <f>IFERROR(F197+F201+F203+F204,"")</f>
        <v>0</v>
      </c>
      <c r="G353" s="89">
        <f>IFERROR(G197+G201+G203+G204,"")</f>
        <v>0</v>
      </c>
      <c r="H353" s="263">
        <f>IFERROR((N(H197)+N(H201)+N(H203)+N(H204)),0)</f>
        <v>0</v>
      </c>
      <c r="I353" s="263">
        <f>IFERROR((N(I197)+N(I201)+N(I203)+N(I204)),0)</f>
        <v>3005</v>
      </c>
      <c r="J353" s="263">
        <f>IFERROR((N(J197)+N(J201)+N(J203)+N(J204)),0)</f>
        <v>3448</v>
      </c>
      <c r="K353" s="263">
        <f>IFERROR((N(K197)+N(K201)+N(K203)+N(K204)),0)</f>
        <v>3612</v>
      </c>
      <c r="L353" s="263">
        <f>IFERROR((N(L197)+N(L201)+N(L203)+N(L204)),0)</f>
        <v>4335</v>
      </c>
      <c r="M353" s="263">
        <f>IFERROR((N(M197)+N(M201)+N(M203)+N(M204)),0)</f>
        <v>4335</v>
      </c>
      <c r="N353" s="263">
        <f>IFERROR((N(N197)+N(N201)+N(N203)+N(N204)),0)</f>
        <v>5562</v>
      </c>
      <c r="O353" s="263">
        <f>IFERROR((N(O197)+N(O201)+N(O203)+N(O204)),0)</f>
        <v>6324</v>
      </c>
      <c r="P353" s="263">
        <f>IFERROR((N(P197)+N(P201)+N(P203)+N(P204)),0)</f>
        <v>5606</v>
      </c>
      <c r="Q353" s="263">
        <f>IFERROR((N(Q197)+N(Q201)+N(Q203)+N(Q204)),0)</f>
        <v>5313</v>
      </c>
      <c r="R353" s="263">
        <f>IFERROR((N(R197)+N(R201)+N(R203)+N(R204)),0)</f>
        <v>5313</v>
      </c>
      <c r="S353" s="263">
        <f>IFERROR((N(S197)+N(S201)+N(S203)+N(S204)),0)</f>
        <v>6010</v>
      </c>
      <c r="T353" s="263">
        <f>IFERROR((N(T197)+N(T201)+N(T203)+N(T204)),0)</f>
        <v>9085</v>
      </c>
      <c r="U353" s="263">
        <f>IFERROR((N(U197)+N(U201)+N(U203)+N(U204)),0)</f>
        <v>7852</v>
      </c>
      <c r="V353" s="263">
        <f>IFERROR((N(V197)+N(V201)+N(V203)+N(V204)),0)</f>
        <v>9381</v>
      </c>
      <c r="W353" s="263">
        <f>IFERROR((N(W197)+N(W201)+N(W203)+N(W204)),0)</f>
        <v>9381</v>
      </c>
      <c r="X353" s="263">
        <f>IFERROR((N(X197)+N(X201)+N(X203)+N(X204)),0)</f>
        <v>13973</v>
      </c>
      <c r="Y353" s="263">
        <f>IFERROR((N(Y197)+N(Y201)+N(Y203)+N(Y204)),0)</f>
        <v>13969</v>
      </c>
      <c r="Z353" s="263">
        <f>IFERROR((N(Z197)+N(Z201)+N(Z203)+N(Z204)),0)</f>
        <v>16479</v>
      </c>
      <c r="AA353" s="263">
        <f>IFERROR((N(AA197)+N(AA201)+N(AA203)+N(AA204)),0)</f>
        <v>18047</v>
      </c>
      <c r="AB353" s="263">
        <f>IFERROR((N(AB197)+N(AB201)+N(AB203)+N(AB204)),0)</f>
        <v>18047</v>
      </c>
      <c r="AC353" s="263">
        <f>IFERROR((N(AC197)+N(AC201)+N(AC203)+N(AC204)),0)</f>
        <v>26542</v>
      </c>
      <c r="AD353" s="263">
        <f>IFERROR((N(AD197)+N(AD201)+N(AD203)+N(AD204)),0)</f>
        <v>24257</v>
      </c>
      <c r="AE353" s="263">
        <f>IFERROR((N(AE197)+N(AE201)+N(AE203)+N(AE204)),0)</f>
        <v>25076</v>
      </c>
      <c r="AF353" s="263">
        <f>IFERROR((N(AF197)+N(AF201)+N(AF203)+N(AF204)),0)</f>
        <v>31164</v>
      </c>
      <c r="AG353" s="263">
        <f>IFERROR((N(AG197)+N(AG201)+N(AG203)+N(AG204)),0)</f>
        <v>31164</v>
      </c>
      <c r="AH353" s="263">
        <f>IFERROR((N(AH197)+N(AH201)+N(AH203)+N(AH204)),0)</f>
        <v>42884</v>
      </c>
      <c r="AI353" s="263">
        <f>IFERROR((N(AI197)+N(AI201)+N(AI203)+N(AI204)),0)</f>
        <v>42019</v>
      </c>
      <c r="AJ353" s="263">
        <f>IFERROR((N(AJ197)+N(AJ201)+N(AJ203)+N(AJ204)),0)</f>
        <v>63630.0167328221</v>
      </c>
      <c r="AK353" s="263">
        <f>IFERROR((N(AK197)+N(AK201)+N(AK203)+N(AK204)),0)</f>
        <v>102387.190995462</v>
      </c>
      <c r="AL353" s="263">
        <f>IFERROR((N(AL197)+N(AL201)+N(AL203)+N(AL204)),0)</f>
        <v>102387.190995462</v>
      </c>
      <c r="AM353" s="263">
        <f>IFERROR((N(AM197)+N(AM201)+N(AM203)+N(AM204)),0)</f>
        <v>169110.132770571</v>
      </c>
      <c r="AN353" s="263">
        <f>IFERROR((N(AN197)+N(AN201)+N(AN203)+N(AN204)),0)</f>
        <v>282323.985386345</v>
      </c>
      <c r="AO353" s="263">
        <f>IFERROR((N(AO197)+N(AO201)+N(AO203)+N(AO204)),0)</f>
        <v>474526.64391285</v>
      </c>
      <c r="AP353" s="263">
        <f>IFERROR((N(AP197)+N(AP201)+N(AP203)+N(AP204)),0)</f>
        <v>815660.068288503</v>
      </c>
      <c r="AQ353" s="263">
        <f>IFERROR((N(AQ197)+N(AQ201)+N(AQ203)+N(AQ204)),0)</f>
        <v>815660.068288503</v>
      </c>
      <c r="AR353" s="263">
        <f>IFERROR((N(AR197)+N(AR201)+N(AR203)+N(AR204)),0)</f>
        <v>1406940.94420043</v>
      </c>
      <c r="AS353" s="263">
        <f>IFERROR((N(AS197)+N(AS201)+N(AS203)+N(AS204)),0)</f>
        <v>2435238.02049736</v>
      </c>
      <c r="AT353" s="263">
        <f>IFERROR((N(AT197)+N(AT201)+N(AT203)+N(AT204)),0)</f>
        <v>4220674.18738597</v>
      </c>
      <c r="AU353" s="263">
        <f>IFERROR((N(AU197)+N(AU201)+N(AU203)+N(AU204)),0)</f>
        <v>7348416.96888386</v>
      </c>
      <c r="AV353" s="263">
        <f>IFERROR((N(AV197)+N(AV201)+N(AV203)+N(AV204)),0)</f>
        <v>7348416.96888386</v>
      </c>
      <c r="AW353" s="263">
        <f>IFERROR((N(AW197)+N(AW201)+N(AW203)+N(AW204)),0)</f>
        <v>12774025.4538665</v>
      </c>
      <c r="AX353" s="263">
        <f>IFERROR((N(AX197)+N(AX201)+N(AX203)+N(AX204)),0)</f>
        <v>22218184.5542473</v>
      </c>
      <c r="AY353" s="263">
        <f>IFERROR((N(AY197)+N(AY201)+N(AY203)+N(AY204)),0)</f>
        <v>38656954.0810643</v>
      </c>
      <c r="AZ353" s="263">
        <f>IFERROR((N(AZ197)+N(AZ201)+N(AZ203)+N(AZ204)),0)</f>
        <v>67316534.1830913</v>
      </c>
      <c r="BA353" s="263">
        <f>IFERROR((N(BA197)+N(BA201)+N(BA203)+N(BA204)),0)</f>
        <v>67316534.1830913</v>
      </c>
      <c r="BB353" s="263">
        <f>IFERROR((N(BB197)+N(BB201)+N(BB203)+N(BB204)),0)</f>
        <v>116915897.912477</v>
      </c>
      <c r="BC353" s="263">
        <f>IFERROR((N(BC197)+N(BC201)+N(BC203)+N(BC204)),0)</f>
        <v>203082956.089487</v>
      </c>
      <c r="BD353" s="263">
        <f>IFERROR((N(BD197)+N(BD201)+N(BD203)+N(BD204)),0)</f>
        <v>352776016.712122</v>
      </c>
      <c r="BE353" s="263">
        <f>IFERROR((N(BE197)+N(BE201)+N(BE203)+N(BE204)),0)</f>
        <v>612908437.498601</v>
      </c>
      <c r="BF353" s="263">
        <f>IFERROR((N(BF197)+N(BF201)+N(BF203)+N(BF204)),0)</f>
        <v>612908437.498601</v>
      </c>
      <c r="BG353" s="90" t="n"/>
      <c r="BH353" s="90" t="n"/>
      <c r="BI353" s="90" t="n"/>
      <c r="BJ353" s="90" t="n"/>
      <c r="BL353" s="90" t="n"/>
      <c r="BM353" s="90" t="n"/>
      <c r="BN353" s="90" t="n"/>
      <c r="BO353" s="90" t="n"/>
      <c r="BQ353" s="90" t="n"/>
      <c r="BR353" s="90" t="n"/>
      <c r="BS353" s="90" t="n"/>
      <c r="BT353" s="90" t="n"/>
      <c r="BV353" s="90" t="n"/>
      <c r="BW353" s="90" t="n"/>
      <c r="BX353" s="90" t="n"/>
      <c r="BY353" s="90" t="n"/>
      <c r="CA353" s="90" t="n"/>
      <c r="CB353" s="90" t="n"/>
      <c r="CC353" s="90" t="n"/>
      <c r="CD353" s="90" t="n"/>
      <c r="CF353" s="90" t="n"/>
      <c r="CG353" s="90" t="n"/>
      <c r="CH353" s="90" t="n"/>
      <c r="CI353" s="90" t="n"/>
      <c r="CK353" s="90" t="n"/>
      <c r="CL353" s="90" t="n"/>
      <c r="CM353" s="90" t="n"/>
      <c r="CN353" s="90" t="n"/>
      <c r="CP353" s="90" t="n"/>
      <c r="CQ353" s="90" t="n"/>
      <c r="CR353" s="90" t="n"/>
      <c r="CS353" s="90" t="n"/>
      <c r="CU353" s="90" t="n"/>
      <c r="CV353" s="90" t="n"/>
      <c r="CW353" s="90" t="n"/>
      <c r="CX353" s="90" t="n"/>
    </row>
    <row r="354" customFormat="1" s="77">
      <c r="A354" s="76" t="n"/>
      <c r="B354" s="76" t="n"/>
      <c r="C354" s="77" t="inlineStr">
        <is>
          <t>FIXED ASSETS</t>
        </is>
      </c>
      <c r="D354" s="89">
        <f>IFERROR(D165+D175+D178+D179+D188-D239,"")</f>
        <v>0</v>
      </c>
      <c r="E354" s="89">
        <f>IFERROR(E165+E175+E178+E179+E188-E239,"")</f>
        <v>0</v>
      </c>
      <c r="F354" s="89">
        <f>IFERROR(F165+F175+F178+F179+F188-F239,"")</f>
        <v>0</v>
      </c>
      <c r="G354" s="89">
        <f>IFERROR(G165+G175+G178+G179+G188-G239,"")</f>
        <v>0</v>
      </c>
      <c r="H354" s="263">
        <f>IFERROR((N(H165)+N(H175)+N(H178)+N(H179)+N(H188))-N(H239),0)</f>
        <v>0</v>
      </c>
      <c r="I354" s="263">
        <f>IFERROR((N(I165)+N(I175)+N(I178)+N(I179)+N(I188))-N(I239),0)</f>
        <v>10477</v>
      </c>
      <c r="J354" s="263">
        <f>IFERROR((N(J165)+N(J175)+N(J178)+N(J179)+N(J188))-N(J239),0)</f>
        <v>10490</v>
      </c>
      <c r="K354" s="263">
        <f>IFERROR((N(K165)+N(K175)+N(K178)+N(K179)+N(K188))-N(K239),0)</f>
        <v>12321</v>
      </c>
      <c r="L354" s="263">
        <f>IFERROR((N(L165)+N(L175)+N(L178)+N(L179)+N(L188))-N(L239),0)</f>
        <v>12583</v>
      </c>
      <c r="M354" s="263">
        <f>IFERROR((N(M165)+N(M175)+N(M178)+N(M179)+N(M188))-N(M239),0)</f>
        <v>12583</v>
      </c>
      <c r="N354" s="263">
        <f>IFERROR((N(N165)+N(N175)+N(N178)+N(N179)+N(N188))-N(N239),0)</f>
        <v>12222</v>
      </c>
      <c r="O354" s="263">
        <f>IFERROR((N(O165)+N(O175)+N(O178)+N(O179)+N(O188))-N(O239),0)</f>
        <v>12224</v>
      </c>
      <c r="P354" s="263">
        <f>IFERROR((N(P165)+N(P175)+N(P178)+N(P179)+N(P188))-N(P239),0)</f>
        <v>12718</v>
      </c>
      <c r="Q354" s="263">
        <f>IFERROR((N(Q165)+N(Q175)+N(Q178)+N(Q179)+N(Q188))-N(Q239),0)</f>
        <v>12800</v>
      </c>
      <c r="R354" s="263">
        <f>IFERROR((N(R165)+N(R175)+N(R178)+N(R179)+N(R188))-N(R239),0)</f>
        <v>12800</v>
      </c>
      <c r="S354" s="263">
        <f>IFERROR((N(S165)+N(S175)+N(S178)+N(S179)+N(S188))-N(S239),0)</f>
        <v>12972</v>
      </c>
      <c r="T354" s="263">
        <f>IFERROR((N(T165)+N(T175)+N(T178)+N(T179)+N(T188))-N(T239),0)</f>
        <v>13137</v>
      </c>
      <c r="U354" s="263">
        <f>IFERROR((N(U165)+N(U175)+N(U178)+N(U179)+N(U188))-N(U239),0)</f>
        <v>13274</v>
      </c>
      <c r="V354" s="263">
        <f>IFERROR((N(V165)+N(V175)+N(V178)+N(V179)+N(V188))-N(V239),0)</f>
        <v>12761</v>
      </c>
      <c r="W354" s="263">
        <f>IFERROR((N(W165)+N(W175)+N(W178)+N(W179)+N(W188))-N(W239),0)</f>
        <v>12761</v>
      </c>
      <c r="X354" s="263">
        <f>IFERROR((N(X165)+N(X175)+N(X178)+N(X179)+N(X188))-N(X239),0)</f>
        <v>12579</v>
      </c>
      <c r="Y354" s="263">
        <f>IFERROR((N(Y165)+N(Y175)+N(Y178)+N(Y179)+N(Y188))-N(Y239),0)</f>
        <v>12680</v>
      </c>
      <c r="Z354" s="263">
        <f>IFERROR((N(Z165)+N(Z175)+N(Z178)+N(Z179)+N(Z188))-N(Z239),0)</f>
        <v>14414</v>
      </c>
      <c r="AA354" s="263">
        <f>IFERROR((N(AA165)+N(AA175)+N(AA178)+N(AA179)+N(AA188))-N(AA239),0)</f>
        <v>16251</v>
      </c>
      <c r="AB354" s="263">
        <f>IFERROR((N(AB165)+N(AB175)+N(AB178)+N(AB179)+N(AB188))-N(AB239),0)</f>
        <v>16251</v>
      </c>
      <c r="AC354" s="263">
        <f>IFERROR((N(AC165)+N(AC175)+N(AC178)+N(AC179)+N(AC188))-N(AC239),0)</f>
        <v>17117</v>
      </c>
      <c r="AD354" s="263">
        <f>IFERROR((N(AD165)+N(AD175)+N(AD178)+N(AD179)+N(AD188))-N(AD239),0)</f>
        <v>18896</v>
      </c>
      <c r="AE354" s="263">
        <f>IFERROR((N(AE165)+N(AE175)+N(AE178)+N(AE179)+N(AE188))-N(AE239),0)</f>
        <v>24288</v>
      </c>
      <c r="AF354" s="263">
        <f>IFERROR((N(AF165)+N(AF175)+N(AF178)+N(AF179)+N(AF188))-N(AF239),0)</f>
        <v>60634</v>
      </c>
      <c r="AG354" s="263">
        <f>IFERROR((N(AG165)+N(AG175)+N(AG178)+N(AG179)+N(AG188))-N(AG239),0)</f>
        <v>60634</v>
      </c>
      <c r="AH354" s="263">
        <f>IFERROR((N(AH165)+N(AH175)+N(AH178)+N(AH179)+N(AH188))-N(AH239),0)</f>
        <v>88004</v>
      </c>
      <c r="AI354" s="263">
        <f>IFERROR((N(AI165)+N(AI175)+N(AI178)+N(AI179)+N(AI188))-N(AI239),0)</f>
        <v>99783</v>
      </c>
      <c r="AJ354" s="263">
        <f>IFERROR((N(AJ165)+N(AJ175)+N(AJ178)+N(AJ179)+N(AJ188))-N(AJ239),0)</f>
        <v>101788.028330093</v>
      </c>
      <c r="AK354" s="263">
        <f>IFERROR((N(AK165)+N(AK175)+N(AK178)+N(AK179)+N(AK188))-N(AK239),0)</f>
        <v>104184.207066442</v>
      </c>
      <c r="AL354" s="263">
        <f>IFERROR((N(AL165)+N(AL175)+N(AL178)+N(AL179)+N(AL188))-N(AL239),0)</f>
        <v>104184.207066442</v>
      </c>
      <c r="AM354" s="263">
        <f>IFERROR((N(AM165)+N(AM175)+N(AM178)+N(AM179)+N(AM188))-N(AM239),0)</f>
        <v>107054.788885207</v>
      </c>
      <c r="AN354" s="263">
        <f>IFERROR((N(AN165)+N(AN175)+N(AN178)+N(AN179)+N(AN188))-N(AN239),0)</f>
        <v>110439.096343193</v>
      </c>
      <c r="AO354" s="263">
        <f>IFERROR((N(AO165)+N(AO175)+N(AO178)+N(AO179)+N(AO188))-N(AO239),0)</f>
        <v>113953.150189912</v>
      </c>
      <c r="AP354" s="263">
        <f>IFERROR((N(AP165)+N(AP175)+N(AP178)+N(AP179)+N(AP188))-N(AP239),0)</f>
        <v>118152.742275227</v>
      </c>
      <c r="AQ354" s="263">
        <f>IFERROR((N(AQ165)+N(AQ175)+N(AQ178)+N(AQ179)+N(AQ188))-N(AQ239),0)</f>
        <v>118152.742275227</v>
      </c>
      <c r="AR354" s="263">
        <f>IFERROR((N(AR165)+N(AR175)+N(AR178)+N(AR179)+N(AR188))-N(AR239),0)</f>
        <v>123169.430040799</v>
      </c>
      <c r="AS354" s="263">
        <f>IFERROR((N(AS165)+N(AS175)+N(AS178)+N(AS179)+N(AS188))-N(AS239),0)</f>
        <v>129083.9152885</v>
      </c>
      <c r="AT354" s="263">
        <f>IFERROR((N(AT165)+N(AT175)+N(AT178)+N(AT179)+N(AT188))-N(AT239),0)</f>
        <v>135225.147990928</v>
      </c>
      <c r="AU354" s="263">
        <f>IFERROR((N(AU165)+N(AU175)+N(AU178)+N(AU179)+N(AU188))-N(AU239),0)</f>
        <v>142564.441404224</v>
      </c>
      <c r="AV354" s="263">
        <f>IFERROR((N(AV165)+N(AV175)+N(AV178)+N(AV179)+N(AV188))-N(AV239),0)</f>
        <v>142564.441404224</v>
      </c>
      <c r="AW354" s="263">
        <f>IFERROR((N(AW165)+N(AW175)+N(AW178)+N(AW179)+N(AW188))-N(AW239),0)</f>
        <v>151306.624577592</v>
      </c>
      <c r="AX354" s="263">
        <f>IFERROR((N(AX165)+N(AX175)+N(AX178)+N(AX179)+N(AX188))-N(AX239),0)</f>
        <v>161613.328089503</v>
      </c>
      <c r="AY354" s="263">
        <f>IFERROR((N(AY165)+N(AY175)+N(AY178)+N(AY179)+N(AY188))-N(AY239),0)</f>
        <v>172315.166374784</v>
      </c>
      <c r="AZ354" s="263">
        <f>IFERROR((N(AZ165)+N(AZ175)+N(AZ178)+N(AZ179)+N(AZ188))-N(AZ239),0)</f>
        <v>185104.76987023</v>
      </c>
      <c r="BA354" s="263">
        <f>IFERROR((N(BA165)+N(BA175)+N(BA178)+N(BA179)+N(BA188))-N(BA239),0)</f>
        <v>185104.76987023</v>
      </c>
      <c r="BB354" s="263">
        <f>IFERROR((N(BB165)+N(BB175)+N(BB178)+N(BB179)+N(BB188))-N(BB239),0)</f>
        <v>200295.366969544</v>
      </c>
      <c r="BC354" s="263">
        <f>IFERROR((N(BC165)+N(BC175)+N(BC178)+N(BC179)+N(BC188))-N(BC239),0)</f>
        <v>218204.506753813</v>
      </c>
      <c r="BD354" s="263">
        <f>IFERROR((N(BD165)+N(BD175)+N(BD178)+N(BD179)+N(BD188))-N(BD239),0)</f>
        <v>236800.240838746</v>
      </c>
      <c r="BE354" s="263">
        <f>IFERROR((N(BE165)+N(BE175)+N(BE178)+N(BE179)+N(BE188))-N(BE239),0)</f>
        <v>259023.718648173</v>
      </c>
      <c r="BF354" s="263">
        <f>IFERROR((N(BF165)+N(BF175)+N(BF178)+N(BF179)+N(BF188))-N(BF239),0)</f>
        <v>259023.718648173</v>
      </c>
      <c r="BG354" s="90" t="n"/>
      <c r="BH354" s="90" t="n"/>
      <c r="BI354" s="90" t="n"/>
      <c r="BJ354" s="90" t="n"/>
      <c r="BL354" s="90" t="n"/>
      <c r="BM354" s="90" t="n"/>
      <c r="BN354" s="90" t="n"/>
      <c r="BO354" s="90" t="n"/>
      <c r="BQ354" s="90" t="n"/>
      <c r="BR354" s="90" t="n"/>
      <c r="BS354" s="90" t="n"/>
      <c r="BT354" s="90" t="n"/>
      <c r="BV354" s="90" t="n"/>
      <c r="BW354" s="90" t="n"/>
      <c r="BX354" s="90" t="n"/>
      <c r="BY354" s="90" t="n"/>
      <c r="CA354" s="90" t="n"/>
      <c r="CB354" s="90" t="n"/>
      <c r="CC354" s="90" t="n"/>
      <c r="CD354" s="90" t="n"/>
      <c r="CF354" s="90" t="n"/>
      <c r="CG354" s="90" t="n"/>
      <c r="CH354" s="90" t="n"/>
      <c r="CI354" s="90" t="n"/>
      <c r="CK354" s="90" t="n"/>
      <c r="CL354" s="90" t="n"/>
      <c r="CM354" s="90" t="n"/>
      <c r="CN354" s="90" t="n"/>
      <c r="CP354" s="90" t="n"/>
      <c r="CQ354" s="90" t="n"/>
      <c r="CR354" s="90" t="n"/>
      <c r="CS354" s="90" t="n"/>
      <c r="CU354" s="90" t="n"/>
      <c r="CV354" s="90" t="n"/>
      <c r="CW354" s="90" t="n"/>
      <c r="CX354" s="90" t="n"/>
    </row>
    <row r="355" customFormat="1" s="77">
      <c r="A355" s="76" t="n"/>
      <c r="B355" s="76" t="n"/>
    </row>
    <row r="356" customFormat="1" s="77">
      <c r="A356" s="76" t="n"/>
      <c r="B356" s="76" t="n"/>
    </row>
    <row r="357" customFormat="1" s="77">
      <c r="A357" s="76" t="n"/>
      <c r="B357" s="76" t="n"/>
    </row>
    <row r="358" customFormat="1" s="77">
      <c r="A358" s="76" t="n"/>
      <c r="B358" s="76" t="n"/>
    </row>
    <row r="359" customFormat="1" s="77">
      <c r="A359" s="76" t="n"/>
      <c r="B359" s="76" t="n"/>
    </row>
    <row r="360" customFormat="1" s="77">
      <c r="A360" s="76" t="n"/>
      <c r="B360" s="76" t="n"/>
    </row>
    <row r="361" customFormat="1" s="77">
      <c r="A361" s="76" t="n"/>
      <c r="B361" s="76" t="n"/>
    </row>
    <row r="362" customFormat="1" s="77">
      <c r="A362" s="76" t="n"/>
      <c r="B362" s="76" t="n"/>
      <c r="C362" s="74" t="inlineStr">
        <is>
          <t>DUPONT ANALYSIS</t>
        </is>
      </c>
    </row>
    <row r="363" customFormat="1" s="77">
      <c r="A363" s="76" t="n"/>
      <c r="B363" s="76" t="n"/>
      <c r="C363" s="77" t="inlineStr">
        <is>
          <t>NET PROFIT MARGIN (LTM)</t>
        </is>
      </c>
      <c r="D363" s="84" t="str">
        <f>IFERROR(D136/D15,"")</f>
        <v/>
      </c>
      <c r="E363" s="84" t="str">
        <f>IFERROR(E136/E15,"")</f>
        <v/>
      </c>
      <c r="F363" s="84" t="str">
        <f>IFERROR(F136/F15,"")</f>
        <v/>
      </c>
      <c r="G363" s="84" t="str">
        <f>IFERROR(G136/G15,"")</f>
        <v/>
      </c>
      <c r="H363" s="258" t="str">
        <f>IFERROR(IF(AND(COUNT(H136)=1,(H15)&lt;&gt;0),(H136)/(H15),""),"")</f>
        <v/>
      </c>
      <c r="I363" s="257" t="str">
        <f>""</f>
        <v/>
      </c>
      <c r="J363" s="257" t="str">
        <f>""</f>
        <v/>
      </c>
      <c r="K363" s="257" t="str">
        <f>""</f>
        <v/>
      </c>
      <c r="L363" s="257">
        <f>IFERROR(IF(AND(COUNT(I136,J136,K136,L136)=4,(I15+J15+K15+L15)&lt;&gt;0),(I136+J136+K136+L136)/(I15+J15+K15+L15),""),"")</f>
        <v>0.362376458348815</v>
      </c>
      <c r="M363" s="258">
        <f>IFERROR(IF(AND(COUNT(I136,J136,K136,L136)=4,(I15+J15+K15+L15)&lt;&gt;0),(I136+J136+K136+L136)/(I15+J15+K15+L15),""),"")</f>
        <v>0.362376458348815</v>
      </c>
      <c r="N363" s="257">
        <f>IFERROR(IF(AND(COUNT(J136,K136,L136,N136)=4,(J15+K15+L15+N15)&lt;&gt;0),(J136+K136+L136+N136)/(J15+K15+L15+N15),""),"")</f>
        <v>0.320199045394536</v>
      </c>
      <c r="O363" s="257">
        <f>IFERROR(IF(AND(COUNT(K136,L136,N136,O136)=4,(K15+L15+N15+O15)&lt;&gt;0),(K136+L136+N136+O136)/(K15+L15+N15+O15),""),"")</f>
        <v>0.26030667832403</v>
      </c>
      <c r="P363" s="257">
        <f>IFERROR(IF(AND(COUNT(L136,N136,O136,P136)=4,(L15+N15+O15+P15)&lt;&gt;0),(L136+N136+O136+P136)/(L15+N15+O15+P15),""),"")</f>
        <v>0.2085346215781</v>
      </c>
      <c r="Q363" s="257">
        <f>IFERROR(IF(AND(COUNT(N136,O136,P136,Q136)=4,(N15+O15+P15+Q15)&lt;&gt;0),(N136+O136+P136+Q136)/(N15+O15+P15+Q15),""),"")</f>
        <v>0.161933713946764</v>
      </c>
      <c r="R363" s="258">
        <f>IFERROR(IF(AND(COUNT(N136,O136,P136,Q136)=4,(N15+O15+P15+Q15)&lt;&gt;0),(N136+O136+P136+Q136)/(N15+O15+P15+Q15),""),"")</f>
        <v>0.161933713946764</v>
      </c>
      <c r="S363" s="257">
        <f>IFERROR(IF(AND(COUNT(O136,P136,Q136,S136)=4,(O15+P15+Q15+S15)&lt;&gt;0),(O136+P136+Q136+S136)/(O15+P15+Q15+S15),""),"")</f>
        <v>0.185215240745034</v>
      </c>
      <c r="T363" s="257">
        <f>IFERROR(IF(AND(COUNT(P136,Q136,S136,T136)=4,(P15+Q15+S15+T15)&lt;&gt;0),(P136+Q136+S136+T136)/(P15+Q15+S15+T15),""),"")</f>
        <v>0.315932804993727</v>
      </c>
      <c r="U363" s="257">
        <f>IFERROR(IF(AND(COUNT(Q136,S136,T136,U136)=4,(Q15+S15+T15+U15)&lt;&gt;0),(Q136+S136+T136+U136)/(Q15+S15+T15+U15),""),"")</f>
        <v>0.420949409404948</v>
      </c>
      <c r="V363" s="257">
        <f>IFERROR(IF(AND(COUNT(S136,T136,U136,V136)=4,(S15+T15+U15+V15)&lt;&gt;0),(S136+T136+U136+V136)/(S15+T15+U15+V15),""),"")</f>
        <v>0.488477069039099</v>
      </c>
      <c r="W363" s="258">
        <f>IFERROR(IF(AND(COUNT(S136,T136,U136,V136)=4,(S15+T15+U15+V15)&lt;&gt;0),(S136+T136+U136+V136)/(S15+T15+U15+V15),""),"")</f>
        <v>0.488477069039099</v>
      </c>
      <c r="X363" s="257">
        <f>IFERROR(IF(AND(COUNT(T136,U136,V136,X136)=4,(T15+U15+V15+X15)&lt;&gt;0),(T136+U136+V136+X136)/(T15+U15+V15+X15),""),"")</f>
        <v>0.533970967984556</v>
      </c>
      <c r="Y363" s="257">
        <f>IFERROR(IF(AND(COUNT(U136,V136,X136,Y136)=4,(U15+V15+X15+Y15)&lt;&gt;0),(U136+V136+X136+Y136)/(U15+V15+X15+Y15),""),"")</f>
        <v>0.550406512506879</v>
      </c>
      <c r="Z363" s="257">
        <f>IFERROR(IF(AND(COUNT(V136,X136,Y136,Z136)=4,(V15+X15+Y15+Z15)&lt;&gt;0),(V136+X136+Y136+Z136)/(V15+X15+Y15+Z15),""),"")</f>
        <v>0.556851389170912</v>
      </c>
      <c r="AA363" s="257">
        <f>IFERROR(IF(AND(COUNT(X136,Y136,Z136,AA136)=4,(X15+Y15+Z15+AA15)&lt;&gt;0),(X136+Y136+Z136+AA136)/(X15+Y15+Z15+AA15),""),"")</f>
        <v>0.558480271577124</v>
      </c>
      <c r="AB363" s="258">
        <f>IFERROR(IF(AND(COUNT(X136,Y136,Z136,AA136)=4,(X15+Y15+Z15+AA15)&lt;&gt;0),(X136+Y136+Z136+AA136)/(X15+Y15+Z15+AA15),""),"")</f>
        <v>0.558480271577124</v>
      </c>
      <c r="AC363" s="257">
        <f>IFERROR(IF(AND(COUNT(Y136,Z136,AA136,AC136)=4,(Y15+Z15+AA15+AC15)&lt;&gt;0),(Y136+Z136+AA136+AC136)/(Y15+Z15+AA15+AC15),""),"")</f>
        <v>0.516944416388917</v>
      </c>
      <c r="AD363" s="257">
        <f>IFERROR(IF(AND(COUNT(Z136,AA136,AC136,AD136)=4,(Z15+AA15+AC15+AD15)&lt;&gt;0),(Z136+AA136+AC136+AD136)/(Z15+AA15+AC15+AD15),""),"")</f>
        <v>0.524137805808084</v>
      </c>
      <c r="AE363" s="257">
        <f>IFERROR(IF(AND(COUNT(AA136,AC136,AD136,AE136)=4,(AA15+AC15+AD15+AE15)&lt;&gt;0),(AA136+AC136+AD136+AE136)/(AA15+AC15+AD15+AE15),""),"")</f>
        <v>0.530068076647679</v>
      </c>
      <c r="AF363" s="257">
        <f>IFERROR(IF(AND(COUNT(AB136,AD136,AE136,AF136)=4,(AB15+AD15+AE15+AF15)&lt;&gt;0),(AB136+AD136+AE136+AF136)/(AB15+AD15+AE15+AF15),""),"")</f>
        <v>0.576017038558337</v>
      </c>
      <c r="AG363" s="258">
        <f>IFERROR(IF(AND(COUNT(AC136,AD136,AE136,AF136)=4,(AC15+AD15+AE15+AF15)&lt;&gt;0),(AC136+AD136+AE136+AF136)/(AC15+AD15+AE15+AF15),""),"")</f>
        <v>0.556025340607026</v>
      </c>
      <c r="AH363" s="257">
        <f>IFERROR(IF(AND(COUNT(AD136,AF136,AG136,AH136)=4,(AD15+AF15+AG15+AH15)&lt;&gt;0),(AD136+AF136+AG136+AH136)/(AD15+AF15+AG15+AH15),""),"")</f>
        <v>0.600766688569745</v>
      </c>
      <c r="AI363" s="257">
        <f>IFERROR(IF(AND(COUNT(AE136,AG136,AH136,AI136)=4,(AE15+AG15+AH15+AI15)&lt;&gt;0),(AE136+AG136+AH136+AI136)/(AE15+AG15+AH15+AI15),""),"")</f>
        <v>0.598930742268956</v>
      </c>
      <c r="AJ363" s="257">
        <f>IFERROR(IF(AND(COUNT(AF136,AH136,AI136,AJ136)=4,(AF15+AH15+AI15+AJ15)&lt;&gt;0),(AF136+AH136+AI136+AJ136)/(AF15+AH15+AI15+AJ15),""),"")</f>
        <v>0.637968391233526</v>
      </c>
      <c r="AK363" s="257">
        <f>IFERROR(IF(AND(COUNT(AH136,AI136,AJ136,AK136)=4,(AH15+AI15+AJ15+AK15)&lt;&gt;0),(AH136+AI136+AJ136+AK136)/(AH15+AI15+AJ15+AK15),""),"")</f>
        <v>0.627040273425499</v>
      </c>
      <c r="AL363" s="258">
        <f>IFERROR(IF(AND(COUNT(AH136,AI136,AJ136,AK136)=4,(AH15+AI15+AJ15+AK15)&lt;&gt;0),(AH136+AI136+AJ136+AK136)/(AH15+AI15+AJ15+AK15),""),"")</f>
        <v>0.627040273425499</v>
      </c>
      <c r="AM363" s="257">
        <f>IFERROR(IF(AND(COUNT(AI136,AJ136,AK136,AM136)=4,(AI15+AJ15+AK15+AM15)&lt;&gt;0),(AI136+AJ136+AK136+AM136)/(AI15+AJ15+AK15+AM15),""),"")</f>
        <v>0.602216009570487</v>
      </c>
      <c r="AN363" s="257">
        <f>IFERROR(IF(AND(COUNT(AJ136,AK136,AM136,AN136)=4,(AJ15+AK15+AM15+AN15)&lt;&gt;0),(AJ136+AK136+AM136+AN136)/(AJ15+AK15+AM15+AN15),""),"")</f>
        <v>0.597408035147798</v>
      </c>
      <c r="AO363" s="257">
        <f>IFERROR(IF(AND(COUNT(AK136,AM136,AN136,AO136)=4,(AK15+AM15+AN15+AO15)&lt;&gt;0),(AK136+AM136+AN136+AO136)/(AK15+AM15+AN15+AO15),""),"")</f>
        <v>0.597408035147798</v>
      </c>
      <c r="AP363" s="257">
        <f>IFERROR(IF(AND(COUNT(AM136,AN136,AO136,AP136)=4,(AM15+AN15+AO15+AP15)&lt;&gt;0),(AM136+AN136+AO136+AP136)/(AM15+AN15+AO15+AP15),""),"")</f>
        <v>0.597408035147798</v>
      </c>
      <c r="AQ363" s="258">
        <f>IFERROR(IF(AND(COUNT(AM136,AN136,AO136,AP136)=4,(AM15+AN15+AO15+AP15)&lt;&gt;0),(AM136+AN136+AO136+AP136)/(AM15+AN15+AO15+AP15),""),"")</f>
        <v>0.597408035147798</v>
      </c>
      <c r="AR363" s="257">
        <f>IFERROR(IF(AND(COUNT(AN136,AO136,AP136,AR136)=4,(AN15+AO15+AP15+AR15)&lt;&gt;0),(AN136+AO136+AP136+AR136)/(AN15+AO15+AP15+AR15),""),"")</f>
        <v>0.597408035147798</v>
      </c>
      <c r="AS363" s="257">
        <f>IFERROR(IF(AND(COUNT(AO136,AP136,AR136,AS136)=4,(AO15+AP15+AR15+AS15)&lt;&gt;0),(AO136+AP136+AR136+AS136)/(AO15+AP15+AR15+AS15),""),"")</f>
        <v>0.597408035147798</v>
      </c>
      <c r="AT363" s="257">
        <f>IFERROR(IF(AND(COUNT(AP136,AR136,AS136,AT136)=4,(AP15+AR15+AS15+AT15)&lt;&gt;0),(AP136+AR136+AS136+AT136)/(AP15+AR15+AS15+AT15),""),"")</f>
        <v>0.597408035147798</v>
      </c>
      <c r="AU363" s="257">
        <f>IFERROR(IF(AND(COUNT(AR136,AS136,AT136,AU136)=4,(AR15+AS15+AT15+AU15)&lt;&gt;0),(AR136+AS136+AT136+AU136)/(AR15+AS15+AT15+AU15),""),"")</f>
        <v>0.597408035147798</v>
      </c>
      <c r="AV363" s="258">
        <f>IFERROR(IF(AND(COUNT(AR136,AS136,AT136,AU136)=4,(AR15+AS15+AT15+AU15)&lt;&gt;0),(AR136+AS136+AT136+AU136)/(AR15+AS15+AT15+AU15),""),"")</f>
        <v>0.597408035147798</v>
      </c>
      <c r="AW363" s="257">
        <f>IFERROR(IF(AND(COUNT(AS136,AT136,AU136,AW136)=4,(AS15+AT15+AU15+AW15)&lt;&gt;0),(AS136+AT136+AU136+AW136)/(AS15+AT15+AU15+AW15),""),"")</f>
        <v>0.597408035147798</v>
      </c>
      <c r="AX363" s="257">
        <f>IFERROR(IF(AND(COUNT(AT136,AU136,AW136,AX136)=4,(AT15+AU15+AW15+AX15)&lt;&gt;0),(AT136+AU136+AW136+AX136)/(AT15+AU15+AW15+AX15),""),"")</f>
        <v>0.597408035147798</v>
      </c>
      <c r="AY363" s="257">
        <f>IFERROR(IF(AND(COUNT(AU136,AW136,AX136,AY136)=4,(AU15+AW15+AX15+AY15)&lt;&gt;0),(AU136+AW136+AX136+AY136)/(AU15+AW15+AX15+AY15),""),"")</f>
        <v>0.597408035147798</v>
      </c>
      <c r="AZ363" s="257">
        <f>IFERROR(IF(AND(COUNT(AW136,AX136,AY136,AZ136)=4,(AW15+AX15+AY15+AZ15)&lt;&gt;0),(AW136+AX136+AY136+AZ136)/(AW15+AX15+AY15+AZ15),""),"")</f>
        <v>0.597408035147798</v>
      </c>
      <c r="BA363" s="258">
        <f>IFERROR(IF(AND(COUNT(AW136,AX136,AY136,AZ136)=4,(AW15+AX15+AY15+AZ15)&lt;&gt;0),(AW136+AX136+AY136+AZ136)/(AW15+AX15+AY15+AZ15),""),"")</f>
        <v>0.597408035147798</v>
      </c>
      <c r="BB363" s="257">
        <f>IFERROR(IF(AND(COUNT(AX136,AY136,AZ136,BB136)=4,(AX15+AY15+AZ15+BB15)&lt;&gt;0),(AX136+AY136+AZ136+BB136)/(AX15+AY15+AZ15+BB15),""),"")</f>
        <v>0.597408035147798</v>
      </c>
      <c r="BC363" s="257">
        <f>IFERROR(IF(AND(COUNT(AY136,AZ136,BB136,BC136)=4,(AY15+AZ15+BB15+BC15)&lt;&gt;0),(AY136+AZ136+BB136+BC136)/(AY15+AZ15+BB15+BC15),""),"")</f>
        <v>0.597408035147798</v>
      </c>
      <c r="BD363" s="257">
        <f>IFERROR(IF(AND(COUNT(AZ136,BB136,BC136,BD136)=4,(AZ15+BB15+BC15+BD15)&lt;&gt;0),(AZ136+BB136+BC136+BD136)/(AZ15+BB15+BC15+BD15),""),"")</f>
        <v>0.597408035147798</v>
      </c>
      <c r="BE363" s="257">
        <f>IFERROR(IF(AND(COUNT(BB136,BC136,BD136,BE136)=4,(BB15+BC15+BD15+BE15)&lt;&gt;0),(BB136+BC136+BD136+BE136)/(BB15+BC15+BD15+BE15),""),"")</f>
        <v>0.597408035147798</v>
      </c>
      <c r="BF363" s="258">
        <f>IFERROR(IF(AND(COUNT(BB136,BC136,BD136,BE136)=4,(BB15+BC15+BD15+BE15)&lt;&gt;0),(BB136+BC136+BD136+BE136)/(BB15+BC15+BD15+BE15),""),"")</f>
        <v>0.597408035147798</v>
      </c>
      <c r="BG363" s="81" t="n"/>
      <c r="BH363" s="81" t="n"/>
      <c r="BI363" s="81" t="n"/>
      <c r="BJ363" s="81" t="n"/>
      <c r="BL363" s="81" t="n"/>
      <c r="BM363" s="81" t="n"/>
      <c r="BN363" s="81" t="n"/>
      <c r="BO363" s="81" t="n"/>
      <c r="BQ363" s="81" t="n"/>
      <c r="BR363" s="81" t="n"/>
      <c r="BS363" s="81" t="n"/>
      <c r="BT363" s="81" t="n"/>
      <c r="BV363" s="81" t="n"/>
      <c r="BW363" s="81" t="n"/>
      <c r="BX363" s="81" t="n"/>
      <c r="BY363" s="81" t="n"/>
      <c r="CA363" s="81" t="n"/>
      <c r="CB363" s="81" t="n"/>
      <c r="CC363" s="81" t="n"/>
      <c r="CD363" s="81" t="n"/>
      <c r="CF363" s="81" t="n"/>
      <c r="CG363" s="81" t="n"/>
      <c r="CH363" s="81" t="n"/>
      <c r="CI363" s="81" t="n"/>
      <c r="CK363" s="81" t="n"/>
      <c r="CL363" s="81" t="n"/>
      <c r="CM363" s="81" t="n"/>
      <c r="CN363" s="81" t="n"/>
      <c r="CP363" s="81" t="n"/>
      <c r="CQ363" s="81" t="n"/>
      <c r="CR363" s="81" t="n"/>
      <c r="CS363" s="81" t="n"/>
      <c r="CU363" s="81" t="n"/>
      <c r="CV363" s="81" t="n"/>
      <c r="CW363" s="81" t="n"/>
      <c r="CX363" s="81" t="n"/>
    </row>
    <row r="364" customFormat="1" s="77">
      <c r="A364" s="76" t="n"/>
      <c r="B364" s="76" t="n"/>
      <c r="C364" s="77" t="inlineStr">
        <is>
          <t>ASSET TURNOVER (LTM REVENUE / ASSETS)</t>
        </is>
      </c>
      <c r="D364" s="84" t="str">
        <f>IFERROR(D15/D196,"")</f>
        <v/>
      </c>
      <c r="E364" s="84" t="str">
        <f>IFERROR(E15/E196,"")</f>
        <v/>
      </c>
      <c r="F364" s="84" t="str">
        <f>IFERROR(F15/F196,"")</f>
        <v/>
      </c>
      <c r="G364" s="84" t="str">
        <f>IFERROR(G15/G196,"")</f>
        <v/>
      </c>
      <c r="H364" s="262" t="str">
        <f>IFERROR(IF(AND(COUNT(H15)=1,N(H196)&lt;&gt;0),(H15)/H196,""),"")</f>
        <v/>
      </c>
      <c r="I364" s="264" t="str">
        <f>""</f>
        <v/>
      </c>
      <c r="J364" s="264" t="str">
        <f>""</f>
        <v/>
      </c>
      <c r="K364" s="264" t="str">
        <f>""</f>
        <v/>
      </c>
      <c r="L364" s="264">
        <f>IFERROR(IF(AND(COUNT(I15,J15,K15,L15)=4,N(L196)&lt;&gt;0),(I15+J15+K15+L15)/L196,""),"")</f>
        <v>0.609093172199968</v>
      </c>
      <c r="M364" s="262">
        <f>IFERROR(IF(AND(COUNT(I15,J15,K15,L15)=4,N(M196)&lt;&gt;0),(I15+J15+K15+L15)/M196,""),"")</f>
        <v>0.609093172199968</v>
      </c>
      <c r="N364" s="264">
        <f>IFERROR(IF(AND(COUNT(J15,K15,L15,N15)=4,N(N196)&lt;&gt;0),(J15+K15+L15+N15)/N196,""),"")</f>
        <v>0.653388480934265</v>
      </c>
      <c r="O364" s="264">
        <f>IFERROR(IF(AND(COUNT(K15,L15,N15,O15)=4,N(O196)&lt;&gt;0),(K15+L15+N15+O15)/O196,""),"")</f>
        <v>0.684009568497562</v>
      </c>
      <c r="P364" s="264">
        <f>IFERROR(IF(AND(COUNT(L15,N15,O15,P15)=4,N(P196)&lt;&gt;0),(L15+N15+O15+P15)/P196,""),"")</f>
        <v>0.705542382928275</v>
      </c>
      <c r="Q364" s="264">
        <f>IFERROR(IF(AND(COUNT(N15,O15,P15,Q15)=4,N(Q196)&lt;&gt;0),(N15+O15+P15+Q15)/Q196,""),"")</f>
        <v>0.654994900684765</v>
      </c>
      <c r="R364" s="262">
        <f>IFERROR(IF(AND(COUNT(N15,O15,P15,Q15)=4,N(R196)&lt;&gt;0),(N15+O15+P15+Q15)/R196,""),"")</f>
        <v>0.654994900684765</v>
      </c>
      <c r="S364" s="264">
        <f>IFERROR(IF(AND(COUNT(O15,P15,Q15,S15)=4,N(S196)&lt;&gt;0),(O15+P15+Q15+S15)/S196,""),"")</f>
        <v>0.582051282051282</v>
      </c>
      <c r="T364" s="264">
        <f>IFERROR(IF(AND(COUNT(P15,Q15,S15,T15)=4,N(T196)&lt;&gt;0),(P15+Q15+S15+T15)/T196,""),"")</f>
        <v>0.659489456159823</v>
      </c>
      <c r="U364" s="264">
        <f>IFERROR(IF(AND(COUNT(Q15,S15,T15,U15)=4,N(U196)&lt;&gt;0),(Q15+S15+T15+U15)/U196,""),"")</f>
        <v>0.828654797961144</v>
      </c>
      <c r="V364" s="264">
        <f>IFERROR(IF(AND(COUNT(S15,T15,U15,V15)=4,N(V196)&lt;&gt;0),(S15+T15+U15+V15)/V196,""),"")</f>
        <v>0.926880477117819</v>
      </c>
      <c r="W364" s="262">
        <f>IFERROR(IF(AND(COUNT(S15,T15,U15,V15)=4,N(W196)&lt;&gt;0),(S15+T15+U15+V15)/W196,""),"")</f>
        <v>0.926880477117819</v>
      </c>
      <c r="X364" s="264">
        <f>IFERROR(IF(AND(COUNT(T15,U15,V15,X15)=4,N(X196)&lt;&gt;0),(T15+U15+V15+X15)/X196,""),"")</f>
        <v>1.03505812746523</v>
      </c>
      <c r="Y364" s="264">
        <f>IFERROR(IF(AND(COUNT(U15,V15,X15,Y15)=4,N(Y196)&lt;&gt;0),(U15+V15+X15+Y15)/Y196,""),"")</f>
        <v>1.13000574935173</v>
      </c>
      <c r="Z364" s="264">
        <f>IFERROR(IF(AND(COUNT(V15,X15,Y15,Z15)=4,N(Z196)&lt;&gt;0),(V15+X15+Y15+Z15)/Z196,""),"")</f>
        <v>1.17972566214992</v>
      </c>
      <c r="AA364" s="264">
        <f>IFERROR(IF(AND(COUNT(X15,Y15,Z15,AA15)=4,N(AA196)&lt;&gt;0),(X15+Y15+Z15+AA15)/AA196,""),"")</f>
        <v>1.16931747923406</v>
      </c>
      <c r="AB364" s="262">
        <f>IFERROR(IF(AND(COUNT(X15,Y15,Z15,AA15)=4,N(AB196)&lt;&gt;0),(X15+Y15+Z15+AA15)/AB196,""),"")</f>
        <v>1.16931747923406</v>
      </c>
      <c r="AC364" s="264">
        <f>IFERROR(IF(AND(COUNT(Y15,Z15,AA15,AC15)=4,N(AC196)&lt;&gt;0),(Y15+Z15+AA15+AC15)/AC196,""),"")</f>
        <v>1.18571063598767</v>
      </c>
      <c r="AD364" s="264">
        <f>IFERROR(IF(AND(COUNT(Z15,AA15,AC15,AD15)=4,N(AD196)&lt;&gt;0),(Z15+AA15+AC15+AD15)/AD196,""),"")</f>
        <v>1.17392354696604</v>
      </c>
      <c r="AE364" s="264">
        <f>IFERROR(IF(AND(COUNT(AA15,AC15,AD15,AE15)=4,N(AE196)&lt;&gt;0),(AA15+AC15+AD15+AE15)/AE196,""),"")</f>
        <v>1.1613051356517</v>
      </c>
      <c r="AF364" s="264">
        <f>IFERROR(IF(AND(COUNT(AB15,AD15,AE15,AF15)=4,N(AF196)&lt;&gt;0),(AB15+AD15+AE15+AF15)/AF196,""),"")</f>
        <v>1.46213062673172</v>
      </c>
      <c r="AG364" s="262">
        <f>IFERROR(IF(AND(COUNT(AC15,AD15,AE15,AF15)=4,N(AG196)&lt;&gt;0),(AC15+AD15+AE15+AF15)/AG196,""),"")</f>
        <v>1.04417247332002</v>
      </c>
      <c r="AH364" s="264">
        <f>IFERROR(IF(AND(COUNT(AD15,AF15,AG15,AH15)=4,N(AH196)&lt;&gt;0),(AD15+AF15+AG15+AH15)/AH196,""),"")</f>
        <v>1.58945790329667</v>
      </c>
      <c r="AI364" s="264">
        <f>IFERROR(IF(AND(COUNT(AE15,AG15,AH15,AI15)=4,N(AI196)&lt;&gt;0),(AE15+AG15+AH15+AI15)/AI196,""),"")</f>
        <v>1.40749113253734</v>
      </c>
      <c r="AJ364" s="264">
        <f>IFERROR(IF(AND(COUNT(AF15,AH15,AI15,AJ15)=4,N(AJ196)&lt;&gt;0),(AF15+AH15+AI15+AJ15)/AJ196,""),"")</f>
        <v>0.861301638492345</v>
      </c>
      <c r="AK364" s="264">
        <f>IFERROR(IF(AND(COUNT(AH15,AI15,AJ15,AK15)=4,N(AK196)&lt;&gt;0),(AH15+AI15+AJ15+AK15)/AK196,""),"")</f>
        <v>0.77619533717767</v>
      </c>
      <c r="AL364" s="262">
        <f>IFERROR(IF(AND(COUNT(AH15,AI15,AJ15,AK15)=4,N(AL196)&lt;&gt;0),(AH15+AI15+AJ15+AK15)/AL196,""),"")</f>
        <v>0.77619533717767</v>
      </c>
      <c r="AM364" s="264">
        <f>IFERROR(IF(AND(COUNT(AI15,AJ15,AK15,AM15)=4,N(AM196)&lt;&gt;0),(AI15+AJ15+AK15+AM15)/AM196,""),"")</f>
        <v>0.690792443469073</v>
      </c>
      <c r="AN364" s="264">
        <f>IFERROR(IF(AND(COUNT(AJ15,AK15,AM15,AN15)=4,N(AN196)&lt;&gt;0),(AJ15+AK15+AM15+AN15)/AN196,""),"")</f>
        <v>0.604913447353453</v>
      </c>
      <c r="AO364" s="264">
        <f>IFERROR(IF(AND(COUNT(AK15,AM15,AN15,AO15)=4,N(AO196)&lt;&gt;0),(AK15+AM15+AN15+AO15)/AO196,""),"")</f>
        <v>0.516074369150275</v>
      </c>
      <c r="AP364" s="264">
        <f>IFERROR(IF(AND(COUNT(AM15,AN15,AO15,AP15)=4,N(AP196)&lt;&gt;0),(AM15+AN15+AO15+AP15)/AP196,""),"")</f>
        <v>0.424223765860052</v>
      </c>
      <c r="AQ364" s="262">
        <f>IFERROR(IF(AND(COUNT(AM15,AN15,AO15,AP15)=4,N(AQ196)&lt;&gt;0),(AM15+AN15+AO15+AP15)/AQ196,""),"")</f>
        <v>0.424223765860052</v>
      </c>
      <c r="AR364" s="264">
        <f>IFERROR(IF(AND(COUNT(AN15,AO15,AP15,AR15)=4,N(AR196)&lt;&gt;0),(AN15+AO15+AP15+AR15)/AR196,""),"")</f>
        <v>0.337194580078371</v>
      </c>
      <c r="AS364" s="264">
        <f>IFERROR(IF(AND(COUNT(AO15,AP15,AR15,AS15)=4,N(AS196)&lt;&gt;0),(AO15+AP15+AR15+AS15)/AS196,""),"")</f>
        <v>0.25909998859354</v>
      </c>
      <c r="AT364" s="264">
        <f>IFERROR(IF(AND(COUNT(AP15,AR15,AS15,AT15)=4,N(AT196)&lt;&gt;0),(AP15+AR15+AS15+AT15)/AT196,""),"")</f>
        <v>0.190849488636191</v>
      </c>
      <c r="AU364" s="264">
        <f>IFERROR(IF(AND(COUNT(AR15,AS15,AT15,AU15)=4,N(AU196)&lt;&gt;0),(AR15+AS15+AT15+AU15)/AU196,""),"")</f>
        <v>0.136673855966479</v>
      </c>
      <c r="AV364" s="262">
        <f>IFERROR(IF(AND(COUNT(AR15,AS15,AT15,AU15)=4,N(AV196)&lt;&gt;0),(AR15+AS15+AT15+AU15)/AV196,""),"")</f>
        <v>0.136673855966479</v>
      </c>
      <c r="AW364" s="264">
        <f>IFERROR(IF(AND(COUNT(AS15,AT15,AU15,AW15)=4,N(AW196)&lt;&gt;0),(AS15+AT15+AU15+AW15)/AW196,""),"")</f>
        <v>0.0961237156815303</v>
      </c>
      <c r="AX364" s="264">
        <f>IFERROR(IF(AND(COUNT(AT15,AU15,AW15,AX15)=4,N(AX196)&lt;&gt;0),(AT15+AU15+AW15+AX15)/AX196,""),"")</f>
        <v>0.0666033967378698</v>
      </c>
      <c r="AY364" s="264">
        <f>IFERROR(IF(AND(COUNT(AU15,AW15,AX15,AY15)=4,N(AY196)&lt;&gt;0),(AU15+AW15+AX15+AY15)/AY196,""),"")</f>
        <v>0.0449740969967837</v>
      </c>
      <c r="AZ364" s="264">
        <f>IFERROR(IF(AND(COUNT(AW15,AX15,AY15,AZ15)=4,N(AZ196)&lt;&gt;0),(AW15+AX15+AY15+AZ15)/AZ196,""),"")</f>
        <v>0.0302242718510692</v>
      </c>
      <c r="BA364" s="262">
        <f>IFERROR(IF(AND(COUNT(AW15,AX15,AY15,AZ15)=4,N(BA196)&lt;&gt;0),(AW15+AX15+AY15+AZ15)/BA196,""),"")</f>
        <v>0.0302242718510692</v>
      </c>
      <c r="BB364" s="264">
        <f>IFERROR(IF(AND(COUNT(AX15,AY15,AZ15,BB15)=4,N(BB196)&lt;&gt;0),(AX15+AY15+AZ15+BB15)/BB196,""),"")</f>
        <v>0.0203109106852053</v>
      </c>
      <c r="BC364" s="264">
        <f>IFERROR(IF(AND(COUNT(AY15,AZ15,BB15,BC15)=4,N(BC196)&lt;&gt;0),(AY15+AZ15+BB15+BC15)/BC196,""),"")</f>
        <v>0.0136302754376421</v>
      </c>
      <c r="BD364" s="264">
        <f>IFERROR(IF(AND(COUNT(AZ15,BB15,BC15,BD15)=4,N(BD196)&lt;&gt;0),(AZ15+BB15+BC15+BD15)/BD196,""),"")</f>
        <v>0.00899740089957761</v>
      </c>
      <c r="BE364" s="264">
        <f>IFERROR(IF(AND(COUNT(BB15,BC15,BD15,BE15)=4,N(BE196)&lt;&gt;0),(BB15+BC15+BD15+BE15)/BE196,""),"")</f>
        <v>0.00596082695712516</v>
      </c>
      <c r="BF364" s="262">
        <f>IFERROR(IF(AND(COUNT(BB15,BC15,BD15,BE15)=4,N(BF196)&lt;&gt;0),(BB15+BC15+BD15+BE15)/BF196,""),"")</f>
        <v>0.00596082695712516</v>
      </c>
      <c r="BG364" s="81" t="n"/>
      <c r="BH364" s="81" t="n"/>
      <c r="BI364" s="81" t="n"/>
      <c r="BJ364" s="81" t="n"/>
      <c r="BL364" s="81" t="n"/>
      <c r="BM364" s="81" t="n"/>
      <c r="BN364" s="81" t="n"/>
      <c r="BO364" s="81" t="n"/>
      <c r="BQ364" s="81" t="n"/>
      <c r="BR364" s="81" t="n"/>
      <c r="BS364" s="81" t="n"/>
      <c r="BT364" s="81" t="n"/>
      <c r="BV364" s="81" t="n"/>
      <c r="BW364" s="81" t="n"/>
      <c r="BX364" s="81" t="n"/>
      <c r="BY364" s="81" t="n"/>
      <c r="CA364" s="81" t="n"/>
      <c r="CB364" s="81" t="n"/>
      <c r="CC364" s="81" t="n"/>
      <c r="CD364" s="81" t="n"/>
      <c r="CF364" s="81" t="n"/>
      <c r="CG364" s="81" t="n"/>
      <c r="CH364" s="81" t="n"/>
      <c r="CI364" s="81" t="n"/>
      <c r="CK364" s="81" t="n"/>
      <c r="CL364" s="81" t="n"/>
      <c r="CM364" s="81" t="n"/>
      <c r="CN364" s="81" t="n"/>
      <c r="CP364" s="81" t="n"/>
      <c r="CQ364" s="81" t="n"/>
      <c r="CR364" s="81" t="n"/>
      <c r="CS364" s="81" t="n"/>
      <c r="CU364" s="81" t="n"/>
      <c r="CV364" s="81" t="n"/>
      <c r="CW364" s="81" t="n"/>
      <c r="CX364" s="81" t="n"/>
    </row>
    <row r="365" customFormat="1" s="77">
      <c r="A365" s="76" t="n"/>
      <c r="B365" s="76" t="n"/>
      <c r="C365" s="77" t="inlineStr">
        <is>
          <t>EQUITY MULTIPLIER (ASSETS / EQUITY)</t>
        </is>
      </c>
      <c r="D365" s="84" t="str">
        <f>IFERROR(D196/D270,"")</f>
        <v/>
      </c>
      <c r="E365" s="84" t="str">
        <f>IFERROR(E196/E270,"")</f>
        <v/>
      </c>
      <c r="F365" s="84" t="str">
        <f>IFERROR(F196/F270,"")</f>
        <v/>
      </c>
      <c r="G365" s="84" t="str">
        <f>IFERROR(G196/G270,"")</f>
        <v/>
      </c>
      <c r="H365" s="262" t="str">
        <f>IFERROR(IF(N(H270)&lt;&gt;0,H196/H270,""),"")</f>
        <v/>
      </c>
      <c r="I365" s="264">
        <f>IFERROR(IF(N(I270)&lt;&gt;0,I196/I270,""),"")</f>
        <v>1.64035368062214</v>
      </c>
      <c r="J365" s="264">
        <f>IFERROR(IF(N(J270)&lt;&gt;0,J196/J270,""),"")</f>
        <v>1.82768241358112</v>
      </c>
      <c r="K365" s="264">
        <f>IFERROR(IF(N(K270)&lt;&gt;0,K196/K270,""),"")</f>
        <v>1.70737036725775</v>
      </c>
      <c r="L365" s="264">
        <f>IFERROR(IF(N(L270)&lt;&gt;0,L196/L270,""),"")</f>
        <v>1.66041635352473</v>
      </c>
      <c r="M365" s="262">
        <f>IFERROR(IF(N(M270)&lt;&gt;0,M196/M270,""),"")</f>
        <v>1.66041635352473</v>
      </c>
      <c r="N365" s="264">
        <f>IFERROR(IF(N(N270)&lt;&gt;0,N196/N270,""),"")</f>
        <v>1.7177811550152</v>
      </c>
      <c r="O365" s="264">
        <f>IFERROR(IF(N(O270)&lt;&gt;0,O196/O270,""),"")</f>
        <v>1.8228166533898</v>
      </c>
      <c r="P365" s="264">
        <f>IFERROR(IF(N(P270)&lt;&gt;0,P196/P270,""),"")</f>
        <v>1.89648227083236</v>
      </c>
      <c r="Q365" s="264">
        <f>IFERROR(IF(N(Q270)&lt;&gt;0,Q196/Q270,""),"")</f>
        <v>1.8633545993394</v>
      </c>
      <c r="R365" s="262">
        <f>IFERROR(IF(N(R270)&lt;&gt;0,R196/R270,""),"")</f>
        <v>1.8633545993394</v>
      </c>
      <c r="S365" s="264">
        <f>IFERROR(IF(N(S270)&lt;&gt;0,S196/S270,""),"")</f>
        <v>1.81321370309951</v>
      </c>
      <c r="T365" s="264">
        <f>IFERROR(IF(N(T270)&lt;&gt;0,T196/T270,""),"")</f>
        <v>1.80193447511</v>
      </c>
      <c r="U365" s="264">
        <f>IFERROR(IF(N(U270)&lt;&gt;0,U196/U270,""),"")</f>
        <v>1.6277769427326</v>
      </c>
      <c r="V365" s="264">
        <f>IFERROR(IF(N(V270)&lt;&gt;0,V196/V270,""),"")</f>
        <v>1.52934059286146</v>
      </c>
      <c r="W365" s="262">
        <f>IFERROR(IF(N(W270)&lt;&gt;0,W196/W270,""),"")</f>
        <v>1.52934059286146</v>
      </c>
      <c r="X365" s="264">
        <f>IFERROR(IF(N(X270)&lt;&gt;0,X196/X270,""),"")</f>
        <v>1.56835293638843</v>
      </c>
      <c r="Y365" s="264">
        <f>IFERROR(IF(N(Y270)&lt;&gt;0,Y196/Y270,""),"")</f>
        <v>1.46546417456196</v>
      </c>
      <c r="Z365" s="264">
        <f>IFERROR(IF(N(Z270)&lt;&gt;0,Z196/Z270,""),"")</f>
        <v>1.45697203295953</v>
      </c>
      <c r="AA365" s="264">
        <f>IFERROR(IF(N(AA270)&lt;&gt;0,AA196/AA270,""),"")</f>
        <v>1.40684760548111</v>
      </c>
      <c r="AB365" s="262">
        <f>IFERROR(IF(N(AB270)&lt;&gt;0,AB196/AB270,""),"")</f>
        <v>1.40684760548111</v>
      </c>
      <c r="AC365" s="264">
        <f>IFERROR(IF(N(AC270)&lt;&gt;0,AC196/AC270,""),"")</f>
        <v>1.49391123886311</v>
      </c>
      <c r="AD365" s="264">
        <f>IFERROR(IF(N(AD270)&lt;&gt;0,AD196/AD270,""),"")</f>
        <v>1.40555871807932</v>
      </c>
      <c r="AE365" s="264">
        <f>IFERROR(IF(N(AE270)&lt;&gt;0,AE196/AE270,""),"")</f>
        <v>1.35535799894026</v>
      </c>
      <c r="AF365" s="264">
        <f>IFERROR(IF(N(AF270)&lt;&gt;0,AF196/AF270,""),"")</f>
        <v>1.31476289472513</v>
      </c>
      <c r="AG365" s="262">
        <f>IFERROR(IF(N(AG270)&lt;&gt;0,AG196/AG270,""),"")</f>
        <v>1.31476289472513</v>
      </c>
      <c r="AH365" s="264">
        <f>IFERROR(IF(N(AH270)&lt;&gt;0,AH196/AH270,""),"")</f>
        <v>1.32740927182132</v>
      </c>
      <c r="AI365" s="264">
        <f>IFERROR(IF(N(AI270)&lt;&gt;0,AI196/AI270,""),"")</f>
        <v>1.39866540893687</v>
      </c>
      <c r="AJ365" s="264">
        <f>IFERROR(IF(N(AJ270)&lt;&gt;0,AJ196/AJ270,""),"")</f>
        <v>1.39109930952957</v>
      </c>
      <c r="AK365" s="264">
        <f>IFERROR(IF(N(AK270)&lt;&gt;0,AK196/AK270,""),"")</f>
        <v>1.42126491005387</v>
      </c>
      <c r="AL365" s="262">
        <f>IFERROR(IF(N(AL270)&lt;&gt;0,AL196/AL270,""),"")</f>
        <v>1.42126491005387</v>
      </c>
      <c r="AM365" s="264">
        <f>IFERROR(IF(N(AM270)&lt;&gt;0,AM196/AM270,""),"")</f>
        <v>1.49023806651446</v>
      </c>
      <c r="AN365" s="264">
        <f>IFERROR(IF(N(AN270)&lt;&gt;0,AN196/AN270,""),"")</f>
        <v>1.6070891042475</v>
      </c>
      <c r="AO365" s="264">
        <f>IFERROR(IF(N(AO270)&lt;&gt;0,AO196/AO270,""),"")</f>
        <v>1.80483635559534</v>
      </c>
      <c r="AP365" s="264">
        <f>IFERROR(IF(N(AP270)&lt;&gt;0,AP196/AP270,""),"")</f>
        <v>2.11484890746727</v>
      </c>
      <c r="AQ365" s="262">
        <f>IFERROR(IF(N(AQ270)&lt;&gt;0,AQ196/AQ270,""),"")</f>
        <v>2.11484890746727</v>
      </c>
      <c r="AR365" s="264">
        <f>IFERROR(IF(N(AR270)&lt;&gt;0,AR196/AR270,""),"")</f>
        <v>2.57399813054355</v>
      </c>
      <c r="AS365" s="264">
        <f>IFERROR(IF(N(AS270)&lt;&gt;0,AS196/AS270,""),"")</f>
        <v>3.25611499968631</v>
      </c>
      <c r="AT365" s="264">
        <f>IFERROR(IF(N(AT270)&lt;&gt;0,AT196/AT270,""),"")</f>
        <v>4.32537508073541</v>
      </c>
      <c r="AU365" s="264">
        <f>IFERROR(IF(N(AU270)&lt;&gt;0,AU196/AU270,""),"")</f>
        <v>5.92348838316348</v>
      </c>
      <c r="AV365" s="262">
        <f>IFERROR(IF(N(AV270)&lt;&gt;0,AV196/AV270,""),"")</f>
        <v>5.92348838316348</v>
      </c>
      <c r="AW365" s="264">
        <f>IFERROR(IF(N(AW270)&lt;&gt;0,AW196/AW270,""),"")</f>
        <v>8.27450417581606</v>
      </c>
      <c r="AX365" s="264">
        <f>IFERROR(IF(N(AX270)&lt;&gt;0,AX196/AX270,""),"")</f>
        <v>11.7593609481903</v>
      </c>
      <c r="AY365" s="264">
        <f>IFERROR(IF(N(AY270)&lt;&gt;0,AY196/AY270,""),"")</f>
        <v>17.2074956003963</v>
      </c>
      <c r="AZ365" s="264">
        <f>IFERROR(IF(N(AZ270)&lt;&gt;0,AZ196/AZ270,""),"")</f>
        <v>25.3294709746286</v>
      </c>
      <c r="BA365" s="262">
        <f>IFERROR(IF(N(BA270)&lt;&gt;0,BA196/BA270,""),"")</f>
        <v>25.3294709746286</v>
      </c>
      <c r="BB365" s="264">
        <f>IFERROR(IF(N(BB270)&lt;&gt;0,BB196/BB270,""),"")</f>
        <v>37.3121744460543</v>
      </c>
      <c r="BC365" s="264">
        <f>IFERROR(IF(N(BC270)&lt;&gt;0,BC196/BC270,""),"")</f>
        <v>55.1075404423918</v>
      </c>
      <c r="BD365" s="264">
        <f>IFERROR(IF(N(BD270)&lt;&gt;0,BD196/BD270,""),"")</f>
        <v>82.9038014431146</v>
      </c>
      <c r="BE365" s="264">
        <f>IFERROR(IF(N(BE270)&lt;&gt;0,BE196/BE270,""),"")</f>
        <v>124.347319017349</v>
      </c>
      <c r="BF365" s="262">
        <f>IFERROR(IF(N(BF270)&lt;&gt;0,BF196/BF270,""),"")</f>
        <v>124.347319017349</v>
      </c>
      <c r="BG365" s="81" t="n"/>
      <c r="BH365" s="81" t="n"/>
      <c r="BI365" s="81" t="n"/>
      <c r="BJ365" s="81" t="n"/>
      <c r="BL365" s="81" t="n"/>
      <c r="BM365" s="81" t="n"/>
      <c r="BN365" s="81" t="n"/>
      <c r="BO365" s="81" t="n"/>
      <c r="BQ365" s="81" t="n"/>
      <c r="BR365" s="81" t="n"/>
      <c r="BS365" s="81" t="n"/>
      <c r="BT365" s="81" t="n"/>
      <c r="BV365" s="81" t="n"/>
      <c r="BW365" s="81" t="n"/>
      <c r="BX365" s="81" t="n"/>
      <c r="BY365" s="81" t="n"/>
      <c r="CA365" s="81" t="n"/>
      <c r="CB365" s="81" t="n"/>
      <c r="CC365" s="81" t="n"/>
      <c r="CD365" s="81" t="n"/>
      <c r="CF365" s="81" t="n"/>
      <c r="CG365" s="81" t="n"/>
      <c r="CH365" s="81" t="n"/>
      <c r="CI365" s="81" t="n"/>
      <c r="CK365" s="81" t="n"/>
      <c r="CL365" s="81" t="n"/>
      <c r="CM365" s="81" t="n"/>
      <c r="CN365" s="81" t="n"/>
      <c r="CP365" s="81" t="n"/>
      <c r="CQ365" s="81" t="n"/>
      <c r="CR365" s="81" t="n"/>
      <c r="CS365" s="81" t="n"/>
      <c r="CU365" s="81" t="n"/>
      <c r="CV365" s="81" t="n"/>
      <c r="CW365" s="81" t="n"/>
      <c r="CX365" s="81" t="n"/>
    </row>
    <row r="366" customFormat="1" s="77">
      <c r="A366" s="76" t="n"/>
      <c r="B366" s="76" t="n"/>
      <c r="C366" s="77" t="inlineStr">
        <is>
          <t>ROE - DUPONT</t>
        </is>
      </c>
      <c r="D366" s="84">
        <f>IFERROR(PRODUCT(D363:D365),"")</f>
        <v>0</v>
      </c>
      <c r="E366" s="84">
        <f>IFERROR(PRODUCT(E363:E365),"")</f>
        <v>0</v>
      </c>
      <c r="F366" s="84">
        <f>IFERROR(PRODUCT(F363:F365),"")</f>
        <v>0</v>
      </c>
      <c r="G366" s="84">
        <f>IFERROR(PRODUCT(G363:G365),"")</f>
        <v>0</v>
      </c>
      <c r="H366" s="258" t="str">
        <f>IFERROR(IF(COUNT(H363,H364,H365)=3,H363*H364*H365,""),"")</f>
        <v/>
      </c>
      <c r="I366" s="257" t="str">
        <f>IFERROR(IF(COUNT(I363,I364,I365)=3,I363*I364*I365,""),"")</f>
        <v/>
      </c>
      <c r="J366" s="257" t="str">
        <f>IFERROR(IF(COUNT(J363,J364,J365)=3,J363*J364*J365,""),"")</f>
        <v/>
      </c>
      <c r="K366" s="257" t="str">
        <f>IFERROR(IF(COUNT(K363,K364,K365)=3,K363*K364*K365,""),"")</f>
        <v/>
      </c>
      <c r="L366" s="257">
        <f>IFERROR(IF(COUNT(L363,L364,L365)=3,L363*L364*L365,""),"")</f>
        <v>0.366488802044191</v>
      </c>
      <c r="M366" s="258">
        <f>IFERROR(IF(COUNT(M363,M364,M365)=3,M363*M364*M365,""),"")</f>
        <v>0.366488802044191</v>
      </c>
      <c r="N366" s="257">
        <f>IFERROR(IF(COUNT(N363,N364,N365)=3,N363*N364*N365,""),"")</f>
        <v>0.359384498480243</v>
      </c>
      <c r="O366" s="257">
        <f>IFERROR(IF(COUNT(O363,O364,O365)=3,O363*O364*O365,""),"")</f>
        <v>0.324556622363842</v>
      </c>
      <c r="P366" s="257">
        <f>IFERROR(IF(COUNT(P363,P364,P365)=3,P363*P364*P365,""),"")</f>
        <v>0.279029462738302</v>
      </c>
      <c r="Q366" s="257">
        <f>IFERROR(IF(COUNT(Q363,Q364,Q365)=3,Q363*Q364*Q365,""),"")</f>
        <v>0.197638115922356</v>
      </c>
      <c r="R366" s="258">
        <f>IFERROR(IF(COUNT(R363,R364,R365)=3,R363*R364*R365,""),"")</f>
        <v>0.197638115922356</v>
      </c>
      <c r="S366" s="257">
        <f>IFERROR(IF(COUNT(S363,S364,S365)=3,S363*S364*S365,""),"")</f>
        <v>0.19547308319739</v>
      </c>
      <c r="T366" s="257">
        <f>IFERROR(IF(COUNT(T363,T364,T365)=3,T363*T364*T365,""),"")</f>
        <v>0.375440893058434</v>
      </c>
      <c r="U366" s="257">
        <f>IFERROR(IF(COUNT(U363,U364,U365)=3,U363*U364*U365,""),"")</f>
        <v>0.567803998196303</v>
      </c>
      <c r="V366" s="257">
        <f>IFERROR(IF(COUNT(V363,V364,V365)=3,V363*V364*V365,""),"")</f>
        <v>0.69242403089953</v>
      </c>
      <c r="W366" s="258">
        <f>IFERROR(IF(COUNT(W363,W364,W365)=3,W363*W364*W365,""),"")</f>
        <v>0.69242403089953</v>
      </c>
      <c r="X366" s="257">
        <f>IFERROR(IF(COUNT(X363,X364,X365)=3,X363*X364*X365,""),"")</f>
        <v>0.866814537462863</v>
      </c>
      <c r="Y366" s="257">
        <f>IFERROR(IF(COUNT(Y363,Y364,Y365)=3,Y363*Y364*Y365,""),"")</f>
        <v>0.911463796275599</v>
      </c>
      <c r="Z366" s="257">
        <f>IFERROR(IF(COUNT(Z363,Z364,Z365)=3,Z363*Z364*Z365,""),"")</f>
        <v>0.957131367699055</v>
      </c>
      <c r="AA366" s="257">
        <f>IFERROR(IF(COUNT(AA363,AA364,AA365)=3,AA363*AA364*AA365,""),"")</f>
        <v>0.918728806081158</v>
      </c>
      <c r="AB366" s="258">
        <f>IFERROR(IF(COUNT(AB363,AB364,AB365)=3,AB363*AB364*AB365,""),"")</f>
        <v>0.918728806081158</v>
      </c>
      <c r="AC366" s="257">
        <f>IFERROR(IF(COUNT(AC363,AC364,AC365)=3,AC363*AC364*AC365,""),"")</f>
        <v>0.915687654306263</v>
      </c>
      <c r="AD366" s="257">
        <f>IFERROR(IF(COUNT(AD363,AD364,AD365)=3,AD363*AD364*AD365,""),"")</f>
        <v>0.864837063446885</v>
      </c>
      <c r="AE366" s="257">
        <f>IFERROR(IF(COUNT(AE363,AE364,AE365)=3,AE363*AE364*AE365,""),"")</f>
        <v>0.834318780120609</v>
      </c>
      <c r="AF366" s="257">
        <f>IFERROR(IF(COUNT(AF363,AF364,AF365)=3,AF363*AF364*AF365,""),"")</f>
        <v>1.10730928903384</v>
      </c>
      <c r="AG366" s="258">
        <f>IFERROR(IF(COUNT(AG363,AG364,AG365)=3,AG363*AG364*AG365,""),"")</f>
        <v>0.763333396908953</v>
      </c>
      <c r="AH366" s="257">
        <f>IFERROR(IF(COUNT(AH363,AH364,AH365)=3,AH363*AH364*AH365,""),"")</f>
        <v>1.26753430123699</v>
      </c>
      <c r="AI366" s="257">
        <f>IFERROR(IF(COUNT(AI363,AI364,AI365)=3,AI363*AI364*AI365,""),"")</f>
        <v>1.17906054571498</v>
      </c>
      <c r="AJ366" s="257">
        <f>IFERROR(IF(COUNT(AJ363,AJ364,AJ365)=3,AJ363*AJ364*AJ365,""),"")</f>
        <v>0.764385728880134</v>
      </c>
      <c r="AK366" s="257">
        <f>IFERROR(IF(COUNT(AK363,AK364,AK365)=3,AK363*AK364*AK365,""),"")</f>
        <v>0.691737784746107</v>
      </c>
      <c r="AL366" s="258">
        <f>IFERROR(IF(COUNT(AL363,AL364,AL365)=3,AL363*AL364*AL365,""),"")</f>
        <v>0.691737784746107</v>
      </c>
      <c r="AM366" s="257">
        <f>IFERROR(IF(COUNT(AM363,AM364,AM365)=3,AM363*AM364*AM365,""),"")</f>
        <v>0.619948377596008</v>
      </c>
      <c r="AN366" s="257">
        <f>IFERROR(IF(COUNT(AN363,AN364,AN365)=3,AN363*AN364*AN365,""),"")</f>
        <v>0.580770108013464</v>
      </c>
      <c r="AO366" s="257">
        <f>IFERROR(IF(COUNT(AO363,AO364,AO365)=3,AO363*AO364*AO365,""),"")</f>
        <v>0.556443636918535</v>
      </c>
      <c r="AP366" s="257">
        <f>IFERROR(IF(COUNT(AP363,AP364,AP365)=3,AP363*AP364*AP365,""),"")</f>
        <v>0.535976069701178</v>
      </c>
      <c r="AQ366" s="258">
        <f>IFERROR(IF(COUNT(AQ363,AQ364,AQ365)=3,AQ363*AQ364*AQ365,""),"")</f>
        <v>0.535976069701178</v>
      </c>
      <c r="AR366" s="257">
        <f>IFERROR(IF(COUNT(AR363,AR364,AR365)=3,AR363*AR364*AR365,""),"")</f>
        <v>0.5185132658938</v>
      </c>
      <c r="AS366" s="257">
        <f>IFERROR(IF(COUNT(AS363,AS364,AS365)=3,AS363*AS364*AS365,""),"")</f>
        <v>0.504008880160307</v>
      </c>
      <c r="AT366" s="257">
        <f>IFERROR(IF(COUNT(AT363,AT364,AT365)=3,AT363*AT364*AT365,""),"")</f>
        <v>0.49315771775215</v>
      </c>
      <c r="AU366" s="257">
        <f>IFERROR(IF(COUNT(AU363,AU364,AU365)=3,AU363*AU364*AU365,""),"")</f>
        <v>0.483653180407849</v>
      </c>
      <c r="AV366" s="258">
        <f>IFERROR(IF(COUNT(AV363,AV364,AV365)=3,AV363*AV364*AV365,""),"")</f>
        <v>0.483653180407849</v>
      </c>
      <c r="AW366" s="257">
        <f>IFERROR(IF(COUNT(AW363,AW364,AW365)=3,AW363*AW364*AW365,""),"")</f>
        <v>0.475164065219795</v>
      </c>
      <c r="AX366" s="257">
        <f>IFERROR(IF(COUNT(AX363,AX364,AX365)=3,AX363*AX364*AX365,""),"")</f>
        <v>0.467897968010162</v>
      </c>
      <c r="AY366" s="257">
        <f>IFERROR(IF(COUNT(AY363,AY364,AY365)=3,AY363*AY364*AY365,""),"")</f>
        <v>0.462329045957434</v>
      </c>
      <c r="AZ366" s="257">
        <f>IFERROR(IF(COUNT(AZ363,AZ364,AZ365)=3,AZ363*AZ364*AZ365,""),"")</f>
        <v>0.457354572851904</v>
      </c>
      <c r="BA366" s="258">
        <f>IFERROR(IF(COUNT(BA363,BA364,BA365)=3,BA363*BA364*BA365,""),"")</f>
        <v>0.457354572851904</v>
      </c>
      <c r="BB366" s="257">
        <f>IFERROR(IF(COUNT(BB363,BB364,BB365)=3,BB363*BB364*BB365,""),"")</f>
        <v>0.452742239946386</v>
      </c>
      <c r="BC366" s="257">
        <f>IFERROR(IF(COUNT(BC363,BC364,BC365)=3,BC363*BC364*BC365,""),"")</f>
        <v>0.448731667917926</v>
      </c>
      <c r="BD366" s="257">
        <f>IFERROR(IF(COUNT(BD363,BD364,BD365)=3,BD363*BD364*BD365,""),"")</f>
        <v>0.445617847458937</v>
      </c>
      <c r="BE366" s="257">
        <f>IFERROR(IF(COUNT(BE363,BE364,BE365)=3,BE363*BE364*BE365,""),"")</f>
        <v>0.442806513088487</v>
      </c>
      <c r="BF366" s="258">
        <f>IFERROR(IF(COUNT(BF363,BF364,BF365)=3,BF363*BF364*BF365,""),"")</f>
        <v>0.442806513088487</v>
      </c>
      <c r="BG366" s="81" t="n"/>
      <c r="BH366" s="81" t="n"/>
      <c r="BI366" s="81" t="n"/>
      <c r="BJ366" s="81" t="n"/>
      <c r="BL366" s="81" t="n"/>
      <c r="BM366" s="81" t="n"/>
      <c r="BN366" s="81" t="n"/>
      <c r="BO366" s="81" t="n"/>
      <c r="BQ366" s="81" t="n"/>
      <c r="BR366" s="81" t="n"/>
      <c r="BS366" s="81" t="n"/>
      <c r="BT366" s="81" t="n"/>
      <c r="BV366" s="81" t="n"/>
      <c r="BW366" s="81" t="n"/>
      <c r="BX366" s="81" t="n"/>
      <c r="BY366" s="81" t="n"/>
      <c r="CA366" s="81" t="n"/>
      <c r="CB366" s="81" t="n"/>
      <c r="CC366" s="81" t="n"/>
      <c r="CD366" s="81" t="n"/>
      <c r="CF366" s="81" t="n"/>
      <c r="CG366" s="81" t="n"/>
      <c r="CH366" s="81" t="n"/>
      <c r="CI366" s="81" t="n"/>
      <c r="CK366" s="81" t="n"/>
      <c r="CL366" s="81" t="n"/>
      <c r="CM366" s="81" t="n"/>
      <c r="CN366" s="81" t="n"/>
      <c r="CP366" s="81" t="n"/>
      <c r="CQ366" s="81" t="n"/>
      <c r="CR366" s="81" t="n"/>
      <c r="CS366" s="81" t="n"/>
      <c r="CU366" s="81" t="n"/>
      <c r="CV366" s="81" t="n"/>
      <c r="CW366" s="81" t="n"/>
      <c r="CX366" s="81" t="n"/>
    </row>
    <row r="367" customFormat="1" s="77">
      <c r="A367" s="76" t="n"/>
      <c r="B367" s="76" t="n"/>
      <c r="C367" s="77" t="inlineStr">
        <is>
          <t>ROE (LTM)</t>
        </is>
      </c>
      <c r="D367" s="84" t="str">
        <f>IFERROR(D136/D270,"")</f>
        <v/>
      </c>
      <c r="E367" s="84" t="str">
        <f>IFERROR(E136/E270,"")</f>
        <v/>
      </c>
      <c r="F367" s="84" t="str">
        <f>IFERROR(F136/F270,"")</f>
        <v/>
      </c>
      <c r="G367" s="84" t="str">
        <f>IFERROR(G136/G270,"")</f>
        <v/>
      </c>
      <c r="H367" s="258" t="str">
        <f>IFERROR(IF(AND(COUNT(H136)=1,N(H270)&lt;&gt;0),(H136)/H270,""),"")</f>
        <v/>
      </c>
      <c r="I367" s="257" t="str">
        <f>""</f>
        <v/>
      </c>
      <c r="J367" s="257" t="str">
        <f>""</f>
        <v/>
      </c>
      <c r="K367" s="257" t="str">
        <f>""</f>
        <v/>
      </c>
      <c r="L367" s="257">
        <f>IFERROR(IF(AND(COUNT(I136,J136,K136,L136)=4,N(L270)&lt;&gt;0),(I136+J136+K136+L136)/L270,""),"")</f>
        <v>0.366488802044191</v>
      </c>
      <c r="M367" s="258">
        <f>IFERROR(IF(AND(COUNT(I136,J136,K136,L136)=4,N(M270)&lt;&gt;0),(I136+J136+K136+L136)/M270,""),"")</f>
        <v>0.366488802044191</v>
      </c>
      <c r="N367" s="257">
        <f>IFERROR(IF(AND(COUNT(J136,K136,L136,N136)=4,N(N270)&lt;&gt;0),(J136+K136+L136+N136)/N270,""),"")</f>
        <v>0.359384498480243</v>
      </c>
      <c r="O367" s="257">
        <f>IFERROR(IF(AND(COUNT(K136,L136,N136,O136)=4,N(O270)&lt;&gt;0),(K136+L136+N136+O136)/O270,""),"")</f>
        <v>0.324556622363842</v>
      </c>
      <c r="P367" s="257">
        <f>IFERROR(IF(AND(COUNT(L136,N136,O136,P136)=4,N(P270)&lt;&gt;0),(L136+N136+O136+P136)/P270,""),"")</f>
        <v>0.279029462738302</v>
      </c>
      <c r="Q367" s="257">
        <f>IFERROR(IF(AND(COUNT(N136,O136,P136,Q136)=4,N(Q270)&lt;&gt;0),(N136+O136+P136+Q136)/Q270,""),"")</f>
        <v>0.197638115922356</v>
      </c>
      <c r="R367" s="258">
        <f>IFERROR(IF(AND(COUNT(N136,O136,P136,Q136)=4,N(R270)&lt;&gt;0),(N136+O136+P136+Q136)/R270,""),"")</f>
        <v>0.197638115922356</v>
      </c>
      <c r="S367" s="257">
        <f>IFERROR(IF(AND(COUNT(O136,P136,Q136,S136)=4,N(S270)&lt;&gt;0),(O136+P136+Q136+S136)/S270,""),"")</f>
        <v>0.19547308319739</v>
      </c>
      <c r="T367" s="257">
        <f>IFERROR(IF(AND(COUNT(P136,Q136,S136,T136)=4,N(T270)&lt;&gt;0),(P136+Q136+S136+T136)/T270,""),"")</f>
        <v>0.375440893058434</v>
      </c>
      <c r="U367" s="257">
        <f>IFERROR(IF(AND(COUNT(Q136,S136,T136,U136)=4,N(U270)&lt;&gt;0),(Q136+S136+T136+U136)/U270,""),"")</f>
        <v>0.567803998196303</v>
      </c>
      <c r="V367" s="257">
        <f>IFERROR(IF(AND(COUNT(S136,T136,U136,V136)=4,N(V270)&lt;&gt;0),(S136+T136+U136+V136)/V270,""),"")</f>
        <v>0.69242403089953</v>
      </c>
      <c r="W367" s="258">
        <f>IFERROR(IF(AND(COUNT(S136,T136,U136,V136)=4,N(W270)&lt;&gt;0),(S136+T136+U136+V136)/W270,""),"")</f>
        <v>0.69242403089953</v>
      </c>
      <c r="X367" s="257">
        <f>IFERROR(IF(AND(COUNT(T136,U136,V136,X136)=4,N(X270)&lt;&gt;0),(T136+U136+V136+X136)/X270,""),"")</f>
        <v>0.866814537462863</v>
      </c>
      <c r="Y367" s="257">
        <f>IFERROR(IF(AND(COUNT(U136,V136,X136,Y136)=4,N(Y270)&lt;&gt;0),(U136+V136+X136+Y136)/Y270,""),"")</f>
        <v>0.911463796275599</v>
      </c>
      <c r="Z367" s="257">
        <f>IFERROR(IF(AND(COUNT(V136,X136,Y136,Z136)=4,N(Z270)&lt;&gt;0),(V136+X136+Y136+Z136)/Z270,""),"")</f>
        <v>0.957131367699055</v>
      </c>
      <c r="AA367" s="257">
        <f>IFERROR(IF(AND(COUNT(X136,Y136,Z136,AA136)=4,N(AA270)&lt;&gt;0),(X136+Y136+Z136+AA136)/AA270,""),"")</f>
        <v>0.918728806081158</v>
      </c>
      <c r="AB367" s="258">
        <f>IFERROR(IF(AND(COUNT(X136,Y136,Z136,AA136)=4,N(AB270)&lt;&gt;0),(X136+Y136+Z136+AA136)/AB270,""),"")</f>
        <v>0.918728806081158</v>
      </c>
      <c r="AC367" s="257">
        <f>IFERROR(IF(AND(COUNT(Y136,Z136,AA136,AC136)=4,N(AC270)&lt;&gt;0),(Y136+Z136+AA136+AC136)/AC270,""),"")</f>
        <v>0.915687654306263</v>
      </c>
      <c r="AD367" s="257">
        <f>IFERROR(IF(AND(COUNT(Z136,AA136,AC136,AD136)=4,N(AD270)&lt;&gt;0),(Z136+AA136+AC136+AD136)/AD270,""),"")</f>
        <v>0.864837063446885</v>
      </c>
      <c r="AE367" s="257">
        <f>IFERROR(IF(AND(COUNT(AA136,AC136,AD136,AE136)=4,N(AE270)&lt;&gt;0),(AA136+AC136+AD136+AE136)/AE270,""),"")</f>
        <v>0.834318780120609</v>
      </c>
      <c r="AF367" s="257">
        <f>IFERROR(IF(AND(COUNT(AB136,AD136,AE136,AF136)=4,N(AF270)&lt;&gt;0),(AB136+AD136+AE136+AF136)/AF270,""),"")</f>
        <v>1.10730928903384</v>
      </c>
      <c r="AG367" s="258">
        <f>IFERROR(IF(AND(COUNT(AC136,AD136,AE136,AF136)=4,N(AG270)&lt;&gt;0),(AC136+AD136+AE136+AF136)/AG270,""),"")</f>
        <v>0.763333396908953</v>
      </c>
      <c r="AH367" s="257">
        <f>IFERROR(IF(AND(COUNT(AD136,AF136,AG136,AH136)=4,N(AH270)&lt;&gt;0),(AD136+AF136+AG136+AH136)/AH270,""),"")</f>
        <v>1.26753430123699</v>
      </c>
      <c r="AI367" s="257">
        <f>IFERROR(IF(AND(COUNT(AE136,AG136,AH136,AI136)=4,N(AI270)&lt;&gt;0),(AE136+AG136+AH136+AI136)/AI270,""),"")</f>
        <v>1.17906054571498</v>
      </c>
      <c r="AJ367" s="257">
        <f>IFERROR(IF(AND(COUNT(AF136,AH136,AI136,AJ136)=4,N(AJ270)&lt;&gt;0),(AF136+AH136+AI136+AJ136)/AJ270,""),"")</f>
        <v>0.764385728880134</v>
      </c>
      <c r="AK367" s="257">
        <f>IFERROR(IF(AND(COUNT(AH136,AI136,AJ136,AK136)=4,N(AK270)&lt;&gt;0),(AH136+AI136+AJ136+AK136)/AK270,""),"")</f>
        <v>0.691737784746108</v>
      </c>
      <c r="AL367" s="258">
        <f>IFERROR(IF(AND(COUNT(AH136,AI136,AJ136,AK136)=4,N(AL270)&lt;&gt;0),(AH136+AI136+AJ136+AK136)/AL270,""),"")</f>
        <v>0.691737784746108</v>
      </c>
      <c r="AM367" s="257">
        <f>IFERROR(IF(AND(COUNT(AI136,AJ136,AK136,AM136)=4,N(AM270)&lt;&gt;0),(AI136+AJ136+AK136+AM136)/AM270,""),"")</f>
        <v>0.619948377596008</v>
      </c>
      <c r="AN367" s="257">
        <f>IFERROR(IF(AND(COUNT(AJ136,AK136,AM136,AN136)=4,N(AN270)&lt;&gt;0),(AJ136+AK136+AM136+AN136)/AN270,""),"")</f>
        <v>0.580770108013464</v>
      </c>
      <c r="AO367" s="257">
        <f>IFERROR(IF(AND(COUNT(AK136,AM136,AN136,AO136)=4,N(AO270)&lt;&gt;0),(AK136+AM136+AN136+AO136)/AO270,""),"")</f>
        <v>0.556443636918535</v>
      </c>
      <c r="AP367" s="257">
        <f>IFERROR(IF(AND(COUNT(AM136,AN136,AO136,AP136)=4,N(AP270)&lt;&gt;0),(AM136+AN136+AO136+AP136)/AP270,""),"")</f>
        <v>0.535976069701178</v>
      </c>
      <c r="AQ367" s="258">
        <f>IFERROR(IF(AND(COUNT(AM136,AN136,AO136,AP136)=4,N(AQ270)&lt;&gt;0),(AM136+AN136+AO136+AP136)/AQ270,""),"")</f>
        <v>0.535976069701178</v>
      </c>
      <c r="AR367" s="257">
        <f>IFERROR(IF(AND(COUNT(AN136,AO136,AP136,AR136)=4,N(AR270)&lt;&gt;0),(AN136+AO136+AP136+AR136)/AR270,""),"")</f>
        <v>0.5185132658938</v>
      </c>
      <c r="AS367" s="257">
        <f>IFERROR(IF(AND(COUNT(AO136,AP136,AR136,AS136)=4,N(AS270)&lt;&gt;0),(AO136+AP136+AR136+AS136)/AS270,""),"")</f>
        <v>0.504008880160307</v>
      </c>
      <c r="AT367" s="257">
        <f>IFERROR(IF(AND(COUNT(AP136,AR136,AS136,AT136)=4,N(AT270)&lt;&gt;0),(AP136+AR136+AS136+AT136)/AT270,""),"")</f>
        <v>0.49315771775215</v>
      </c>
      <c r="AU367" s="257">
        <f>IFERROR(IF(AND(COUNT(AR136,AS136,AT136,AU136)=4,N(AU270)&lt;&gt;0),(AR136+AS136+AT136+AU136)/AU270,""),"")</f>
        <v>0.483653180407849</v>
      </c>
      <c r="AV367" s="258">
        <f>IFERROR(IF(AND(COUNT(AR136,AS136,AT136,AU136)=4,N(AV270)&lt;&gt;0),(AR136+AS136+AT136+AU136)/AV270,""),"")</f>
        <v>0.483653180407849</v>
      </c>
      <c r="AW367" s="257">
        <f>IFERROR(IF(AND(COUNT(AS136,AT136,AU136,AW136)=4,N(AW270)&lt;&gt;0),(AS136+AT136+AU136+AW136)/AW270,""),"")</f>
        <v>0.475164065219795</v>
      </c>
      <c r="AX367" s="257">
        <f>IFERROR(IF(AND(COUNT(AT136,AU136,AW136,AX136)=4,N(AX270)&lt;&gt;0),(AT136+AU136+AW136+AX136)/AX270,""),"")</f>
        <v>0.467897968010162</v>
      </c>
      <c r="AY367" s="257">
        <f>IFERROR(IF(AND(COUNT(AU136,AW136,AX136,AY136)=4,N(AY270)&lt;&gt;0),(AU136+AW136+AX136+AY136)/AY270,""),"")</f>
        <v>0.462329045957434</v>
      </c>
      <c r="AZ367" s="257">
        <f>IFERROR(IF(AND(COUNT(AW136,AX136,AY136,AZ136)=4,N(AZ270)&lt;&gt;0),(AW136+AX136+AY136+AZ136)/AZ270,""),"")</f>
        <v>0.457354572851904</v>
      </c>
      <c r="BA367" s="258">
        <f>IFERROR(IF(AND(COUNT(AW136,AX136,AY136,AZ136)=4,N(BA270)&lt;&gt;0),(AW136+AX136+AY136+AZ136)/BA270,""),"")</f>
        <v>0.457354572851904</v>
      </c>
      <c r="BB367" s="257">
        <f>IFERROR(IF(AND(COUNT(AX136,AY136,AZ136,BB136)=4,N(BB270)&lt;&gt;0),(AX136+AY136+AZ136+BB136)/BB270,""),"")</f>
        <v>0.452742239946386</v>
      </c>
      <c r="BC367" s="257">
        <f>IFERROR(IF(AND(COUNT(AY136,AZ136,BB136,BC136)=4,N(BC270)&lt;&gt;0),(AY136+AZ136+BB136+BC136)/BC270,""),"")</f>
        <v>0.448731667917926</v>
      </c>
      <c r="BD367" s="257">
        <f>IFERROR(IF(AND(COUNT(AZ136,BB136,BC136,BD136)=4,N(BD270)&lt;&gt;0),(AZ136+BB136+BC136+BD136)/BD270,""),"")</f>
        <v>0.445617847458937</v>
      </c>
      <c r="BE367" s="257">
        <f>IFERROR(IF(AND(COUNT(BB136,BC136,BD136,BE136)=4,N(BE270)&lt;&gt;0),(BB136+BC136+BD136+BE136)/BE270,""),"")</f>
        <v>0.442806513088487</v>
      </c>
      <c r="BF367" s="258">
        <f>IFERROR(IF(AND(COUNT(BB136,BC136,BD136,BE136)=4,N(BF270)&lt;&gt;0),(BB136+BC136+BD136+BE136)/BF270,""),"")</f>
        <v>0.442806513088487</v>
      </c>
      <c r="BG367" s="81" t="n"/>
      <c r="BH367" s="81" t="n"/>
      <c r="BI367" s="81" t="n"/>
      <c r="BJ367" s="81" t="n"/>
      <c r="BL367" s="81" t="n"/>
      <c r="BM367" s="81" t="n"/>
      <c r="BN367" s="81" t="n"/>
      <c r="BO367" s="81" t="n"/>
      <c r="BQ367" s="81" t="n"/>
      <c r="BR367" s="81" t="n"/>
      <c r="BS367" s="81" t="n"/>
      <c r="BT367" s="81" t="n"/>
      <c r="BV367" s="81" t="n"/>
      <c r="BW367" s="81" t="n"/>
      <c r="BX367" s="81" t="n"/>
      <c r="BY367" s="81" t="n"/>
      <c r="CA367" s="81" t="n"/>
      <c r="CB367" s="81" t="n"/>
      <c r="CC367" s="81" t="n"/>
      <c r="CD367" s="81" t="n"/>
      <c r="CF367" s="81" t="n"/>
      <c r="CG367" s="81" t="n"/>
      <c r="CH367" s="81" t="n"/>
      <c r="CI367" s="81" t="n"/>
      <c r="CK367" s="81" t="n"/>
      <c r="CL367" s="81" t="n"/>
      <c r="CM367" s="81" t="n"/>
      <c r="CN367" s="81" t="n"/>
      <c r="CP367" s="81" t="n"/>
      <c r="CQ367" s="81" t="n"/>
      <c r="CR367" s="81" t="n"/>
      <c r="CS367" s="81" t="n"/>
      <c r="CU367" s="81" t="n"/>
      <c r="CV367" s="81" t="n"/>
      <c r="CW367" s="81" t="n"/>
      <c r="CX367" s="81" t="n"/>
    </row>
    <row r="368"/>
    <row r="369">
      <c r="C369" s="73" t="inlineStr">
        <is>
          <t>Scenario Analysis</t>
        </is>
      </c>
      <c r="D369" s="73" t="n"/>
      <c r="E369" s="73" t="n"/>
      <c r="F369" s="73" t="n"/>
      <c r="G369" s="73" t="n"/>
      <c r="H369" s="73" t="n"/>
      <c r="I369" s="73" t="n"/>
      <c r="J369" s="73" t="n"/>
      <c r="K369" s="73" t="n"/>
      <c r="L369" s="73" t="n"/>
      <c r="M369" s="73" t="n"/>
      <c r="N369" s="73" t="n"/>
      <c r="O369" s="73" t="n"/>
      <c r="P369" s="73" t="n"/>
      <c r="Q369" s="73" t="n"/>
      <c r="R369" s="73" t="n"/>
      <c r="S369" s="73" t="n"/>
      <c r="T369" s="73" t="n"/>
      <c r="U369" s="73" t="n"/>
      <c r="V369" s="73" t="n"/>
      <c r="W369" s="73" t="n"/>
      <c r="X369" s="73" t="n"/>
      <c r="Y369" s="73" t="n"/>
      <c r="Z369" s="73" t="n"/>
      <c r="AA369" s="73" t="n"/>
      <c r="AB369" s="73" t="n"/>
      <c r="AC369" s="73" t="n"/>
      <c r="AD369" s="73" t="n"/>
      <c r="AE369" s="73" t="n"/>
      <c r="AF369" s="73" t="n"/>
      <c r="AG369" s="73" t="n"/>
      <c r="AH369" s="73" t="n"/>
      <c r="AI369" s="73" t="n"/>
      <c r="AJ369" s="73" t="n"/>
      <c r="AK369" s="73" t="n"/>
      <c r="AL369" s="73" t="n"/>
      <c r="AM369" s="73" t="n"/>
      <c r="AN369" s="73" t="n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73" t="n"/>
      <c r="BQ369" s="73" t="n"/>
      <c r="BR369" s="73" t="n"/>
      <c r="BS369" s="73" t="n"/>
      <c r="BT369" s="73" t="n"/>
      <c r="BU369" s="73" t="n"/>
      <c r="BV369" s="73" t="n"/>
      <c r="BW369" s="73" t="n"/>
      <c r="BX369" s="73" t="n"/>
      <c r="BY369" s="73" t="n"/>
      <c r="BZ369" s="73" t="n"/>
      <c r="CA369" s="73" t="n"/>
      <c r="CB369" s="73" t="n"/>
      <c r="CC369" s="73" t="n"/>
      <c r="CD369" s="73" t="n"/>
      <c r="CE369" s="73" t="n"/>
      <c r="CF369" s="73" t="n"/>
      <c r="CG369" s="73" t="n"/>
      <c r="CH369" s="73" t="n"/>
      <c r="CI369" s="73" t="n"/>
      <c r="CJ369" s="73" t="n"/>
      <c r="CK369" s="73" t="n"/>
      <c r="CL369" s="73" t="n"/>
      <c r="CM369" s="73" t="n"/>
      <c r="CN369" s="73" t="n"/>
      <c r="CO369" s="73" t="n"/>
      <c r="CP369" s="73" t="n"/>
      <c r="CQ369" s="73" t="n"/>
      <c r="CR369" s="73" t="n"/>
      <c r="CS369" s="73" t="n"/>
      <c r="CT369" s="73" t="n"/>
      <c r="CU369" s="73" t="n"/>
      <c r="CV369" s="73" t="n"/>
      <c r="CW369" s="73" t="n"/>
      <c r="CX369" s="73" t="n"/>
      <c r="CY369" s="73" t="n"/>
    </row>
    <row r="370"/>
    <row r="371"/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5"/>
    <row r="376"/>
    <row r="377">
      <c r="C377" s="4" t="inlineStr">
        <is>
          <t>Bull case</t>
        </is>
      </c>
    </row>
    <row r="378">
      <c r="C378" s="4" t="inlineStr">
        <is>
          <t>Base case</t>
        </is>
      </c>
    </row>
    <row r="379">
      <c r="C379" s="4" t="inlineStr">
        <is>
          <t>Bear case</t>
        </is>
      </c>
    </row>
    <row r="380"/>
    <row r="381"/>
    <row r="382">
      <c r="C382" s="4" t="inlineStr">
        <is>
          <t>% Gross Margin</t>
        </is>
      </c>
    </row>
    <row r="383">
      <c r="C383" s="4" t="inlineStr">
        <is>
          <t>Bull case</t>
        </is>
      </c>
    </row>
    <row r="384">
      <c r="C384" s="4" t="inlineStr">
        <is>
          <t>Base case</t>
        </is>
      </c>
    </row>
    <row r="385">
      <c r="C385" s="4" t="inlineStr">
        <is>
          <t>Bear case</t>
        </is>
      </c>
    </row>
    <row r="386"/>
    <row r="387"/>
    <row r="388">
      <c r="C388" s="4" t="inlineStr">
        <is>
          <t>Capital expenditures</t>
        </is>
      </c>
    </row>
    <row r="389">
      <c r="C389" s="4" t="inlineStr">
        <is>
          <t>Bull case</t>
        </is>
      </c>
    </row>
    <row r="390">
      <c r="C390" s="4" t="inlineStr">
        <is>
          <t>Base case</t>
        </is>
      </c>
    </row>
    <row r="391">
      <c r="C391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14:G314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14:L314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14:Q314">
    <cfRule type="cellIs" priority="22" operator="notEqual" dxfId="0">
      <formula>0</formula>
    </cfRule>
  </conditionalFormatting>
  <conditionalFormatting sqref="S314:V314">
    <cfRule type="cellIs" priority="21" operator="notEqual" dxfId="0">
      <formula>0</formula>
    </cfRule>
  </conditionalFormatting>
  <conditionalFormatting sqref="X314:AA314">
    <cfRule type="cellIs" priority="20" operator="notEqual" dxfId="0">
      <formula>0</formula>
    </cfRule>
  </conditionalFormatting>
  <conditionalFormatting sqref="AC314:AF314">
    <cfRule type="cellIs" priority="19" operator="notEqual" dxfId="0">
      <formula>0</formula>
    </cfRule>
  </conditionalFormatting>
  <conditionalFormatting sqref="AH314:AK314">
    <cfRule type="cellIs" priority="15" operator="notEqual" dxfId="0">
      <formula>0</formula>
    </cfRule>
  </conditionalFormatting>
  <conditionalFormatting sqref="AM314:AP314">
    <cfRule type="cellIs" priority="14" operator="notEqual" dxfId="0">
      <formula>0</formula>
    </cfRule>
  </conditionalFormatting>
  <conditionalFormatting sqref="AR314:AU314">
    <cfRule type="cellIs" priority="13" operator="notEqual" dxfId="0">
      <formula>0</formula>
    </cfRule>
  </conditionalFormatting>
  <conditionalFormatting sqref="AW314:AZ314">
    <cfRule type="cellIs" priority="12" operator="notEqual" dxfId="0">
      <formula>0</formula>
    </cfRule>
  </conditionalFormatting>
  <conditionalFormatting sqref="BB314:BE314">
    <cfRule type="cellIs" priority="11" operator="notEqual" dxfId="0">
      <formula>0</formula>
    </cfRule>
  </conditionalFormatting>
  <conditionalFormatting sqref="BG314:BJ314">
    <cfRule type="cellIs" priority="10" operator="notEqual" dxfId="0">
      <formula>0</formula>
    </cfRule>
  </conditionalFormatting>
  <conditionalFormatting sqref="BL314:BO314">
    <cfRule type="cellIs" priority="9" operator="notEqual" dxfId="0">
      <formula>0</formula>
    </cfRule>
  </conditionalFormatting>
  <conditionalFormatting sqref="BQ314:BT314">
    <cfRule type="cellIs" priority="8" operator="notEqual" dxfId="0">
      <formula>0</formula>
    </cfRule>
  </conditionalFormatting>
  <conditionalFormatting sqref="BV314:BY314">
    <cfRule type="cellIs" priority="7" operator="notEqual" dxfId="0">
      <formula>0</formula>
    </cfRule>
  </conditionalFormatting>
  <conditionalFormatting sqref="CA314:CD314">
    <cfRule type="cellIs" priority="6" operator="notEqual" dxfId="0">
      <formula>0</formula>
    </cfRule>
  </conditionalFormatting>
  <conditionalFormatting sqref="CF314:CI314">
    <cfRule type="cellIs" priority="5" operator="notEqual" dxfId="0">
      <formula>0</formula>
    </cfRule>
  </conditionalFormatting>
  <conditionalFormatting sqref="CK314:CN314">
    <cfRule type="cellIs" priority="4" operator="notEqual" dxfId="0">
      <formula>0</formula>
    </cfRule>
  </conditionalFormatting>
  <conditionalFormatting sqref="CP314:CS314">
    <cfRule type="cellIs" priority="3" operator="notEqual" dxfId="0">
      <formula>0</formula>
    </cfRule>
  </conditionalFormatting>
  <conditionalFormatting sqref="CU314:CX314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NVDA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60922</v>
      </c>
      <c r="E18" s="113">
        <f>IFERROR(Model!AB15,"")</f>
        <v>130497</v>
      </c>
      <c r="F18" s="113">
        <f>IFERROR(Model!AG15,"")</f>
        <v>215938</v>
      </c>
      <c r="G18" s="113">
        <f>IFERROR(Model!AL15,"")</f>
        <v>397146.666787981</v>
      </c>
      <c r="H18" s="113">
        <f>IFERROR(Model!AQ15,"")</f>
        <v>696047.408005051</v>
      </c>
      <c r="I18" s="113">
        <f>IFERROR(Model!AV15,"")</f>
        <v>1216426.7512495</v>
      </c>
      <c r="J18" s="113">
        <f>IFERROR(Model!BA15,"")</f>
        <v>2119770.24948354</v>
      </c>
      <c r="K18" s="113">
        <f>IFERROR(Model!BF15,"")</f>
        <v>3683356.338393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1.14203407635994</v>
      </c>
      <c r="F19" s="117">
        <f>IFERROR(IF(E18=0,"",F18/E18-1),"")</f>
        <v>0.654735357900948</v>
      </c>
      <c r="G19" s="117">
        <f>IFERROR(IF(F18=0,"",G18/F18-1),"")</f>
        <v>0.839169885744893</v>
      </c>
      <c r="H19" s="117">
        <f>IFERROR(IF(G18=0,"",H18/G18-1),"")</f>
        <v>0.752620546042856</v>
      </c>
      <c r="I19" s="117">
        <f>IFERROR(IF(H18=0,"",I18/H18-1),"")</f>
        <v>0.747620546042856</v>
      </c>
      <c r="J19" s="117">
        <f>IFERROR(IF(I18=0,"",J18/I18-1),"")</f>
        <v>0.742620546042856</v>
      </c>
      <c r="K19" s="117">
        <f>IFERROR(IF(J18=0,"",K18/J18-1),"")</f>
        <v>0.737620546042856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IFERROR(Model!W68,"")</f>
        <v>34479</v>
      </c>
      <c r="E20" s="113">
        <f>IFERROR(Model!AB68,"")</f>
        <v>83318</v>
      </c>
      <c r="F20" s="113">
        <f>IFERROR(Model!AG68,"")</f>
        <v>133230</v>
      </c>
      <c r="G20" s="113">
        <f>IFERROR(Model!AL68,"")</f>
        <v>257449.074537095</v>
      </c>
      <c r="H20" s="113">
        <f>IFERROR(Model!AQ68,"")</f>
        <v>438158.700627122</v>
      </c>
      <c r="I20" s="113">
        <f>IFERROR(Model!AV68,"")</f>
        <v>765735.147643399</v>
      </c>
      <c r="J20" s="113">
        <f>IFERROR(Model!BA68,"")</f>
        <v>1334385.80111055</v>
      </c>
      <c r="K20" s="113">
        <f>IFERROR(Model!BF68,"")</f>
        <v>2318656.18435754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0.565953186041167</v>
      </c>
      <c r="E21" s="122">
        <f>IFERROR(IF(E18=0,"",E20/E18),"")</f>
        <v>0.638466784677042</v>
      </c>
      <c r="F21" s="122">
        <f>IFERROR(IF(F18=0,"",F20/F18),"")</f>
        <v>0.616982652428012</v>
      </c>
      <c r="G21" s="122">
        <f>IFERROR(IF(G18=0,"",G20/G18),"")</f>
        <v>0.648246846987982</v>
      </c>
      <c r="H21" s="122">
        <f>IFERROR(IF(H18=0,"",H20/H18),"")</f>
        <v>0.629495484916657</v>
      </c>
      <c r="I21" s="122">
        <f>IFERROR(IF(I18=0,"",I20/I18),"")</f>
        <v>0.629495484916657</v>
      </c>
      <c r="J21" s="122">
        <f>IFERROR(IF(J18=0,"",J20/J18),"")</f>
        <v>0.629495484916657</v>
      </c>
      <c r="K21" s="122">
        <f>IFERROR(IF(K18=0,"",K20/K18),"")</f>
        <v>0.629495484916657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IFERROR(Model!W72,"")</f>
        <v>32971</v>
      </c>
      <c r="E22" s="113">
        <f>IFERROR(Model!AB72,"")</f>
        <v>81454</v>
      </c>
      <c r="F22" s="113">
        <f>IFERROR(Model!AG72,"")</f>
        <v>130387</v>
      </c>
      <c r="G22" s="113">
        <f>IFERROR(Model!AL72,"")</f>
        <v>252503.255102109</v>
      </c>
      <c r="H22" s="113">
        <f>IFERROR(Model!AQ72,"")</f>
        <v>429202.820220815</v>
      </c>
      <c r="I22" s="113">
        <f>IFERROR(Model!AV72,"")</f>
        <v>750083.667037434</v>
      </c>
      <c r="J22" s="113">
        <f>IFERROR(Model!BA72,"")</f>
        <v>1307111.2094306</v>
      </c>
      <c r="K22" s="113">
        <f>IFERROR(Model!BF72,"")</f>
        <v>2271263.29346954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0.541200223236269</v>
      </c>
      <c r="E23" s="122">
        <f>IFERROR(IF(E18=0,"",E22/E18),"")</f>
        <v>0.624182931408385</v>
      </c>
      <c r="F23" s="122">
        <f>IFERROR(IF(F18=0,"",F22/F18),"")</f>
        <v>0.603816836314127</v>
      </c>
      <c r="G23" s="122">
        <f>IFERROR(IF(G18=0,"",G22/G18),"")</f>
        <v>0.635793464274268</v>
      </c>
      <c r="H23" s="122">
        <f>IFERROR(IF(H18=0,"",H22/H18),"")</f>
        <v>0.616628717073967</v>
      </c>
      <c r="I23" s="122">
        <f>IFERROR(IF(I18=0,"",I22/I18),"")</f>
        <v>0.616628717073967</v>
      </c>
      <c r="J23" s="122">
        <f>IFERROR(IF(J18=0,"",J22/J18),"")</f>
        <v>0.616628717073967</v>
      </c>
      <c r="K23" s="122">
        <f>IFERROR(IF(K18=0,"",K22/K18),"")</f>
        <v>0.616628717073967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IFERROR(Model!W131,"")</f>
        <v>0.12002483884322</v>
      </c>
      <c r="E24" s="125">
        <f>IFERROR(Model!AB131,"")</f>
        <v>0.132649418037274</v>
      </c>
      <c r="F24" s="125">
        <f>IFERROR(Model!AG131,"")</f>
        <v>0.151170024743726</v>
      </c>
      <c r="G24" s="125">
        <f>IFERROR(Model!AL131,"")</f>
        <v>0.160329206511539</v>
      </c>
      <c r="H24" s="125">
        <f>IFERROR(Model!AQ131,"")</f>
        <v>0.155632025971615</v>
      </c>
      <c r="I24" s="125">
        <f>IFERROR(Model!AV131,"")</f>
        <v>0.155632025971615</v>
      </c>
      <c r="J24" s="125">
        <f>IFERROR(Model!BA131,"")</f>
        <v>0.155632025971615</v>
      </c>
      <c r="K24" s="125">
        <f>IFERROR(Model!BF131,"")</f>
        <v>0.155632025971615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29013.6610385002</v>
      </c>
      <c r="E25" s="127">
        <f>IFERROR(E22*(1-E24),"")</f>
        <v>70649.1743031919</v>
      </c>
      <c r="F25" s="127">
        <f>IFERROR(F22*(1-F24),"")</f>
        <v>110676.39398374</v>
      </c>
      <c r="G25" s="127">
        <f>IFERROR(G22*(1-G24),"")</f>
        <v>212019.608570007</v>
      </c>
      <c r="H25" s="127">
        <f>IFERROR(H22*(1-H24),"")</f>
        <v>362405.115757118</v>
      </c>
      <c r="I25" s="127">
        <f>IFERROR(I22*(1-I24),"")</f>
        <v>633346.62628818</v>
      </c>
      <c r="J25" s="127">
        <f>IFERROR(J22*(1-J24),"")</f>
        <v>1103682.84373671</v>
      </c>
      <c r="K25" s="127">
        <f>IFERROR(K22*(1-K24),"")</f>
        <v>1917781.98559191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IFERROR(-Model!W69,"")</f>
        <v>1508</v>
      </c>
      <c r="E26" s="130">
        <f>IFERROR(-Model!AB69,"")</f>
        <v>1864</v>
      </c>
      <c r="F26" s="130">
        <f>IFERROR(-Model!AG69,"")</f>
        <v>2843</v>
      </c>
      <c r="G26" s="130">
        <f>IFERROR(-Model!AL69,"")</f>
        <v>4945.81943498651</v>
      </c>
      <c r="H26" s="130">
        <f>IFERROR(-Model!AQ69,"")</f>
        <v>8955.88040630716</v>
      </c>
      <c r="I26" s="130">
        <f>IFERROR(-Model!AV69,"")</f>
        <v>15651.480605965</v>
      </c>
      <c r="J26" s="130">
        <f>IFERROR(-Model!BA69,"")</f>
        <v>27274.591679946</v>
      </c>
      <c r="K26" s="130">
        <f>IFERROR(-Model!BF69,"")</f>
        <v>47392.8908880036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IFERROR(Model!W278,"")</f>
        <v>-7201</v>
      </c>
      <c r="E27" s="133">
        <f>IFERROR(Model!AB278,"")</f>
        <v>-14787</v>
      </c>
      <c r="F27" s="133">
        <f>IFERROR(Model!AG278,"")</f>
        <v>-28181</v>
      </c>
      <c r="G27" s="133">
        <f>IFERROR(Model!AL278,"")</f>
        <v>-3417.80535483459</v>
      </c>
      <c r="H27" s="133">
        <f>IFERROR(Model!AQ278,"")</f>
        <v>633884.206981644</v>
      </c>
      <c r="I27" s="133">
        <f>IFERROR(Model!AV278,"")</f>
        <v>6394543.04421788</v>
      </c>
      <c r="J27" s="133">
        <f>IFERROR(Model!BA278,"")</f>
        <v>59728187.2666695</v>
      </c>
      <c r="K27" s="133">
        <f>IFERROR(Model!BF278,"")</f>
        <v>545176611.536672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IFERROR(Model!W279,"")</f>
        <v>-6172</v>
      </c>
      <c r="E28" s="136">
        <f>IFERROR(Model!AB279,"")</f>
        <v>-13066</v>
      </c>
      <c r="F28" s="136">
        <f>IFERROR(Model!AG279,"")</f>
        <v>-15401</v>
      </c>
      <c r="G28" s="136">
        <f>IFERROR(Model!AL279,"")</f>
        <v>-28525.4104997959</v>
      </c>
      <c r="H28" s="136">
        <f>IFERROR(Model!AQ279,"")</f>
        <v>-50419.1119505375</v>
      </c>
      <c r="I28" s="136">
        <f>IFERROR(Model!AV279,"")</f>
        <v>-87778.5189054952</v>
      </c>
      <c r="J28" s="136">
        <f>IFERROR(Model!BA279,"")</f>
        <v>-152377.597933675</v>
      </c>
      <c r="K28" s="136">
        <f>IFERROR(Model!BF279,"")</f>
        <v>-263748.499719433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IFERROR(Model!W280,"")</f>
        <v>-123</v>
      </c>
      <c r="E29" s="136">
        <f>IFERROR(Model!AB280,"")</f>
        <v>-4798</v>
      </c>
      <c r="F29" s="136">
        <f>IFERROR(Model!AG280,"")</f>
        <v>-11323</v>
      </c>
      <c r="G29" s="136">
        <f>IFERROR(Model!AL280,"")</f>
        <v>-17088.585850501</v>
      </c>
      <c r="H29" s="136">
        <f>IFERROR(Model!AQ280,"")</f>
        <v>-28969.5583608596</v>
      </c>
      <c r="I29" s="136">
        <f>IFERROR(Model!AV280,"")</f>
        <v>-50435.3374719732</v>
      </c>
      <c r="J29" s="136">
        <f>IFERROR(Model!BA280,"")</f>
        <v>-87552.3496042089</v>
      </c>
      <c r="K29" s="136">
        <f>IFERROR(Model!BF280,"")</f>
        <v>-151543.279118184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IFERROR(Model!W281,"")</f>
        <v>-2685</v>
      </c>
      <c r="E30" s="136">
        <f>IFERROR(Model!AB281,"")</f>
        <v>-4898</v>
      </c>
      <c r="F30" s="136">
        <f>IFERROR(Model!AG281,"")</f>
        <v>-2279</v>
      </c>
      <c r="G30" s="136">
        <f>IFERROR(Model!AL281,"")</f>
        <v>1099</v>
      </c>
      <c r="H30" s="136">
        <f>IFERROR(Model!AQ281,"")</f>
        <v>0</v>
      </c>
      <c r="I30" s="136">
        <f>IFERROR(Model!AV281,"")</f>
        <v>0</v>
      </c>
      <c r="J30" s="136">
        <f>IFERROR(Model!BA281,"")</f>
        <v>0</v>
      </c>
      <c r="K30" s="136">
        <f>IFERROR(Model!BF281,"")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IFERROR(Model!W282,"")</f>
        <v>0</v>
      </c>
      <c r="E31" s="136">
        <f>IFERROR(Model!AB282,"")</f>
        <v>0</v>
      </c>
      <c r="F31" s="136">
        <f>IFERROR(Model!AG282,"")</f>
        <v>0</v>
      </c>
      <c r="G31" s="136">
        <f>IFERROR(Model!AL282,"")</f>
        <v>0</v>
      </c>
      <c r="H31" s="136">
        <f>IFERROR(Model!AQ282,"")</f>
        <v>0</v>
      </c>
      <c r="I31" s="136">
        <f>IFERROR(Model!AV282,"")</f>
        <v>0</v>
      </c>
      <c r="J31" s="136">
        <f>IFERROR(Model!BA282,"")</f>
        <v>0</v>
      </c>
      <c r="K31" s="136">
        <f>IFERROR(Model!BF282,"")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IFERROR(Model!W283,"")</f>
        <v>-2289</v>
      </c>
      <c r="E32" s="136">
        <f>IFERROR(Model!AB283,"")</f>
        <v>-691</v>
      </c>
      <c r="F32" s="136">
        <f>IFERROR(Model!AG283,"")</f>
        <v>-12295</v>
      </c>
      <c r="G32" s="136">
        <f>IFERROR(Model!AL283,"")</f>
        <v>-30126</v>
      </c>
      <c r="H32" s="136">
        <f>IFERROR(Model!AQ283,"")</f>
        <v>0</v>
      </c>
      <c r="I32" s="136">
        <f>IFERROR(Model!AV283,"")</f>
        <v>0</v>
      </c>
      <c r="J32" s="136">
        <f>IFERROR(Model!BA283,"")</f>
        <v>0</v>
      </c>
      <c r="K32" s="136">
        <f>IFERROR(Model!BF283,"")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IFERROR(Model!W284,"")</f>
        <v>1506</v>
      </c>
      <c r="E33" s="136">
        <f>IFERROR(Model!AB284,"")</f>
        <v>3611</v>
      </c>
      <c r="F33" s="136">
        <f>IFERROR(Model!AG284,"")</f>
        <v>3502</v>
      </c>
      <c r="G33" s="136">
        <f>IFERROR(Model!AL284,"")</f>
        <v>9762.73112948665</v>
      </c>
      <c r="H33" s="136">
        <f>IFERROR(Model!AQ284,"")</f>
        <v>14732.3448313163</v>
      </c>
      <c r="I33" s="136">
        <f>IFERROR(Model!AV284,"")</f>
        <v>25648.6748629493</v>
      </c>
      <c r="J33" s="136">
        <f>IFERROR(Model!BA284,"")</f>
        <v>44524.3724151443</v>
      </c>
      <c r="K33" s="136">
        <f>IFERROR(Model!BF284,"")</f>
        <v>77066.6855540998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IFERROR(Model!W285,"")</f>
        <v>2562</v>
      </c>
      <c r="E34" s="136">
        <f>IFERROR(Model!AB285,"")</f>
        <v>5055</v>
      </c>
      <c r="F34" s="136">
        <f>IFERROR(Model!AG285,"")</f>
        <v>9615</v>
      </c>
      <c r="G34" s="136">
        <f>IFERROR(Model!AL285,"")</f>
        <v>61460.4598659756</v>
      </c>
      <c r="H34" s="136">
        <f>IFERROR(Model!AQ285,"")</f>
        <v>698540.532461725</v>
      </c>
      <c r="I34" s="136">
        <f>IFERROR(Model!AV285,"")</f>
        <v>6507108.2257324</v>
      </c>
      <c r="J34" s="136">
        <f>IFERROR(Model!BA285,"")</f>
        <v>59923592.8417923</v>
      </c>
      <c r="K34" s="136">
        <f>IFERROR(Model!BF285,"")</f>
        <v>545514836.629956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IFERROR(Model!W286,"")</f>
        <v>0</v>
      </c>
      <c r="E35" s="136">
        <f>IFERROR(Model!AB286,"")</f>
        <v>0</v>
      </c>
      <c r="F35" s="136">
        <f>IFERROR(Model!AG286,"")</f>
        <v>0</v>
      </c>
      <c r="G35" s="136">
        <f>IFERROR(Model!AL286,"")</f>
        <v>0</v>
      </c>
      <c r="H35" s="136">
        <f>IFERROR(Model!AQ286,"")</f>
        <v>0</v>
      </c>
      <c r="I35" s="136">
        <f>IFERROR(Model!AV286,"")</f>
        <v>0</v>
      </c>
      <c r="J35" s="136">
        <f>IFERROR(Model!BA286,"")</f>
        <v>0</v>
      </c>
      <c r="K35" s="136">
        <f>IFERROR(Model!BF286,"")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IFERROR(Model!W287,"")</f>
        <v>0</v>
      </c>
      <c r="E36" s="136">
        <f>IFERROR(Model!AB287,"")</f>
        <v>0</v>
      </c>
      <c r="F36" s="136">
        <f>IFERROR(Model!AG287,"")</f>
        <v>0</v>
      </c>
      <c r="G36" s="136">
        <f>IFERROR(Model!AL287,"")</f>
        <v>0</v>
      </c>
      <c r="H36" s="136">
        <f>IFERROR(Model!AQ287,"")</f>
        <v>0</v>
      </c>
      <c r="I36" s="136">
        <f>IFERROR(Model!AV287,"")</f>
        <v>0</v>
      </c>
      <c r="J36" s="136">
        <f>IFERROR(Model!BA287,"")</f>
        <v>0</v>
      </c>
      <c r="K36" s="136">
        <f>IFERROR(Model!BF287,"")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IFERROR(Model!W288,"")</f>
        <v>0</v>
      </c>
      <c r="E37" s="136">
        <f>IFERROR(Model!AB288,"")</f>
        <v>0</v>
      </c>
      <c r="F37" s="136">
        <f>IFERROR(Model!AG288,"")</f>
        <v>0</v>
      </c>
      <c r="G37" s="136">
        <f>IFERROR(Model!AL288,"")</f>
        <v>0</v>
      </c>
      <c r="H37" s="136">
        <f>IFERROR(Model!AQ288,"")</f>
        <v>0</v>
      </c>
      <c r="I37" s="136">
        <f>IFERROR(Model!AV288,"")</f>
        <v>0</v>
      </c>
      <c r="J37" s="136">
        <f>IFERROR(Model!BA288,"")</f>
        <v>0</v>
      </c>
      <c r="K37" s="136">
        <f>IFERROR(Model!BF288,"")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IFERROR((Model!W188-Model!R188)*-1,"")</f>
        <v>-680</v>
      </c>
      <c r="E38" s="136">
        <f>IFERROR((Model!AB188-Model!W188)*-1,"")</f>
        <v>-1925</v>
      </c>
      <c r="F38" s="136">
        <f>IFERROR((Model!AG188-Model!AB188)*-1,"")</f>
        <v>-24127</v>
      </c>
      <c r="G38" s="136">
        <f>IFERROR((Model!AL188-Model!AG188)*-1,"")</f>
        <v>-36351</v>
      </c>
      <c r="H38" s="136">
        <f>IFERROR((Model!AQ188-Model!AL188)*-1,"")</f>
        <v>0</v>
      </c>
      <c r="I38" s="136">
        <f>IFERROR((Model!AV188-Model!AQ188)*-1,"")</f>
        <v>0</v>
      </c>
      <c r="J38" s="136">
        <f>IFERROR((Model!BA188-Model!AV188)*-1,"")</f>
        <v>0</v>
      </c>
      <c r="K38" s="136">
        <f>IFERROR((Model!BF188-Model!BA188)*-1,"")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IFERROR(Model!W239-Model!R239,"")</f>
        <v>628</v>
      </c>
      <c r="E39" s="136">
        <f>IFERROR(Model!AB239-Model!W239,"")</f>
        <v>1704</v>
      </c>
      <c r="F39" s="136">
        <f>IFERROR(Model!AG239-Model!AB239,"")</f>
        <v>3061</v>
      </c>
      <c r="G39" s="136">
        <f>IFERROR(Model!AL239-Model!AG239,"")</f>
        <v>3612</v>
      </c>
      <c r="H39" s="136">
        <f>IFERROR(Model!AQ239-Model!AL239,"")</f>
        <v>0</v>
      </c>
      <c r="I39" s="136">
        <f>IFERROR(Model!AV239-Model!AQ239,"")</f>
        <v>0</v>
      </c>
      <c r="J39" s="136">
        <f>IFERROR(Model!BA239-Model!AV239,"")</f>
        <v>0</v>
      </c>
      <c r="K39" s="136">
        <f>IFERROR(Model!BF239-Model!BA239,"")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IFERROR(Model!W294,"")</f>
        <v>-1615</v>
      </c>
      <c r="E40" s="136">
        <f>IFERROR(Model!AB294,"")</f>
        <v>-4233</v>
      </c>
      <c r="F40" s="136">
        <f>IFERROR(Model!AG294,"")</f>
        <v>-6943</v>
      </c>
      <c r="G40" s="136">
        <f>IFERROR(Model!AL294,"")</f>
        <v>-13249.026501428</v>
      </c>
      <c r="H40" s="136">
        <f>IFERROR(Model!AQ294,"")</f>
        <v>-22924.4156150927</v>
      </c>
      <c r="I40" s="136">
        <f>IFERROR(Model!AV294,"")</f>
        <v>-40063.1797349616</v>
      </c>
      <c r="J40" s="136">
        <f>IFERROR(Model!BA294,"")</f>
        <v>-69814.9201459519</v>
      </c>
      <c r="K40" s="136">
        <f>IFERROR(Model!BF294,"")</f>
        <v>-121311.839665947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-7308</v>
      </c>
      <c r="E44" s="133">
        <f>IFERROR(SUM(E27,E40:E42,E26),"")</f>
        <v>-17156</v>
      </c>
      <c r="F44" s="133">
        <f>IFERROR(SUM(F27,F40:F42,F26),"")</f>
        <v>-32281</v>
      </c>
      <c r="G44" s="133">
        <f>IFERROR(SUM(G27,G40:G42,G26),"")</f>
        <v>-11721.0124212761</v>
      </c>
      <c r="H44" s="133">
        <f>IFERROR(SUM(H27,H40:H42,H26),"")</f>
        <v>619915.671772858</v>
      </c>
      <c r="I44" s="133">
        <f>IFERROR(SUM(I27,I40:I42,I26),"")</f>
        <v>6370131.34508889</v>
      </c>
      <c r="J44" s="133">
        <f>IFERROR(SUM(J27,J40:J42,J26),"")</f>
        <v>59685646.9382035</v>
      </c>
      <c r="K44" s="133">
        <f>IFERROR(SUM(K27,K40:K42,K26),"")</f>
        <v>545102692.587894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IFERROR(Model!W349,"")</f>
        <v>27822</v>
      </c>
      <c r="E46" s="136">
        <f>IFERROR(Model!AB349,"")</f>
        <v>46099</v>
      </c>
      <c r="F46" s="136">
        <f>IFERROR(Model!AG349,"")</f>
        <v>118663</v>
      </c>
      <c r="G46" s="136">
        <f>IFERROR(Model!AL349,"")</f>
        <v>165631.012421276</v>
      </c>
      <c r="H46" s="136">
        <f>IFERROR(Model!AQ349,"")</f>
        <v>-454284.659351582</v>
      </c>
      <c r="I46" s="136">
        <f>IFERROR(Model!AV349,"")</f>
        <v>-6824416.00444047</v>
      </c>
      <c r="J46" s="136">
        <f>IFERROR(Model!BA349,"")</f>
        <v>-66510062.942644</v>
      </c>
      <c r="K46" s="136">
        <f>IFERROR(Model!BF349,"")</f>
        <v>-611612755.530538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IFERROR(Model!W350,"")</f>
        <v>23392</v>
      </c>
      <c r="E47" s="136">
        <f>IFERROR(Model!AB350,"")</f>
        <v>40911</v>
      </c>
      <c r="F47" s="136">
        <f>IFERROR(Model!AG350,"")</f>
        <v>97831</v>
      </c>
      <c r="G47" s="136">
        <f>IFERROR(Model!AL350,"")</f>
        <v>144506.012421276</v>
      </c>
      <c r="H47" s="136">
        <f>IFERROR(Model!AQ350,"")</f>
        <v>-475409.659351582</v>
      </c>
      <c r="I47" s="136">
        <f>IFERROR(Model!AV350,"")</f>
        <v>-6845541.00444047</v>
      </c>
      <c r="J47" s="136">
        <f>IFERROR(Model!BA350,"")</f>
        <v>-66531187.942644</v>
      </c>
      <c r="K47" s="136">
        <f>IFERROR(Model!BF350,"")</f>
        <v>-611633880.530538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0.456682315091428</v>
      </c>
      <c r="E48" s="122">
        <f>IFERROR(IF(E18=0,"",E46/E18),"")</f>
        <v>0.353257162999916</v>
      </c>
      <c r="F48" s="122">
        <f>IFERROR(IF(F18=0,"",F46/F18),"")</f>
        <v>0.549523474330595</v>
      </c>
      <c r="G48" s="122">
        <f>IFERROR(IF(G18=0,"",G46/G18),"")</f>
        <v>0.417052505465693</v>
      </c>
      <c r="H48" s="122">
        <f>IFERROR(IF(H18=0,"",H46/H18),"")</f>
        <v>-0.652663387762067</v>
      </c>
      <c r="I48" s="122">
        <f>IFERROR(IF(I18=0,"",I46/I18),"")</f>
        <v>-5.61021532733516</v>
      </c>
      <c r="J48" s="122">
        <f>IFERROR(IF(J18=0,"",J46/J18),"")</f>
        <v>-31.3760715147542</v>
      </c>
      <c r="K48" s="122">
        <f>IFERROR(IF(K18=0,"",K46/K18),"")</f>
        <v>-166.047674821866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1.04283160946374</v>
      </c>
      <c r="E50" s="150">
        <f>IFERROR(IF(E46=0,"",E25/E46),"")</f>
        <v>1.53255329406694</v>
      </c>
      <c r="F50" s="150">
        <f>IFERROR(IF(F46=0,"",F25/F46),"")</f>
        <v>0.932695060665412</v>
      </c>
      <c r="G50" s="150">
        <f>IFERROR(IF(G46=0,"",G25/G46),"")</f>
        <v>1.28007192294848</v>
      </c>
      <c r="H50" s="150">
        <f>IFERROR(IF(H46=0,"",H25/H46),"")</f>
        <v>-0.797748962675502</v>
      </c>
      <c r="I50" s="150">
        <f>IFERROR(IF(I46=0,"",I25/I46),"")</f>
        <v>-0.092805981621882</v>
      </c>
      <c r="J50" s="150">
        <f>IFERROR(IF(J46=0,"",J25/J46),"")</f>
        <v>-0.0165942234138086</v>
      </c>
      <c r="K50" s="150">
        <f>IFERROR(IF(K46=0,"",K25/K46),"")</f>
        <v>-0.00313561476318189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2.189705988067</v>
      </c>
      <c r="E51" s="154">
        <f>IFERROR(IF(E46=0,"",E18/E46),"")</f>
        <v>2.83079893273173</v>
      </c>
      <c r="F51" s="154">
        <f>IFERROR(IF(F46=0,"",F18/F46),"")</f>
        <v>1.81975847568324</v>
      </c>
      <c r="G51" s="154">
        <f>IFERROR(IF(G46=0,"",G18/G46),"")</f>
        <v>2.39777962461434</v>
      </c>
      <c r="H51" s="154">
        <f>IFERROR(IF(H46=0,"",H18/H46),"")</f>
        <v>-1.5321833869507</v>
      </c>
      <c r="I51" s="154">
        <f>IFERROR(IF(I46=0,"",I18/I46),"")</f>
        <v>-0.178246277843848</v>
      </c>
      <c r="J51" s="154">
        <f>IFERROR(IF(J46=0,"",J18/J46),"")</f>
        <v>-0.0318714214916856</v>
      </c>
      <c r="K51" s="154">
        <f>IFERROR(IF(K46=0,"",K18/K46),"")</f>
        <v>-0.0060223667755227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21705.6610385002</v>
      </c>
      <c r="E53" s="155">
        <f>IFERROR(E25+E44,"")</f>
        <v>53493.1743031919</v>
      </c>
      <c r="F53" s="155">
        <f>IFERROR(F25+F44,"")</f>
        <v>78395.3939837398</v>
      </c>
      <c r="G53" s="156">
        <f>IFERROR(G25+G44,"")</f>
        <v>200298.596148731</v>
      </c>
      <c r="H53" s="155">
        <f>IFERROR(H25+H44,"")</f>
        <v>982320.787529977</v>
      </c>
      <c r="I53" s="155">
        <f>IFERROR(I25+I44,"")</f>
        <v>7003477.97137707</v>
      </c>
      <c r="J53" s="155">
        <f>IFERROR(J25+J44,"")</f>
        <v>60789329.7819402</v>
      </c>
      <c r="K53" s="155">
        <f>IFERROR(K25+K44,"")</f>
        <v>547020474.573486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-0.00313561476318189</v>
      </c>
      <c r="E64" s="157" t="inlineStr">
        <is>
          <t>Current portion of long-term debt</t>
        </is>
      </c>
      <c r="H64" s="137">
        <f>IFERROR(INDEX(Model!$I$211:$BF$211,1,MATCH(Control!$B$7,Model!$I$5:$BF$5,0)),"")</f>
        <v>1000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IFERROR(INDEX(Model!$I$212:$BF$212,1,MATCH(Control!$B$7,Model!$I$5:$BF$5,0)),"")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IFERROR(INDEX(Model!$I$216:$BF$216,1,MATCH(Control!$B$7,Model!$I$5:$BF$5,0)),"")</f>
        <v>32366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IFERROR(INDEX(Model!$I$237:$BF$237,1,MATCH(Control!$B$7,Model!$I$5:$BF$5,0)),"")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IFERROR(INDEX(Model!$I$247:$BF$247,1,MATCH(Control!$B$7,Model!$I$5:$BF$5,0)),"")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IFERROR(INDEX(Model!$I$252:$BF$252,1,MATCH(Control!$B$7,Model!$I$5:$BF$5,0)),"")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IFERROR(INDEX(Model!$I$213:$BF$213,1,MATCH(Control!$B$7,Model!$I$5:$BF$5,0)),"")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IFERROR(INDEX(Model!$I$234:$BF$234,1,MATCH(Control!$B$7,Model!$I$5:$BF$5,0)),"")</f>
        <v>4985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IFERROR(-INDEX(Model!$I$143:$BF$143,1,MATCH(Control!$B$7,Model!$I$5:$BF$5,0)),"")</f>
        <v>-56586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2318656.18435754</v>
      </c>
      <c r="E73" s="157" t="inlineStr">
        <is>
          <t>Less: Equity investments</t>
        </is>
      </c>
      <c r="H73" s="137">
        <f>IFERROR(-INDEX(Model!$I$160:$BF$160,1,MATCH(Control!$B$7,Model!$I$5:$BF$5,0)),"")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-18235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-18235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-18235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NVDA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NVIDIA Corp.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NVDA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IFERROR(-Model!AG73/AVERAGE(Model!AB91,Model!AG91),"")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0.752620546042856</v>
      </c>
      <c r="C18" s="247">
        <f>IF(B18="","",B18)</f>
        <v>0.752620546042856</v>
      </c>
      <c r="D18" s="247">
        <f>IF(C18="","",MAX(0,C18-0.5%))</f>
        <v>0.747620546042856</v>
      </c>
      <c r="E18" s="247">
        <f>IF(D18="","",MAX(0,D18-0.5%))</f>
        <v>0.742620546042856</v>
      </c>
      <c r="F18" s="247">
        <f>IF(E18="","",MAX(0,E18-0.5%))</f>
        <v>0.737620546042856</v>
      </c>
    </row>
    <row r="19" ht="15" customHeight="1">
      <c r="A19" t="inlineStr">
        <is>
          <t>Gross margin</t>
        </is>
      </c>
      <c r="B19" s="247">
        <f>IFERROR(AVERAGE(Model!AC54:AF54,Model!AH54:AI54),"")</f>
        <v>0.718774334074637</v>
      </c>
      <c r="C19" s="247">
        <f>IF(B19="","",B19)</f>
        <v>0.718774334074637</v>
      </c>
      <c r="D19" s="247">
        <f>IF(C19="","",C19)</f>
        <v>0.718774334074637</v>
      </c>
      <c r="E19" s="247">
        <f>IF(D19="","",D19)</f>
        <v>0.718774334074637</v>
      </c>
      <c r="F19" s="247">
        <f>IF(E19="","",E19)</f>
        <v>0.718774334074637</v>
      </c>
    </row>
    <row r="20" ht="15" customHeight="1">
      <c r="A20" t="inlineStr">
        <is>
          <t>SG&amp;A / Revenue</t>
        </is>
      </c>
      <c r="B20" s="247">
        <f>IFERROR(AVERAGE(Model!AC58:AF58,Model!AH58:AI58),"")</f>
        <v>0.0892788491579798</v>
      </c>
      <c r="C20" s="247">
        <f>IF(B20="","",B20)</f>
        <v>0.0892788491579798</v>
      </c>
      <c r="D20" s="247">
        <f>IF(C20="","",C20)</f>
        <v>0.0892788491579798</v>
      </c>
      <c r="E20" s="247">
        <f>IF(D20="","",D20)</f>
        <v>0.0892788491579798</v>
      </c>
      <c r="F20" s="247">
        <f>IF(E20="","",E20)</f>
        <v>0.0892788491579798</v>
      </c>
    </row>
    <row r="21" ht="15" customHeight="1">
      <c r="A21" t="inlineStr">
        <is>
          <t>D&amp;A / Revenue</t>
        </is>
      </c>
      <c r="B21" s="247">
        <f>IFERROR(AVERAGE(Model!AC70:AF70,Model!AH70:AI70),"")</f>
        <v>0.0128667678426901</v>
      </c>
      <c r="C21" s="247">
        <f>IF(B21="","",B21)</f>
        <v>0.0128667678426901</v>
      </c>
      <c r="D21" s="247">
        <f>IF(C21="","",C21)</f>
        <v>0.0128667678426901</v>
      </c>
      <c r="E21" s="247">
        <f>IF(D21="","",D21)</f>
        <v>0.0128667678426901</v>
      </c>
      <c r="F21" s="247">
        <f>IF(E21="","",E21)</f>
        <v>0.0128667678426901</v>
      </c>
    </row>
    <row r="22" ht="15" customHeight="1">
      <c r="A22" t="inlineStr">
        <is>
          <t>Effective tax rate</t>
        </is>
      </c>
      <c r="B22" s="247">
        <f>IFERROR(AVERAGE(Model!AC131:AF131,Model!AH131:AI131),"")</f>
        <v>0.155632025971615</v>
      </c>
      <c r="C22" s="247">
        <f>IF(B22="","",B22)</f>
        <v>0.155632025971615</v>
      </c>
      <c r="D22" s="247">
        <f>IF(C22="","",C22)</f>
        <v>0.155632025971615</v>
      </c>
      <c r="E22" s="247">
        <f>IF(D22="","",D22)</f>
        <v>0.155632025971615</v>
      </c>
      <c r="F22" s="247">
        <f>IF(E22="","",E22)</f>
        <v>0.155632025971615</v>
      </c>
    </row>
    <row r="23" ht="15" customHeight="1">
      <c r="A23" t="inlineStr">
        <is>
          <t>Financial income / Revenue</t>
        </is>
      </c>
      <c r="B23" s="247">
        <f>IFERROR(AVERAGE(Model!AC122:AF122,Model!AH122:AI122)/AVERAGE(Model!AC15:AF15,Model!AH15:AI15),"")</f>
        <v>0.0908922376794811</v>
      </c>
      <c r="C23" s="247">
        <f>IF(B23="","",B23)</f>
        <v>0.0908922376794811</v>
      </c>
      <c r="D23" s="247">
        <f>IF(C23="","",C23)</f>
        <v>0.0908922376794811</v>
      </c>
      <c r="E23" s="247">
        <f>IF(D23="","",D23)</f>
        <v>0.0908922376794811</v>
      </c>
      <c r="F23" s="247">
        <f>IF(E23="","",E23)</f>
        <v>0.0908922376794811</v>
      </c>
    </row>
    <row r="24" ht="15" customHeight="1">
      <c r="A24" t="inlineStr">
        <is>
          <t>Capex / Revenue</t>
        </is>
      </c>
      <c r="B24" s="247">
        <f>IFERROR(-AVERAGE(Model!AC294:AF294,Model!AH294:AI294)/AVERAGE(Model!AC15:AF15,Model!AH15:AI15),"")</f>
        <v>0.0329351353822243</v>
      </c>
      <c r="C24" s="247">
        <f>IF(B24="","",B24)</f>
        <v>0.0329351353822243</v>
      </c>
      <c r="D24" s="247">
        <f>IF(C24="","",C24)</f>
        <v>0.0329351353822243</v>
      </c>
      <c r="E24" s="247">
        <f>IF(D24="","",D24)</f>
        <v>0.0329351353822243</v>
      </c>
      <c r="F24" s="247">
        <f>IF(E24="","",E24)</f>
        <v>0.0329351353822243</v>
      </c>
    </row>
    <row r="25" ht="15" customHeight="1">
      <c r="A25" t="inlineStr">
        <is>
          <t>DSO</t>
        </is>
      </c>
      <c r="B25" s="249">
        <f>IFERROR(AVERAGE(Model!AC145:AF145,Model!AH145:AI145),0)</f>
        <v>51.6178350682867</v>
      </c>
      <c r="C25" s="249">
        <f>IF(B25="","",B25)</f>
        <v>51.6178350682867</v>
      </c>
      <c r="D25" s="249">
        <f>IF(C25="","",C25)</f>
        <v>51.6178350682867</v>
      </c>
      <c r="E25" s="249">
        <f>IF(D25="","",D25)</f>
        <v>51.6178350682867</v>
      </c>
      <c r="F25" s="249">
        <f>IF(E25="","",E25)</f>
        <v>51.6178350682867</v>
      </c>
    </row>
    <row r="26" ht="15" customHeight="1">
      <c r="A26" t="inlineStr">
        <is>
          <t>DIO</t>
        </is>
      </c>
      <c r="B26" s="249">
        <f>IFERROR(AVERAGE(Model!AC149:AF149,Model!AH149:AI149),0)</f>
        <v>105.460909942146</v>
      </c>
      <c r="C26" s="249">
        <f>IF(B26="","",B26)</f>
        <v>105.460909942146</v>
      </c>
      <c r="D26" s="249">
        <f>IF(C26="","",C26)</f>
        <v>105.460909942146</v>
      </c>
      <c r="E26" s="249">
        <f>IF(D26="","",D26)</f>
        <v>105.460909942146</v>
      </c>
      <c r="F26" s="249">
        <f>IF(E26="","",E26)</f>
        <v>105.460909942146</v>
      </c>
    </row>
    <row r="27" ht="15" customHeight="1">
      <c r="A27" t="inlineStr">
        <is>
          <t>DPO</t>
        </is>
      </c>
      <c r="B27" s="249">
        <f>IFERROR(AVERAGE(Model!AC198:AF198,Model!AH198:AI198),0)</f>
        <v>53.631694074814</v>
      </c>
      <c r="C27" s="249">
        <f>IF(B27="","",B27)</f>
        <v>53.631694074814</v>
      </c>
      <c r="D27" s="249">
        <f>IF(C27="","",C27)</f>
        <v>53.631694074814</v>
      </c>
      <c r="E27" s="249">
        <f>IF(D27="","",D27)</f>
        <v>53.631694074814</v>
      </c>
      <c r="F27" s="249">
        <f>IF(E27="","",E27)</f>
        <v>53.631694074814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NVIDIA Corp. (NVDA, CIK 1045810) - fonte: SEC EDGAR XBRL (companyfacts API e instâncias dos 10-Q/10-K). Moeda: USD. Brutos em USD unidades (fator 0,000001 -&gt; milhões). Colunas = trimestres-CALENDÁRIO; o ano fiscal NVIDIA termina no fim de janeiro (FQ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2026-10-16T15:40:00Z</dcterms:modified>
  <cp:lastModifiedBy>Lucas Nascimento</cp:lastModifiedBy>
  <cp:revision>0</cp:revision>
</cp:coreProperties>
</file>